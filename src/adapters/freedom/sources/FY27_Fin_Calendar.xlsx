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reedomanz-my.sharepoint.com/personal/jordi_stillwood_freedom_com_au/Documents/Downloads/"/>
    </mc:Choice>
  </mc:AlternateContent>
  <xr:revisionPtr revIDLastSave="1" documentId="11_1858F2C4D1E744920DEEA34350BAC2C401B257A2" xr6:coauthVersionLast="47" xr6:coauthVersionMax="47" xr10:uidLastSave="{61F3BA97-DB2B-45DB-811F-F332A67EAEBB}"/>
  <bookViews>
    <workbookView xWindow="-120" yWindow="-120" windowWidth="29040" windowHeight="15720" xr2:uid="{00000000-000D-0000-FFFF-FFFF00000000}"/>
  </bookViews>
  <sheets>
    <sheet name="Fin Calendar" sheetId="1" r:id="rId1"/>
  </sheets>
  <definedNames>
    <definedName name="ID" localSheetId="0" hidden="1">"6737980f-d7e3-4fa2-871f-a2c3a0bce364"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4" i="1" s="1"/>
  <c r="J5" i="1" s="1"/>
  <c r="J3" i="1" l="1"/>
</calcChain>
</file>

<file path=xl/sharedStrings.xml><?xml version="1.0" encoding="utf-8"?>
<sst xmlns="http://schemas.openxmlformats.org/spreadsheetml/2006/main" count="172" uniqueCount="32">
  <si>
    <t>FY27 Financial Calendar – VBA Lookup Table</t>
  </si>
  <si>
    <t>Quick Lookup</t>
  </si>
  <si>
    <t>Built from 'Financial Calendar FY27 - as at 5.5.26 (2).xlsx' (Jul–Jun calendar). Week 1 starts Monday 29 June 2026; 52 weeks end Sunday 27 June 2027.</t>
  </si>
  <si>
    <t>Lookup Date</t>
  </si>
  <si>
    <t>Fin Period</t>
  </si>
  <si>
    <t>Week Start</t>
  </si>
  <si>
    <t>Week End</t>
  </si>
  <si>
    <t>Fin_Period</t>
  </si>
  <si>
    <t>Fiscal Week</t>
  </si>
  <si>
    <t>Fiscal Month</t>
  </si>
  <si>
    <t>Fiscal Quarter</t>
  </si>
  <si>
    <t>FY</t>
  </si>
  <si>
    <t>July</t>
  </si>
  <si>
    <t>Q1</t>
  </si>
  <si>
    <t>FY27</t>
  </si>
  <si>
    <t>FY Week Label</t>
  </si>
  <si>
    <t>VBA-ready</t>
  </si>
  <si>
    <t>The first three table columns are exactly Week Start, Week End and Fin_Period, so your GetFinPeriod VBA function can use tblFinCalendar without changes.</t>
  </si>
  <si>
    <t>August</t>
  </si>
  <si>
    <t>September</t>
  </si>
  <si>
    <t>October</t>
  </si>
  <si>
    <t>Q2</t>
  </si>
  <si>
    <t>November</t>
  </si>
  <si>
    <t>December</t>
  </si>
  <si>
    <t>January</t>
  </si>
  <si>
    <t>Q3</t>
  </si>
  <si>
    <t>February</t>
  </si>
  <si>
    <t>March</t>
  </si>
  <si>
    <t>April</t>
  </si>
  <si>
    <t>Q4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</si>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</sst>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1"/>
      <color rgb="FF404040"/>
      <name val="Carlito"/>
    </font>
    <font>
      <b/>
      <sz val="11"/>
      <color rgb="FFFFFFFF"/>
      <name val="Carlito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7FBFF"/>
      </patternFill>
    </fill>
    <fill>
      <patternFill patternType="solid">
        <fgColor rgb="FFF4F8FC"/>
      </patternFill>
    </fill>
    <fill>
      <patternFill patternType="solid">
        <fgColor rgb="FFFFF2CC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0" xfId="0" applyFont="1" applyFill="1" applyAlignment="1">
      <alignment horizontal="center" vertical="center"/>
    </xf>
    <xf numFmtId="14" fontId="0" fillId="5" borderId="0" xfId="0" applyNumberFormat="1" applyFill="1" applyAlignment="1">
      <alignment vertical="center"/>
    </xf>
    <xf numFmtId="1" fontId="0" fillId="5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14" fontId="0" fillId="6" borderId="0" xfId="0" applyNumberFormat="1" applyFill="1" applyAlignment="1">
      <alignment vertical="center"/>
    </xf>
    <xf numFmtId="1" fontId="0" fillId="6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0" fontId="4" fillId="3" borderId="0" xfId="0" applyFont="1" applyFill="1"/>
    <xf numFmtId="0" fontId="4" fillId="7" borderId="0" xfId="0" applyFont="1" applyFill="1"/>
    <xf numFmtId="14" fontId="4" fillId="7" borderId="0" xfId="0" applyNumberFormat="1" applyFont="1" applyFill="1"/>
    <xf numFmtId="1" fontId="4" fillId="7" borderId="0" xfId="0" applyNumberFormat="1" applyFont="1" applyFill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inCalendar" displayName="tblFinCalendar" ref="A4:G56" totalsRowShown="0">
  <tableColumns count="7">
    <tableColumn id="1" xr3:uid="{00000000-0010-0000-0000-000001000000}" name="Week Start"/>
    <tableColumn id="2" xr3:uid="{00000000-0010-0000-0000-000002000000}" name="Week End"/>
    <tableColumn id="3" xr3:uid="{00000000-0010-0000-0000-000003000000}" name="Fin_Period"/>
    <tableColumn id="4" xr3:uid="{00000000-0010-0000-0000-000004000000}" name="Fiscal Week"/>
    <tableColumn id="5" xr3:uid="{00000000-0010-0000-0000-000005000000}" name="Fiscal Month"/>
    <tableColumn id="6" xr3:uid="{00000000-0010-0000-0000-000006000000}" name="Fiscal Quarter"/>
    <tableColumn id="7" xr3:uid="{00000000-0010-0000-0000-000007000000}" name="F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6"/>
  <sheetViews>
    <sheetView tabSelected="1" workbookViewId="0">
      <selection activeCell="A3" sqref="A1:J1048576"/>
    </sheetView>
  </sheetViews>
  <sheetFormatPr defaultRowHeight="14.25"/>
  <cols>
    <col min="1" max="2" width="14" customWidth="1"/>
    <col min="3" max="3" width="13" customWidth="1"/>
    <col min="4" max="4" width="11" customWidth="1"/>
    <col min="5" max="6" width="14" customWidth="1"/>
    <col min="7" max="7" width="9" customWidth="1"/>
    <col min="9" max="9" width="15" customWidth="1"/>
    <col min="10" max="10" width="16" customWidth="1"/>
  </cols>
  <sheetData>
    <row r="1" spans="1:10" ht="18.600000000000001" customHeight="1">
      <c r="A1" s="12" t="s">
        <v>0</v>
      </c>
      <c r="B1" s="12"/>
      <c r="C1" s="12"/>
      <c r="D1" s="12"/>
      <c r="E1" s="12"/>
      <c r="F1" s="12"/>
      <c r="G1" s="12"/>
      <c r="I1" s="14" t="s">
        <v>1</v>
      </c>
      <c r="J1" s="14"/>
    </row>
    <row r="2" spans="1:10" ht="22.7" customHeight="1">
      <c r="A2" s="13" t="s">
        <v>2</v>
      </c>
      <c r="B2" s="13"/>
      <c r="C2" s="13"/>
      <c r="D2" s="13"/>
      <c r="E2" s="13"/>
      <c r="F2" s="13"/>
      <c r="G2" s="13"/>
      <c r="I2" s="8" t="s">
        <v>3</v>
      </c>
      <c r="J2" s="10">
        <f ca="1">TODAY()</f>
        <v>46275</v>
      </c>
    </row>
    <row r="3" spans="1:10" ht="15">
      <c r="I3" s="8" t="s">
        <v>4</v>
      </c>
      <c r="J3" s="11">
        <f ca="1">INDEX($C$5:$C$56,MATCH(J2,$A$5:$A$56,1))</f>
        <v>202711</v>
      </c>
    </row>
    <row r="4" spans="1:10" ht="15.95" customHeight="1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I4" s="8" t="s">
        <v>8</v>
      </c>
      <c r="J4" s="11">
        <f ca="1">INDEX($D$5:$D$56,MATCH(J2,$A$5:$A$56,1))</f>
        <v>11</v>
      </c>
    </row>
    <row r="5" spans="1:10" ht="15">
      <c r="A5" s="2">
        <v>46202</v>
      </c>
      <c r="B5" s="2">
        <v>46208</v>
      </c>
      <c r="C5" s="3">
        <v>202701</v>
      </c>
      <c r="D5" s="3">
        <v>1</v>
      </c>
      <c r="E5" s="4" t="s">
        <v>12</v>
      </c>
      <c r="F5" s="4" t="s">
        <v>13</v>
      </c>
      <c r="G5" s="4" t="s">
        <v>14</v>
      </c>
      <c r="I5" s="8" t="s">
        <v>15</v>
      </c>
      <c r="J5" s="9" t="str">
        <f ca="1">"FY27 W"&amp;TEXT(J4,"00")</f>
        <v>FY27 W11</v>
      </c>
    </row>
    <row r="6" spans="1:10">
      <c r="A6" s="2">
        <v>46209</v>
      </c>
      <c r="B6" s="2">
        <v>46215</v>
      </c>
      <c r="C6" s="3">
        <v>202702</v>
      </c>
      <c r="D6" s="3">
        <v>2</v>
      </c>
      <c r="E6" s="4" t="s">
        <v>12</v>
      </c>
      <c r="F6" s="4" t="s">
        <v>13</v>
      </c>
      <c r="G6" s="4" t="s">
        <v>14</v>
      </c>
    </row>
    <row r="7" spans="1:10" ht="15">
      <c r="A7" s="2">
        <v>46216</v>
      </c>
      <c r="B7" s="2">
        <v>46222</v>
      </c>
      <c r="C7" s="3">
        <v>202703</v>
      </c>
      <c r="D7" s="3">
        <v>3</v>
      </c>
      <c r="E7" s="4" t="s">
        <v>12</v>
      </c>
      <c r="F7" s="4" t="s">
        <v>13</v>
      </c>
      <c r="G7" s="4" t="s">
        <v>14</v>
      </c>
      <c r="I7" s="15" t="s">
        <v>16</v>
      </c>
      <c r="J7" s="15"/>
    </row>
    <row r="8" spans="1:10">
      <c r="A8" s="2">
        <v>46223</v>
      </c>
      <c r="B8" s="2">
        <v>46229</v>
      </c>
      <c r="C8" s="3">
        <v>202704</v>
      </c>
      <c r="D8" s="3">
        <v>4</v>
      </c>
      <c r="E8" s="4" t="s">
        <v>12</v>
      </c>
      <c r="F8" s="4" t="s">
        <v>13</v>
      </c>
      <c r="G8" s="4" t="s">
        <v>14</v>
      </c>
      <c r="I8" s="16" t="s">
        <v>17</v>
      </c>
      <c r="J8" s="16"/>
    </row>
    <row r="9" spans="1:10">
      <c r="A9" s="2">
        <v>46230</v>
      </c>
      <c r="B9" s="2">
        <v>46236</v>
      </c>
      <c r="C9" s="3">
        <v>202705</v>
      </c>
      <c r="D9" s="3">
        <v>5</v>
      </c>
      <c r="E9" s="4" t="s">
        <v>18</v>
      </c>
      <c r="F9" s="4" t="s">
        <v>13</v>
      </c>
      <c r="G9" s="4" t="s">
        <v>14</v>
      </c>
      <c r="I9" s="16"/>
      <c r="J9" s="16"/>
    </row>
    <row r="10" spans="1:10">
      <c r="A10" s="2">
        <v>46237</v>
      </c>
      <c r="B10" s="2">
        <v>46243</v>
      </c>
      <c r="C10" s="3">
        <v>202706</v>
      </c>
      <c r="D10" s="3">
        <v>6</v>
      </c>
      <c r="E10" s="4" t="s">
        <v>18</v>
      </c>
      <c r="F10" s="4" t="s">
        <v>13</v>
      </c>
      <c r="G10" s="4" t="s">
        <v>14</v>
      </c>
      <c r="I10" s="16"/>
      <c r="J10" s="16"/>
    </row>
    <row r="11" spans="1:10">
      <c r="A11" s="2">
        <v>46244</v>
      </c>
      <c r="B11" s="2">
        <v>46250</v>
      </c>
      <c r="C11" s="3">
        <v>202707</v>
      </c>
      <c r="D11" s="3">
        <v>7</v>
      </c>
      <c r="E11" s="4" t="s">
        <v>18</v>
      </c>
      <c r="F11" s="4" t="s">
        <v>13</v>
      </c>
      <c r="G11" s="4" t="s">
        <v>14</v>
      </c>
    </row>
    <row r="12" spans="1:10">
      <c r="A12" s="2">
        <v>46251</v>
      </c>
      <c r="B12" s="2">
        <v>46257</v>
      </c>
      <c r="C12" s="3">
        <v>202708</v>
      </c>
      <c r="D12" s="3">
        <v>8</v>
      </c>
      <c r="E12" s="4" t="s">
        <v>18</v>
      </c>
      <c r="F12" s="4" t="s">
        <v>13</v>
      </c>
      <c r="G12" s="4" t="s">
        <v>14</v>
      </c>
    </row>
    <row r="13" spans="1:10">
      <c r="A13" s="2">
        <v>46258</v>
      </c>
      <c r="B13" s="2">
        <v>46264</v>
      </c>
      <c r="C13" s="3">
        <v>202709</v>
      </c>
      <c r="D13" s="3">
        <v>9</v>
      </c>
      <c r="E13" s="4" t="s">
        <v>19</v>
      </c>
      <c r="F13" s="4" t="s">
        <v>13</v>
      </c>
      <c r="G13" s="4" t="s">
        <v>14</v>
      </c>
    </row>
    <row r="14" spans="1:10">
      <c r="A14" s="2">
        <v>46265</v>
      </c>
      <c r="B14" s="2">
        <v>46271</v>
      </c>
      <c r="C14" s="3">
        <v>202710</v>
      </c>
      <c r="D14" s="3">
        <v>10</v>
      </c>
      <c r="E14" s="4" t="s">
        <v>19</v>
      </c>
      <c r="F14" s="4" t="s">
        <v>13</v>
      </c>
      <c r="G14" s="4" t="s">
        <v>14</v>
      </c>
    </row>
    <row r="15" spans="1:10">
      <c r="A15" s="2">
        <v>46272</v>
      </c>
      <c r="B15" s="2">
        <v>46278</v>
      </c>
      <c r="C15" s="3">
        <v>202711</v>
      </c>
      <c r="D15" s="3">
        <v>11</v>
      </c>
      <c r="E15" s="4" t="s">
        <v>19</v>
      </c>
      <c r="F15" s="4" t="s">
        <v>13</v>
      </c>
      <c r="G15" s="4" t="s">
        <v>14</v>
      </c>
    </row>
    <row r="16" spans="1:10">
      <c r="A16" s="2">
        <v>46279</v>
      </c>
      <c r="B16" s="2">
        <v>46285</v>
      </c>
      <c r="C16" s="3">
        <v>202712</v>
      </c>
      <c r="D16" s="3">
        <v>12</v>
      </c>
      <c r="E16" s="4" t="s">
        <v>19</v>
      </c>
      <c r="F16" s="4" t="s">
        <v>13</v>
      </c>
      <c r="G16" s="4" t="s">
        <v>14</v>
      </c>
    </row>
    <row r="17" spans="1:7">
      <c r="A17" s="2">
        <v>46286</v>
      </c>
      <c r="B17" s="2">
        <v>46292</v>
      </c>
      <c r="C17" s="3">
        <v>202713</v>
      </c>
      <c r="D17" s="3">
        <v>13</v>
      </c>
      <c r="E17" s="4" t="s">
        <v>19</v>
      </c>
      <c r="F17" s="4" t="s">
        <v>13</v>
      </c>
      <c r="G17" s="4" t="s">
        <v>14</v>
      </c>
    </row>
    <row r="18" spans="1:7">
      <c r="A18" s="5">
        <v>46293</v>
      </c>
      <c r="B18" s="5">
        <v>46299</v>
      </c>
      <c r="C18" s="6">
        <v>202714</v>
      </c>
      <c r="D18" s="6">
        <v>14</v>
      </c>
      <c r="E18" s="7" t="s">
        <v>20</v>
      </c>
      <c r="F18" s="7" t="s">
        <v>21</v>
      </c>
      <c r="G18" s="7" t="s">
        <v>14</v>
      </c>
    </row>
    <row r="19" spans="1:7">
      <c r="A19" s="5">
        <v>46300</v>
      </c>
      <c r="B19" s="5">
        <v>46306</v>
      </c>
      <c r="C19" s="6">
        <v>202715</v>
      </c>
      <c r="D19" s="6">
        <v>15</v>
      </c>
      <c r="E19" s="7" t="s">
        <v>20</v>
      </c>
      <c r="F19" s="7" t="s">
        <v>21</v>
      </c>
      <c r="G19" s="7" t="s">
        <v>14</v>
      </c>
    </row>
    <row r="20" spans="1:7">
      <c r="A20" s="5">
        <v>46307</v>
      </c>
      <c r="B20" s="5">
        <v>46313</v>
      </c>
      <c r="C20" s="6">
        <v>202716</v>
      </c>
      <c r="D20" s="6">
        <v>16</v>
      </c>
      <c r="E20" s="7" t="s">
        <v>20</v>
      </c>
      <c r="F20" s="7" t="s">
        <v>21</v>
      </c>
      <c r="G20" s="7" t="s">
        <v>14</v>
      </c>
    </row>
    <row r="21" spans="1:7">
      <c r="A21" s="5">
        <v>46314</v>
      </c>
      <c r="B21" s="5">
        <v>46320</v>
      </c>
      <c r="C21" s="6">
        <v>202717</v>
      </c>
      <c r="D21" s="6">
        <v>17</v>
      </c>
      <c r="E21" s="7" t="s">
        <v>20</v>
      </c>
      <c r="F21" s="7" t="s">
        <v>21</v>
      </c>
      <c r="G21" s="7" t="s">
        <v>14</v>
      </c>
    </row>
    <row r="22" spans="1:7">
      <c r="A22" s="5">
        <v>46321</v>
      </c>
      <c r="B22" s="5">
        <v>46327</v>
      </c>
      <c r="C22" s="6">
        <v>202718</v>
      </c>
      <c r="D22" s="6">
        <v>18</v>
      </c>
      <c r="E22" s="7" t="s">
        <v>22</v>
      </c>
      <c r="F22" s="7" t="s">
        <v>21</v>
      </c>
      <c r="G22" s="7" t="s">
        <v>14</v>
      </c>
    </row>
    <row r="23" spans="1:7">
      <c r="A23" s="5">
        <v>46328</v>
      </c>
      <c r="B23" s="5">
        <v>46334</v>
      </c>
      <c r="C23" s="6">
        <v>202719</v>
      </c>
      <c r="D23" s="6">
        <v>19</v>
      </c>
      <c r="E23" s="7" t="s">
        <v>22</v>
      </c>
      <c r="F23" s="7" t="s">
        <v>21</v>
      </c>
      <c r="G23" s="7" t="s">
        <v>14</v>
      </c>
    </row>
    <row r="24" spans="1:7">
      <c r="A24" s="5">
        <v>46335</v>
      </c>
      <c r="B24" s="5">
        <v>46341</v>
      </c>
      <c r="C24" s="6">
        <v>202720</v>
      </c>
      <c r="D24" s="6">
        <v>20</v>
      </c>
      <c r="E24" s="7" t="s">
        <v>22</v>
      </c>
      <c r="F24" s="7" t="s">
        <v>21</v>
      </c>
      <c r="G24" s="7" t="s">
        <v>14</v>
      </c>
    </row>
    <row r="25" spans="1:7">
      <c r="A25" s="5">
        <v>46342</v>
      </c>
      <c r="B25" s="5">
        <v>46348</v>
      </c>
      <c r="C25" s="6">
        <v>202721</v>
      </c>
      <c r="D25" s="6">
        <v>21</v>
      </c>
      <c r="E25" s="7" t="s">
        <v>22</v>
      </c>
      <c r="F25" s="7" t="s">
        <v>21</v>
      </c>
      <c r="G25" s="7" t="s">
        <v>14</v>
      </c>
    </row>
    <row r="26" spans="1:7">
      <c r="A26" s="5">
        <v>46349</v>
      </c>
      <c r="B26" s="5">
        <v>46355</v>
      </c>
      <c r="C26" s="6">
        <v>202722</v>
      </c>
      <c r="D26" s="6">
        <v>22</v>
      </c>
      <c r="E26" s="7" t="s">
        <v>23</v>
      </c>
      <c r="F26" s="7" t="s">
        <v>21</v>
      </c>
      <c r="G26" s="7" t="s">
        <v>14</v>
      </c>
    </row>
    <row r="27" spans="1:7">
      <c r="A27" s="5">
        <v>46356</v>
      </c>
      <c r="B27" s="5">
        <v>46362</v>
      </c>
      <c r="C27" s="6">
        <v>202723</v>
      </c>
      <c r="D27" s="6">
        <v>23</v>
      </c>
      <c r="E27" s="7" t="s">
        <v>23</v>
      </c>
      <c r="F27" s="7" t="s">
        <v>21</v>
      </c>
      <c r="G27" s="7" t="s">
        <v>14</v>
      </c>
    </row>
    <row r="28" spans="1:7">
      <c r="A28" s="5">
        <v>46363</v>
      </c>
      <c r="B28" s="5">
        <v>46369</v>
      </c>
      <c r="C28" s="6">
        <v>202724</v>
      </c>
      <c r="D28" s="6">
        <v>24</v>
      </c>
      <c r="E28" s="7" t="s">
        <v>23</v>
      </c>
      <c r="F28" s="7" t="s">
        <v>21</v>
      </c>
      <c r="G28" s="7" t="s">
        <v>14</v>
      </c>
    </row>
    <row r="29" spans="1:7">
      <c r="A29" s="5">
        <v>46370</v>
      </c>
      <c r="B29" s="5">
        <v>46376</v>
      </c>
      <c r="C29" s="6">
        <v>202725</v>
      </c>
      <c r="D29" s="6">
        <v>25</v>
      </c>
      <c r="E29" s="7" t="s">
        <v>23</v>
      </c>
      <c r="F29" s="7" t="s">
        <v>21</v>
      </c>
      <c r="G29" s="7" t="s">
        <v>14</v>
      </c>
    </row>
    <row r="30" spans="1:7">
      <c r="A30" s="5">
        <v>46377</v>
      </c>
      <c r="B30" s="5">
        <v>46383</v>
      </c>
      <c r="C30" s="6">
        <v>202726</v>
      </c>
      <c r="D30" s="6">
        <v>26</v>
      </c>
      <c r="E30" s="7" t="s">
        <v>23</v>
      </c>
      <c r="F30" s="7" t="s">
        <v>21</v>
      </c>
      <c r="G30" s="7" t="s">
        <v>14</v>
      </c>
    </row>
    <row r="31" spans="1:7">
      <c r="A31" s="2">
        <v>46384</v>
      </c>
      <c r="B31" s="2">
        <v>46390</v>
      </c>
      <c r="C31" s="3">
        <v>202727</v>
      </c>
      <c r="D31" s="3">
        <v>27</v>
      </c>
      <c r="E31" s="4" t="s">
        <v>24</v>
      </c>
      <c r="F31" s="4" t="s">
        <v>25</v>
      </c>
      <c r="G31" s="4" t="s">
        <v>14</v>
      </c>
    </row>
    <row r="32" spans="1:7">
      <c r="A32" s="2">
        <v>46391</v>
      </c>
      <c r="B32" s="2">
        <v>46397</v>
      </c>
      <c r="C32" s="3">
        <v>202728</v>
      </c>
      <c r="D32" s="3">
        <v>28</v>
      </c>
      <c r="E32" s="4" t="s">
        <v>24</v>
      </c>
      <c r="F32" s="4" t="s">
        <v>25</v>
      </c>
      <c r="G32" s="4" t="s">
        <v>14</v>
      </c>
    </row>
    <row r="33" spans="1:7">
      <c r="A33" s="2">
        <v>46398</v>
      </c>
      <c r="B33" s="2">
        <v>46404</v>
      </c>
      <c r="C33" s="3">
        <v>202729</v>
      </c>
      <c r="D33" s="3">
        <v>29</v>
      </c>
      <c r="E33" s="4" t="s">
        <v>24</v>
      </c>
      <c r="F33" s="4" t="s">
        <v>25</v>
      </c>
      <c r="G33" s="4" t="s">
        <v>14</v>
      </c>
    </row>
    <row r="34" spans="1:7">
      <c r="A34" s="2">
        <v>46405</v>
      </c>
      <c r="B34" s="2">
        <v>46411</v>
      </c>
      <c r="C34" s="3">
        <v>202730</v>
      </c>
      <c r="D34" s="3">
        <v>30</v>
      </c>
      <c r="E34" s="4" t="s">
        <v>24</v>
      </c>
      <c r="F34" s="4" t="s">
        <v>25</v>
      </c>
      <c r="G34" s="4" t="s">
        <v>14</v>
      </c>
    </row>
    <row r="35" spans="1:7">
      <c r="A35" s="2">
        <v>46412</v>
      </c>
      <c r="B35" s="2">
        <v>46418</v>
      </c>
      <c r="C35" s="3">
        <v>202731</v>
      </c>
      <c r="D35" s="3">
        <v>31</v>
      </c>
      <c r="E35" s="4" t="s">
        <v>26</v>
      </c>
      <c r="F35" s="4" t="s">
        <v>25</v>
      </c>
      <c r="G35" s="4" t="s">
        <v>14</v>
      </c>
    </row>
    <row r="36" spans="1:7">
      <c r="A36" s="2">
        <v>46419</v>
      </c>
      <c r="B36" s="2">
        <v>46425</v>
      </c>
      <c r="C36" s="3">
        <v>202732</v>
      </c>
      <c r="D36" s="3">
        <v>32</v>
      </c>
      <c r="E36" s="4" t="s">
        <v>26</v>
      </c>
      <c r="F36" s="4" t="s">
        <v>25</v>
      </c>
      <c r="G36" s="4" t="s">
        <v>14</v>
      </c>
    </row>
    <row r="37" spans="1:7">
      <c r="A37" s="2">
        <v>46426</v>
      </c>
      <c r="B37" s="2">
        <v>46432</v>
      </c>
      <c r="C37" s="3">
        <v>202733</v>
      </c>
      <c r="D37" s="3">
        <v>33</v>
      </c>
      <c r="E37" s="4" t="s">
        <v>26</v>
      </c>
      <c r="F37" s="4" t="s">
        <v>25</v>
      </c>
      <c r="G37" s="4" t="s">
        <v>14</v>
      </c>
    </row>
    <row r="38" spans="1:7">
      <c r="A38" s="2">
        <v>46433</v>
      </c>
      <c r="B38" s="2">
        <v>46439</v>
      </c>
      <c r="C38" s="3">
        <v>202734</v>
      </c>
      <c r="D38" s="3">
        <v>34</v>
      </c>
      <c r="E38" s="4" t="s">
        <v>26</v>
      </c>
      <c r="F38" s="4" t="s">
        <v>25</v>
      </c>
      <c r="G38" s="4" t="s">
        <v>14</v>
      </c>
    </row>
    <row r="39" spans="1:7">
      <c r="A39" s="2">
        <v>46440</v>
      </c>
      <c r="B39" s="2">
        <v>46446</v>
      </c>
      <c r="C39" s="3">
        <v>202735</v>
      </c>
      <c r="D39" s="3">
        <v>35</v>
      </c>
      <c r="E39" s="4" t="s">
        <v>27</v>
      </c>
      <c r="F39" s="4" t="s">
        <v>25</v>
      </c>
      <c r="G39" s="4" t="s">
        <v>14</v>
      </c>
    </row>
    <row r="40" spans="1:7">
      <c r="A40" s="2">
        <v>46447</v>
      </c>
      <c r="B40" s="2">
        <v>46453</v>
      </c>
      <c r="C40" s="3">
        <v>202736</v>
      </c>
      <c r="D40" s="3">
        <v>36</v>
      </c>
      <c r="E40" s="4" t="s">
        <v>27</v>
      </c>
      <c r="F40" s="4" t="s">
        <v>25</v>
      </c>
      <c r="G40" s="4" t="s">
        <v>14</v>
      </c>
    </row>
    <row r="41" spans="1:7">
      <c r="A41" s="2">
        <v>46454</v>
      </c>
      <c r="B41" s="2">
        <v>46460</v>
      </c>
      <c r="C41" s="3">
        <v>202737</v>
      </c>
      <c r="D41" s="3">
        <v>37</v>
      </c>
      <c r="E41" s="4" t="s">
        <v>27</v>
      </c>
      <c r="F41" s="4" t="s">
        <v>25</v>
      </c>
      <c r="G41" s="4" t="s">
        <v>14</v>
      </c>
    </row>
    <row r="42" spans="1:7">
      <c r="A42" s="2">
        <v>46461</v>
      </c>
      <c r="B42" s="2">
        <v>46467</v>
      </c>
      <c r="C42" s="3">
        <v>202738</v>
      </c>
      <c r="D42" s="3">
        <v>38</v>
      </c>
      <c r="E42" s="4" t="s">
        <v>27</v>
      </c>
      <c r="F42" s="4" t="s">
        <v>25</v>
      </c>
      <c r="G42" s="4" t="s">
        <v>14</v>
      </c>
    </row>
    <row r="43" spans="1:7">
      <c r="A43" s="2">
        <v>46468</v>
      </c>
      <c r="B43" s="2">
        <v>46474</v>
      </c>
      <c r="C43" s="3">
        <v>202739</v>
      </c>
      <c r="D43" s="3">
        <v>39</v>
      </c>
      <c r="E43" s="4" t="s">
        <v>27</v>
      </c>
      <c r="F43" s="4" t="s">
        <v>25</v>
      </c>
      <c r="G43" s="4" t="s">
        <v>14</v>
      </c>
    </row>
    <row r="44" spans="1:7">
      <c r="A44" s="5">
        <v>46475</v>
      </c>
      <c r="B44" s="5">
        <v>46481</v>
      </c>
      <c r="C44" s="6">
        <v>202740</v>
      </c>
      <c r="D44" s="6">
        <v>40</v>
      </c>
      <c r="E44" s="7" t="s">
        <v>28</v>
      </c>
      <c r="F44" s="7" t="s">
        <v>29</v>
      </c>
      <c r="G44" s="7" t="s">
        <v>14</v>
      </c>
    </row>
    <row r="45" spans="1:7">
      <c r="A45" s="5">
        <v>46482</v>
      </c>
      <c r="B45" s="5">
        <v>46488</v>
      </c>
      <c r="C45" s="6">
        <v>202741</v>
      </c>
      <c r="D45" s="6">
        <v>41</v>
      </c>
      <c r="E45" s="7" t="s">
        <v>28</v>
      </c>
      <c r="F45" s="7" t="s">
        <v>29</v>
      </c>
      <c r="G45" s="7" t="s">
        <v>14</v>
      </c>
    </row>
    <row r="46" spans="1:7">
      <c r="A46" s="5">
        <v>46489</v>
      </c>
      <c r="B46" s="5">
        <v>46495</v>
      </c>
      <c r="C46" s="6">
        <v>202742</v>
      </c>
      <c r="D46" s="6">
        <v>42</v>
      </c>
      <c r="E46" s="7" t="s">
        <v>28</v>
      </c>
      <c r="F46" s="7" t="s">
        <v>29</v>
      </c>
      <c r="G46" s="7" t="s">
        <v>14</v>
      </c>
    </row>
    <row r="47" spans="1:7">
      <c r="A47" s="5">
        <v>46496</v>
      </c>
      <c r="B47" s="5">
        <v>46502</v>
      </c>
      <c r="C47" s="6">
        <v>202743</v>
      </c>
      <c r="D47" s="6">
        <v>43</v>
      </c>
      <c r="E47" s="7" t="s">
        <v>28</v>
      </c>
      <c r="F47" s="7" t="s">
        <v>29</v>
      </c>
      <c r="G47" s="7" t="s">
        <v>14</v>
      </c>
    </row>
    <row r="48" spans="1:7">
      <c r="A48" s="5">
        <v>46503</v>
      </c>
      <c r="B48" s="5">
        <v>46509</v>
      </c>
      <c r="C48" s="6">
        <v>202744</v>
      </c>
      <c r="D48" s="6">
        <v>44</v>
      </c>
      <c r="E48" s="7" t="s">
        <v>30</v>
      </c>
      <c r="F48" s="7" t="s">
        <v>29</v>
      </c>
      <c r="G48" s="7" t="s">
        <v>14</v>
      </c>
    </row>
    <row r="49" spans="1:7">
      <c r="A49" s="5">
        <v>46510</v>
      </c>
      <c r="B49" s="5">
        <v>46516</v>
      </c>
      <c r="C49" s="6">
        <v>202745</v>
      </c>
      <c r="D49" s="6">
        <v>45</v>
      </c>
      <c r="E49" s="7" t="s">
        <v>30</v>
      </c>
      <c r="F49" s="7" t="s">
        <v>29</v>
      </c>
      <c r="G49" s="7" t="s">
        <v>14</v>
      </c>
    </row>
    <row r="50" spans="1:7">
      <c r="A50" s="5">
        <v>46517</v>
      </c>
      <c r="B50" s="5">
        <v>46523</v>
      </c>
      <c r="C50" s="6">
        <v>202746</v>
      </c>
      <c r="D50" s="6">
        <v>46</v>
      </c>
      <c r="E50" s="7" t="s">
        <v>30</v>
      </c>
      <c r="F50" s="7" t="s">
        <v>29</v>
      </c>
      <c r="G50" s="7" t="s">
        <v>14</v>
      </c>
    </row>
    <row r="51" spans="1:7">
      <c r="A51" s="5">
        <v>46524</v>
      </c>
      <c r="B51" s="5">
        <v>46530</v>
      </c>
      <c r="C51" s="6">
        <v>202747</v>
      </c>
      <c r="D51" s="6">
        <v>47</v>
      </c>
      <c r="E51" s="7" t="s">
        <v>30</v>
      </c>
      <c r="F51" s="7" t="s">
        <v>29</v>
      </c>
      <c r="G51" s="7" t="s">
        <v>14</v>
      </c>
    </row>
    <row r="52" spans="1:7">
      <c r="A52" s="5">
        <v>46531</v>
      </c>
      <c r="B52" s="5">
        <v>46537</v>
      </c>
      <c r="C52" s="6">
        <v>202748</v>
      </c>
      <c r="D52" s="6">
        <v>48</v>
      </c>
      <c r="E52" s="7" t="s">
        <v>31</v>
      </c>
      <c r="F52" s="7" t="s">
        <v>29</v>
      </c>
      <c r="G52" s="7" t="s">
        <v>14</v>
      </c>
    </row>
    <row r="53" spans="1:7">
      <c r="A53" s="5">
        <v>46538</v>
      </c>
      <c r="B53" s="5">
        <v>46544</v>
      </c>
      <c r="C53" s="6">
        <v>202749</v>
      </c>
      <c r="D53" s="6">
        <v>49</v>
      </c>
      <c r="E53" s="7" t="s">
        <v>31</v>
      </c>
      <c r="F53" s="7" t="s">
        <v>29</v>
      </c>
      <c r="G53" s="7" t="s">
        <v>14</v>
      </c>
    </row>
    <row r="54" spans="1:7">
      <c r="A54" s="5">
        <v>46545</v>
      </c>
      <c r="B54" s="5">
        <v>46551</v>
      </c>
      <c r="C54" s="6">
        <v>202750</v>
      </c>
      <c r="D54" s="6">
        <v>50</v>
      </c>
      <c r="E54" s="7" t="s">
        <v>31</v>
      </c>
      <c r="F54" s="7" t="s">
        <v>29</v>
      </c>
      <c r="G54" s="7" t="s">
        <v>14</v>
      </c>
    </row>
    <row r="55" spans="1:7">
      <c r="A55" s="5">
        <v>46552</v>
      </c>
      <c r="B55" s="5">
        <v>46558</v>
      </c>
      <c r="C55" s="6">
        <v>202751</v>
      </c>
      <c r="D55" s="6">
        <v>51</v>
      </c>
      <c r="E55" s="7" t="s">
        <v>31</v>
      </c>
      <c r="F55" s="7" t="s">
        <v>29</v>
      </c>
      <c r="G55" s="7" t="s">
        <v>14</v>
      </c>
    </row>
    <row r="56" spans="1:7">
      <c r="A56" s="5">
        <v>46559</v>
      </c>
      <c r="B56" s="5">
        <v>46565</v>
      </c>
      <c r="C56" s="6">
        <v>202752</v>
      </c>
      <c r="D56" s="6">
        <v>52</v>
      </c>
      <c r="E56" s="7" t="s">
        <v>31</v>
      </c>
      <c r="F56" s="7" t="s">
        <v>29</v>
      </c>
      <c r="G56" s="7" t="s">
        <v>14</v>
      </c>
    </row>
  </sheetData>
  <mergeCells count="5">
    <mergeCell ref="A1:G1"/>
    <mergeCell ref="A2:G2"/>
    <mergeCell ref="I1:J1"/>
    <mergeCell ref="I7:J7"/>
    <mergeCell ref="I8:J1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Jordi Stillwood</cp:lastModifiedBy>
  <dcterms:modified xsi:type="dcterms:W3CDTF">2026-09-10T01:41:37Z</dcterms:modified>
</cp:coreProperties>
</file>