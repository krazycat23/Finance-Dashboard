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eedomanz-my.sharepoint.com/personal/jordi_stillwood_freedom_com_au/Documents/"/>
    </mc:Choice>
  </mc:AlternateContent>
  <xr:revisionPtr revIDLastSave="1030" documentId="8_{9A1717DC-3D10-490C-A90C-787428EC3291}" xr6:coauthVersionLast="47" xr6:coauthVersionMax="47" xr10:uidLastSave="{A89C0D79-ECA4-4879-9D25-E6D2CE38A142}"/>
  <bookViews>
    <workbookView xWindow="28680" yWindow="-120" windowWidth="29040" windowHeight="15720" firstSheet="3" activeTab="6" xr2:uid="{CDAE57AD-AC63-4529-854B-CB3D0D597DBB}"/>
  </bookViews>
  <sheets>
    <sheet name="Delivered Sales" sheetId="1" r:id="rId1"/>
    <sheet name="Sheet10" sheetId="14" r:id="rId2"/>
    <sheet name="Sheet7" sheetId="11" r:id="rId3"/>
    <sheet name="Sheet2" sheetId="6" r:id="rId4"/>
    <sheet name="Written Sales" sheetId="3" r:id="rId5"/>
    <sheet name="Sheet9" sheetId="13" r:id="rId6"/>
    <sheet name="Sheet8" sheetId="12" r:id="rId7"/>
    <sheet name="Sheet6" sheetId="10" r:id="rId8"/>
    <sheet name="Sheet5" sheetId="9" r:id="rId9"/>
    <sheet name="Sheet4" sheetId="8" r:id="rId10"/>
    <sheet name="Sheet1" sheetId="5" r:id="rId11"/>
    <sheet name="Sheet3" sheetId="7" r:id="rId12"/>
    <sheet name="Orderbook Movement" sheetId="4" r:id="rId13"/>
    <sheet name="FX" sheetId="2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____col1">#REF!</definedName>
    <definedName name="____row1">#REF!</definedName>
    <definedName name="____SCC2">#REF!</definedName>
    <definedName name="___col1">#REF!</definedName>
    <definedName name="___row1">#REF!</definedName>
    <definedName name="___SCC2">#REF!</definedName>
    <definedName name="___v4" localSheetId="4" hidden="1">{"français",#N/A,FALSE,"Intro";"français",#N/A,FALSE,"Index";#N/A,#N/A,FALSE,"3-Incor";#N/A,#N/A,FALSE,"4-Corpo"}</definedName>
    <definedName name="___v4" hidden="1">{"français",#N/A,FALSE,"Intro";"français",#N/A,FALSE,"Index";#N/A,#N/A,FALSE,"3-Incor";#N/A,#N/A,FALSE,"4-Corpo"}</definedName>
    <definedName name="___v4_1" localSheetId="4" hidden="1">{"français",#N/A,FALSE,"Intro";"français",#N/A,FALSE,"Index";#N/A,#N/A,FALSE,"3-Incor";#N/A,#N/A,FALSE,"4-Corpo"}</definedName>
    <definedName name="___v4_1" hidden="1">{"français",#N/A,FALSE,"Intro";"français",#N/A,FALSE,"Index";#N/A,#N/A,FALSE,"3-Incor";#N/A,#N/A,FALSE,"4-Corpo"}</definedName>
    <definedName name="___v4_1_1" localSheetId="4" hidden="1">{"français",#N/A,FALSE,"Intro";"français",#N/A,FALSE,"Index";#N/A,#N/A,FALSE,"3-Incor";#N/A,#N/A,FALSE,"4-Corpo"}</definedName>
    <definedName name="___v4_1_1" hidden="1">{"français",#N/A,FALSE,"Intro";"français",#N/A,FALSE,"Index";#N/A,#N/A,FALSE,"3-Incor";#N/A,#N/A,FALSE,"4-Corpo"}</definedName>
    <definedName name="___v4_1_1_1" localSheetId="4" hidden="1">{"français",#N/A,FALSE,"Intro";"français",#N/A,FALSE,"Index";#N/A,#N/A,FALSE,"3-Incor";#N/A,#N/A,FALSE,"4-Corpo"}</definedName>
    <definedName name="___v4_1_1_1" hidden="1">{"français",#N/A,FALSE,"Intro";"français",#N/A,FALSE,"Index";#N/A,#N/A,FALSE,"3-Incor";#N/A,#N/A,FALSE,"4-Corpo"}</definedName>
    <definedName name="___v4_1_1_1_1" localSheetId="4" hidden="1">{"français",#N/A,FALSE,"Intro";"français",#N/A,FALSE,"Index";#N/A,#N/A,FALSE,"3-Incor";#N/A,#N/A,FALSE,"4-Corpo"}</definedName>
    <definedName name="___v4_1_1_1_1" hidden="1">{"français",#N/A,FALSE,"Intro";"français",#N/A,FALSE,"Index";#N/A,#N/A,FALSE,"3-Incor";#N/A,#N/A,FALSE,"4-Corpo"}</definedName>
    <definedName name="___v4_1_1_2" localSheetId="4" hidden="1">{"français",#N/A,FALSE,"Intro";"français",#N/A,FALSE,"Index";#N/A,#N/A,FALSE,"3-Incor";#N/A,#N/A,FALSE,"4-Corpo"}</definedName>
    <definedName name="___v4_1_1_2" hidden="1">{"français",#N/A,FALSE,"Intro";"français",#N/A,FALSE,"Index";#N/A,#N/A,FALSE,"3-Incor";#N/A,#N/A,FALSE,"4-Corpo"}</definedName>
    <definedName name="___v4_1_1_2_1" localSheetId="4" hidden="1">{"français",#N/A,FALSE,"Intro";"français",#N/A,FALSE,"Index";#N/A,#N/A,FALSE,"3-Incor";#N/A,#N/A,FALSE,"4-Corpo"}</definedName>
    <definedName name="___v4_1_1_2_1" hidden="1">{"français",#N/A,FALSE,"Intro";"français",#N/A,FALSE,"Index";#N/A,#N/A,FALSE,"3-Incor";#N/A,#N/A,FALSE,"4-Corpo"}</definedName>
    <definedName name="___v4_1_1_3" localSheetId="4" hidden="1">{"français",#N/A,FALSE,"Intro";"français",#N/A,FALSE,"Index";#N/A,#N/A,FALSE,"3-Incor";#N/A,#N/A,FALSE,"4-Corpo"}</definedName>
    <definedName name="___v4_1_1_3" hidden="1">{"français",#N/A,FALSE,"Intro";"français",#N/A,FALSE,"Index";#N/A,#N/A,FALSE,"3-Incor";#N/A,#N/A,FALSE,"4-Corpo"}</definedName>
    <definedName name="___v4_1_1_3_1" localSheetId="4" hidden="1">{"français",#N/A,FALSE,"Intro";"français",#N/A,FALSE,"Index";#N/A,#N/A,FALSE,"3-Incor";#N/A,#N/A,FALSE,"4-Corpo"}</definedName>
    <definedName name="___v4_1_1_3_1" hidden="1">{"français",#N/A,FALSE,"Intro";"français",#N/A,FALSE,"Index";#N/A,#N/A,FALSE,"3-Incor";#N/A,#N/A,FALSE,"4-Corpo"}</definedName>
    <definedName name="___v4_1_1_4" localSheetId="4" hidden="1">{"français",#N/A,FALSE,"Intro";"français",#N/A,FALSE,"Index";#N/A,#N/A,FALSE,"3-Incor";#N/A,#N/A,FALSE,"4-Corpo"}</definedName>
    <definedName name="___v4_1_1_4" hidden="1">{"français",#N/A,FALSE,"Intro";"français",#N/A,FALSE,"Index";#N/A,#N/A,FALSE,"3-Incor";#N/A,#N/A,FALSE,"4-Corpo"}</definedName>
    <definedName name="___v4_1_2" localSheetId="4" hidden="1">{"français",#N/A,FALSE,"Intro";"français",#N/A,FALSE,"Index";#N/A,#N/A,FALSE,"3-Incor";#N/A,#N/A,FALSE,"4-Corpo"}</definedName>
    <definedName name="___v4_1_2" hidden="1">{"français",#N/A,FALSE,"Intro";"français",#N/A,FALSE,"Index";#N/A,#N/A,FALSE,"3-Incor";#N/A,#N/A,FALSE,"4-Corpo"}</definedName>
    <definedName name="___v4_1_2_1" localSheetId="4" hidden="1">{"français",#N/A,FALSE,"Intro";"français",#N/A,FALSE,"Index";#N/A,#N/A,FALSE,"3-Incor";#N/A,#N/A,FALSE,"4-Corpo"}</definedName>
    <definedName name="___v4_1_2_1" hidden="1">{"français",#N/A,FALSE,"Intro";"français",#N/A,FALSE,"Index";#N/A,#N/A,FALSE,"3-Incor";#N/A,#N/A,FALSE,"4-Corpo"}</definedName>
    <definedName name="___v4_1_3" localSheetId="4" hidden="1">{"français",#N/A,FALSE,"Intro";"français",#N/A,FALSE,"Index";#N/A,#N/A,FALSE,"3-Incor";#N/A,#N/A,FALSE,"4-Corpo"}</definedName>
    <definedName name="___v4_1_3" hidden="1">{"français",#N/A,FALSE,"Intro";"français",#N/A,FALSE,"Index";#N/A,#N/A,FALSE,"3-Incor";#N/A,#N/A,FALSE,"4-Corpo"}</definedName>
    <definedName name="___v4_1_3_1" localSheetId="4" hidden="1">{"français",#N/A,FALSE,"Intro";"français",#N/A,FALSE,"Index";#N/A,#N/A,FALSE,"3-Incor";#N/A,#N/A,FALSE,"4-Corpo"}</definedName>
    <definedName name="___v4_1_3_1" hidden="1">{"français",#N/A,FALSE,"Intro";"français",#N/A,FALSE,"Index";#N/A,#N/A,FALSE,"3-Incor";#N/A,#N/A,FALSE,"4-Corpo"}</definedName>
    <definedName name="___v4_1_4" localSheetId="4" hidden="1">{"français",#N/A,FALSE,"Intro";"français",#N/A,FALSE,"Index";#N/A,#N/A,FALSE,"3-Incor";#N/A,#N/A,FALSE,"4-Corpo"}</definedName>
    <definedName name="___v4_1_4" hidden="1">{"français",#N/A,FALSE,"Intro";"français",#N/A,FALSE,"Index";#N/A,#N/A,FALSE,"3-Incor";#N/A,#N/A,FALSE,"4-Corpo"}</definedName>
    <definedName name="___v4_1_4_1" localSheetId="4" hidden="1">{"français",#N/A,FALSE,"Intro";"français",#N/A,FALSE,"Index";#N/A,#N/A,FALSE,"3-Incor";#N/A,#N/A,FALSE,"4-Corpo"}</definedName>
    <definedName name="___v4_1_4_1" hidden="1">{"français",#N/A,FALSE,"Intro";"français",#N/A,FALSE,"Index";#N/A,#N/A,FALSE,"3-Incor";#N/A,#N/A,FALSE,"4-Corpo"}</definedName>
    <definedName name="___v4_1_5" localSheetId="4" hidden="1">{"français",#N/A,FALSE,"Intro";"français",#N/A,FALSE,"Index";#N/A,#N/A,FALSE,"3-Incor";#N/A,#N/A,FALSE,"4-Corpo"}</definedName>
    <definedName name="___v4_1_5" hidden="1">{"français",#N/A,FALSE,"Intro";"français",#N/A,FALSE,"Index";#N/A,#N/A,FALSE,"3-Incor";#N/A,#N/A,FALSE,"4-Corpo"}</definedName>
    <definedName name="___v4_2" localSheetId="4" hidden="1">{"français",#N/A,FALSE,"Intro";"français",#N/A,FALSE,"Index";#N/A,#N/A,FALSE,"3-Incor";#N/A,#N/A,FALSE,"4-Corpo"}</definedName>
    <definedName name="___v4_2" hidden="1">{"français",#N/A,FALSE,"Intro";"français",#N/A,FALSE,"Index";#N/A,#N/A,FALSE,"3-Incor";#N/A,#N/A,FALSE,"4-Corpo"}</definedName>
    <definedName name="___v4_2_1" localSheetId="4" hidden="1">{"français",#N/A,FALSE,"Intro";"français",#N/A,FALSE,"Index";#N/A,#N/A,FALSE,"3-Incor";#N/A,#N/A,FALSE,"4-Corpo"}</definedName>
    <definedName name="___v4_2_1" hidden="1">{"français",#N/A,FALSE,"Intro";"français",#N/A,FALSE,"Index";#N/A,#N/A,FALSE,"3-Incor";#N/A,#N/A,FALSE,"4-Corpo"}</definedName>
    <definedName name="___v4_2_1_1" localSheetId="4" hidden="1">{"français",#N/A,FALSE,"Intro";"français",#N/A,FALSE,"Index";#N/A,#N/A,FALSE,"3-Incor";#N/A,#N/A,FALSE,"4-Corpo"}</definedName>
    <definedName name="___v4_2_1_1" hidden="1">{"français",#N/A,FALSE,"Intro";"français",#N/A,FALSE,"Index";#N/A,#N/A,FALSE,"3-Incor";#N/A,#N/A,FALSE,"4-Corpo"}</definedName>
    <definedName name="___v4_2_2" localSheetId="4" hidden="1">{"français",#N/A,FALSE,"Intro";"français",#N/A,FALSE,"Index";#N/A,#N/A,FALSE,"3-Incor";#N/A,#N/A,FALSE,"4-Corpo"}</definedName>
    <definedName name="___v4_2_2" hidden="1">{"français",#N/A,FALSE,"Intro";"français",#N/A,FALSE,"Index";#N/A,#N/A,FALSE,"3-Incor";#N/A,#N/A,FALSE,"4-Corpo"}</definedName>
    <definedName name="___v4_2_2_1" localSheetId="4" hidden="1">{"français",#N/A,FALSE,"Intro";"français",#N/A,FALSE,"Index";#N/A,#N/A,FALSE,"3-Incor";#N/A,#N/A,FALSE,"4-Corpo"}</definedName>
    <definedName name="___v4_2_2_1" hidden="1">{"français",#N/A,FALSE,"Intro";"français",#N/A,FALSE,"Index";#N/A,#N/A,FALSE,"3-Incor";#N/A,#N/A,FALSE,"4-Corpo"}</definedName>
    <definedName name="___v4_2_3" localSheetId="4" hidden="1">{"français",#N/A,FALSE,"Intro";"français",#N/A,FALSE,"Index";#N/A,#N/A,FALSE,"3-Incor";#N/A,#N/A,FALSE,"4-Corpo"}</definedName>
    <definedName name="___v4_2_3" hidden="1">{"français",#N/A,FALSE,"Intro";"français",#N/A,FALSE,"Index";#N/A,#N/A,FALSE,"3-Incor";#N/A,#N/A,FALSE,"4-Corpo"}</definedName>
    <definedName name="___v4_2_3_1" localSheetId="4" hidden="1">{"français",#N/A,FALSE,"Intro";"français",#N/A,FALSE,"Index";#N/A,#N/A,FALSE,"3-Incor";#N/A,#N/A,FALSE,"4-Corpo"}</definedName>
    <definedName name="___v4_2_3_1" hidden="1">{"français",#N/A,FALSE,"Intro";"français",#N/A,FALSE,"Index";#N/A,#N/A,FALSE,"3-Incor";#N/A,#N/A,FALSE,"4-Corpo"}</definedName>
    <definedName name="___v4_2_4" localSheetId="4" hidden="1">{"français",#N/A,FALSE,"Intro";"français",#N/A,FALSE,"Index";#N/A,#N/A,FALSE,"3-Incor";#N/A,#N/A,FALSE,"4-Corpo"}</definedName>
    <definedName name="___v4_2_4" hidden="1">{"français",#N/A,FALSE,"Intro";"français",#N/A,FALSE,"Index";#N/A,#N/A,FALSE,"3-Incor";#N/A,#N/A,FALSE,"4-Corpo"}</definedName>
    <definedName name="___v4_3" localSheetId="4" hidden="1">{"français",#N/A,FALSE,"Intro";"français",#N/A,FALSE,"Index";#N/A,#N/A,FALSE,"3-Incor";#N/A,#N/A,FALSE,"4-Corpo"}</definedName>
    <definedName name="___v4_3" hidden="1">{"français",#N/A,FALSE,"Intro";"français",#N/A,FALSE,"Index";#N/A,#N/A,FALSE,"3-Incor";#N/A,#N/A,FALSE,"4-Corpo"}</definedName>
    <definedName name="___v4_3_1" localSheetId="4" hidden="1">{"français",#N/A,FALSE,"Intro";"français",#N/A,FALSE,"Index";#N/A,#N/A,FALSE,"3-Incor";#N/A,#N/A,FALSE,"4-Corpo"}</definedName>
    <definedName name="___v4_3_1" hidden="1">{"français",#N/A,FALSE,"Intro";"français",#N/A,FALSE,"Index";#N/A,#N/A,FALSE,"3-Incor";#N/A,#N/A,FALSE,"4-Corpo"}</definedName>
    <definedName name="___v4_4" localSheetId="4" hidden="1">{"français",#N/A,FALSE,"Intro";"français",#N/A,FALSE,"Index";#N/A,#N/A,FALSE,"3-Incor";#N/A,#N/A,FALSE,"4-Corpo"}</definedName>
    <definedName name="___v4_4" hidden="1">{"français",#N/A,FALSE,"Intro";"français",#N/A,FALSE,"Index";#N/A,#N/A,FALSE,"3-Incor";#N/A,#N/A,FALSE,"4-Corpo"}</definedName>
    <definedName name="___v4_4_1" localSheetId="4" hidden="1">{"français",#N/A,FALSE,"Intro";"français",#N/A,FALSE,"Index";#N/A,#N/A,FALSE,"3-Incor";#N/A,#N/A,FALSE,"4-Corpo"}</definedName>
    <definedName name="___v4_4_1" hidden="1">{"français",#N/A,FALSE,"Intro";"français",#N/A,FALSE,"Index";#N/A,#N/A,FALSE,"3-Incor";#N/A,#N/A,FALSE,"4-Corpo"}</definedName>
    <definedName name="___v4_5" localSheetId="4" hidden="1">{"français",#N/A,FALSE,"Intro";"français",#N/A,FALSE,"Index";#N/A,#N/A,FALSE,"3-Incor";#N/A,#N/A,FALSE,"4-Corpo"}</definedName>
    <definedName name="___v4_5" hidden="1">{"français",#N/A,FALSE,"Intro";"français",#N/A,FALSE,"Index";#N/A,#N/A,FALSE,"3-Incor";#N/A,#N/A,FALSE,"4-Corpo"}</definedName>
    <definedName name="___v4_5_1" localSheetId="4" hidden="1">{"français",#N/A,FALSE,"Intro";"français",#N/A,FALSE,"Index";#N/A,#N/A,FALSE,"3-Incor";#N/A,#N/A,FALSE,"4-Corpo"}</definedName>
    <definedName name="___v4_5_1" hidden="1">{"français",#N/A,FALSE,"Intro";"français",#N/A,FALSE,"Index";#N/A,#N/A,FALSE,"3-Incor";#N/A,#N/A,FALSE,"4-Corpo"}</definedName>
    <definedName name="__123Graph_A" hidden="1">[1]A!#REF!</definedName>
    <definedName name="__123Graph_AODCRST" hidden="1">[1]A!#REF!</definedName>
    <definedName name="__123Graph_B" hidden="1">[1]A!#REF!</definedName>
    <definedName name="__123Graph_BODCRST" hidden="1">[1]A!#REF!</definedName>
    <definedName name="__123Graph_C" hidden="1">[1]A!#REF!</definedName>
    <definedName name="__123Graph_CODCRST" hidden="1">[1]A!#REF!</definedName>
    <definedName name="__123Graph_X" hidden="1">[1]A!#REF!</definedName>
    <definedName name="__123Graph_XODCRST" hidden="1">[1]A!#REF!</definedName>
    <definedName name="__col1">#REF!</definedName>
    <definedName name="__row1">#REF!</definedName>
    <definedName name="__SCC2">[2]SCC!$C$6:$G$20</definedName>
    <definedName name="__v4" localSheetId="4" hidden="1">{"français",#N/A,FALSE,"Intro";"français",#N/A,FALSE,"Index";#N/A,#N/A,FALSE,"3-Incor";#N/A,#N/A,FALSE,"4-Corpo"}</definedName>
    <definedName name="__v4" hidden="1">{"français",#N/A,FALSE,"Intro";"français",#N/A,FALSE,"Index";#N/A,#N/A,FALSE,"3-Incor";#N/A,#N/A,FALSE,"4-Corpo"}</definedName>
    <definedName name="__v4_1" localSheetId="4" hidden="1">{"français",#N/A,FALSE,"Intro";"français",#N/A,FALSE,"Index";#N/A,#N/A,FALSE,"3-Incor";#N/A,#N/A,FALSE,"4-Corpo"}</definedName>
    <definedName name="__v4_1" hidden="1">{"français",#N/A,FALSE,"Intro";"français",#N/A,FALSE,"Index";#N/A,#N/A,FALSE,"3-Incor";#N/A,#N/A,FALSE,"4-Corpo"}</definedName>
    <definedName name="__v4_1_1" localSheetId="4" hidden="1">{"français",#N/A,FALSE,"Intro";"français",#N/A,FALSE,"Index";#N/A,#N/A,FALSE,"3-Incor";#N/A,#N/A,FALSE,"4-Corpo"}</definedName>
    <definedName name="__v4_1_1" hidden="1">{"français",#N/A,FALSE,"Intro";"français",#N/A,FALSE,"Index";#N/A,#N/A,FALSE,"3-Incor";#N/A,#N/A,FALSE,"4-Corpo"}</definedName>
    <definedName name="__v4_1_1_1" localSheetId="4" hidden="1">{"français",#N/A,FALSE,"Intro";"français",#N/A,FALSE,"Index";#N/A,#N/A,FALSE,"3-Incor";#N/A,#N/A,FALSE,"4-Corpo"}</definedName>
    <definedName name="__v4_1_1_1" hidden="1">{"français",#N/A,FALSE,"Intro";"français",#N/A,FALSE,"Index";#N/A,#N/A,FALSE,"3-Incor";#N/A,#N/A,FALSE,"4-Corpo"}</definedName>
    <definedName name="__v4_1_1_1_1" localSheetId="4" hidden="1">{"français",#N/A,FALSE,"Intro";"français",#N/A,FALSE,"Index";#N/A,#N/A,FALSE,"3-Incor";#N/A,#N/A,FALSE,"4-Corpo"}</definedName>
    <definedName name="__v4_1_1_1_1" hidden="1">{"français",#N/A,FALSE,"Intro";"français",#N/A,FALSE,"Index";#N/A,#N/A,FALSE,"3-Incor";#N/A,#N/A,FALSE,"4-Corpo"}</definedName>
    <definedName name="__v4_1_1_2" localSheetId="4" hidden="1">{"français",#N/A,FALSE,"Intro";"français",#N/A,FALSE,"Index";#N/A,#N/A,FALSE,"3-Incor";#N/A,#N/A,FALSE,"4-Corpo"}</definedName>
    <definedName name="__v4_1_1_2" hidden="1">{"français",#N/A,FALSE,"Intro";"français",#N/A,FALSE,"Index";#N/A,#N/A,FALSE,"3-Incor";#N/A,#N/A,FALSE,"4-Corpo"}</definedName>
    <definedName name="__v4_1_1_2_1" localSheetId="4" hidden="1">{"français",#N/A,FALSE,"Intro";"français",#N/A,FALSE,"Index";#N/A,#N/A,FALSE,"3-Incor";#N/A,#N/A,FALSE,"4-Corpo"}</definedName>
    <definedName name="__v4_1_1_2_1" hidden="1">{"français",#N/A,FALSE,"Intro";"français",#N/A,FALSE,"Index";#N/A,#N/A,FALSE,"3-Incor";#N/A,#N/A,FALSE,"4-Corpo"}</definedName>
    <definedName name="__v4_1_1_3" localSheetId="4" hidden="1">{"français",#N/A,FALSE,"Intro";"français",#N/A,FALSE,"Index";#N/A,#N/A,FALSE,"3-Incor";#N/A,#N/A,FALSE,"4-Corpo"}</definedName>
    <definedName name="__v4_1_1_3" hidden="1">{"français",#N/A,FALSE,"Intro";"français",#N/A,FALSE,"Index";#N/A,#N/A,FALSE,"3-Incor";#N/A,#N/A,FALSE,"4-Corpo"}</definedName>
    <definedName name="__v4_1_1_3_1" localSheetId="4" hidden="1">{"français",#N/A,FALSE,"Intro";"français",#N/A,FALSE,"Index";#N/A,#N/A,FALSE,"3-Incor";#N/A,#N/A,FALSE,"4-Corpo"}</definedName>
    <definedName name="__v4_1_1_3_1" hidden="1">{"français",#N/A,FALSE,"Intro";"français",#N/A,FALSE,"Index";#N/A,#N/A,FALSE,"3-Incor";#N/A,#N/A,FALSE,"4-Corpo"}</definedName>
    <definedName name="__v4_1_1_4" localSheetId="4" hidden="1">{"français",#N/A,FALSE,"Intro";"français",#N/A,FALSE,"Index";#N/A,#N/A,FALSE,"3-Incor";#N/A,#N/A,FALSE,"4-Corpo"}</definedName>
    <definedName name="__v4_1_1_4" hidden="1">{"français",#N/A,FALSE,"Intro";"français",#N/A,FALSE,"Index";#N/A,#N/A,FALSE,"3-Incor";#N/A,#N/A,FALSE,"4-Corpo"}</definedName>
    <definedName name="__v4_1_2" localSheetId="4" hidden="1">{"français",#N/A,FALSE,"Intro";"français",#N/A,FALSE,"Index";#N/A,#N/A,FALSE,"3-Incor";#N/A,#N/A,FALSE,"4-Corpo"}</definedName>
    <definedName name="__v4_1_2" hidden="1">{"français",#N/A,FALSE,"Intro";"français",#N/A,FALSE,"Index";#N/A,#N/A,FALSE,"3-Incor";#N/A,#N/A,FALSE,"4-Corpo"}</definedName>
    <definedName name="__v4_1_2_1" localSheetId="4" hidden="1">{"français",#N/A,FALSE,"Intro";"français",#N/A,FALSE,"Index";#N/A,#N/A,FALSE,"3-Incor";#N/A,#N/A,FALSE,"4-Corpo"}</definedName>
    <definedName name="__v4_1_2_1" hidden="1">{"français",#N/A,FALSE,"Intro";"français",#N/A,FALSE,"Index";#N/A,#N/A,FALSE,"3-Incor";#N/A,#N/A,FALSE,"4-Corpo"}</definedName>
    <definedName name="__v4_1_3" localSheetId="4" hidden="1">{"français",#N/A,FALSE,"Intro";"français",#N/A,FALSE,"Index";#N/A,#N/A,FALSE,"3-Incor";#N/A,#N/A,FALSE,"4-Corpo"}</definedName>
    <definedName name="__v4_1_3" hidden="1">{"français",#N/A,FALSE,"Intro";"français",#N/A,FALSE,"Index";#N/A,#N/A,FALSE,"3-Incor";#N/A,#N/A,FALSE,"4-Corpo"}</definedName>
    <definedName name="__v4_1_3_1" localSheetId="4" hidden="1">{"français",#N/A,FALSE,"Intro";"français",#N/A,FALSE,"Index";#N/A,#N/A,FALSE,"3-Incor";#N/A,#N/A,FALSE,"4-Corpo"}</definedName>
    <definedName name="__v4_1_3_1" hidden="1">{"français",#N/A,FALSE,"Intro";"français",#N/A,FALSE,"Index";#N/A,#N/A,FALSE,"3-Incor";#N/A,#N/A,FALSE,"4-Corpo"}</definedName>
    <definedName name="__v4_1_4" localSheetId="4" hidden="1">{"français",#N/A,FALSE,"Intro";"français",#N/A,FALSE,"Index";#N/A,#N/A,FALSE,"3-Incor";#N/A,#N/A,FALSE,"4-Corpo"}</definedName>
    <definedName name="__v4_1_4" hidden="1">{"français",#N/A,FALSE,"Intro";"français",#N/A,FALSE,"Index";#N/A,#N/A,FALSE,"3-Incor";#N/A,#N/A,FALSE,"4-Corpo"}</definedName>
    <definedName name="__v4_1_4_1" localSheetId="4" hidden="1">{"français",#N/A,FALSE,"Intro";"français",#N/A,FALSE,"Index";#N/A,#N/A,FALSE,"3-Incor";#N/A,#N/A,FALSE,"4-Corpo"}</definedName>
    <definedName name="__v4_1_4_1" hidden="1">{"français",#N/A,FALSE,"Intro";"français",#N/A,FALSE,"Index";#N/A,#N/A,FALSE,"3-Incor";#N/A,#N/A,FALSE,"4-Corpo"}</definedName>
    <definedName name="__v4_1_5" localSheetId="4" hidden="1">{"français",#N/A,FALSE,"Intro";"français",#N/A,FALSE,"Index";#N/A,#N/A,FALSE,"3-Incor";#N/A,#N/A,FALSE,"4-Corpo"}</definedName>
    <definedName name="__v4_1_5" hidden="1">{"français",#N/A,FALSE,"Intro";"français",#N/A,FALSE,"Index";#N/A,#N/A,FALSE,"3-Incor";#N/A,#N/A,FALSE,"4-Corpo"}</definedName>
    <definedName name="__v4_2" localSheetId="4" hidden="1">{"français",#N/A,FALSE,"Intro";"français",#N/A,FALSE,"Index";#N/A,#N/A,FALSE,"3-Incor";#N/A,#N/A,FALSE,"4-Corpo"}</definedName>
    <definedName name="__v4_2" hidden="1">{"français",#N/A,FALSE,"Intro";"français",#N/A,FALSE,"Index";#N/A,#N/A,FALSE,"3-Incor";#N/A,#N/A,FALSE,"4-Corpo"}</definedName>
    <definedName name="__v4_2_1" localSheetId="4" hidden="1">{"français",#N/A,FALSE,"Intro";"français",#N/A,FALSE,"Index";#N/A,#N/A,FALSE,"3-Incor";#N/A,#N/A,FALSE,"4-Corpo"}</definedName>
    <definedName name="__v4_2_1" hidden="1">{"français",#N/A,FALSE,"Intro";"français",#N/A,FALSE,"Index";#N/A,#N/A,FALSE,"3-Incor";#N/A,#N/A,FALSE,"4-Corpo"}</definedName>
    <definedName name="__v4_2_1_1" localSheetId="4" hidden="1">{"français",#N/A,FALSE,"Intro";"français",#N/A,FALSE,"Index";#N/A,#N/A,FALSE,"3-Incor";#N/A,#N/A,FALSE,"4-Corpo"}</definedName>
    <definedName name="__v4_2_1_1" hidden="1">{"français",#N/A,FALSE,"Intro";"français",#N/A,FALSE,"Index";#N/A,#N/A,FALSE,"3-Incor";#N/A,#N/A,FALSE,"4-Corpo"}</definedName>
    <definedName name="__v4_2_2" localSheetId="4" hidden="1">{"français",#N/A,FALSE,"Intro";"français",#N/A,FALSE,"Index";#N/A,#N/A,FALSE,"3-Incor";#N/A,#N/A,FALSE,"4-Corpo"}</definedName>
    <definedName name="__v4_2_2" hidden="1">{"français",#N/A,FALSE,"Intro";"français",#N/A,FALSE,"Index";#N/A,#N/A,FALSE,"3-Incor";#N/A,#N/A,FALSE,"4-Corpo"}</definedName>
    <definedName name="__v4_2_2_1" localSheetId="4" hidden="1">{"français",#N/A,FALSE,"Intro";"français",#N/A,FALSE,"Index";#N/A,#N/A,FALSE,"3-Incor";#N/A,#N/A,FALSE,"4-Corpo"}</definedName>
    <definedName name="__v4_2_2_1" hidden="1">{"français",#N/A,FALSE,"Intro";"français",#N/A,FALSE,"Index";#N/A,#N/A,FALSE,"3-Incor";#N/A,#N/A,FALSE,"4-Corpo"}</definedName>
    <definedName name="__v4_2_3" localSheetId="4" hidden="1">{"français",#N/A,FALSE,"Intro";"français",#N/A,FALSE,"Index";#N/A,#N/A,FALSE,"3-Incor";#N/A,#N/A,FALSE,"4-Corpo"}</definedName>
    <definedName name="__v4_2_3" hidden="1">{"français",#N/A,FALSE,"Intro";"français",#N/A,FALSE,"Index";#N/A,#N/A,FALSE,"3-Incor";#N/A,#N/A,FALSE,"4-Corpo"}</definedName>
    <definedName name="__v4_2_3_1" localSheetId="4" hidden="1">{"français",#N/A,FALSE,"Intro";"français",#N/A,FALSE,"Index";#N/A,#N/A,FALSE,"3-Incor";#N/A,#N/A,FALSE,"4-Corpo"}</definedName>
    <definedName name="__v4_2_3_1" hidden="1">{"français",#N/A,FALSE,"Intro";"français",#N/A,FALSE,"Index";#N/A,#N/A,FALSE,"3-Incor";#N/A,#N/A,FALSE,"4-Corpo"}</definedName>
    <definedName name="__v4_2_4" localSheetId="4" hidden="1">{"français",#N/A,FALSE,"Intro";"français",#N/A,FALSE,"Index";#N/A,#N/A,FALSE,"3-Incor";#N/A,#N/A,FALSE,"4-Corpo"}</definedName>
    <definedName name="__v4_2_4" hidden="1">{"français",#N/A,FALSE,"Intro";"français",#N/A,FALSE,"Index";#N/A,#N/A,FALSE,"3-Incor";#N/A,#N/A,FALSE,"4-Corpo"}</definedName>
    <definedName name="__v4_3" localSheetId="4" hidden="1">{"français",#N/A,FALSE,"Intro";"français",#N/A,FALSE,"Index";#N/A,#N/A,FALSE,"3-Incor";#N/A,#N/A,FALSE,"4-Corpo"}</definedName>
    <definedName name="__v4_3" hidden="1">{"français",#N/A,FALSE,"Intro";"français",#N/A,FALSE,"Index";#N/A,#N/A,FALSE,"3-Incor";#N/A,#N/A,FALSE,"4-Corpo"}</definedName>
    <definedName name="__v4_3_1" localSheetId="4" hidden="1">{"français",#N/A,FALSE,"Intro";"français",#N/A,FALSE,"Index";#N/A,#N/A,FALSE,"3-Incor";#N/A,#N/A,FALSE,"4-Corpo"}</definedName>
    <definedName name="__v4_3_1" hidden="1">{"français",#N/A,FALSE,"Intro";"français",#N/A,FALSE,"Index";#N/A,#N/A,FALSE,"3-Incor";#N/A,#N/A,FALSE,"4-Corpo"}</definedName>
    <definedName name="__v4_4" localSheetId="4" hidden="1">{"français",#N/A,FALSE,"Intro";"français",#N/A,FALSE,"Index";#N/A,#N/A,FALSE,"3-Incor";#N/A,#N/A,FALSE,"4-Corpo"}</definedName>
    <definedName name="__v4_4" hidden="1">{"français",#N/A,FALSE,"Intro";"français",#N/A,FALSE,"Index";#N/A,#N/A,FALSE,"3-Incor";#N/A,#N/A,FALSE,"4-Corpo"}</definedName>
    <definedName name="__v4_4_1" localSheetId="4" hidden="1">{"français",#N/A,FALSE,"Intro";"français",#N/A,FALSE,"Index";#N/A,#N/A,FALSE,"3-Incor";#N/A,#N/A,FALSE,"4-Corpo"}</definedName>
    <definedName name="__v4_4_1" hidden="1">{"français",#N/A,FALSE,"Intro";"français",#N/A,FALSE,"Index";#N/A,#N/A,FALSE,"3-Incor";#N/A,#N/A,FALSE,"4-Corpo"}</definedName>
    <definedName name="__v4_5" localSheetId="4" hidden="1">{"français",#N/A,FALSE,"Intro";"français",#N/A,FALSE,"Index";#N/A,#N/A,FALSE,"3-Incor";#N/A,#N/A,FALSE,"4-Corpo"}</definedName>
    <definedName name="__v4_5" hidden="1">{"français",#N/A,FALSE,"Intro";"français",#N/A,FALSE,"Index";#N/A,#N/A,FALSE,"3-Incor";#N/A,#N/A,FALSE,"4-Corpo"}</definedName>
    <definedName name="__v4_5_1" localSheetId="4" hidden="1">{"français",#N/A,FALSE,"Intro";"français",#N/A,FALSE,"Index";#N/A,#N/A,FALSE,"3-Incor";#N/A,#N/A,FALSE,"4-Corpo"}</definedName>
    <definedName name="__v4_5_1" hidden="1">{"français",#N/A,FALSE,"Intro";"français",#N/A,FALSE,"Index";#N/A,#N/A,FALSE,"3-Incor";#N/A,#N/A,FALSE,"4-Corpo"}</definedName>
    <definedName name="_4._TURNOVER">#REF!</definedName>
    <definedName name="_col1">#REF!</definedName>
    <definedName name="_Fill" hidden="1">#REF!</definedName>
    <definedName name="_JL0109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1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2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2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4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1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2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2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4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4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4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5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1_5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1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2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2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4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2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4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4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4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5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5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5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JL0109_5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_Key1" hidden="1">'[3]Set Entry Register'!#REF!</definedName>
    <definedName name="_Key2" hidden="1">'[3]Set Entry Register'!#REF!</definedName>
    <definedName name="_Order1" hidden="1">255</definedName>
    <definedName name="_Order2" hidden="1">255</definedName>
    <definedName name="_row1">#REF!</definedName>
    <definedName name="_SCC2">[4]SCC!$C$6:$G$20</definedName>
    <definedName name="_Sort" hidden="1">#REF!</definedName>
    <definedName name="_v4" localSheetId="4" hidden="1">{"français",#N/A,FALSE,"Intro";"français",#N/A,FALSE,"Index";#N/A,#N/A,FALSE,"3-Incor";#N/A,#N/A,FALSE,"4-Corpo"}</definedName>
    <definedName name="_v4" hidden="1">{"français",#N/A,FALSE,"Intro";"français",#N/A,FALSE,"Index";#N/A,#N/A,FALSE,"3-Incor";#N/A,#N/A,FALSE,"4-Corpo"}</definedName>
    <definedName name="_v4_1" localSheetId="4" hidden="1">{"français",#N/A,FALSE,"Intro";"français",#N/A,FALSE,"Index";#N/A,#N/A,FALSE,"3-Incor";#N/A,#N/A,FALSE,"4-Corpo"}</definedName>
    <definedName name="_v4_1" hidden="1">{"français",#N/A,FALSE,"Intro";"français",#N/A,FALSE,"Index";#N/A,#N/A,FALSE,"3-Incor";#N/A,#N/A,FALSE,"4-Corpo"}</definedName>
    <definedName name="_v4_1_1" localSheetId="4" hidden="1">{"français",#N/A,FALSE,"Intro";"français",#N/A,FALSE,"Index";#N/A,#N/A,FALSE,"3-Incor";#N/A,#N/A,FALSE,"4-Corpo"}</definedName>
    <definedName name="_v4_1_1" hidden="1">{"français",#N/A,FALSE,"Intro";"français",#N/A,FALSE,"Index";#N/A,#N/A,FALSE,"3-Incor";#N/A,#N/A,FALSE,"4-Corpo"}</definedName>
    <definedName name="_v4_1_1_1" localSheetId="4" hidden="1">{"français",#N/A,FALSE,"Intro";"français",#N/A,FALSE,"Index";#N/A,#N/A,FALSE,"3-Incor";#N/A,#N/A,FALSE,"4-Corpo"}</definedName>
    <definedName name="_v4_1_1_1" hidden="1">{"français",#N/A,FALSE,"Intro";"français",#N/A,FALSE,"Index";#N/A,#N/A,FALSE,"3-Incor";#N/A,#N/A,FALSE,"4-Corpo"}</definedName>
    <definedName name="_v4_1_1_1_1" localSheetId="4" hidden="1">{"français",#N/A,FALSE,"Intro";"français",#N/A,FALSE,"Index";#N/A,#N/A,FALSE,"3-Incor";#N/A,#N/A,FALSE,"4-Corpo"}</definedName>
    <definedName name="_v4_1_1_1_1" hidden="1">{"français",#N/A,FALSE,"Intro";"français",#N/A,FALSE,"Index";#N/A,#N/A,FALSE,"3-Incor";#N/A,#N/A,FALSE,"4-Corpo"}</definedName>
    <definedName name="_v4_1_1_2" localSheetId="4" hidden="1">{"français",#N/A,FALSE,"Intro";"français",#N/A,FALSE,"Index";#N/A,#N/A,FALSE,"3-Incor";#N/A,#N/A,FALSE,"4-Corpo"}</definedName>
    <definedName name="_v4_1_1_2" hidden="1">{"français",#N/A,FALSE,"Intro";"français",#N/A,FALSE,"Index";#N/A,#N/A,FALSE,"3-Incor";#N/A,#N/A,FALSE,"4-Corpo"}</definedName>
    <definedName name="_v4_1_1_2_1" localSheetId="4" hidden="1">{"français",#N/A,FALSE,"Intro";"français",#N/A,FALSE,"Index";#N/A,#N/A,FALSE,"3-Incor";#N/A,#N/A,FALSE,"4-Corpo"}</definedName>
    <definedName name="_v4_1_1_2_1" hidden="1">{"français",#N/A,FALSE,"Intro";"français",#N/A,FALSE,"Index";#N/A,#N/A,FALSE,"3-Incor";#N/A,#N/A,FALSE,"4-Corpo"}</definedName>
    <definedName name="_v4_1_1_3" localSheetId="4" hidden="1">{"français",#N/A,FALSE,"Intro";"français",#N/A,FALSE,"Index";#N/A,#N/A,FALSE,"3-Incor";#N/A,#N/A,FALSE,"4-Corpo"}</definedName>
    <definedName name="_v4_1_1_3" hidden="1">{"français",#N/A,FALSE,"Intro";"français",#N/A,FALSE,"Index";#N/A,#N/A,FALSE,"3-Incor";#N/A,#N/A,FALSE,"4-Corpo"}</definedName>
    <definedName name="_v4_1_1_3_1" localSheetId="4" hidden="1">{"français",#N/A,FALSE,"Intro";"français",#N/A,FALSE,"Index";#N/A,#N/A,FALSE,"3-Incor";#N/A,#N/A,FALSE,"4-Corpo"}</definedName>
    <definedName name="_v4_1_1_3_1" hidden="1">{"français",#N/A,FALSE,"Intro";"français",#N/A,FALSE,"Index";#N/A,#N/A,FALSE,"3-Incor";#N/A,#N/A,FALSE,"4-Corpo"}</definedName>
    <definedName name="_v4_1_1_4" localSheetId="4" hidden="1">{"français",#N/A,FALSE,"Intro";"français",#N/A,FALSE,"Index";#N/A,#N/A,FALSE,"3-Incor";#N/A,#N/A,FALSE,"4-Corpo"}</definedName>
    <definedName name="_v4_1_1_4" hidden="1">{"français",#N/A,FALSE,"Intro";"français",#N/A,FALSE,"Index";#N/A,#N/A,FALSE,"3-Incor";#N/A,#N/A,FALSE,"4-Corpo"}</definedName>
    <definedName name="_v4_1_2" localSheetId="4" hidden="1">{"français",#N/A,FALSE,"Intro";"français",#N/A,FALSE,"Index";#N/A,#N/A,FALSE,"3-Incor";#N/A,#N/A,FALSE,"4-Corpo"}</definedName>
    <definedName name="_v4_1_2" hidden="1">{"français",#N/A,FALSE,"Intro";"français",#N/A,FALSE,"Index";#N/A,#N/A,FALSE,"3-Incor";#N/A,#N/A,FALSE,"4-Corpo"}</definedName>
    <definedName name="_v4_1_2_1" localSheetId="4" hidden="1">{"français",#N/A,FALSE,"Intro";"français",#N/A,FALSE,"Index";#N/A,#N/A,FALSE,"3-Incor";#N/A,#N/A,FALSE,"4-Corpo"}</definedName>
    <definedName name="_v4_1_2_1" hidden="1">{"français",#N/A,FALSE,"Intro";"français",#N/A,FALSE,"Index";#N/A,#N/A,FALSE,"3-Incor";#N/A,#N/A,FALSE,"4-Corpo"}</definedName>
    <definedName name="_v4_1_3" localSheetId="4" hidden="1">{"français",#N/A,FALSE,"Intro";"français",#N/A,FALSE,"Index";#N/A,#N/A,FALSE,"3-Incor";#N/A,#N/A,FALSE,"4-Corpo"}</definedName>
    <definedName name="_v4_1_3" hidden="1">{"français",#N/A,FALSE,"Intro";"français",#N/A,FALSE,"Index";#N/A,#N/A,FALSE,"3-Incor";#N/A,#N/A,FALSE,"4-Corpo"}</definedName>
    <definedName name="_v4_1_3_1" localSheetId="4" hidden="1">{"français",#N/A,FALSE,"Intro";"français",#N/A,FALSE,"Index";#N/A,#N/A,FALSE,"3-Incor";#N/A,#N/A,FALSE,"4-Corpo"}</definedName>
    <definedName name="_v4_1_3_1" hidden="1">{"français",#N/A,FALSE,"Intro";"français",#N/A,FALSE,"Index";#N/A,#N/A,FALSE,"3-Incor";#N/A,#N/A,FALSE,"4-Corpo"}</definedName>
    <definedName name="_v4_1_4" localSheetId="4" hidden="1">{"français",#N/A,FALSE,"Intro";"français",#N/A,FALSE,"Index";#N/A,#N/A,FALSE,"3-Incor";#N/A,#N/A,FALSE,"4-Corpo"}</definedName>
    <definedName name="_v4_1_4" hidden="1">{"français",#N/A,FALSE,"Intro";"français",#N/A,FALSE,"Index";#N/A,#N/A,FALSE,"3-Incor";#N/A,#N/A,FALSE,"4-Corpo"}</definedName>
    <definedName name="_v4_1_4_1" localSheetId="4" hidden="1">{"français",#N/A,FALSE,"Intro";"français",#N/A,FALSE,"Index";#N/A,#N/A,FALSE,"3-Incor";#N/A,#N/A,FALSE,"4-Corpo"}</definedName>
    <definedName name="_v4_1_4_1" hidden="1">{"français",#N/A,FALSE,"Intro";"français",#N/A,FALSE,"Index";#N/A,#N/A,FALSE,"3-Incor";#N/A,#N/A,FALSE,"4-Corpo"}</definedName>
    <definedName name="_v4_1_5" localSheetId="4" hidden="1">{"français",#N/A,FALSE,"Intro";"français",#N/A,FALSE,"Index";#N/A,#N/A,FALSE,"3-Incor";#N/A,#N/A,FALSE,"4-Corpo"}</definedName>
    <definedName name="_v4_1_5" hidden="1">{"français",#N/A,FALSE,"Intro";"français",#N/A,FALSE,"Index";#N/A,#N/A,FALSE,"3-Incor";#N/A,#N/A,FALSE,"4-Corpo"}</definedName>
    <definedName name="_v4_2" localSheetId="4" hidden="1">{"français",#N/A,FALSE,"Intro";"français",#N/A,FALSE,"Index";#N/A,#N/A,FALSE,"3-Incor";#N/A,#N/A,FALSE,"4-Corpo"}</definedName>
    <definedName name="_v4_2" hidden="1">{"français",#N/A,FALSE,"Intro";"français",#N/A,FALSE,"Index";#N/A,#N/A,FALSE,"3-Incor";#N/A,#N/A,FALSE,"4-Corpo"}</definedName>
    <definedName name="_v4_2_1" localSheetId="4" hidden="1">{"français",#N/A,FALSE,"Intro";"français",#N/A,FALSE,"Index";#N/A,#N/A,FALSE,"3-Incor";#N/A,#N/A,FALSE,"4-Corpo"}</definedName>
    <definedName name="_v4_2_1" hidden="1">{"français",#N/A,FALSE,"Intro";"français",#N/A,FALSE,"Index";#N/A,#N/A,FALSE,"3-Incor";#N/A,#N/A,FALSE,"4-Corpo"}</definedName>
    <definedName name="_v4_2_1_1" localSheetId="4" hidden="1">{"français",#N/A,FALSE,"Intro";"français",#N/A,FALSE,"Index";#N/A,#N/A,FALSE,"3-Incor";#N/A,#N/A,FALSE,"4-Corpo"}</definedName>
    <definedName name="_v4_2_1_1" hidden="1">{"français",#N/A,FALSE,"Intro";"français",#N/A,FALSE,"Index";#N/A,#N/A,FALSE,"3-Incor";#N/A,#N/A,FALSE,"4-Corpo"}</definedName>
    <definedName name="_v4_2_2" localSheetId="4" hidden="1">{"français",#N/A,FALSE,"Intro";"français",#N/A,FALSE,"Index";#N/A,#N/A,FALSE,"3-Incor";#N/A,#N/A,FALSE,"4-Corpo"}</definedName>
    <definedName name="_v4_2_2" hidden="1">{"français",#N/A,FALSE,"Intro";"français",#N/A,FALSE,"Index";#N/A,#N/A,FALSE,"3-Incor";#N/A,#N/A,FALSE,"4-Corpo"}</definedName>
    <definedName name="_v4_2_2_1" localSheetId="4" hidden="1">{"français",#N/A,FALSE,"Intro";"français",#N/A,FALSE,"Index";#N/A,#N/A,FALSE,"3-Incor";#N/A,#N/A,FALSE,"4-Corpo"}</definedName>
    <definedName name="_v4_2_2_1" hidden="1">{"français",#N/A,FALSE,"Intro";"français",#N/A,FALSE,"Index";#N/A,#N/A,FALSE,"3-Incor";#N/A,#N/A,FALSE,"4-Corpo"}</definedName>
    <definedName name="_v4_2_3" localSheetId="4" hidden="1">{"français",#N/A,FALSE,"Intro";"français",#N/A,FALSE,"Index";#N/A,#N/A,FALSE,"3-Incor";#N/A,#N/A,FALSE,"4-Corpo"}</definedName>
    <definedName name="_v4_2_3" hidden="1">{"français",#N/A,FALSE,"Intro";"français",#N/A,FALSE,"Index";#N/A,#N/A,FALSE,"3-Incor";#N/A,#N/A,FALSE,"4-Corpo"}</definedName>
    <definedName name="_v4_2_3_1" localSheetId="4" hidden="1">{"français",#N/A,FALSE,"Intro";"français",#N/A,FALSE,"Index";#N/A,#N/A,FALSE,"3-Incor";#N/A,#N/A,FALSE,"4-Corpo"}</definedName>
    <definedName name="_v4_2_3_1" hidden="1">{"français",#N/A,FALSE,"Intro";"français",#N/A,FALSE,"Index";#N/A,#N/A,FALSE,"3-Incor";#N/A,#N/A,FALSE,"4-Corpo"}</definedName>
    <definedName name="_v4_2_4" localSheetId="4" hidden="1">{"français",#N/A,FALSE,"Intro";"français",#N/A,FALSE,"Index";#N/A,#N/A,FALSE,"3-Incor";#N/A,#N/A,FALSE,"4-Corpo"}</definedName>
    <definedName name="_v4_2_4" hidden="1">{"français",#N/A,FALSE,"Intro";"français",#N/A,FALSE,"Index";#N/A,#N/A,FALSE,"3-Incor";#N/A,#N/A,FALSE,"4-Corpo"}</definedName>
    <definedName name="_v4_3" localSheetId="4" hidden="1">{"français",#N/A,FALSE,"Intro";"français",#N/A,FALSE,"Index";#N/A,#N/A,FALSE,"3-Incor";#N/A,#N/A,FALSE,"4-Corpo"}</definedName>
    <definedName name="_v4_3" hidden="1">{"français",#N/A,FALSE,"Intro";"français",#N/A,FALSE,"Index";#N/A,#N/A,FALSE,"3-Incor";#N/A,#N/A,FALSE,"4-Corpo"}</definedName>
    <definedName name="_v4_3_1" localSheetId="4" hidden="1">{"français",#N/A,FALSE,"Intro";"français",#N/A,FALSE,"Index";#N/A,#N/A,FALSE,"3-Incor";#N/A,#N/A,FALSE,"4-Corpo"}</definedName>
    <definedName name="_v4_3_1" hidden="1">{"français",#N/A,FALSE,"Intro";"français",#N/A,FALSE,"Index";#N/A,#N/A,FALSE,"3-Incor";#N/A,#N/A,FALSE,"4-Corpo"}</definedName>
    <definedName name="_v4_4" localSheetId="4" hidden="1">{"français",#N/A,FALSE,"Intro";"français",#N/A,FALSE,"Index";#N/A,#N/A,FALSE,"3-Incor";#N/A,#N/A,FALSE,"4-Corpo"}</definedName>
    <definedName name="_v4_4" hidden="1">{"français",#N/A,FALSE,"Intro";"français",#N/A,FALSE,"Index";#N/A,#N/A,FALSE,"3-Incor";#N/A,#N/A,FALSE,"4-Corpo"}</definedName>
    <definedName name="_v4_4_1" localSheetId="4" hidden="1">{"français",#N/A,FALSE,"Intro";"français",#N/A,FALSE,"Index";#N/A,#N/A,FALSE,"3-Incor";#N/A,#N/A,FALSE,"4-Corpo"}</definedName>
    <definedName name="_v4_4_1" hidden="1">{"français",#N/A,FALSE,"Intro";"français",#N/A,FALSE,"Index";#N/A,#N/A,FALSE,"3-Incor";#N/A,#N/A,FALSE,"4-Corpo"}</definedName>
    <definedName name="_v4_5" localSheetId="4" hidden="1">{"français",#N/A,FALSE,"Intro";"français",#N/A,FALSE,"Index";#N/A,#N/A,FALSE,"3-Incor";#N/A,#N/A,FALSE,"4-Corpo"}</definedName>
    <definedName name="_v4_5" hidden="1">{"français",#N/A,FALSE,"Intro";"français",#N/A,FALSE,"Index";#N/A,#N/A,FALSE,"3-Incor";#N/A,#N/A,FALSE,"4-Corpo"}</definedName>
    <definedName name="_v4_5_1" localSheetId="4" hidden="1">{"français",#N/A,FALSE,"Intro";"français",#N/A,FALSE,"Index";#N/A,#N/A,FALSE,"3-Incor";#N/A,#N/A,FALSE,"4-Corpo"}</definedName>
    <definedName name="_v4_5_1" hidden="1">{"français",#N/A,FALSE,"Intro";"français",#N/A,FALSE,"Index";#N/A,#N/A,FALSE,"3-Incor";#N/A,#N/A,FALSE,"4-Corpo"}</definedName>
    <definedName name="_xlcn.WorksheetConnection_T9A2C161" hidden="1">#REF!</definedName>
    <definedName name="a" localSheetId="4" hidden="1">{"Complaint Graphs",#N/A,FALSE,"Complaint Graphs"}</definedName>
    <definedName name="a" hidden="1">{"Complaint Graphs",#N/A,FALSE,"Complaint Graphs"}</definedName>
    <definedName name="a_1" localSheetId="4" hidden="1">{"Complaint Graphs",#N/A,FALSE,"Complaint Graphs"}</definedName>
    <definedName name="a_1" hidden="1">{"Complaint Graphs",#N/A,FALSE,"Complaint Graphs"}</definedName>
    <definedName name="a_1_1" localSheetId="4" hidden="1">{"Complaint Graphs",#N/A,FALSE,"Complaint Graphs"}</definedName>
    <definedName name="a_1_1" hidden="1">{"Complaint Graphs",#N/A,FALSE,"Complaint Graphs"}</definedName>
    <definedName name="a_1_1_1" localSheetId="4" hidden="1">{"Complaint Graphs",#N/A,FALSE,"Complaint Graphs"}</definedName>
    <definedName name="a_1_1_1" hidden="1">{"Complaint Graphs",#N/A,FALSE,"Complaint Graphs"}</definedName>
    <definedName name="a_1_1_1_1" localSheetId="4" hidden="1">{"Complaint Graphs",#N/A,FALSE,"Complaint Graphs"}</definedName>
    <definedName name="a_1_1_1_1" hidden="1">{"Complaint Graphs",#N/A,FALSE,"Complaint Graphs"}</definedName>
    <definedName name="a_1_1_2" localSheetId="4" hidden="1">{"Complaint Graphs",#N/A,FALSE,"Complaint Graphs"}</definedName>
    <definedName name="a_1_1_2" hidden="1">{"Complaint Graphs",#N/A,FALSE,"Complaint Graphs"}</definedName>
    <definedName name="a_1_1_2_1" localSheetId="4" hidden="1">{"Complaint Graphs",#N/A,FALSE,"Complaint Graphs"}</definedName>
    <definedName name="a_1_1_2_1" hidden="1">{"Complaint Graphs",#N/A,FALSE,"Complaint Graphs"}</definedName>
    <definedName name="a_1_1_3" localSheetId="4" hidden="1">{"Complaint Graphs",#N/A,FALSE,"Complaint Graphs"}</definedName>
    <definedName name="a_1_1_3" hidden="1">{"Complaint Graphs",#N/A,FALSE,"Complaint Graphs"}</definedName>
    <definedName name="a_1_1_3_1" localSheetId="4" hidden="1">{"Complaint Graphs",#N/A,FALSE,"Complaint Graphs"}</definedName>
    <definedName name="a_1_1_3_1" hidden="1">{"Complaint Graphs",#N/A,FALSE,"Complaint Graphs"}</definedName>
    <definedName name="a_1_1_4" localSheetId="4" hidden="1">{"Complaint Graphs",#N/A,FALSE,"Complaint Graphs"}</definedName>
    <definedName name="a_1_1_4" hidden="1">{"Complaint Graphs",#N/A,FALSE,"Complaint Graphs"}</definedName>
    <definedName name="a_1_2" localSheetId="4" hidden="1">{"Complaint Graphs",#N/A,FALSE,"Complaint Graphs"}</definedName>
    <definedName name="a_1_2" hidden="1">{"Complaint Graphs",#N/A,FALSE,"Complaint Graphs"}</definedName>
    <definedName name="a_1_2_1" localSheetId="4" hidden="1">{"Complaint Graphs",#N/A,FALSE,"Complaint Graphs"}</definedName>
    <definedName name="a_1_2_1" hidden="1">{"Complaint Graphs",#N/A,FALSE,"Complaint Graphs"}</definedName>
    <definedName name="a_1_3" localSheetId="4" hidden="1">{"Complaint Graphs",#N/A,FALSE,"Complaint Graphs"}</definedName>
    <definedName name="a_1_3" hidden="1">{"Complaint Graphs",#N/A,FALSE,"Complaint Graphs"}</definedName>
    <definedName name="a_1_3_1" localSheetId="4" hidden="1">{"Complaint Graphs",#N/A,FALSE,"Complaint Graphs"}</definedName>
    <definedName name="a_1_3_1" hidden="1">{"Complaint Graphs",#N/A,FALSE,"Complaint Graphs"}</definedName>
    <definedName name="a_1_4" localSheetId="4" hidden="1">{"Complaint Graphs",#N/A,FALSE,"Complaint Graphs"}</definedName>
    <definedName name="a_1_4" hidden="1">{"Complaint Graphs",#N/A,FALSE,"Complaint Graphs"}</definedName>
    <definedName name="a_1_4_1" localSheetId="4" hidden="1">{"Complaint Graphs",#N/A,FALSE,"Complaint Graphs"}</definedName>
    <definedName name="a_1_4_1" hidden="1">{"Complaint Graphs",#N/A,FALSE,"Complaint Graphs"}</definedName>
    <definedName name="a_1_5" localSheetId="4" hidden="1">{"Complaint Graphs",#N/A,FALSE,"Complaint Graphs"}</definedName>
    <definedName name="a_1_5" hidden="1">{"Complaint Graphs",#N/A,FALSE,"Complaint Graphs"}</definedName>
    <definedName name="a_2" localSheetId="4" hidden="1">{"Complaint Graphs",#N/A,FALSE,"Complaint Graphs"}</definedName>
    <definedName name="a_2" hidden="1">{"Complaint Graphs",#N/A,FALSE,"Complaint Graphs"}</definedName>
    <definedName name="a_2_1" localSheetId="4" hidden="1">{"Complaint Graphs",#N/A,FALSE,"Complaint Graphs"}</definedName>
    <definedName name="a_2_1" hidden="1">{"Complaint Graphs",#N/A,FALSE,"Complaint Graphs"}</definedName>
    <definedName name="a_2_1_1" localSheetId="4" hidden="1">{"Complaint Graphs",#N/A,FALSE,"Complaint Graphs"}</definedName>
    <definedName name="a_2_1_1" hidden="1">{"Complaint Graphs",#N/A,FALSE,"Complaint Graphs"}</definedName>
    <definedName name="a_2_2" localSheetId="4" hidden="1">{"Complaint Graphs",#N/A,FALSE,"Complaint Graphs"}</definedName>
    <definedName name="a_2_2" hidden="1">{"Complaint Graphs",#N/A,FALSE,"Complaint Graphs"}</definedName>
    <definedName name="a_2_2_1" localSheetId="4" hidden="1">{"Complaint Graphs",#N/A,FALSE,"Complaint Graphs"}</definedName>
    <definedName name="a_2_2_1" hidden="1">{"Complaint Graphs",#N/A,FALSE,"Complaint Graphs"}</definedName>
    <definedName name="a_2_3" localSheetId="4" hidden="1">{"Complaint Graphs",#N/A,FALSE,"Complaint Graphs"}</definedName>
    <definedName name="a_2_3" hidden="1">{"Complaint Graphs",#N/A,FALSE,"Complaint Graphs"}</definedName>
    <definedName name="a_2_3_1" localSheetId="4" hidden="1">{"Complaint Graphs",#N/A,FALSE,"Complaint Graphs"}</definedName>
    <definedName name="a_2_3_1" hidden="1">{"Complaint Graphs",#N/A,FALSE,"Complaint Graphs"}</definedName>
    <definedName name="a_2_4" localSheetId="4" hidden="1">{"Complaint Graphs",#N/A,FALSE,"Complaint Graphs"}</definedName>
    <definedName name="a_2_4" hidden="1">{"Complaint Graphs",#N/A,FALSE,"Complaint Graphs"}</definedName>
    <definedName name="a_3" localSheetId="4" hidden="1">{"Complaint Graphs",#N/A,FALSE,"Complaint Graphs"}</definedName>
    <definedName name="a_3" hidden="1">{"Complaint Graphs",#N/A,FALSE,"Complaint Graphs"}</definedName>
    <definedName name="a_3_1" localSheetId="4" hidden="1">{"Complaint Graphs",#N/A,FALSE,"Complaint Graphs"}</definedName>
    <definedName name="a_3_1" hidden="1">{"Complaint Graphs",#N/A,FALSE,"Complaint Graphs"}</definedName>
    <definedName name="a_4" localSheetId="4" hidden="1">{"Complaint Graphs",#N/A,FALSE,"Complaint Graphs"}</definedName>
    <definedName name="a_4" hidden="1">{"Complaint Graphs",#N/A,FALSE,"Complaint Graphs"}</definedName>
    <definedName name="a_4_1" localSheetId="4" hidden="1">{"Complaint Graphs",#N/A,FALSE,"Complaint Graphs"}</definedName>
    <definedName name="a_4_1" hidden="1">{"Complaint Graphs",#N/A,FALSE,"Complaint Graphs"}</definedName>
    <definedName name="a_5" localSheetId="4" hidden="1">{"Complaint Graphs",#N/A,FALSE,"Complaint Graphs"}</definedName>
    <definedName name="a_5" hidden="1">{"Complaint Graphs",#N/A,FALSE,"Complaint Graphs"}</definedName>
    <definedName name="a_5_1" localSheetId="4" hidden="1">{"Complaint Graphs",#N/A,FALSE,"Complaint Graphs"}</definedName>
    <definedName name="a_5_1" hidden="1">{"Complaint Graphs",#N/A,FALSE,"Complaint Graphs"}</definedName>
    <definedName name="A_A_A_Check_Prog">#REF!</definedName>
    <definedName name="A_A_Aindirect">#REF!</definedName>
    <definedName name="A_A_Pt_Budget">#REF!</definedName>
    <definedName name="A_A_REVENUE">#REF!</definedName>
    <definedName name="A_Breakfast">#REF!</definedName>
    <definedName name="a_Check_Rec_Exp">#REF!</definedName>
    <definedName name="A_Creative">#REF!</definedName>
    <definedName name="A_EXPENSES_5AA">#REF!</definedName>
    <definedName name="A_NEWS">#REF!</definedName>
    <definedName name="A_Olympics">#REF!</definedName>
    <definedName name="A_PROMOTIONS">#REF!</definedName>
    <definedName name="A_Pt_All_Variance">#REF!</definedName>
    <definedName name="A_PT_Budget_ALL">#REF!</definedName>
    <definedName name="A_PT_Cash">#REF!</definedName>
    <definedName name="A_PT_Dept">#REF!</definedName>
    <definedName name="A_Pt_Dept_Var">#REF!</definedName>
    <definedName name="A_PT_prog_Fcast">#REF!</definedName>
    <definedName name="A_PT_prog_Var">#REF!</definedName>
    <definedName name="a_PT_REPORT_DEPTS">#REF!</definedName>
    <definedName name="A_SALES">#REF!</definedName>
    <definedName name="A_Saturday">#REF!</definedName>
    <definedName name="A_TECH">#REF!</definedName>
    <definedName name="A_X_ADMIN">#REF!</definedName>
    <definedName name="AA_check_totals">#REF!</definedName>
    <definedName name="AA_E_PROG_CHECK">#REF!</definedName>
    <definedName name="AA_END_CHECK">#REF!</definedName>
    <definedName name="AA_RECON_FIVEAA">#REF!</definedName>
    <definedName name="AA_RECON_PROG">#REF!</definedName>
    <definedName name="AAA_PRT_REPORT">#REF!</definedName>
    <definedName name="aaaa_Check">#REF!</definedName>
    <definedName name="Actual">[5]Actual!$D$16:$AB$73</definedName>
    <definedName name="ActualForecast">[6]Data!$B$2:$B$3</definedName>
    <definedName name="adfasdfasdf" localSheetId="4" hidden="1">{"Complaint Graphs",#N/A,FALSE,"Complaint Graphs"}</definedName>
    <definedName name="adfasdfasdf" hidden="1">{"Complaint Graphs",#N/A,FALSE,"Complaint Graphs"}</definedName>
    <definedName name="adfasdfasdf_1" localSheetId="4" hidden="1">{"Complaint Graphs",#N/A,FALSE,"Complaint Graphs"}</definedName>
    <definedName name="adfasdfasdf_1" hidden="1">{"Complaint Graphs",#N/A,FALSE,"Complaint Graphs"}</definedName>
    <definedName name="adfasdfasdf_1_1" localSheetId="4" hidden="1">{"Complaint Graphs",#N/A,FALSE,"Complaint Graphs"}</definedName>
    <definedName name="adfasdfasdf_1_1" hidden="1">{"Complaint Graphs",#N/A,FALSE,"Complaint Graphs"}</definedName>
    <definedName name="adfasdfasdf_1_1_1" localSheetId="4" hidden="1">{"Complaint Graphs",#N/A,FALSE,"Complaint Graphs"}</definedName>
    <definedName name="adfasdfasdf_1_1_1" hidden="1">{"Complaint Graphs",#N/A,FALSE,"Complaint Graphs"}</definedName>
    <definedName name="adfasdfasdf_1_1_1_1" localSheetId="4" hidden="1">{"Complaint Graphs",#N/A,FALSE,"Complaint Graphs"}</definedName>
    <definedName name="adfasdfasdf_1_1_1_1" hidden="1">{"Complaint Graphs",#N/A,FALSE,"Complaint Graphs"}</definedName>
    <definedName name="adfasdfasdf_1_1_2" localSheetId="4" hidden="1">{"Complaint Graphs",#N/A,FALSE,"Complaint Graphs"}</definedName>
    <definedName name="adfasdfasdf_1_1_2" hidden="1">{"Complaint Graphs",#N/A,FALSE,"Complaint Graphs"}</definedName>
    <definedName name="adfasdfasdf_1_1_2_1" localSheetId="4" hidden="1">{"Complaint Graphs",#N/A,FALSE,"Complaint Graphs"}</definedName>
    <definedName name="adfasdfasdf_1_1_2_1" hidden="1">{"Complaint Graphs",#N/A,FALSE,"Complaint Graphs"}</definedName>
    <definedName name="adfasdfasdf_1_1_3" localSheetId="4" hidden="1">{"Complaint Graphs",#N/A,FALSE,"Complaint Graphs"}</definedName>
    <definedName name="adfasdfasdf_1_1_3" hidden="1">{"Complaint Graphs",#N/A,FALSE,"Complaint Graphs"}</definedName>
    <definedName name="adfasdfasdf_1_1_3_1" localSheetId="4" hidden="1">{"Complaint Graphs",#N/A,FALSE,"Complaint Graphs"}</definedName>
    <definedName name="adfasdfasdf_1_1_3_1" hidden="1">{"Complaint Graphs",#N/A,FALSE,"Complaint Graphs"}</definedName>
    <definedName name="adfasdfasdf_1_1_4" localSheetId="4" hidden="1">{"Complaint Graphs",#N/A,FALSE,"Complaint Graphs"}</definedName>
    <definedName name="adfasdfasdf_1_1_4" hidden="1">{"Complaint Graphs",#N/A,FALSE,"Complaint Graphs"}</definedName>
    <definedName name="adfasdfasdf_1_2" localSheetId="4" hidden="1">{"Complaint Graphs",#N/A,FALSE,"Complaint Graphs"}</definedName>
    <definedName name="adfasdfasdf_1_2" hidden="1">{"Complaint Graphs",#N/A,FALSE,"Complaint Graphs"}</definedName>
    <definedName name="adfasdfasdf_1_2_1" localSheetId="4" hidden="1">{"Complaint Graphs",#N/A,FALSE,"Complaint Graphs"}</definedName>
    <definedName name="adfasdfasdf_1_2_1" hidden="1">{"Complaint Graphs",#N/A,FALSE,"Complaint Graphs"}</definedName>
    <definedName name="adfasdfasdf_1_3" localSheetId="4" hidden="1">{"Complaint Graphs",#N/A,FALSE,"Complaint Graphs"}</definedName>
    <definedName name="adfasdfasdf_1_3" hidden="1">{"Complaint Graphs",#N/A,FALSE,"Complaint Graphs"}</definedName>
    <definedName name="adfasdfasdf_1_3_1" localSheetId="4" hidden="1">{"Complaint Graphs",#N/A,FALSE,"Complaint Graphs"}</definedName>
    <definedName name="adfasdfasdf_1_3_1" hidden="1">{"Complaint Graphs",#N/A,FALSE,"Complaint Graphs"}</definedName>
    <definedName name="adfasdfasdf_1_4" localSheetId="4" hidden="1">{"Complaint Graphs",#N/A,FALSE,"Complaint Graphs"}</definedName>
    <definedName name="adfasdfasdf_1_4" hidden="1">{"Complaint Graphs",#N/A,FALSE,"Complaint Graphs"}</definedName>
    <definedName name="adfasdfasdf_1_4_1" localSheetId="4" hidden="1">{"Complaint Graphs",#N/A,FALSE,"Complaint Graphs"}</definedName>
    <definedName name="adfasdfasdf_1_4_1" hidden="1">{"Complaint Graphs",#N/A,FALSE,"Complaint Graphs"}</definedName>
    <definedName name="adfasdfasdf_1_5" localSheetId="4" hidden="1">{"Complaint Graphs",#N/A,FALSE,"Complaint Graphs"}</definedName>
    <definedName name="adfasdfasdf_1_5" hidden="1">{"Complaint Graphs",#N/A,FALSE,"Complaint Graphs"}</definedName>
    <definedName name="adfasdfasdf_2" localSheetId="4" hidden="1">{"Complaint Graphs",#N/A,FALSE,"Complaint Graphs"}</definedName>
    <definedName name="adfasdfasdf_2" hidden="1">{"Complaint Graphs",#N/A,FALSE,"Complaint Graphs"}</definedName>
    <definedName name="adfasdfasdf_2_1" localSheetId="4" hidden="1">{"Complaint Graphs",#N/A,FALSE,"Complaint Graphs"}</definedName>
    <definedName name="adfasdfasdf_2_1" hidden="1">{"Complaint Graphs",#N/A,FALSE,"Complaint Graphs"}</definedName>
    <definedName name="adfasdfasdf_2_1_1" localSheetId="4" hidden="1">{"Complaint Graphs",#N/A,FALSE,"Complaint Graphs"}</definedName>
    <definedName name="adfasdfasdf_2_1_1" hidden="1">{"Complaint Graphs",#N/A,FALSE,"Complaint Graphs"}</definedName>
    <definedName name="adfasdfasdf_2_2" localSheetId="4" hidden="1">{"Complaint Graphs",#N/A,FALSE,"Complaint Graphs"}</definedName>
    <definedName name="adfasdfasdf_2_2" hidden="1">{"Complaint Graphs",#N/A,FALSE,"Complaint Graphs"}</definedName>
    <definedName name="adfasdfasdf_2_2_1" localSheetId="4" hidden="1">{"Complaint Graphs",#N/A,FALSE,"Complaint Graphs"}</definedName>
    <definedName name="adfasdfasdf_2_2_1" hidden="1">{"Complaint Graphs",#N/A,FALSE,"Complaint Graphs"}</definedName>
    <definedName name="adfasdfasdf_2_3" localSheetId="4" hidden="1">{"Complaint Graphs",#N/A,FALSE,"Complaint Graphs"}</definedName>
    <definedName name="adfasdfasdf_2_3" hidden="1">{"Complaint Graphs",#N/A,FALSE,"Complaint Graphs"}</definedName>
    <definedName name="adfasdfasdf_2_3_1" localSheetId="4" hidden="1">{"Complaint Graphs",#N/A,FALSE,"Complaint Graphs"}</definedName>
    <definedName name="adfasdfasdf_2_3_1" hidden="1">{"Complaint Graphs",#N/A,FALSE,"Complaint Graphs"}</definedName>
    <definedName name="adfasdfasdf_2_4" localSheetId="4" hidden="1">{"Complaint Graphs",#N/A,FALSE,"Complaint Graphs"}</definedName>
    <definedName name="adfasdfasdf_2_4" hidden="1">{"Complaint Graphs",#N/A,FALSE,"Complaint Graphs"}</definedName>
    <definedName name="adfasdfasdf_3" localSheetId="4" hidden="1">{"Complaint Graphs",#N/A,FALSE,"Complaint Graphs"}</definedName>
    <definedName name="adfasdfasdf_3" hidden="1">{"Complaint Graphs",#N/A,FALSE,"Complaint Graphs"}</definedName>
    <definedName name="adfasdfasdf_3_1" localSheetId="4" hidden="1">{"Complaint Graphs",#N/A,FALSE,"Complaint Graphs"}</definedName>
    <definedName name="adfasdfasdf_3_1" hidden="1">{"Complaint Graphs",#N/A,FALSE,"Complaint Graphs"}</definedName>
    <definedName name="adfasdfasdf_4" localSheetId="4" hidden="1">{"Complaint Graphs",#N/A,FALSE,"Complaint Graphs"}</definedName>
    <definedName name="adfasdfasdf_4" hidden="1">{"Complaint Graphs",#N/A,FALSE,"Complaint Graphs"}</definedName>
    <definedName name="adfasdfasdf_4_1" localSheetId="4" hidden="1">{"Complaint Graphs",#N/A,FALSE,"Complaint Graphs"}</definedName>
    <definedName name="adfasdfasdf_4_1" hidden="1">{"Complaint Graphs",#N/A,FALSE,"Complaint Graphs"}</definedName>
    <definedName name="adfasdfasdf_5" localSheetId="4" hidden="1">{"Complaint Graphs",#N/A,FALSE,"Complaint Graphs"}</definedName>
    <definedName name="adfasdfasdf_5" hidden="1">{"Complaint Graphs",#N/A,FALSE,"Complaint Graphs"}</definedName>
    <definedName name="adfasdfasdf_5_1" localSheetId="4" hidden="1">{"Complaint Graphs",#N/A,FALSE,"Complaint Graphs"}</definedName>
    <definedName name="adfasdfasdf_5_1" hidden="1">{"Complaint Graphs",#N/A,FALSE,"Complaint Graphs"}</definedName>
    <definedName name="adfdasf" localSheetId="4" hidden="1">{"Complaint Graphs",#N/A,FALSE,"Complaint Graphs"}</definedName>
    <definedName name="adfdasf" hidden="1">{"Complaint Graphs",#N/A,FALSE,"Complaint Graphs"}</definedName>
    <definedName name="adfdasf_1" localSheetId="4" hidden="1">{"Complaint Graphs",#N/A,FALSE,"Complaint Graphs"}</definedName>
    <definedName name="adfdasf_1" hidden="1">{"Complaint Graphs",#N/A,FALSE,"Complaint Graphs"}</definedName>
    <definedName name="adfdasf_1_1" localSheetId="4" hidden="1">{"Complaint Graphs",#N/A,FALSE,"Complaint Graphs"}</definedName>
    <definedName name="adfdasf_1_1" hidden="1">{"Complaint Graphs",#N/A,FALSE,"Complaint Graphs"}</definedName>
    <definedName name="adfdasf_1_1_1" localSheetId="4" hidden="1">{"Complaint Graphs",#N/A,FALSE,"Complaint Graphs"}</definedName>
    <definedName name="adfdasf_1_1_1" hidden="1">{"Complaint Graphs",#N/A,FALSE,"Complaint Graphs"}</definedName>
    <definedName name="adfdasf_1_1_1_1" localSheetId="4" hidden="1">{"Complaint Graphs",#N/A,FALSE,"Complaint Graphs"}</definedName>
    <definedName name="adfdasf_1_1_1_1" hidden="1">{"Complaint Graphs",#N/A,FALSE,"Complaint Graphs"}</definedName>
    <definedName name="adfdasf_1_1_2" localSheetId="4" hidden="1">{"Complaint Graphs",#N/A,FALSE,"Complaint Graphs"}</definedName>
    <definedName name="adfdasf_1_1_2" hidden="1">{"Complaint Graphs",#N/A,FALSE,"Complaint Graphs"}</definedName>
    <definedName name="adfdasf_1_1_2_1" localSheetId="4" hidden="1">{"Complaint Graphs",#N/A,FALSE,"Complaint Graphs"}</definedName>
    <definedName name="adfdasf_1_1_2_1" hidden="1">{"Complaint Graphs",#N/A,FALSE,"Complaint Graphs"}</definedName>
    <definedName name="adfdasf_1_1_3" localSheetId="4" hidden="1">{"Complaint Graphs",#N/A,FALSE,"Complaint Graphs"}</definedName>
    <definedName name="adfdasf_1_1_3" hidden="1">{"Complaint Graphs",#N/A,FALSE,"Complaint Graphs"}</definedName>
    <definedName name="adfdasf_1_1_3_1" localSheetId="4" hidden="1">{"Complaint Graphs",#N/A,FALSE,"Complaint Graphs"}</definedName>
    <definedName name="adfdasf_1_1_3_1" hidden="1">{"Complaint Graphs",#N/A,FALSE,"Complaint Graphs"}</definedName>
    <definedName name="adfdasf_1_1_4" localSheetId="4" hidden="1">{"Complaint Graphs",#N/A,FALSE,"Complaint Graphs"}</definedName>
    <definedName name="adfdasf_1_1_4" hidden="1">{"Complaint Graphs",#N/A,FALSE,"Complaint Graphs"}</definedName>
    <definedName name="adfdasf_1_2" localSheetId="4" hidden="1">{"Complaint Graphs",#N/A,FALSE,"Complaint Graphs"}</definedName>
    <definedName name="adfdasf_1_2" hidden="1">{"Complaint Graphs",#N/A,FALSE,"Complaint Graphs"}</definedName>
    <definedName name="adfdasf_1_2_1" localSheetId="4" hidden="1">{"Complaint Graphs",#N/A,FALSE,"Complaint Graphs"}</definedName>
    <definedName name="adfdasf_1_2_1" hidden="1">{"Complaint Graphs",#N/A,FALSE,"Complaint Graphs"}</definedName>
    <definedName name="adfdasf_1_3" localSheetId="4" hidden="1">{"Complaint Graphs",#N/A,FALSE,"Complaint Graphs"}</definedName>
    <definedName name="adfdasf_1_3" hidden="1">{"Complaint Graphs",#N/A,FALSE,"Complaint Graphs"}</definedName>
    <definedName name="adfdasf_1_3_1" localSheetId="4" hidden="1">{"Complaint Graphs",#N/A,FALSE,"Complaint Graphs"}</definedName>
    <definedName name="adfdasf_1_3_1" hidden="1">{"Complaint Graphs",#N/A,FALSE,"Complaint Graphs"}</definedName>
    <definedName name="adfdasf_1_4" localSheetId="4" hidden="1">{"Complaint Graphs",#N/A,FALSE,"Complaint Graphs"}</definedName>
    <definedName name="adfdasf_1_4" hidden="1">{"Complaint Graphs",#N/A,FALSE,"Complaint Graphs"}</definedName>
    <definedName name="adfdasf_1_4_1" localSheetId="4" hidden="1">{"Complaint Graphs",#N/A,FALSE,"Complaint Graphs"}</definedName>
    <definedName name="adfdasf_1_4_1" hidden="1">{"Complaint Graphs",#N/A,FALSE,"Complaint Graphs"}</definedName>
    <definedName name="adfdasf_1_5" localSheetId="4" hidden="1">{"Complaint Graphs",#N/A,FALSE,"Complaint Graphs"}</definedName>
    <definedName name="adfdasf_1_5" hidden="1">{"Complaint Graphs",#N/A,FALSE,"Complaint Graphs"}</definedName>
    <definedName name="adfdasf_2" localSheetId="4" hidden="1">{"Complaint Graphs",#N/A,FALSE,"Complaint Graphs"}</definedName>
    <definedName name="adfdasf_2" hidden="1">{"Complaint Graphs",#N/A,FALSE,"Complaint Graphs"}</definedName>
    <definedName name="adfdasf_2_1" localSheetId="4" hidden="1">{"Complaint Graphs",#N/A,FALSE,"Complaint Graphs"}</definedName>
    <definedName name="adfdasf_2_1" hidden="1">{"Complaint Graphs",#N/A,FALSE,"Complaint Graphs"}</definedName>
    <definedName name="adfdasf_2_1_1" localSheetId="4" hidden="1">{"Complaint Graphs",#N/A,FALSE,"Complaint Graphs"}</definedName>
    <definedName name="adfdasf_2_1_1" hidden="1">{"Complaint Graphs",#N/A,FALSE,"Complaint Graphs"}</definedName>
    <definedName name="adfdasf_2_2" localSheetId="4" hidden="1">{"Complaint Graphs",#N/A,FALSE,"Complaint Graphs"}</definedName>
    <definedName name="adfdasf_2_2" hidden="1">{"Complaint Graphs",#N/A,FALSE,"Complaint Graphs"}</definedName>
    <definedName name="adfdasf_2_2_1" localSheetId="4" hidden="1">{"Complaint Graphs",#N/A,FALSE,"Complaint Graphs"}</definedName>
    <definedName name="adfdasf_2_2_1" hidden="1">{"Complaint Graphs",#N/A,FALSE,"Complaint Graphs"}</definedName>
    <definedName name="adfdasf_2_3" localSheetId="4" hidden="1">{"Complaint Graphs",#N/A,FALSE,"Complaint Graphs"}</definedName>
    <definedName name="adfdasf_2_3" hidden="1">{"Complaint Graphs",#N/A,FALSE,"Complaint Graphs"}</definedName>
    <definedName name="adfdasf_2_3_1" localSheetId="4" hidden="1">{"Complaint Graphs",#N/A,FALSE,"Complaint Graphs"}</definedName>
    <definedName name="adfdasf_2_3_1" hidden="1">{"Complaint Graphs",#N/A,FALSE,"Complaint Graphs"}</definedName>
    <definedName name="adfdasf_2_4" localSheetId="4" hidden="1">{"Complaint Graphs",#N/A,FALSE,"Complaint Graphs"}</definedName>
    <definedName name="adfdasf_2_4" hidden="1">{"Complaint Graphs",#N/A,FALSE,"Complaint Graphs"}</definedName>
    <definedName name="adfdasf_3" localSheetId="4" hidden="1">{"Complaint Graphs",#N/A,FALSE,"Complaint Graphs"}</definedName>
    <definedName name="adfdasf_3" hidden="1">{"Complaint Graphs",#N/A,FALSE,"Complaint Graphs"}</definedName>
    <definedName name="adfdasf_3_1" localSheetId="4" hidden="1">{"Complaint Graphs",#N/A,FALSE,"Complaint Graphs"}</definedName>
    <definedName name="adfdasf_3_1" hidden="1">{"Complaint Graphs",#N/A,FALSE,"Complaint Graphs"}</definedName>
    <definedName name="adfdasf_4" localSheetId="4" hidden="1">{"Complaint Graphs",#N/A,FALSE,"Complaint Graphs"}</definedName>
    <definedName name="adfdasf_4" hidden="1">{"Complaint Graphs",#N/A,FALSE,"Complaint Graphs"}</definedName>
    <definedName name="adfdasf_4_1" localSheetId="4" hidden="1">{"Complaint Graphs",#N/A,FALSE,"Complaint Graphs"}</definedName>
    <definedName name="adfdasf_4_1" hidden="1">{"Complaint Graphs",#N/A,FALSE,"Complaint Graphs"}</definedName>
    <definedName name="adfdasf_5" localSheetId="4" hidden="1">{"Complaint Graphs",#N/A,FALSE,"Complaint Graphs"}</definedName>
    <definedName name="adfdasf_5" hidden="1">{"Complaint Graphs",#N/A,FALSE,"Complaint Graphs"}</definedName>
    <definedName name="adfdasf_5_1" localSheetId="4" hidden="1">{"Complaint Graphs",#N/A,FALSE,"Complaint Graphs"}</definedName>
    <definedName name="adfdasf_5_1" hidden="1">{"Complaint Graphs",#N/A,FALSE,"Complaint Graphs"}</definedName>
    <definedName name="Adjustment_Label">[7]Matrix!$D$4:$D$9</definedName>
    <definedName name="admin">#REF!</definedName>
    <definedName name="Agency_Revenue" localSheetId="4">IF('[8]Agency Revenue Table'!$C$30/'[8]Agency Revenue Table'!$D$30&lt;(0.95),Red,IF('[8]Agency Revenue Table'!$C$30/'[8]Agency Revenue Table'!$D$30&gt;=(1),Green,Yellow))</definedName>
    <definedName name="Agency_Revenue">IF('[8]Agency Revenue Table'!$C$30/'[8]Agency Revenue Table'!$D$30&lt;(0.95),Red,IF('[8]Agency Revenue Table'!$C$30/'[8]Agency Revenue Table'!$D$30&gt;=(1),Green,Yellow))</definedName>
    <definedName name="AgencyRevenueChtData">OFFSET('[9]Dashboard Data'!$A$12,0,COUNT('[9]Dashboard Data'!$12:$12),1,-36)</definedName>
    <definedName name="AgencyShareChtData">OFFSET('[9]Dashboard Data'!$A$14,0,COUNT('[9]Dashboard Data'!$14:$14),1,-36)</definedName>
    <definedName name="AgencyShareT1ChtData">OFFSET('[8]Dashboard Data'!$A$18,0,COUNT('[8]Dashboard Data'!$18:$18),1,-36)</definedName>
    <definedName name="AgencyShareT2ChtData">OFFSET('[8]Dashboard Data'!$A$19,0,COUNT('[8]Dashboard Data'!$19:$19),1,-36)</definedName>
    <definedName name="ANI" hidden="1">[10]Reports!#REF!</definedName>
    <definedName name="ANITA" hidden="1">[10]Reports!#REF!</definedName>
    <definedName name="App">_xlfn.ANCHORARRAY(#REF!)</definedName>
    <definedName name="AS2DocOpenMode" hidden="1">"AS2DocumentEdit"</definedName>
    <definedName name="asdasd" localSheetId="4" hidden="1">{"Complaint Graphs",#N/A,FALSE,"Complaint Graphs"}</definedName>
    <definedName name="asdasd" hidden="1">{"Complaint Graphs",#N/A,FALSE,"Complaint Graphs"}</definedName>
    <definedName name="asdasd_1" localSheetId="4" hidden="1">{"Complaint Graphs",#N/A,FALSE,"Complaint Graphs"}</definedName>
    <definedName name="asdasd_1" hidden="1">{"Complaint Graphs",#N/A,FALSE,"Complaint Graphs"}</definedName>
    <definedName name="asdasd_1_1" localSheetId="4" hidden="1">{"Complaint Graphs",#N/A,FALSE,"Complaint Graphs"}</definedName>
    <definedName name="asdasd_1_1" hidden="1">{"Complaint Graphs",#N/A,FALSE,"Complaint Graphs"}</definedName>
    <definedName name="asdasd_1_1_1" localSheetId="4" hidden="1">{"Complaint Graphs",#N/A,FALSE,"Complaint Graphs"}</definedName>
    <definedName name="asdasd_1_1_1" hidden="1">{"Complaint Graphs",#N/A,FALSE,"Complaint Graphs"}</definedName>
    <definedName name="asdasd_1_1_1_1" localSheetId="4" hidden="1">{"Complaint Graphs",#N/A,FALSE,"Complaint Graphs"}</definedName>
    <definedName name="asdasd_1_1_1_1" hidden="1">{"Complaint Graphs",#N/A,FALSE,"Complaint Graphs"}</definedName>
    <definedName name="asdasd_1_1_2" localSheetId="4" hidden="1">{"Complaint Graphs",#N/A,FALSE,"Complaint Graphs"}</definedName>
    <definedName name="asdasd_1_1_2" hidden="1">{"Complaint Graphs",#N/A,FALSE,"Complaint Graphs"}</definedName>
    <definedName name="asdasd_1_1_2_1" localSheetId="4" hidden="1">{"Complaint Graphs",#N/A,FALSE,"Complaint Graphs"}</definedName>
    <definedName name="asdasd_1_1_2_1" hidden="1">{"Complaint Graphs",#N/A,FALSE,"Complaint Graphs"}</definedName>
    <definedName name="asdasd_1_1_3" localSheetId="4" hidden="1">{"Complaint Graphs",#N/A,FALSE,"Complaint Graphs"}</definedName>
    <definedName name="asdasd_1_1_3" hidden="1">{"Complaint Graphs",#N/A,FALSE,"Complaint Graphs"}</definedName>
    <definedName name="asdasd_1_1_3_1" localSheetId="4" hidden="1">{"Complaint Graphs",#N/A,FALSE,"Complaint Graphs"}</definedName>
    <definedName name="asdasd_1_1_3_1" hidden="1">{"Complaint Graphs",#N/A,FALSE,"Complaint Graphs"}</definedName>
    <definedName name="asdasd_1_1_4" localSheetId="4" hidden="1">{"Complaint Graphs",#N/A,FALSE,"Complaint Graphs"}</definedName>
    <definedName name="asdasd_1_1_4" hidden="1">{"Complaint Graphs",#N/A,FALSE,"Complaint Graphs"}</definedName>
    <definedName name="asdasd_1_2" localSheetId="4" hidden="1">{"Complaint Graphs",#N/A,FALSE,"Complaint Graphs"}</definedName>
    <definedName name="asdasd_1_2" hidden="1">{"Complaint Graphs",#N/A,FALSE,"Complaint Graphs"}</definedName>
    <definedName name="asdasd_1_2_1" localSheetId="4" hidden="1">{"Complaint Graphs",#N/A,FALSE,"Complaint Graphs"}</definedName>
    <definedName name="asdasd_1_2_1" hidden="1">{"Complaint Graphs",#N/A,FALSE,"Complaint Graphs"}</definedName>
    <definedName name="asdasd_1_3" localSheetId="4" hidden="1">{"Complaint Graphs",#N/A,FALSE,"Complaint Graphs"}</definedName>
    <definedName name="asdasd_1_3" hidden="1">{"Complaint Graphs",#N/A,FALSE,"Complaint Graphs"}</definedName>
    <definedName name="asdasd_1_3_1" localSheetId="4" hidden="1">{"Complaint Graphs",#N/A,FALSE,"Complaint Graphs"}</definedName>
    <definedName name="asdasd_1_3_1" hidden="1">{"Complaint Graphs",#N/A,FALSE,"Complaint Graphs"}</definedName>
    <definedName name="asdasd_1_4" localSheetId="4" hidden="1">{"Complaint Graphs",#N/A,FALSE,"Complaint Graphs"}</definedName>
    <definedName name="asdasd_1_4" hidden="1">{"Complaint Graphs",#N/A,FALSE,"Complaint Graphs"}</definedName>
    <definedName name="asdasd_1_4_1" localSheetId="4" hidden="1">{"Complaint Graphs",#N/A,FALSE,"Complaint Graphs"}</definedName>
    <definedName name="asdasd_1_4_1" hidden="1">{"Complaint Graphs",#N/A,FALSE,"Complaint Graphs"}</definedName>
    <definedName name="asdasd_1_5" localSheetId="4" hidden="1">{"Complaint Graphs",#N/A,FALSE,"Complaint Graphs"}</definedName>
    <definedName name="asdasd_1_5" hidden="1">{"Complaint Graphs",#N/A,FALSE,"Complaint Graphs"}</definedName>
    <definedName name="asdasd_2" localSheetId="4" hidden="1">{"Complaint Graphs",#N/A,FALSE,"Complaint Graphs"}</definedName>
    <definedName name="asdasd_2" hidden="1">{"Complaint Graphs",#N/A,FALSE,"Complaint Graphs"}</definedName>
    <definedName name="asdasd_2_1" localSheetId="4" hidden="1">{"Complaint Graphs",#N/A,FALSE,"Complaint Graphs"}</definedName>
    <definedName name="asdasd_2_1" hidden="1">{"Complaint Graphs",#N/A,FALSE,"Complaint Graphs"}</definedName>
    <definedName name="asdasd_2_1_1" localSheetId="4" hidden="1">{"Complaint Graphs",#N/A,FALSE,"Complaint Graphs"}</definedName>
    <definedName name="asdasd_2_1_1" hidden="1">{"Complaint Graphs",#N/A,FALSE,"Complaint Graphs"}</definedName>
    <definedName name="asdasd_2_2" localSheetId="4" hidden="1">{"Complaint Graphs",#N/A,FALSE,"Complaint Graphs"}</definedName>
    <definedName name="asdasd_2_2" hidden="1">{"Complaint Graphs",#N/A,FALSE,"Complaint Graphs"}</definedName>
    <definedName name="asdasd_2_2_1" localSheetId="4" hidden="1">{"Complaint Graphs",#N/A,FALSE,"Complaint Graphs"}</definedName>
    <definedName name="asdasd_2_2_1" hidden="1">{"Complaint Graphs",#N/A,FALSE,"Complaint Graphs"}</definedName>
    <definedName name="asdasd_2_3" localSheetId="4" hidden="1">{"Complaint Graphs",#N/A,FALSE,"Complaint Graphs"}</definedName>
    <definedName name="asdasd_2_3" hidden="1">{"Complaint Graphs",#N/A,FALSE,"Complaint Graphs"}</definedName>
    <definedName name="asdasd_2_3_1" localSheetId="4" hidden="1">{"Complaint Graphs",#N/A,FALSE,"Complaint Graphs"}</definedName>
    <definedName name="asdasd_2_3_1" hidden="1">{"Complaint Graphs",#N/A,FALSE,"Complaint Graphs"}</definedName>
    <definedName name="asdasd_2_4" localSheetId="4" hidden="1">{"Complaint Graphs",#N/A,FALSE,"Complaint Graphs"}</definedName>
    <definedName name="asdasd_2_4" hidden="1">{"Complaint Graphs",#N/A,FALSE,"Complaint Graphs"}</definedName>
    <definedName name="asdasd_3" localSheetId="4" hidden="1">{"Complaint Graphs",#N/A,FALSE,"Complaint Graphs"}</definedName>
    <definedName name="asdasd_3" hidden="1">{"Complaint Graphs",#N/A,FALSE,"Complaint Graphs"}</definedName>
    <definedName name="asdasd_3_1" localSheetId="4" hidden="1">{"Complaint Graphs",#N/A,FALSE,"Complaint Graphs"}</definedName>
    <definedName name="asdasd_3_1" hidden="1">{"Complaint Graphs",#N/A,FALSE,"Complaint Graphs"}</definedName>
    <definedName name="asdasd_4" localSheetId="4" hidden="1">{"Complaint Graphs",#N/A,FALSE,"Complaint Graphs"}</definedName>
    <definedName name="asdasd_4" hidden="1">{"Complaint Graphs",#N/A,FALSE,"Complaint Graphs"}</definedName>
    <definedName name="asdasd_4_1" localSheetId="4" hidden="1">{"Complaint Graphs",#N/A,FALSE,"Complaint Graphs"}</definedName>
    <definedName name="asdasd_4_1" hidden="1">{"Complaint Graphs",#N/A,FALSE,"Complaint Graphs"}</definedName>
    <definedName name="asdasd_5" localSheetId="4" hidden="1">{"Complaint Graphs",#N/A,FALSE,"Complaint Graphs"}</definedName>
    <definedName name="asdasd_5" hidden="1">{"Complaint Graphs",#N/A,FALSE,"Complaint Graphs"}</definedName>
    <definedName name="asdasd_5_1" localSheetId="4" hidden="1">{"Complaint Graphs",#N/A,FALSE,"Complaint Graphs"}</definedName>
    <definedName name="asdasd_5_1" hidden="1">{"Complaint Graphs",#N/A,FALSE,"Complaint Graphs"}</definedName>
    <definedName name="asdfasdf" localSheetId="4" hidden="1">{"Complaint Graphs",#N/A,FALSE,"Complaint Graphs"}</definedName>
    <definedName name="asdfasdf" hidden="1">{"Complaint Graphs",#N/A,FALSE,"Complaint Graphs"}</definedName>
    <definedName name="asdfasdf_1" localSheetId="4" hidden="1">{"Complaint Graphs",#N/A,FALSE,"Complaint Graphs"}</definedName>
    <definedName name="asdfasdf_1" hidden="1">{"Complaint Graphs",#N/A,FALSE,"Complaint Graphs"}</definedName>
    <definedName name="asdfasdf_1_1" localSheetId="4" hidden="1">{"Complaint Graphs",#N/A,FALSE,"Complaint Graphs"}</definedName>
    <definedName name="asdfasdf_1_1" hidden="1">{"Complaint Graphs",#N/A,FALSE,"Complaint Graphs"}</definedName>
    <definedName name="asdfasdf_1_1_1" localSheetId="4" hidden="1">{"Complaint Graphs",#N/A,FALSE,"Complaint Graphs"}</definedName>
    <definedName name="asdfasdf_1_1_1" hidden="1">{"Complaint Graphs",#N/A,FALSE,"Complaint Graphs"}</definedName>
    <definedName name="asdfasdf_1_1_1_1" localSheetId="4" hidden="1">{"Complaint Graphs",#N/A,FALSE,"Complaint Graphs"}</definedName>
    <definedName name="asdfasdf_1_1_1_1" hidden="1">{"Complaint Graphs",#N/A,FALSE,"Complaint Graphs"}</definedName>
    <definedName name="asdfasdf_1_1_2" localSheetId="4" hidden="1">{"Complaint Graphs",#N/A,FALSE,"Complaint Graphs"}</definedName>
    <definedName name="asdfasdf_1_1_2" hidden="1">{"Complaint Graphs",#N/A,FALSE,"Complaint Graphs"}</definedName>
    <definedName name="asdfasdf_1_1_2_1" localSheetId="4" hidden="1">{"Complaint Graphs",#N/A,FALSE,"Complaint Graphs"}</definedName>
    <definedName name="asdfasdf_1_1_2_1" hidden="1">{"Complaint Graphs",#N/A,FALSE,"Complaint Graphs"}</definedName>
    <definedName name="asdfasdf_1_1_3" localSheetId="4" hidden="1">{"Complaint Graphs",#N/A,FALSE,"Complaint Graphs"}</definedName>
    <definedName name="asdfasdf_1_1_3" hidden="1">{"Complaint Graphs",#N/A,FALSE,"Complaint Graphs"}</definedName>
    <definedName name="asdfasdf_1_1_3_1" localSheetId="4" hidden="1">{"Complaint Graphs",#N/A,FALSE,"Complaint Graphs"}</definedName>
    <definedName name="asdfasdf_1_1_3_1" hidden="1">{"Complaint Graphs",#N/A,FALSE,"Complaint Graphs"}</definedName>
    <definedName name="asdfasdf_1_1_4" localSheetId="4" hidden="1">{"Complaint Graphs",#N/A,FALSE,"Complaint Graphs"}</definedName>
    <definedName name="asdfasdf_1_1_4" hidden="1">{"Complaint Graphs",#N/A,FALSE,"Complaint Graphs"}</definedName>
    <definedName name="asdfasdf_1_2" localSheetId="4" hidden="1">{"Complaint Graphs",#N/A,FALSE,"Complaint Graphs"}</definedName>
    <definedName name="asdfasdf_1_2" hidden="1">{"Complaint Graphs",#N/A,FALSE,"Complaint Graphs"}</definedName>
    <definedName name="asdfasdf_1_2_1" localSheetId="4" hidden="1">{"Complaint Graphs",#N/A,FALSE,"Complaint Graphs"}</definedName>
    <definedName name="asdfasdf_1_2_1" hidden="1">{"Complaint Graphs",#N/A,FALSE,"Complaint Graphs"}</definedName>
    <definedName name="asdfasdf_1_3" localSheetId="4" hidden="1">{"Complaint Graphs",#N/A,FALSE,"Complaint Graphs"}</definedName>
    <definedName name="asdfasdf_1_3" hidden="1">{"Complaint Graphs",#N/A,FALSE,"Complaint Graphs"}</definedName>
    <definedName name="asdfasdf_1_3_1" localSheetId="4" hidden="1">{"Complaint Graphs",#N/A,FALSE,"Complaint Graphs"}</definedName>
    <definedName name="asdfasdf_1_3_1" hidden="1">{"Complaint Graphs",#N/A,FALSE,"Complaint Graphs"}</definedName>
    <definedName name="asdfasdf_1_4" localSheetId="4" hidden="1">{"Complaint Graphs",#N/A,FALSE,"Complaint Graphs"}</definedName>
    <definedName name="asdfasdf_1_4" hidden="1">{"Complaint Graphs",#N/A,FALSE,"Complaint Graphs"}</definedName>
    <definedName name="asdfasdf_1_4_1" localSheetId="4" hidden="1">{"Complaint Graphs",#N/A,FALSE,"Complaint Graphs"}</definedName>
    <definedName name="asdfasdf_1_4_1" hidden="1">{"Complaint Graphs",#N/A,FALSE,"Complaint Graphs"}</definedName>
    <definedName name="asdfasdf_1_5" localSheetId="4" hidden="1">{"Complaint Graphs",#N/A,FALSE,"Complaint Graphs"}</definedName>
    <definedName name="asdfasdf_1_5" hidden="1">{"Complaint Graphs",#N/A,FALSE,"Complaint Graphs"}</definedName>
    <definedName name="asdfasdf_2" localSheetId="4" hidden="1">{"Complaint Graphs",#N/A,FALSE,"Complaint Graphs"}</definedName>
    <definedName name="asdfasdf_2" hidden="1">{"Complaint Graphs",#N/A,FALSE,"Complaint Graphs"}</definedName>
    <definedName name="asdfasdf_2_1" localSheetId="4" hidden="1">{"Complaint Graphs",#N/A,FALSE,"Complaint Graphs"}</definedName>
    <definedName name="asdfasdf_2_1" hidden="1">{"Complaint Graphs",#N/A,FALSE,"Complaint Graphs"}</definedName>
    <definedName name="asdfasdf_2_1_1" localSheetId="4" hidden="1">{"Complaint Graphs",#N/A,FALSE,"Complaint Graphs"}</definedName>
    <definedName name="asdfasdf_2_1_1" hidden="1">{"Complaint Graphs",#N/A,FALSE,"Complaint Graphs"}</definedName>
    <definedName name="asdfasdf_2_2" localSheetId="4" hidden="1">{"Complaint Graphs",#N/A,FALSE,"Complaint Graphs"}</definedName>
    <definedName name="asdfasdf_2_2" hidden="1">{"Complaint Graphs",#N/A,FALSE,"Complaint Graphs"}</definedName>
    <definedName name="asdfasdf_2_2_1" localSheetId="4" hidden="1">{"Complaint Graphs",#N/A,FALSE,"Complaint Graphs"}</definedName>
    <definedName name="asdfasdf_2_2_1" hidden="1">{"Complaint Graphs",#N/A,FALSE,"Complaint Graphs"}</definedName>
    <definedName name="asdfasdf_2_3" localSheetId="4" hidden="1">{"Complaint Graphs",#N/A,FALSE,"Complaint Graphs"}</definedName>
    <definedName name="asdfasdf_2_3" hidden="1">{"Complaint Graphs",#N/A,FALSE,"Complaint Graphs"}</definedName>
    <definedName name="asdfasdf_2_3_1" localSheetId="4" hidden="1">{"Complaint Graphs",#N/A,FALSE,"Complaint Graphs"}</definedName>
    <definedName name="asdfasdf_2_3_1" hidden="1">{"Complaint Graphs",#N/A,FALSE,"Complaint Graphs"}</definedName>
    <definedName name="asdfasdf_2_4" localSheetId="4" hidden="1">{"Complaint Graphs",#N/A,FALSE,"Complaint Graphs"}</definedName>
    <definedName name="asdfasdf_2_4" hidden="1">{"Complaint Graphs",#N/A,FALSE,"Complaint Graphs"}</definedName>
    <definedName name="asdfasdf_3" localSheetId="4" hidden="1">{"Complaint Graphs",#N/A,FALSE,"Complaint Graphs"}</definedName>
    <definedName name="asdfasdf_3" hidden="1">{"Complaint Graphs",#N/A,FALSE,"Complaint Graphs"}</definedName>
    <definedName name="asdfasdf_3_1" localSheetId="4" hidden="1">{"Complaint Graphs",#N/A,FALSE,"Complaint Graphs"}</definedName>
    <definedName name="asdfasdf_3_1" hidden="1">{"Complaint Graphs",#N/A,FALSE,"Complaint Graphs"}</definedName>
    <definedName name="asdfasdf_4" localSheetId="4" hidden="1">{"Complaint Graphs",#N/A,FALSE,"Complaint Graphs"}</definedName>
    <definedName name="asdfasdf_4" hidden="1">{"Complaint Graphs",#N/A,FALSE,"Complaint Graphs"}</definedName>
    <definedName name="asdfasdf_4_1" localSheetId="4" hidden="1">{"Complaint Graphs",#N/A,FALSE,"Complaint Graphs"}</definedName>
    <definedName name="asdfasdf_4_1" hidden="1">{"Complaint Graphs",#N/A,FALSE,"Complaint Graphs"}</definedName>
    <definedName name="asdfasdf_5" localSheetId="4" hidden="1">{"Complaint Graphs",#N/A,FALSE,"Complaint Graphs"}</definedName>
    <definedName name="asdfasdf_5" hidden="1">{"Complaint Graphs",#N/A,FALSE,"Complaint Graphs"}</definedName>
    <definedName name="asdfasdf_5_1" localSheetId="4" hidden="1">{"Complaint Graphs",#N/A,FALSE,"Complaint Graphs"}</definedName>
    <definedName name="asdfasdf_5_1" hidden="1">{"Complaint Graphs",#N/A,FALSE,"Complaint Graphs"}</definedName>
    <definedName name="asdfasdfasdf" localSheetId="4" hidden="1">{"Complaint Graphs",#N/A,FALSE,"Complaint Graphs"}</definedName>
    <definedName name="asdfasdfasdf" hidden="1">{"Complaint Graphs",#N/A,FALSE,"Complaint Graphs"}</definedName>
    <definedName name="asdfasdfasdf_1" localSheetId="4" hidden="1">{"Complaint Graphs",#N/A,FALSE,"Complaint Graphs"}</definedName>
    <definedName name="asdfasdfasdf_1" hidden="1">{"Complaint Graphs",#N/A,FALSE,"Complaint Graphs"}</definedName>
    <definedName name="asdfasdfasdf_1_1" localSheetId="4" hidden="1">{"Complaint Graphs",#N/A,FALSE,"Complaint Graphs"}</definedName>
    <definedName name="asdfasdfasdf_1_1" hidden="1">{"Complaint Graphs",#N/A,FALSE,"Complaint Graphs"}</definedName>
    <definedName name="asdfasdfasdf_1_1_1" localSheetId="4" hidden="1">{"Complaint Graphs",#N/A,FALSE,"Complaint Graphs"}</definedName>
    <definedName name="asdfasdfasdf_1_1_1" hidden="1">{"Complaint Graphs",#N/A,FALSE,"Complaint Graphs"}</definedName>
    <definedName name="asdfasdfasdf_1_1_1_1" localSheetId="4" hidden="1">{"Complaint Graphs",#N/A,FALSE,"Complaint Graphs"}</definedName>
    <definedName name="asdfasdfasdf_1_1_1_1" hidden="1">{"Complaint Graphs",#N/A,FALSE,"Complaint Graphs"}</definedName>
    <definedName name="asdfasdfasdf_1_1_2" localSheetId="4" hidden="1">{"Complaint Graphs",#N/A,FALSE,"Complaint Graphs"}</definedName>
    <definedName name="asdfasdfasdf_1_1_2" hidden="1">{"Complaint Graphs",#N/A,FALSE,"Complaint Graphs"}</definedName>
    <definedName name="asdfasdfasdf_1_1_2_1" localSheetId="4" hidden="1">{"Complaint Graphs",#N/A,FALSE,"Complaint Graphs"}</definedName>
    <definedName name="asdfasdfasdf_1_1_2_1" hidden="1">{"Complaint Graphs",#N/A,FALSE,"Complaint Graphs"}</definedName>
    <definedName name="asdfasdfasdf_1_1_3" localSheetId="4" hidden="1">{"Complaint Graphs",#N/A,FALSE,"Complaint Graphs"}</definedName>
    <definedName name="asdfasdfasdf_1_1_3" hidden="1">{"Complaint Graphs",#N/A,FALSE,"Complaint Graphs"}</definedName>
    <definedName name="asdfasdfasdf_1_1_3_1" localSheetId="4" hidden="1">{"Complaint Graphs",#N/A,FALSE,"Complaint Graphs"}</definedName>
    <definedName name="asdfasdfasdf_1_1_3_1" hidden="1">{"Complaint Graphs",#N/A,FALSE,"Complaint Graphs"}</definedName>
    <definedName name="asdfasdfasdf_1_1_4" localSheetId="4" hidden="1">{"Complaint Graphs",#N/A,FALSE,"Complaint Graphs"}</definedName>
    <definedName name="asdfasdfasdf_1_1_4" hidden="1">{"Complaint Graphs",#N/A,FALSE,"Complaint Graphs"}</definedName>
    <definedName name="asdfasdfasdf_1_2" localSheetId="4" hidden="1">{"Complaint Graphs",#N/A,FALSE,"Complaint Graphs"}</definedName>
    <definedName name="asdfasdfasdf_1_2" hidden="1">{"Complaint Graphs",#N/A,FALSE,"Complaint Graphs"}</definedName>
    <definedName name="asdfasdfasdf_1_2_1" localSheetId="4" hidden="1">{"Complaint Graphs",#N/A,FALSE,"Complaint Graphs"}</definedName>
    <definedName name="asdfasdfasdf_1_2_1" hidden="1">{"Complaint Graphs",#N/A,FALSE,"Complaint Graphs"}</definedName>
    <definedName name="asdfasdfasdf_1_3" localSheetId="4" hidden="1">{"Complaint Graphs",#N/A,FALSE,"Complaint Graphs"}</definedName>
    <definedName name="asdfasdfasdf_1_3" hidden="1">{"Complaint Graphs",#N/A,FALSE,"Complaint Graphs"}</definedName>
    <definedName name="asdfasdfasdf_1_3_1" localSheetId="4" hidden="1">{"Complaint Graphs",#N/A,FALSE,"Complaint Graphs"}</definedName>
    <definedName name="asdfasdfasdf_1_3_1" hidden="1">{"Complaint Graphs",#N/A,FALSE,"Complaint Graphs"}</definedName>
    <definedName name="asdfasdfasdf_1_4" localSheetId="4" hidden="1">{"Complaint Graphs",#N/A,FALSE,"Complaint Graphs"}</definedName>
    <definedName name="asdfasdfasdf_1_4" hidden="1">{"Complaint Graphs",#N/A,FALSE,"Complaint Graphs"}</definedName>
    <definedName name="asdfasdfasdf_1_4_1" localSheetId="4" hidden="1">{"Complaint Graphs",#N/A,FALSE,"Complaint Graphs"}</definedName>
    <definedName name="asdfasdfasdf_1_4_1" hidden="1">{"Complaint Graphs",#N/A,FALSE,"Complaint Graphs"}</definedName>
    <definedName name="asdfasdfasdf_1_5" localSheetId="4" hidden="1">{"Complaint Graphs",#N/A,FALSE,"Complaint Graphs"}</definedName>
    <definedName name="asdfasdfasdf_1_5" hidden="1">{"Complaint Graphs",#N/A,FALSE,"Complaint Graphs"}</definedName>
    <definedName name="asdfasdfasdf_2" localSheetId="4" hidden="1">{"Complaint Graphs",#N/A,FALSE,"Complaint Graphs"}</definedName>
    <definedName name="asdfasdfasdf_2" hidden="1">{"Complaint Graphs",#N/A,FALSE,"Complaint Graphs"}</definedName>
    <definedName name="asdfasdfasdf_2_1" localSheetId="4" hidden="1">{"Complaint Graphs",#N/A,FALSE,"Complaint Graphs"}</definedName>
    <definedName name="asdfasdfasdf_2_1" hidden="1">{"Complaint Graphs",#N/A,FALSE,"Complaint Graphs"}</definedName>
    <definedName name="asdfasdfasdf_2_1_1" localSheetId="4" hidden="1">{"Complaint Graphs",#N/A,FALSE,"Complaint Graphs"}</definedName>
    <definedName name="asdfasdfasdf_2_1_1" hidden="1">{"Complaint Graphs",#N/A,FALSE,"Complaint Graphs"}</definedName>
    <definedName name="asdfasdfasdf_2_2" localSheetId="4" hidden="1">{"Complaint Graphs",#N/A,FALSE,"Complaint Graphs"}</definedName>
    <definedName name="asdfasdfasdf_2_2" hidden="1">{"Complaint Graphs",#N/A,FALSE,"Complaint Graphs"}</definedName>
    <definedName name="asdfasdfasdf_2_2_1" localSheetId="4" hidden="1">{"Complaint Graphs",#N/A,FALSE,"Complaint Graphs"}</definedName>
    <definedName name="asdfasdfasdf_2_2_1" hidden="1">{"Complaint Graphs",#N/A,FALSE,"Complaint Graphs"}</definedName>
    <definedName name="asdfasdfasdf_2_3" localSheetId="4" hidden="1">{"Complaint Graphs",#N/A,FALSE,"Complaint Graphs"}</definedName>
    <definedName name="asdfasdfasdf_2_3" hidden="1">{"Complaint Graphs",#N/A,FALSE,"Complaint Graphs"}</definedName>
    <definedName name="asdfasdfasdf_2_3_1" localSheetId="4" hidden="1">{"Complaint Graphs",#N/A,FALSE,"Complaint Graphs"}</definedName>
    <definedName name="asdfasdfasdf_2_3_1" hidden="1">{"Complaint Graphs",#N/A,FALSE,"Complaint Graphs"}</definedName>
    <definedName name="asdfasdfasdf_2_4" localSheetId="4" hidden="1">{"Complaint Graphs",#N/A,FALSE,"Complaint Graphs"}</definedName>
    <definedName name="asdfasdfasdf_2_4" hidden="1">{"Complaint Graphs",#N/A,FALSE,"Complaint Graphs"}</definedName>
    <definedName name="asdfasdfasdf_3" localSheetId="4" hidden="1">{"Complaint Graphs",#N/A,FALSE,"Complaint Graphs"}</definedName>
    <definedName name="asdfasdfasdf_3" hidden="1">{"Complaint Graphs",#N/A,FALSE,"Complaint Graphs"}</definedName>
    <definedName name="asdfasdfasdf_3_1" localSheetId="4" hidden="1">{"Complaint Graphs",#N/A,FALSE,"Complaint Graphs"}</definedName>
    <definedName name="asdfasdfasdf_3_1" hidden="1">{"Complaint Graphs",#N/A,FALSE,"Complaint Graphs"}</definedName>
    <definedName name="asdfasdfasdf_4" localSheetId="4" hidden="1">{"Complaint Graphs",#N/A,FALSE,"Complaint Graphs"}</definedName>
    <definedName name="asdfasdfasdf_4" hidden="1">{"Complaint Graphs",#N/A,FALSE,"Complaint Graphs"}</definedName>
    <definedName name="asdfasdfasdf_4_1" localSheetId="4" hidden="1">{"Complaint Graphs",#N/A,FALSE,"Complaint Graphs"}</definedName>
    <definedName name="asdfasdfasdf_4_1" hidden="1">{"Complaint Graphs",#N/A,FALSE,"Complaint Graphs"}</definedName>
    <definedName name="asdfasdfasdf_5" localSheetId="4" hidden="1">{"Complaint Graphs",#N/A,FALSE,"Complaint Graphs"}</definedName>
    <definedName name="asdfasdfasdf_5" hidden="1">{"Complaint Graphs",#N/A,FALSE,"Complaint Graphs"}</definedName>
    <definedName name="asdfasdfasdf_5_1" localSheetId="4" hidden="1">{"Complaint Graphs",#N/A,FALSE,"Complaint Graphs"}</definedName>
    <definedName name="asdfasdfasdf_5_1" hidden="1">{"Complaint Graphs",#N/A,FALSE,"Complaint Graphs"}</definedName>
    <definedName name="asdfasdfb" localSheetId="4" hidden="1">{"Complaint Graphs",#N/A,FALSE,"Complaint Graphs"}</definedName>
    <definedName name="asdfasdfb" hidden="1">{"Complaint Graphs",#N/A,FALSE,"Complaint Graphs"}</definedName>
    <definedName name="asdfasdfb_1" localSheetId="4" hidden="1">{"Complaint Graphs",#N/A,FALSE,"Complaint Graphs"}</definedName>
    <definedName name="asdfasdfb_1" hidden="1">{"Complaint Graphs",#N/A,FALSE,"Complaint Graphs"}</definedName>
    <definedName name="asdfasdfb_1_1" localSheetId="4" hidden="1">{"Complaint Graphs",#N/A,FALSE,"Complaint Graphs"}</definedName>
    <definedName name="asdfasdfb_1_1" hidden="1">{"Complaint Graphs",#N/A,FALSE,"Complaint Graphs"}</definedName>
    <definedName name="asdfasdfb_1_1_1" localSheetId="4" hidden="1">{"Complaint Graphs",#N/A,FALSE,"Complaint Graphs"}</definedName>
    <definedName name="asdfasdfb_1_1_1" hidden="1">{"Complaint Graphs",#N/A,FALSE,"Complaint Graphs"}</definedName>
    <definedName name="asdfasdfb_1_1_1_1" localSheetId="4" hidden="1">{"Complaint Graphs",#N/A,FALSE,"Complaint Graphs"}</definedName>
    <definedName name="asdfasdfb_1_1_1_1" hidden="1">{"Complaint Graphs",#N/A,FALSE,"Complaint Graphs"}</definedName>
    <definedName name="asdfasdfb_1_1_2" localSheetId="4" hidden="1">{"Complaint Graphs",#N/A,FALSE,"Complaint Graphs"}</definedName>
    <definedName name="asdfasdfb_1_1_2" hidden="1">{"Complaint Graphs",#N/A,FALSE,"Complaint Graphs"}</definedName>
    <definedName name="asdfasdfb_1_1_2_1" localSheetId="4" hidden="1">{"Complaint Graphs",#N/A,FALSE,"Complaint Graphs"}</definedName>
    <definedName name="asdfasdfb_1_1_2_1" hidden="1">{"Complaint Graphs",#N/A,FALSE,"Complaint Graphs"}</definedName>
    <definedName name="asdfasdfb_1_1_3" localSheetId="4" hidden="1">{"Complaint Graphs",#N/A,FALSE,"Complaint Graphs"}</definedName>
    <definedName name="asdfasdfb_1_1_3" hidden="1">{"Complaint Graphs",#N/A,FALSE,"Complaint Graphs"}</definedName>
    <definedName name="asdfasdfb_1_1_3_1" localSheetId="4" hidden="1">{"Complaint Graphs",#N/A,FALSE,"Complaint Graphs"}</definedName>
    <definedName name="asdfasdfb_1_1_3_1" hidden="1">{"Complaint Graphs",#N/A,FALSE,"Complaint Graphs"}</definedName>
    <definedName name="asdfasdfb_1_1_4" localSheetId="4" hidden="1">{"Complaint Graphs",#N/A,FALSE,"Complaint Graphs"}</definedName>
    <definedName name="asdfasdfb_1_1_4" hidden="1">{"Complaint Graphs",#N/A,FALSE,"Complaint Graphs"}</definedName>
    <definedName name="asdfasdfb_1_2" localSheetId="4" hidden="1">{"Complaint Graphs",#N/A,FALSE,"Complaint Graphs"}</definedName>
    <definedName name="asdfasdfb_1_2" hidden="1">{"Complaint Graphs",#N/A,FALSE,"Complaint Graphs"}</definedName>
    <definedName name="asdfasdfb_1_2_1" localSheetId="4" hidden="1">{"Complaint Graphs",#N/A,FALSE,"Complaint Graphs"}</definedName>
    <definedName name="asdfasdfb_1_2_1" hidden="1">{"Complaint Graphs",#N/A,FALSE,"Complaint Graphs"}</definedName>
    <definedName name="asdfasdfb_1_3" localSheetId="4" hidden="1">{"Complaint Graphs",#N/A,FALSE,"Complaint Graphs"}</definedName>
    <definedName name="asdfasdfb_1_3" hidden="1">{"Complaint Graphs",#N/A,FALSE,"Complaint Graphs"}</definedName>
    <definedName name="asdfasdfb_1_3_1" localSheetId="4" hidden="1">{"Complaint Graphs",#N/A,FALSE,"Complaint Graphs"}</definedName>
    <definedName name="asdfasdfb_1_3_1" hidden="1">{"Complaint Graphs",#N/A,FALSE,"Complaint Graphs"}</definedName>
    <definedName name="asdfasdfb_1_4" localSheetId="4" hidden="1">{"Complaint Graphs",#N/A,FALSE,"Complaint Graphs"}</definedName>
    <definedName name="asdfasdfb_1_4" hidden="1">{"Complaint Graphs",#N/A,FALSE,"Complaint Graphs"}</definedName>
    <definedName name="asdfasdfb_1_4_1" localSheetId="4" hidden="1">{"Complaint Graphs",#N/A,FALSE,"Complaint Graphs"}</definedName>
    <definedName name="asdfasdfb_1_4_1" hidden="1">{"Complaint Graphs",#N/A,FALSE,"Complaint Graphs"}</definedName>
    <definedName name="asdfasdfb_1_5" localSheetId="4" hidden="1">{"Complaint Graphs",#N/A,FALSE,"Complaint Graphs"}</definedName>
    <definedName name="asdfasdfb_1_5" hidden="1">{"Complaint Graphs",#N/A,FALSE,"Complaint Graphs"}</definedName>
    <definedName name="asdfasdfb_2" localSheetId="4" hidden="1">{"Complaint Graphs",#N/A,FALSE,"Complaint Graphs"}</definedName>
    <definedName name="asdfasdfb_2" hidden="1">{"Complaint Graphs",#N/A,FALSE,"Complaint Graphs"}</definedName>
    <definedName name="asdfasdfb_2_1" localSheetId="4" hidden="1">{"Complaint Graphs",#N/A,FALSE,"Complaint Graphs"}</definedName>
    <definedName name="asdfasdfb_2_1" hidden="1">{"Complaint Graphs",#N/A,FALSE,"Complaint Graphs"}</definedName>
    <definedName name="asdfasdfb_2_1_1" localSheetId="4" hidden="1">{"Complaint Graphs",#N/A,FALSE,"Complaint Graphs"}</definedName>
    <definedName name="asdfasdfb_2_1_1" hidden="1">{"Complaint Graphs",#N/A,FALSE,"Complaint Graphs"}</definedName>
    <definedName name="asdfasdfb_2_2" localSheetId="4" hidden="1">{"Complaint Graphs",#N/A,FALSE,"Complaint Graphs"}</definedName>
    <definedName name="asdfasdfb_2_2" hidden="1">{"Complaint Graphs",#N/A,FALSE,"Complaint Graphs"}</definedName>
    <definedName name="asdfasdfb_2_2_1" localSheetId="4" hidden="1">{"Complaint Graphs",#N/A,FALSE,"Complaint Graphs"}</definedName>
    <definedName name="asdfasdfb_2_2_1" hidden="1">{"Complaint Graphs",#N/A,FALSE,"Complaint Graphs"}</definedName>
    <definedName name="asdfasdfb_2_3" localSheetId="4" hidden="1">{"Complaint Graphs",#N/A,FALSE,"Complaint Graphs"}</definedName>
    <definedName name="asdfasdfb_2_3" hidden="1">{"Complaint Graphs",#N/A,FALSE,"Complaint Graphs"}</definedName>
    <definedName name="asdfasdfb_2_3_1" localSheetId="4" hidden="1">{"Complaint Graphs",#N/A,FALSE,"Complaint Graphs"}</definedName>
    <definedName name="asdfasdfb_2_3_1" hidden="1">{"Complaint Graphs",#N/A,FALSE,"Complaint Graphs"}</definedName>
    <definedName name="asdfasdfb_2_4" localSheetId="4" hidden="1">{"Complaint Graphs",#N/A,FALSE,"Complaint Graphs"}</definedName>
    <definedName name="asdfasdfb_2_4" hidden="1">{"Complaint Graphs",#N/A,FALSE,"Complaint Graphs"}</definedName>
    <definedName name="asdfasdfb_3" localSheetId="4" hidden="1">{"Complaint Graphs",#N/A,FALSE,"Complaint Graphs"}</definedName>
    <definedName name="asdfasdfb_3" hidden="1">{"Complaint Graphs",#N/A,FALSE,"Complaint Graphs"}</definedName>
    <definedName name="asdfasdfb_3_1" localSheetId="4" hidden="1">{"Complaint Graphs",#N/A,FALSE,"Complaint Graphs"}</definedName>
    <definedName name="asdfasdfb_3_1" hidden="1">{"Complaint Graphs",#N/A,FALSE,"Complaint Graphs"}</definedName>
    <definedName name="asdfasdfb_4" localSheetId="4" hidden="1">{"Complaint Graphs",#N/A,FALSE,"Complaint Graphs"}</definedName>
    <definedName name="asdfasdfb_4" hidden="1">{"Complaint Graphs",#N/A,FALSE,"Complaint Graphs"}</definedName>
    <definedName name="asdfasdfb_4_1" localSheetId="4" hidden="1">{"Complaint Graphs",#N/A,FALSE,"Complaint Graphs"}</definedName>
    <definedName name="asdfasdfb_4_1" hidden="1">{"Complaint Graphs",#N/A,FALSE,"Complaint Graphs"}</definedName>
    <definedName name="asdfasdfb_5" localSheetId="4" hidden="1">{"Complaint Graphs",#N/A,FALSE,"Complaint Graphs"}</definedName>
    <definedName name="asdfasdfb_5" hidden="1">{"Complaint Graphs",#N/A,FALSE,"Complaint Graphs"}</definedName>
    <definedName name="asdfasdfb_5_1" localSheetId="4" hidden="1">{"Complaint Graphs",#N/A,FALSE,"Complaint Graphs"}</definedName>
    <definedName name="asdfasdfb_5_1" hidden="1">{"Complaint Graphs",#N/A,FALSE,"Complaint Graphs"}</definedName>
    <definedName name="asdfasdfdasf" localSheetId="4" hidden="1">{"Complaint Graphs",#N/A,FALSE,"Complaint Graphs"}</definedName>
    <definedName name="asdfasdfdasf" hidden="1">{"Complaint Graphs",#N/A,FALSE,"Complaint Graphs"}</definedName>
    <definedName name="asdfasdfdasf_1" localSheetId="4" hidden="1">{"Complaint Graphs",#N/A,FALSE,"Complaint Graphs"}</definedName>
    <definedName name="asdfasdfdasf_1" hidden="1">{"Complaint Graphs",#N/A,FALSE,"Complaint Graphs"}</definedName>
    <definedName name="asdfasdfdasf_1_1" localSheetId="4" hidden="1">{"Complaint Graphs",#N/A,FALSE,"Complaint Graphs"}</definedName>
    <definedName name="asdfasdfdasf_1_1" hidden="1">{"Complaint Graphs",#N/A,FALSE,"Complaint Graphs"}</definedName>
    <definedName name="asdfasdfdasf_1_1_1" localSheetId="4" hidden="1">{"Complaint Graphs",#N/A,FALSE,"Complaint Graphs"}</definedName>
    <definedName name="asdfasdfdasf_1_1_1" hidden="1">{"Complaint Graphs",#N/A,FALSE,"Complaint Graphs"}</definedName>
    <definedName name="asdfasdfdasf_1_1_1_1" localSheetId="4" hidden="1">{"Complaint Graphs",#N/A,FALSE,"Complaint Graphs"}</definedName>
    <definedName name="asdfasdfdasf_1_1_1_1" hidden="1">{"Complaint Graphs",#N/A,FALSE,"Complaint Graphs"}</definedName>
    <definedName name="asdfasdfdasf_1_1_2" localSheetId="4" hidden="1">{"Complaint Graphs",#N/A,FALSE,"Complaint Graphs"}</definedName>
    <definedName name="asdfasdfdasf_1_1_2" hidden="1">{"Complaint Graphs",#N/A,FALSE,"Complaint Graphs"}</definedName>
    <definedName name="asdfasdfdasf_1_1_2_1" localSheetId="4" hidden="1">{"Complaint Graphs",#N/A,FALSE,"Complaint Graphs"}</definedName>
    <definedName name="asdfasdfdasf_1_1_2_1" hidden="1">{"Complaint Graphs",#N/A,FALSE,"Complaint Graphs"}</definedName>
    <definedName name="asdfasdfdasf_1_1_3" localSheetId="4" hidden="1">{"Complaint Graphs",#N/A,FALSE,"Complaint Graphs"}</definedName>
    <definedName name="asdfasdfdasf_1_1_3" hidden="1">{"Complaint Graphs",#N/A,FALSE,"Complaint Graphs"}</definedName>
    <definedName name="asdfasdfdasf_1_1_3_1" localSheetId="4" hidden="1">{"Complaint Graphs",#N/A,FALSE,"Complaint Graphs"}</definedName>
    <definedName name="asdfasdfdasf_1_1_3_1" hidden="1">{"Complaint Graphs",#N/A,FALSE,"Complaint Graphs"}</definedName>
    <definedName name="asdfasdfdasf_1_1_4" localSheetId="4" hidden="1">{"Complaint Graphs",#N/A,FALSE,"Complaint Graphs"}</definedName>
    <definedName name="asdfasdfdasf_1_1_4" hidden="1">{"Complaint Graphs",#N/A,FALSE,"Complaint Graphs"}</definedName>
    <definedName name="asdfasdfdasf_1_2" localSheetId="4" hidden="1">{"Complaint Graphs",#N/A,FALSE,"Complaint Graphs"}</definedName>
    <definedName name="asdfasdfdasf_1_2" hidden="1">{"Complaint Graphs",#N/A,FALSE,"Complaint Graphs"}</definedName>
    <definedName name="asdfasdfdasf_1_2_1" localSheetId="4" hidden="1">{"Complaint Graphs",#N/A,FALSE,"Complaint Graphs"}</definedName>
    <definedName name="asdfasdfdasf_1_2_1" hidden="1">{"Complaint Graphs",#N/A,FALSE,"Complaint Graphs"}</definedName>
    <definedName name="asdfasdfdasf_1_3" localSheetId="4" hidden="1">{"Complaint Graphs",#N/A,FALSE,"Complaint Graphs"}</definedName>
    <definedName name="asdfasdfdasf_1_3" hidden="1">{"Complaint Graphs",#N/A,FALSE,"Complaint Graphs"}</definedName>
    <definedName name="asdfasdfdasf_1_3_1" localSheetId="4" hidden="1">{"Complaint Graphs",#N/A,FALSE,"Complaint Graphs"}</definedName>
    <definedName name="asdfasdfdasf_1_3_1" hidden="1">{"Complaint Graphs",#N/A,FALSE,"Complaint Graphs"}</definedName>
    <definedName name="asdfasdfdasf_1_4" localSheetId="4" hidden="1">{"Complaint Graphs",#N/A,FALSE,"Complaint Graphs"}</definedName>
    <definedName name="asdfasdfdasf_1_4" hidden="1">{"Complaint Graphs",#N/A,FALSE,"Complaint Graphs"}</definedName>
    <definedName name="asdfasdfdasf_1_4_1" localSheetId="4" hidden="1">{"Complaint Graphs",#N/A,FALSE,"Complaint Graphs"}</definedName>
    <definedName name="asdfasdfdasf_1_4_1" hidden="1">{"Complaint Graphs",#N/A,FALSE,"Complaint Graphs"}</definedName>
    <definedName name="asdfasdfdasf_1_5" localSheetId="4" hidden="1">{"Complaint Graphs",#N/A,FALSE,"Complaint Graphs"}</definedName>
    <definedName name="asdfasdfdasf_1_5" hidden="1">{"Complaint Graphs",#N/A,FALSE,"Complaint Graphs"}</definedName>
    <definedName name="asdfasdfdasf_2" localSheetId="4" hidden="1">{"Complaint Graphs",#N/A,FALSE,"Complaint Graphs"}</definedName>
    <definedName name="asdfasdfdasf_2" hidden="1">{"Complaint Graphs",#N/A,FALSE,"Complaint Graphs"}</definedName>
    <definedName name="asdfasdfdasf_2_1" localSheetId="4" hidden="1">{"Complaint Graphs",#N/A,FALSE,"Complaint Graphs"}</definedName>
    <definedName name="asdfasdfdasf_2_1" hidden="1">{"Complaint Graphs",#N/A,FALSE,"Complaint Graphs"}</definedName>
    <definedName name="asdfasdfdasf_2_1_1" localSheetId="4" hidden="1">{"Complaint Graphs",#N/A,FALSE,"Complaint Graphs"}</definedName>
    <definedName name="asdfasdfdasf_2_1_1" hidden="1">{"Complaint Graphs",#N/A,FALSE,"Complaint Graphs"}</definedName>
    <definedName name="asdfasdfdasf_2_2" localSheetId="4" hidden="1">{"Complaint Graphs",#N/A,FALSE,"Complaint Graphs"}</definedName>
    <definedName name="asdfasdfdasf_2_2" hidden="1">{"Complaint Graphs",#N/A,FALSE,"Complaint Graphs"}</definedName>
    <definedName name="asdfasdfdasf_2_2_1" localSheetId="4" hidden="1">{"Complaint Graphs",#N/A,FALSE,"Complaint Graphs"}</definedName>
    <definedName name="asdfasdfdasf_2_2_1" hidden="1">{"Complaint Graphs",#N/A,FALSE,"Complaint Graphs"}</definedName>
    <definedName name="asdfasdfdasf_2_3" localSheetId="4" hidden="1">{"Complaint Graphs",#N/A,FALSE,"Complaint Graphs"}</definedName>
    <definedName name="asdfasdfdasf_2_3" hidden="1">{"Complaint Graphs",#N/A,FALSE,"Complaint Graphs"}</definedName>
    <definedName name="asdfasdfdasf_2_3_1" localSheetId="4" hidden="1">{"Complaint Graphs",#N/A,FALSE,"Complaint Graphs"}</definedName>
    <definedName name="asdfasdfdasf_2_3_1" hidden="1">{"Complaint Graphs",#N/A,FALSE,"Complaint Graphs"}</definedName>
    <definedName name="asdfasdfdasf_2_4" localSheetId="4" hidden="1">{"Complaint Graphs",#N/A,FALSE,"Complaint Graphs"}</definedName>
    <definedName name="asdfasdfdasf_2_4" hidden="1">{"Complaint Graphs",#N/A,FALSE,"Complaint Graphs"}</definedName>
    <definedName name="asdfasdfdasf_3" localSheetId="4" hidden="1">{"Complaint Graphs",#N/A,FALSE,"Complaint Graphs"}</definedName>
    <definedName name="asdfasdfdasf_3" hidden="1">{"Complaint Graphs",#N/A,FALSE,"Complaint Graphs"}</definedName>
    <definedName name="asdfasdfdasf_3_1" localSheetId="4" hidden="1">{"Complaint Graphs",#N/A,FALSE,"Complaint Graphs"}</definedName>
    <definedName name="asdfasdfdasf_3_1" hidden="1">{"Complaint Graphs",#N/A,FALSE,"Complaint Graphs"}</definedName>
    <definedName name="asdfasdfdasf_4" localSheetId="4" hidden="1">{"Complaint Graphs",#N/A,FALSE,"Complaint Graphs"}</definedName>
    <definedName name="asdfasdfdasf_4" hidden="1">{"Complaint Graphs",#N/A,FALSE,"Complaint Graphs"}</definedName>
    <definedName name="asdfasdfdasf_4_1" localSheetId="4" hidden="1">{"Complaint Graphs",#N/A,FALSE,"Complaint Graphs"}</definedName>
    <definedName name="asdfasdfdasf_4_1" hidden="1">{"Complaint Graphs",#N/A,FALSE,"Complaint Graphs"}</definedName>
    <definedName name="asdfasdfdasf_5" localSheetId="4" hidden="1">{"Complaint Graphs",#N/A,FALSE,"Complaint Graphs"}</definedName>
    <definedName name="asdfasdfdasf_5" hidden="1">{"Complaint Graphs",#N/A,FALSE,"Complaint Graphs"}</definedName>
    <definedName name="asdfasdfdasf_5_1" localSheetId="4" hidden="1">{"Complaint Graphs",#N/A,FALSE,"Complaint Graphs"}</definedName>
    <definedName name="asdfasdfdasf_5_1" hidden="1">{"Complaint Graphs",#N/A,FALSE,"Complaint Graphs"}</definedName>
    <definedName name="asdfasdfxc" localSheetId="4" hidden="1">{"Complaint Graphs",#N/A,FALSE,"Complaint Graphs"}</definedName>
    <definedName name="asdfasdfxc" hidden="1">{"Complaint Graphs",#N/A,FALSE,"Complaint Graphs"}</definedName>
    <definedName name="asdfasdfxc_1" localSheetId="4" hidden="1">{"Complaint Graphs",#N/A,FALSE,"Complaint Graphs"}</definedName>
    <definedName name="asdfasdfxc_1" hidden="1">{"Complaint Graphs",#N/A,FALSE,"Complaint Graphs"}</definedName>
    <definedName name="asdfasdfxc_1_1" localSheetId="4" hidden="1">{"Complaint Graphs",#N/A,FALSE,"Complaint Graphs"}</definedName>
    <definedName name="asdfasdfxc_1_1" hidden="1">{"Complaint Graphs",#N/A,FALSE,"Complaint Graphs"}</definedName>
    <definedName name="asdfasdfxc_1_1_1" localSheetId="4" hidden="1">{"Complaint Graphs",#N/A,FALSE,"Complaint Graphs"}</definedName>
    <definedName name="asdfasdfxc_1_1_1" hidden="1">{"Complaint Graphs",#N/A,FALSE,"Complaint Graphs"}</definedName>
    <definedName name="asdfasdfxc_1_1_1_1" localSheetId="4" hidden="1">{"Complaint Graphs",#N/A,FALSE,"Complaint Graphs"}</definedName>
    <definedName name="asdfasdfxc_1_1_1_1" hidden="1">{"Complaint Graphs",#N/A,FALSE,"Complaint Graphs"}</definedName>
    <definedName name="asdfasdfxc_1_1_2" localSheetId="4" hidden="1">{"Complaint Graphs",#N/A,FALSE,"Complaint Graphs"}</definedName>
    <definedName name="asdfasdfxc_1_1_2" hidden="1">{"Complaint Graphs",#N/A,FALSE,"Complaint Graphs"}</definedName>
    <definedName name="asdfasdfxc_1_1_2_1" localSheetId="4" hidden="1">{"Complaint Graphs",#N/A,FALSE,"Complaint Graphs"}</definedName>
    <definedName name="asdfasdfxc_1_1_2_1" hidden="1">{"Complaint Graphs",#N/A,FALSE,"Complaint Graphs"}</definedName>
    <definedName name="asdfasdfxc_1_1_3" localSheetId="4" hidden="1">{"Complaint Graphs",#N/A,FALSE,"Complaint Graphs"}</definedName>
    <definedName name="asdfasdfxc_1_1_3" hidden="1">{"Complaint Graphs",#N/A,FALSE,"Complaint Graphs"}</definedName>
    <definedName name="asdfasdfxc_1_1_3_1" localSheetId="4" hidden="1">{"Complaint Graphs",#N/A,FALSE,"Complaint Graphs"}</definedName>
    <definedName name="asdfasdfxc_1_1_3_1" hidden="1">{"Complaint Graphs",#N/A,FALSE,"Complaint Graphs"}</definedName>
    <definedName name="asdfasdfxc_1_1_4" localSheetId="4" hidden="1">{"Complaint Graphs",#N/A,FALSE,"Complaint Graphs"}</definedName>
    <definedName name="asdfasdfxc_1_1_4" hidden="1">{"Complaint Graphs",#N/A,FALSE,"Complaint Graphs"}</definedName>
    <definedName name="asdfasdfxc_1_2" localSheetId="4" hidden="1">{"Complaint Graphs",#N/A,FALSE,"Complaint Graphs"}</definedName>
    <definedName name="asdfasdfxc_1_2" hidden="1">{"Complaint Graphs",#N/A,FALSE,"Complaint Graphs"}</definedName>
    <definedName name="asdfasdfxc_1_2_1" localSheetId="4" hidden="1">{"Complaint Graphs",#N/A,FALSE,"Complaint Graphs"}</definedName>
    <definedName name="asdfasdfxc_1_2_1" hidden="1">{"Complaint Graphs",#N/A,FALSE,"Complaint Graphs"}</definedName>
    <definedName name="asdfasdfxc_1_3" localSheetId="4" hidden="1">{"Complaint Graphs",#N/A,FALSE,"Complaint Graphs"}</definedName>
    <definedName name="asdfasdfxc_1_3" hidden="1">{"Complaint Graphs",#N/A,FALSE,"Complaint Graphs"}</definedName>
    <definedName name="asdfasdfxc_1_3_1" localSheetId="4" hidden="1">{"Complaint Graphs",#N/A,FALSE,"Complaint Graphs"}</definedName>
    <definedName name="asdfasdfxc_1_3_1" hidden="1">{"Complaint Graphs",#N/A,FALSE,"Complaint Graphs"}</definedName>
    <definedName name="asdfasdfxc_1_4" localSheetId="4" hidden="1">{"Complaint Graphs",#N/A,FALSE,"Complaint Graphs"}</definedName>
    <definedName name="asdfasdfxc_1_4" hidden="1">{"Complaint Graphs",#N/A,FALSE,"Complaint Graphs"}</definedName>
    <definedName name="asdfasdfxc_1_4_1" localSheetId="4" hidden="1">{"Complaint Graphs",#N/A,FALSE,"Complaint Graphs"}</definedName>
    <definedName name="asdfasdfxc_1_4_1" hidden="1">{"Complaint Graphs",#N/A,FALSE,"Complaint Graphs"}</definedName>
    <definedName name="asdfasdfxc_1_5" localSheetId="4" hidden="1">{"Complaint Graphs",#N/A,FALSE,"Complaint Graphs"}</definedName>
    <definedName name="asdfasdfxc_1_5" hidden="1">{"Complaint Graphs",#N/A,FALSE,"Complaint Graphs"}</definedName>
    <definedName name="asdfasdfxc_2" localSheetId="4" hidden="1">{"Complaint Graphs",#N/A,FALSE,"Complaint Graphs"}</definedName>
    <definedName name="asdfasdfxc_2" hidden="1">{"Complaint Graphs",#N/A,FALSE,"Complaint Graphs"}</definedName>
    <definedName name="asdfasdfxc_2_1" localSheetId="4" hidden="1">{"Complaint Graphs",#N/A,FALSE,"Complaint Graphs"}</definedName>
    <definedName name="asdfasdfxc_2_1" hidden="1">{"Complaint Graphs",#N/A,FALSE,"Complaint Graphs"}</definedName>
    <definedName name="asdfasdfxc_2_1_1" localSheetId="4" hidden="1">{"Complaint Graphs",#N/A,FALSE,"Complaint Graphs"}</definedName>
    <definedName name="asdfasdfxc_2_1_1" hidden="1">{"Complaint Graphs",#N/A,FALSE,"Complaint Graphs"}</definedName>
    <definedName name="asdfasdfxc_2_2" localSheetId="4" hidden="1">{"Complaint Graphs",#N/A,FALSE,"Complaint Graphs"}</definedName>
    <definedName name="asdfasdfxc_2_2" hidden="1">{"Complaint Graphs",#N/A,FALSE,"Complaint Graphs"}</definedName>
    <definedName name="asdfasdfxc_2_2_1" localSheetId="4" hidden="1">{"Complaint Graphs",#N/A,FALSE,"Complaint Graphs"}</definedName>
    <definedName name="asdfasdfxc_2_2_1" hidden="1">{"Complaint Graphs",#N/A,FALSE,"Complaint Graphs"}</definedName>
    <definedName name="asdfasdfxc_2_3" localSheetId="4" hidden="1">{"Complaint Graphs",#N/A,FALSE,"Complaint Graphs"}</definedName>
    <definedName name="asdfasdfxc_2_3" hidden="1">{"Complaint Graphs",#N/A,FALSE,"Complaint Graphs"}</definedName>
    <definedName name="asdfasdfxc_2_3_1" localSheetId="4" hidden="1">{"Complaint Graphs",#N/A,FALSE,"Complaint Graphs"}</definedName>
    <definedName name="asdfasdfxc_2_3_1" hidden="1">{"Complaint Graphs",#N/A,FALSE,"Complaint Graphs"}</definedName>
    <definedName name="asdfasdfxc_2_4" localSheetId="4" hidden="1">{"Complaint Graphs",#N/A,FALSE,"Complaint Graphs"}</definedName>
    <definedName name="asdfasdfxc_2_4" hidden="1">{"Complaint Graphs",#N/A,FALSE,"Complaint Graphs"}</definedName>
    <definedName name="asdfasdfxc_3" localSheetId="4" hidden="1">{"Complaint Graphs",#N/A,FALSE,"Complaint Graphs"}</definedName>
    <definedName name="asdfasdfxc_3" hidden="1">{"Complaint Graphs",#N/A,FALSE,"Complaint Graphs"}</definedName>
    <definedName name="asdfasdfxc_3_1" localSheetId="4" hidden="1">{"Complaint Graphs",#N/A,FALSE,"Complaint Graphs"}</definedName>
    <definedName name="asdfasdfxc_3_1" hidden="1">{"Complaint Graphs",#N/A,FALSE,"Complaint Graphs"}</definedName>
    <definedName name="asdfasdfxc_4" localSheetId="4" hidden="1">{"Complaint Graphs",#N/A,FALSE,"Complaint Graphs"}</definedName>
    <definedName name="asdfasdfxc_4" hidden="1">{"Complaint Graphs",#N/A,FALSE,"Complaint Graphs"}</definedName>
    <definedName name="asdfasdfxc_4_1" localSheetId="4" hidden="1">{"Complaint Graphs",#N/A,FALSE,"Complaint Graphs"}</definedName>
    <definedName name="asdfasdfxc_4_1" hidden="1">{"Complaint Graphs",#N/A,FALSE,"Complaint Graphs"}</definedName>
    <definedName name="asdfasdfxc_5" localSheetId="4" hidden="1">{"Complaint Graphs",#N/A,FALSE,"Complaint Graphs"}</definedName>
    <definedName name="asdfasdfxc_5" hidden="1">{"Complaint Graphs",#N/A,FALSE,"Complaint Graphs"}</definedName>
    <definedName name="asdfasdfxc_5_1" localSheetId="4" hidden="1">{"Complaint Graphs",#N/A,FALSE,"Complaint Graphs"}</definedName>
    <definedName name="asdfasdfxc_5_1" hidden="1">{"Complaint Graphs",#N/A,FALSE,"Complaint Graphs"}</definedName>
    <definedName name="asdfaserasds" localSheetId="4" hidden="1">{"Complaint Graphs",#N/A,FALSE,"Complaint Graphs"}</definedName>
    <definedName name="asdfaserasds" hidden="1">{"Complaint Graphs",#N/A,FALSE,"Complaint Graphs"}</definedName>
    <definedName name="asdfaserasds_1" localSheetId="4" hidden="1">{"Complaint Graphs",#N/A,FALSE,"Complaint Graphs"}</definedName>
    <definedName name="asdfaserasds_1" hidden="1">{"Complaint Graphs",#N/A,FALSE,"Complaint Graphs"}</definedName>
    <definedName name="asdfaserasds_1_1" localSheetId="4" hidden="1">{"Complaint Graphs",#N/A,FALSE,"Complaint Graphs"}</definedName>
    <definedName name="asdfaserasds_1_1" hidden="1">{"Complaint Graphs",#N/A,FALSE,"Complaint Graphs"}</definedName>
    <definedName name="asdfaserasds_1_1_1" localSheetId="4" hidden="1">{"Complaint Graphs",#N/A,FALSE,"Complaint Graphs"}</definedName>
    <definedName name="asdfaserasds_1_1_1" hidden="1">{"Complaint Graphs",#N/A,FALSE,"Complaint Graphs"}</definedName>
    <definedName name="asdfaserasds_1_1_1_1" localSheetId="4" hidden="1">{"Complaint Graphs",#N/A,FALSE,"Complaint Graphs"}</definedName>
    <definedName name="asdfaserasds_1_1_1_1" hidden="1">{"Complaint Graphs",#N/A,FALSE,"Complaint Graphs"}</definedName>
    <definedName name="asdfaserasds_1_1_2" localSheetId="4" hidden="1">{"Complaint Graphs",#N/A,FALSE,"Complaint Graphs"}</definedName>
    <definedName name="asdfaserasds_1_1_2" hidden="1">{"Complaint Graphs",#N/A,FALSE,"Complaint Graphs"}</definedName>
    <definedName name="asdfaserasds_1_1_2_1" localSheetId="4" hidden="1">{"Complaint Graphs",#N/A,FALSE,"Complaint Graphs"}</definedName>
    <definedName name="asdfaserasds_1_1_2_1" hidden="1">{"Complaint Graphs",#N/A,FALSE,"Complaint Graphs"}</definedName>
    <definedName name="asdfaserasds_1_1_3" localSheetId="4" hidden="1">{"Complaint Graphs",#N/A,FALSE,"Complaint Graphs"}</definedName>
    <definedName name="asdfaserasds_1_1_3" hidden="1">{"Complaint Graphs",#N/A,FALSE,"Complaint Graphs"}</definedName>
    <definedName name="asdfaserasds_1_1_3_1" localSheetId="4" hidden="1">{"Complaint Graphs",#N/A,FALSE,"Complaint Graphs"}</definedName>
    <definedName name="asdfaserasds_1_1_3_1" hidden="1">{"Complaint Graphs",#N/A,FALSE,"Complaint Graphs"}</definedName>
    <definedName name="asdfaserasds_1_1_4" localSheetId="4" hidden="1">{"Complaint Graphs",#N/A,FALSE,"Complaint Graphs"}</definedName>
    <definedName name="asdfaserasds_1_1_4" hidden="1">{"Complaint Graphs",#N/A,FALSE,"Complaint Graphs"}</definedName>
    <definedName name="asdfaserasds_1_2" localSheetId="4" hidden="1">{"Complaint Graphs",#N/A,FALSE,"Complaint Graphs"}</definedName>
    <definedName name="asdfaserasds_1_2" hidden="1">{"Complaint Graphs",#N/A,FALSE,"Complaint Graphs"}</definedName>
    <definedName name="asdfaserasds_1_2_1" localSheetId="4" hidden="1">{"Complaint Graphs",#N/A,FALSE,"Complaint Graphs"}</definedName>
    <definedName name="asdfaserasds_1_2_1" hidden="1">{"Complaint Graphs",#N/A,FALSE,"Complaint Graphs"}</definedName>
    <definedName name="asdfaserasds_1_3" localSheetId="4" hidden="1">{"Complaint Graphs",#N/A,FALSE,"Complaint Graphs"}</definedName>
    <definedName name="asdfaserasds_1_3" hidden="1">{"Complaint Graphs",#N/A,FALSE,"Complaint Graphs"}</definedName>
    <definedName name="asdfaserasds_1_3_1" localSheetId="4" hidden="1">{"Complaint Graphs",#N/A,FALSE,"Complaint Graphs"}</definedName>
    <definedName name="asdfaserasds_1_3_1" hidden="1">{"Complaint Graphs",#N/A,FALSE,"Complaint Graphs"}</definedName>
    <definedName name="asdfaserasds_1_4" localSheetId="4" hidden="1">{"Complaint Graphs",#N/A,FALSE,"Complaint Graphs"}</definedName>
    <definedName name="asdfaserasds_1_4" hidden="1">{"Complaint Graphs",#N/A,FALSE,"Complaint Graphs"}</definedName>
    <definedName name="asdfaserasds_1_4_1" localSheetId="4" hidden="1">{"Complaint Graphs",#N/A,FALSE,"Complaint Graphs"}</definedName>
    <definedName name="asdfaserasds_1_4_1" hidden="1">{"Complaint Graphs",#N/A,FALSE,"Complaint Graphs"}</definedName>
    <definedName name="asdfaserasds_1_5" localSheetId="4" hidden="1">{"Complaint Graphs",#N/A,FALSE,"Complaint Graphs"}</definedName>
    <definedName name="asdfaserasds_1_5" hidden="1">{"Complaint Graphs",#N/A,FALSE,"Complaint Graphs"}</definedName>
    <definedName name="asdfaserasds_2" localSheetId="4" hidden="1">{"Complaint Graphs",#N/A,FALSE,"Complaint Graphs"}</definedName>
    <definedName name="asdfaserasds_2" hidden="1">{"Complaint Graphs",#N/A,FALSE,"Complaint Graphs"}</definedName>
    <definedName name="asdfaserasds_2_1" localSheetId="4" hidden="1">{"Complaint Graphs",#N/A,FALSE,"Complaint Graphs"}</definedName>
    <definedName name="asdfaserasds_2_1" hidden="1">{"Complaint Graphs",#N/A,FALSE,"Complaint Graphs"}</definedName>
    <definedName name="asdfaserasds_2_1_1" localSheetId="4" hidden="1">{"Complaint Graphs",#N/A,FALSE,"Complaint Graphs"}</definedName>
    <definedName name="asdfaserasds_2_1_1" hidden="1">{"Complaint Graphs",#N/A,FALSE,"Complaint Graphs"}</definedName>
    <definedName name="asdfaserasds_2_2" localSheetId="4" hidden="1">{"Complaint Graphs",#N/A,FALSE,"Complaint Graphs"}</definedName>
    <definedName name="asdfaserasds_2_2" hidden="1">{"Complaint Graphs",#N/A,FALSE,"Complaint Graphs"}</definedName>
    <definedName name="asdfaserasds_2_2_1" localSheetId="4" hidden="1">{"Complaint Graphs",#N/A,FALSE,"Complaint Graphs"}</definedName>
    <definedName name="asdfaserasds_2_2_1" hidden="1">{"Complaint Graphs",#N/A,FALSE,"Complaint Graphs"}</definedName>
    <definedName name="asdfaserasds_2_3" localSheetId="4" hidden="1">{"Complaint Graphs",#N/A,FALSE,"Complaint Graphs"}</definedName>
    <definedName name="asdfaserasds_2_3" hidden="1">{"Complaint Graphs",#N/A,FALSE,"Complaint Graphs"}</definedName>
    <definedName name="asdfaserasds_2_3_1" localSheetId="4" hidden="1">{"Complaint Graphs",#N/A,FALSE,"Complaint Graphs"}</definedName>
    <definedName name="asdfaserasds_2_3_1" hidden="1">{"Complaint Graphs",#N/A,FALSE,"Complaint Graphs"}</definedName>
    <definedName name="asdfaserasds_2_4" localSheetId="4" hidden="1">{"Complaint Graphs",#N/A,FALSE,"Complaint Graphs"}</definedName>
    <definedName name="asdfaserasds_2_4" hidden="1">{"Complaint Graphs",#N/A,FALSE,"Complaint Graphs"}</definedName>
    <definedName name="asdfaserasds_3" localSheetId="4" hidden="1">{"Complaint Graphs",#N/A,FALSE,"Complaint Graphs"}</definedName>
    <definedName name="asdfaserasds_3" hidden="1">{"Complaint Graphs",#N/A,FALSE,"Complaint Graphs"}</definedName>
    <definedName name="asdfaserasds_3_1" localSheetId="4" hidden="1">{"Complaint Graphs",#N/A,FALSE,"Complaint Graphs"}</definedName>
    <definedName name="asdfaserasds_3_1" hidden="1">{"Complaint Graphs",#N/A,FALSE,"Complaint Graphs"}</definedName>
    <definedName name="asdfaserasds_4" localSheetId="4" hidden="1">{"Complaint Graphs",#N/A,FALSE,"Complaint Graphs"}</definedName>
    <definedName name="asdfaserasds_4" hidden="1">{"Complaint Graphs",#N/A,FALSE,"Complaint Graphs"}</definedName>
    <definedName name="asdfaserasds_4_1" localSheetId="4" hidden="1">{"Complaint Graphs",#N/A,FALSE,"Complaint Graphs"}</definedName>
    <definedName name="asdfaserasds_4_1" hidden="1">{"Complaint Graphs",#N/A,FALSE,"Complaint Graphs"}</definedName>
    <definedName name="asdfaserasds_5" localSheetId="4" hidden="1">{"Complaint Graphs",#N/A,FALSE,"Complaint Graphs"}</definedName>
    <definedName name="asdfaserasds_5" hidden="1">{"Complaint Graphs",#N/A,FALSE,"Complaint Graphs"}</definedName>
    <definedName name="asdfaserasds_5_1" localSheetId="4" hidden="1">{"Complaint Graphs",#N/A,FALSE,"Complaint Graphs"}</definedName>
    <definedName name="asdfaserasds_5_1" hidden="1">{"Complaint Graphs",#N/A,FALSE,"Complaint Graphs"}</definedName>
    <definedName name="asdfcvzxv" localSheetId="4" hidden="1">{"Complaint Graphs",#N/A,FALSE,"Complaint Graphs"}</definedName>
    <definedName name="asdfcvzxv" hidden="1">{"Complaint Graphs",#N/A,FALSE,"Complaint Graphs"}</definedName>
    <definedName name="asdfcvzxv_1" localSheetId="4" hidden="1">{"Complaint Graphs",#N/A,FALSE,"Complaint Graphs"}</definedName>
    <definedName name="asdfcvzxv_1" hidden="1">{"Complaint Graphs",#N/A,FALSE,"Complaint Graphs"}</definedName>
    <definedName name="asdfcvzxv_1_1" localSheetId="4" hidden="1">{"Complaint Graphs",#N/A,FALSE,"Complaint Graphs"}</definedName>
    <definedName name="asdfcvzxv_1_1" hidden="1">{"Complaint Graphs",#N/A,FALSE,"Complaint Graphs"}</definedName>
    <definedName name="asdfcvzxv_1_1_1" localSheetId="4" hidden="1">{"Complaint Graphs",#N/A,FALSE,"Complaint Graphs"}</definedName>
    <definedName name="asdfcvzxv_1_1_1" hidden="1">{"Complaint Graphs",#N/A,FALSE,"Complaint Graphs"}</definedName>
    <definedName name="asdfcvzxv_1_1_1_1" localSheetId="4" hidden="1">{"Complaint Graphs",#N/A,FALSE,"Complaint Graphs"}</definedName>
    <definedName name="asdfcvzxv_1_1_1_1" hidden="1">{"Complaint Graphs",#N/A,FALSE,"Complaint Graphs"}</definedName>
    <definedName name="asdfcvzxv_1_1_2" localSheetId="4" hidden="1">{"Complaint Graphs",#N/A,FALSE,"Complaint Graphs"}</definedName>
    <definedName name="asdfcvzxv_1_1_2" hidden="1">{"Complaint Graphs",#N/A,FALSE,"Complaint Graphs"}</definedName>
    <definedName name="asdfcvzxv_1_1_2_1" localSheetId="4" hidden="1">{"Complaint Graphs",#N/A,FALSE,"Complaint Graphs"}</definedName>
    <definedName name="asdfcvzxv_1_1_2_1" hidden="1">{"Complaint Graphs",#N/A,FALSE,"Complaint Graphs"}</definedName>
    <definedName name="asdfcvzxv_1_1_3" localSheetId="4" hidden="1">{"Complaint Graphs",#N/A,FALSE,"Complaint Graphs"}</definedName>
    <definedName name="asdfcvzxv_1_1_3" hidden="1">{"Complaint Graphs",#N/A,FALSE,"Complaint Graphs"}</definedName>
    <definedName name="asdfcvzxv_1_1_3_1" localSheetId="4" hidden="1">{"Complaint Graphs",#N/A,FALSE,"Complaint Graphs"}</definedName>
    <definedName name="asdfcvzxv_1_1_3_1" hidden="1">{"Complaint Graphs",#N/A,FALSE,"Complaint Graphs"}</definedName>
    <definedName name="asdfcvzxv_1_1_4" localSheetId="4" hidden="1">{"Complaint Graphs",#N/A,FALSE,"Complaint Graphs"}</definedName>
    <definedName name="asdfcvzxv_1_1_4" hidden="1">{"Complaint Graphs",#N/A,FALSE,"Complaint Graphs"}</definedName>
    <definedName name="asdfcvzxv_1_2" localSheetId="4" hidden="1">{"Complaint Graphs",#N/A,FALSE,"Complaint Graphs"}</definedName>
    <definedName name="asdfcvzxv_1_2" hidden="1">{"Complaint Graphs",#N/A,FALSE,"Complaint Graphs"}</definedName>
    <definedName name="asdfcvzxv_1_2_1" localSheetId="4" hidden="1">{"Complaint Graphs",#N/A,FALSE,"Complaint Graphs"}</definedName>
    <definedName name="asdfcvzxv_1_2_1" hidden="1">{"Complaint Graphs",#N/A,FALSE,"Complaint Graphs"}</definedName>
    <definedName name="asdfcvzxv_1_3" localSheetId="4" hidden="1">{"Complaint Graphs",#N/A,FALSE,"Complaint Graphs"}</definedName>
    <definedName name="asdfcvzxv_1_3" hidden="1">{"Complaint Graphs",#N/A,FALSE,"Complaint Graphs"}</definedName>
    <definedName name="asdfcvzxv_1_3_1" localSheetId="4" hidden="1">{"Complaint Graphs",#N/A,FALSE,"Complaint Graphs"}</definedName>
    <definedName name="asdfcvzxv_1_3_1" hidden="1">{"Complaint Graphs",#N/A,FALSE,"Complaint Graphs"}</definedName>
    <definedName name="asdfcvzxv_1_4" localSheetId="4" hidden="1">{"Complaint Graphs",#N/A,FALSE,"Complaint Graphs"}</definedName>
    <definedName name="asdfcvzxv_1_4" hidden="1">{"Complaint Graphs",#N/A,FALSE,"Complaint Graphs"}</definedName>
    <definedName name="asdfcvzxv_1_4_1" localSheetId="4" hidden="1">{"Complaint Graphs",#N/A,FALSE,"Complaint Graphs"}</definedName>
    <definedName name="asdfcvzxv_1_4_1" hidden="1">{"Complaint Graphs",#N/A,FALSE,"Complaint Graphs"}</definedName>
    <definedName name="asdfcvzxv_1_5" localSheetId="4" hidden="1">{"Complaint Graphs",#N/A,FALSE,"Complaint Graphs"}</definedName>
    <definedName name="asdfcvzxv_1_5" hidden="1">{"Complaint Graphs",#N/A,FALSE,"Complaint Graphs"}</definedName>
    <definedName name="asdfcvzxv_2" localSheetId="4" hidden="1">{"Complaint Graphs",#N/A,FALSE,"Complaint Graphs"}</definedName>
    <definedName name="asdfcvzxv_2" hidden="1">{"Complaint Graphs",#N/A,FALSE,"Complaint Graphs"}</definedName>
    <definedName name="asdfcvzxv_2_1" localSheetId="4" hidden="1">{"Complaint Graphs",#N/A,FALSE,"Complaint Graphs"}</definedName>
    <definedName name="asdfcvzxv_2_1" hidden="1">{"Complaint Graphs",#N/A,FALSE,"Complaint Graphs"}</definedName>
    <definedName name="asdfcvzxv_2_1_1" localSheetId="4" hidden="1">{"Complaint Graphs",#N/A,FALSE,"Complaint Graphs"}</definedName>
    <definedName name="asdfcvzxv_2_1_1" hidden="1">{"Complaint Graphs",#N/A,FALSE,"Complaint Graphs"}</definedName>
    <definedName name="asdfcvzxv_2_2" localSheetId="4" hidden="1">{"Complaint Graphs",#N/A,FALSE,"Complaint Graphs"}</definedName>
    <definedName name="asdfcvzxv_2_2" hidden="1">{"Complaint Graphs",#N/A,FALSE,"Complaint Graphs"}</definedName>
    <definedName name="asdfcvzxv_2_2_1" localSheetId="4" hidden="1">{"Complaint Graphs",#N/A,FALSE,"Complaint Graphs"}</definedName>
    <definedName name="asdfcvzxv_2_2_1" hidden="1">{"Complaint Graphs",#N/A,FALSE,"Complaint Graphs"}</definedName>
    <definedName name="asdfcvzxv_2_3" localSheetId="4" hidden="1">{"Complaint Graphs",#N/A,FALSE,"Complaint Graphs"}</definedName>
    <definedName name="asdfcvzxv_2_3" hidden="1">{"Complaint Graphs",#N/A,FALSE,"Complaint Graphs"}</definedName>
    <definedName name="asdfcvzxv_2_3_1" localSheetId="4" hidden="1">{"Complaint Graphs",#N/A,FALSE,"Complaint Graphs"}</definedName>
    <definedName name="asdfcvzxv_2_3_1" hidden="1">{"Complaint Graphs",#N/A,FALSE,"Complaint Graphs"}</definedName>
    <definedName name="asdfcvzxv_2_4" localSheetId="4" hidden="1">{"Complaint Graphs",#N/A,FALSE,"Complaint Graphs"}</definedName>
    <definedName name="asdfcvzxv_2_4" hidden="1">{"Complaint Graphs",#N/A,FALSE,"Complaint Graphs"}</definedName>
    <definedName name="asdfcvzxv_3" localSheetId="4" hidden="1">{"Complaint Graphs",#N/A,FALSE,"Complaint Graphs"}</definedName>
    <definedName name="asdfcvzxv_3" hidden="1">{"Complaint Graphs",#N/A,FALSE,"Complaint Graphs"}</definedName>
    <definedName name="asdfcvzxv_3_1" localSheetId="4" hidden="1">{"Complaint Graphs",#N/A,FALSE,"Complaint Graphs"}</definedName>
    <definedName name="asdfcvzxv_3_1" hidden="1">{"Complaint Graphs",#N/A,FALSE,"Complaint Graphs"}</definedName>
    <definedName name="asdfcvzxv_4" localSheetId="4" hidden="1">{"Complaint Graphs",#N/A,FALSE,"Complaint Graphs"}</definedName>
    <definedName name="asdfcvzxv_4" hidden="1">{"Complaint Graphs",#N/A,FALSE,"Complaint Graphs"}</definedName>
    <definedName name="asdfcvzxv_4_1" localSheetId="4" hidden="1">{"Complaint Graphs",#N/A,FALSE,"Complaint Graphs"}</definedName>
    <definedName name="asdfcvzxv_4_1" hidden="1">{"Complaint Graphs",#N/A,FALSE,"Complaint Graphs"}</definedName>
    <definedName name="asdfcvzxv_5" localSheetId="4" hidden="1">{"Complaint Graphs",#N/A,FALSE,"Complaint Graphs"}</definedName>
    <definedName name="asdfcvzxv_5" hidden="1">{"Complaint Graphs",#N/A,FALSE,"Complaint Graphs"}</definedName>
    <definedName name="asdfcvzxv_5_1" localSheetId="4" hidden="1">{"Complaint Graphs",#N/A,FALSE,"Complaint Graphs"}</definedName>
    <definedName name="asdfcvzxv_5_1" hidden="1">{"Complaint Graphs",#N/A,FALSE,"Complaint Graphs"}</definedName>
    <definedName name="asdfdase" localSheetId="4" hidden="1">{"Complaint Graphs",#N/A,FALSE,"Complaint Graphs"}</definedName>
    <definedName name="asdfdase" hidden="1">{"Complaint Graphs",#N/A,FALSE,"Complaint Graphs"}</definedName>
    <definedName name="asdfdase_1" localSheetId="4" hidden="1">{"Complaint Graphs",#N/A,FALSE,"Complaint Graphs"}</definedName>
    <definedName name="asdfdase_1" hidden="1">{"Complaint Graphs",#N/A,FALSE,"Complaint Graphs"}</definedName>
    <definedName name="asdfdase_1_1" localSheetId="4" hidden="1">{"Complaint Graphs",#N/A,FALSE,"Complaint Graphs"}</definedName>
    <definedName name="asdfdase_1_1" hidden="1">{"Complaint Graphs",#N/A,FALSE,"Complaint Graphs"}</definedName>
    <definedName name="asdfdase_1_1_1" localSheetId="4" hidden="1">{"Complaint Graphs",#N/A,FALSE,"Complaint Graphs"}</definedName>
    <definedName name="asdfdase_1_1_1" hidden="1">{"Complaint Graphs",#N/A,FALSE,"Complaint Graphs"}</definedName>
    <definedName name="asdfdase_1_1_1_1" localSheetId="4" hidden="1">{"Complaint Graphs",#N/A,FALSE,"Complaint Graphs"}</definedName>
    <definedName name="asdfdase_1_1_1_1" hidden="1">{"Complaint Graphs",#N/A,FALSE,"Complaint Graphs"}</definedName>
    <definedName name="asdfdase_1_1_2" localSheetId="4" hidden="1">{"Complaint Graphs",#N/A,FALSE,"Complaint Graphs"}</definedName>
    <definedName name="asdfdase_1_1_2" hidden="1">{"Complaint Graphs",#N/A,FALSE,"Complaint Graphs"}</definedName>
    <definedName name="asdfdase_1_1_2_1" localSheetId="4" hidden="1">{"Complaint Graphs",#N/A,FALSE,"Complaint Graphs"}</definedName>
    <definedName name="asdfdase_1_1_2_1" hidden="1">{"Complaint Graphs",#N/A,FALSE,"Complaint Graphs"}</definedName>
    <definedName name="asdfdase_1_1_3" localSheetId="4" hidden="1">{"Complaint Graphs",#N/A,FALSE,"Complaint Graphs"}</definedName>
    <definedName name="asdfdase_1_1_3" hidden="1">{"Complaint Graphs",#N/A,FALSE,"Complaint Graphs"}</definedName>
    <definedName name="asdfdase_1_1_3_1" localSheetId="4" hidden="1">{"Complaint Graphs",#N/A,FALSE,"Complaint Graphs"}</definedName>
    <definedName name="asdfdase_1_1_3_1" hidden="1">{"Complaint Graphs",#N/A,FALSE,"Complaint Graphs"}</definedName>
    <definedName name="asdfdase_1_1_4" localSheetId="4" hidden="1">{"Complaint Graphs",#N/A,FALSE,"Complaint Graphs"}</definedName>
    <definedName name="asdfdase_1_1_4" hidden="1">{"Complaint Graphs",#N/A,FALSE,"Complaint Graphs"}</definedName>
    <definedName name="asdfdase_1_2" localSheetId="4" hidden="1">{"Complaint Graphs",#N/A,FALSE,"Complaint Graphs"}</definedName>
    <definedName name="asdfdase_1_2" hidden="1">{"Complaint Graphs",#N/A,FALSE,"Complaint Graphs"}</definedName>
    <definedName name="asdfdase_1_2_1" localSheetId="4" hidden="1">{"Complaint Graphs",#N/A,FALSE,"Complaint Graphs"}</definedName>
    <definedName name="asdfdase_1_2_1" hidden="1">{"Complaint Graphs",#N/A,FALSE,"Complaint Graphs"}</definedName>
    <definedName name="asdfdase_1_3" localSheetId="4" hidden="1">{"Complaint Graphs",#N/A,FALSE,"Complaint Graphs"}</definedName>
    <definedName name="asdfdase_1_3" hidden="1">{"Complaint Graphs",#N/A,FALSE,"Complaint Graphs"}</definedName>
    <definedName name="asdfdase_1_3_1" localSheetId="4" hidden="1">{"Complaint Graphs",#N/A,FALSE,"Complaint Graphs"}</definedName>
    <definedName name="asdfdase_1_3_1" hidden="1">{"Complaint Graphs",#N/A,FALSE,"Complaint Graphs"}</definedName>
    <definedName name="asdfdase_1_4" localSheetId="4" hidden="1">{"Complaint Graphs",#N/A,FALSE,"Complaint Graphs"}</definedName>
    <definedName name="asdfdase_1_4" hidden="1">{"Complaint Graphs",#N/A,FALSE,"Complaint Graphs"}</definedName>
    <definedName name="asdfdase_1_4_1" localSheetId="4" hidden="1">{"Complaint Graphs",#N/A,FALSE,"Complaint Graphs"}</definedName>
    <definedName name="asdfdase_1_4_1" hidden="1">{"Complaint Graphs",#N/A,FALSE,"Complaint Graphs"}</definedName>
    <definedName name="asdfdase_1_5" localSheetId="4" hidden="1">{"Complaint Graphs",#N/A,FALSE,"Complaint Graphs"}</definedName>
    <definedName name="asdfdase_1_5" hidden="1">{"Complaint Graphs",#N/A,FALSE,"Complaint Graphs"}</definedName>
    <definedName name="asdfdase_2" localSheetId="4" hidden="1">{"Complaint Graphs",#N/A,FALSE,"Complaint Graphs"}</definedName>
    <definedName name="asdfdase_2" hidden="1">{"Complaint Graphs",#N/A,FALSE,"Complaint Graphs"}</definedName>
    <definedName name="asdfdase_2_1" localSheetId="4" hidden="1">{"Complaint Graphs",#N/A,FALSE,"Complaint Graphs"}</definedName>
    <definedName name="asdfdase_2_1" hidden="1">{"Complaint Graphs",#N/A,FALSE,"Complaint Graphs"}</definedName>
    <definedName name="asdfdase_2_1_1" localSheetId="4" hidden="1">{"Complaint Graphs",#N/A,FALSE,"Complaint Graphs"}</definedName>
    <definedName name="asdfdase_2_1_1" hidden="1">{"Complaint Graphs",#N/A,FALSE,"Complaint Graphs"}</definedName>
    <definedName name="asdfdase_2_2" localSheetId="4" hidden="1">{"Complaint Graphs",#N/A,FALSE,"Complaint Graphs"}</definedName>
    <definedName name="asdfdase_2_2" hidden="1">{"Complaint Graphs",#N/A,FALSE,"Complaint Graphs"}</definedName>
    <definedName name="asdfdase_2_2_1" localSheetId="4" hidden="1">{"Complaint Graphs",#N/A,FALSE,"Complaint Graphs"}</definedName>
    <definedName name="asdfdase_2_2_1" hidden="1">{"Complaint Graphs",#N/A,FALSE,"Complaint Graphs"}</definedName>
    <definedName name="asdfdase_2_3" localSheetId="4" hidden="1">{"Complaint Graphs",#N/A,FALSE,"Complaint Graphs"}</definedName>
    <definedName name="asdfdase_2_3" hidden="1">{"Complaint Graphs",#N/A,FALSE,"Complaint Graphs"}</definedName>
    <definedName name="asdfdase_2_3_1" localSheetId="4" hidden="1">{"Complaint Graphs",#N/A,FALSE,"Complaint Graphs"}</definedName>
    <definedName name="asdfdase_2_3_1" hidden="1">{"Complaint Graphs",#N/A,FALSE,"Complaint Graphs"}</definedName>
    <definedName name="asdfdase_2_4" localSheetId="4" hidden="1">{"Complaint Graphs",#N/A,FALSE,"Complaint Graphs"}</definedName>
    <definedName name="asdfdase_2_4" hidden="1">{"Complaint Graphs",#N/A,FALSE,"Complaint Graphs"}</definedName>
    <definedName name="asdfdase_3" localSheetId="4" hidden="1">{"Complaint Graphs",#N/A,FALSE,"Complaint Graphs"}</definedName>
    <definedName name="asdfdase_3" hidden="1">{"Complaint Graphs",#N/A,FALSE,"Complaint Graphs"}</definedName>
    <definedName name="asdfdase_3_1" localSheetId="4" hidden="1">{"Complaint Graphs",#N/A,FALSE,"Complaint Graphs"}</definedName>
    <definedName name="asdfdase_3_1" hidden="1">{"Complaint Graphs",#N/A,FALSE,"Complaint Graphs"}</definedName>
    <definedName name="asdfdase_4" localSheetId="4" hidden="1">{"Complaint Graphs",#N/A,FALSE,"Complaint Graphs"}</definedName>
    <definedName name="asdfdase_4" hidden="1">{"Complaint Graphs",#N/A,FALSE,"Complaint Graphs"}</definedName>
    <definedName name="asdfdase_4_1" localSheetId="4" hidden="1">{"Complaint Graphs",#N/A,FALSE,"Complaint Graphs"}</definedName>
    <definedName name="asdfdase_4_1" hidden="1">{"Complaint Graphs",#N/A,FALSE,"Complaint Graphs"}</definedName>
    <definedName name="asdfdase_5" localSheetId="4" hidden="1">{"Complaint Graphs",#N/A,FALSE,"Complaint Graphs"}</definedName>
    <definedName name="asdfdase_5" hidden="1">{"Complaint Graphs",#N/A,FALSE,"Complaint Graphs"}</definedName>
    <definedName name="asdfdase_5_1" localSheetId="4" hidden="1">{"Complaint Graphs",#N/A,FALSE,"Complaint Graphs"}</definedName>
    <definedName name="asdfdase_5_1" hidden="1">{"Complaint Graphs",#N/A,FALSE,"Complaint Graphs"}</definedName>
    <definedName name="asdfsadfsadf" localSheetId="4" hidden="1">{"Complaint Graphs",#N/A,FALSE,"Complaint Graphs"}</definedName>
    <definedName name="asdfsadfsadf" hidden="1">{"Complaint Graphs",#N/A,FALSE,"Complaint Graphs"}</definedName>
    <definedName name="asdfsadfsadf_1" localSheetId="4" hidden="1">{"Complaint Graphs",#N/A,FALSE,"Complaint Graphs"}</definedName>
    <definedName name="asdfsadfsadf_1" hidden="1">{"Complaint Graphs",#N/A,FALSE,"Complaint Graphs"}</definedName>
    <definedName name="asdfsadfsadf_1_1" localSheetId="4" hidden="1">{"Complaint Graphs",#N/A,FALSE,"Complaint Graphs"}</definedName>
    <definedName name="asdfsadfsadf_1_1" hidden="1">{"Complaint Graphs",#N/A,FALSE,"Complaint Graphs"}</definedName>
    <definedName name="asdfsadfsadf_1_1_1" localSheetId="4" hidden="1">{"Complaint Graphs",#N/A,FALSE,"Complaint Graphs"}</definedName>
    <definedName name="asdfsadfsadf_1_1_1" hidden="1">{"Complaint Graphs",#N/A,FALSE,"Complaint Graphs"}</definedName>
    <definedName name="asdfsadfsadf_1_1_1_1" localSheetId="4" hidden="1">{"Complaint Graphs",#N/A,FALSE,"Complaint Graphs"}</definedName>
    <definedName name="asdfsadfsadf_1_1_1_1" hidden="1">{"Complaint Graphs",#N/A,FALSE,"Complaint Graphs"}</definedName>
    <definedName name="asdfsadfsadf_1_1_2" localSheetId="4" hidden="1">{"Complaint Graphs",#N/A,FALSE,"Complaint Graphs"}</definedName>
    <definedName name="asdfsadfsadf_1_1_2" hidden="1">{"Complaint Graphs",#N/A,FALSE,"Complaint Graphs"}</definedName>
    <definedName name="asdfsadfsadf_1_1_2_1" localSheetId="4" hidden="1">{"Complaint Graphs",#N/A,FALSE,"Complaint Graphs"}</definedName>
    <definedName name="asdfsadfsadf_1_1_2_1" hidden="1">{"Complaint Graphs",#N/A,FALSE,"Complaint Graphs"}</definedName>
    <definedName name="asdfsadfsadf_1_1_3" localSheetId="4" hidden="1">{"Complaint Graphs",#N/A,FALSE,"Complaint Graphs"}</definedName>
    <definedName name="asdfsadfsadf_1_1_3" hidden="1">{"Complaint Graphs",#N/A,FALSE,"Complaint Graphs"}</definedName>
    <definedName name="asdfsadfsadf_1_1_3_1" localSheetId="4" hidden="1">{"Complaint Graphs",#N/A,FALSE,"Complaint Graphs"}</definedName>
    <definedName name="asdfsadfsadf_1_1_3_1" hidden="1">{"Complaint Graphs",#N/A,FALSE,"Complaint Graphs"}</definedName>
    <definedName name="asdfsadfsadf_1_1_4" localSheetId="4" hidden="1">{"Complaint Graphs",#N/A,FALSE,"Complaint Graphs"}</definedName>
    <definedName name="asdfsadfsadf_1_1_4" hidden="1">{"Complaint Graphs",#N/A,FALSE,"Complaint Graphs"}</definedName>
    <definedName name="asdfsadfsadf_1_2" localSheetId="4" hidden="1">{"Complaint Graphs",#N/A,FALSE,"Complaint Graphs"}</definedName>
    <definedName name="asdfsadfsadf_1_2" hidden="1">{"Complaint Graphs",#N/A,FALSE,"Complaint Graphs"}</definedName>
    <definedName name="asdfsadfsadf_1_2_1" localSheetId="4" hidden="1">{"Complaint Graphs",#N/A,FALSE,"Complaint Graphs"}</definedName>
    <definedName name="asdfsadfsadf_1_2_1" hidden="1">{"Complaint Graphs",#N/A,FALSE,"Complaint Graphs"}</definedName>
    <definedName name="asdfsadfsadf_1_3" localSheetId="4" hidden="1">{"Complaint Graphs",#N/A,FALSE,"Complaint Graphs"}</definedName>
    <definedName name="asdfsadfsadf_1_3" hidden="1">{"Complaint Graphs",#N/A,FALSE,"Complaint Graphs"}</definedName>
    <definedName name="asdfsadfsadf_1_3_1" localSheetId="4" hidden="1">{"Complaint Graphs",#N/A,FALSE,"Complaint Graphs"}</definedName>
    <definedName name="asdfsadfsadf_1_3_1" hidden="1">{"Complaint Graphs",#N/A,FALSE,"Complaint Graphs"}</definedName>
    <definedName name="asdfsadfsadf_1_4" localSheetId="4" hidden="1">{"Complaint Graphs",#N/A,FALSE,"Complaint Graphs"}</definedName>
    <definedName name="asdfsadfsadf_1_4" hidden="1">{"Complaint Graphs",#N/A,FALSE,"Complaint Graphs"}</definedName>
    <definedName name="asdfsadfsadf_1_4_1" localSheetId="4" hidden="1">{"Complaint Graphs",#N/A,FALSE,"Complaint Graphs"}</definedName>
    <definedName name="asdfsadfsadf_1_4_1" hidden="1">{"Complaint Graphs",#N/A,FALSE,"Complaint Graphs"}</definedName>
    <definedName name="asdfsadfsadf_1_5" localSheetId="4" hidden="1">{"Complaint Graphs",#N/A,FALSE,"Complaint Graphs"}</definedName>
    <definedName name="asdfsadfsadf_1_5" hidden="1">{"Complaint Graphs",#N/A,FALSE,"Complaint Graphs"}</definedName>
    <definedName name="asdfsadfsadf_2" localSheetId="4" hidden="1">{"Complaint Graphs",#N/A,FALSE,"Complaint Graphs"}</definedName>
    <definedName name="asdfsadfsadf_2" hidden="1">{"Complaint Graphs",#N/A,FALSE,"Complaint Graphs"}</definedName>
    <definedName name="asdfsadfsadf_2_1" localSheetId="4" hidden="1">{"Complaint Graphs",#N/A,FALSE,"Complaint Graphs"}</definedName>
    <definedName name="asdfsadfsadf_2_1" hidden="1">{"Complaint Graphs",#N/A,FALSE,"Complaint Graphs"}</definedName>
    <definedName name="asdfsadfsadf_2_1_1" localSheetId="4" hidden="1">{"Complaint Graphs",#N/A,FALSE,"Complaint Graphs"}</definedName>
    <definedName name="asdfsadfsadf_2_1_1" hidden="1">{"Complaint Graphs",#N/A,FALSE,"Complaint Graphs"}</definedName>
    <definedName name="asdfsadfsadf_2_2" localSheetId="4" hidden="1">{"Complaint Graphs",#N/A,FALSE,"Complaint Graphs"}</definedName>
    <definedName name="asdfsadfsadf_2_2" hidden="1">{"Complaint Graphs",#N/A,FALSE,"Complaint Graphs"}</definedName>
    <definedName name="asdfsadfsadf_2_2_1" localSheetId="4" hidden="1">{"Complaint Graphs",#N/A,FALSE,"Complaint Graphs"}</definedName>
    <definedName name="asdfsadfsadf_2_2_1" hidden="1">{"Complaint Graphs",#N/A,FALSE,"Complaint Graphs"}</definedName>
    <definedName name="asdfsadfsadf_2_3" localSheetId="4" hidden="1">{"Complaint Graphs",#N/A,FALSE,"Complaint Graphs"}</definedName>
    <definedName name="asdfsadfsadf_2_3" hidden="1">{"Complaint Graphs",#N/A,FALSE,"Complaint Graphs"}</definedName>
    <definedName name="asdfsadfsadf_2_3_1" localSheetId="4" hidden="1">{"Complaint Graphs",#N/A,FALSE,"Complaint Graphs"}</definedName>
    <definedName name="asdfsadfsadf_2_3_1" hidden="1">{"Complaint Graphs",#N/A,FALSE,"Complaint Graphs"}</definedName>
    <definedName name="asdfsadfsadf_2_4" localSheetId="4" hidden="1">{"Complaint Graphs",#N/A,FALSE,"Complaint Graphs"}</definedName>
    <definedName name="asdfsadfsadf_2_4" hidden="1">{"Complaint Graphs",#N/A,FALSE,"Complaint Graphs"}</definedName>
    <definedName name="asdfsadfsadf_3" localSheetId="4" hidden="1">{"Complaint Graphs",#N/A,FALSE,"Complaint Graphs"}</definedName>
    <definedName name="asdfsadfsadf_3" hidden="1">{"Complaint Graphs",#N/A,FALSE,"Complaint Graphs"}</definedName>
    <definedName name="asdfsadfsadf_3_1" localSheetId="4" hidden="1">{"Complaint Graphs",#N/A,FALSE,"Complaint Graphs"}</definedName>
    <definedName name="asdfsadfsadf_3_1" hidden="1">{"Complaint Graphs",#N/A,FALSE,"Complaint Graphs"}</definedName>
    <definedName name="asdfsadfsadf_4" localSheetId="4" hidden="1">{"Complaint Graphs",#N/A,FALSE,"Complaint Graphs"}</definedName>
    <definedName name="asdfsadfsadf_4" hidden="1">{"Complaint Graphs",#N/A,FALSE,"Complaint Graphs"}</definedName>
    <definedName name="asdfsadfsadf_4_1" localSheetId="4" hidden="1">{"Complaint Graphs",#N/A,FALSE,"Complaint Graphs"}</definedName>
    <definedName name="asdfsadfsadf_4_1" hidden="1">{"Complaint Graphs",#N/A,FALSE,"Complaint Graphs"}</definedName>
    <definedName name="asdfsadfsadf_5" localSheetId="4" hidden="1">{"Complaint Graphs",#N/A,FALSE,"Complaint Graphs"}</definedName>
    <definedName name="asdfsadfsadf_5" hidden="1">{"Complaint Graphs",#N/A,FALSE,"Complaint Graphs"}</definedName>
    <definedName name="asdfsadfsadf_5_1" localSheetId="4" hidden="1">{"Complaint Graphs",#N/A,FALSE,"Complaint Graphs"}</definedName>
    <definedName name="asdfsadfsadf_5_1" hidden="1">{"Complaint Graphs",#N/A,FALSE,"Complaint Graphs"}</definedName>
    <definedName name="asdfsdaf" localSheetId="4" hidden="1">{"Complaint Graphs",#N/A,FALSE,"Complaint Graphs"}</definedName>
    <definedName name="asdfsdaf" hidden="1">{"Complaint Graphs",#N/A,FALSE,"Complaint Graphs"}</definedName>
    <definedName name="asdfsdaf_1" localSheetId="4" hidden="1">{"Complaint Graphs",#N/A,FALSE,"Complaint Graphs"}</definedName>
    <definedName name="asdfsdaf_1" hidden="1">{"Complaint Graphs",#N/A,FALSE,"Complaint Graphs"}</definedName>
    <definedName name="asdfsdaf_1_1" localSheetId="4" hidden="1">{"Complaint Graphs",#N/A,FALSE,"Complaint Graphs"}</definedName>
    <definedName name="asdfsdaf_1_1" hidden="1">{"Complaint Graphs",#N/A,FALSE,"Complaint Graphs"}</definedName>
    <definedName name="asdfsdaf_1_1_1" localSheetId="4" hidden="1">{"Complaint Graphs",#N/A,FALSE,"Complaint Graphs"}</definedName>
    <definedName name="asdfsdaf_1_1_1" hidden="1">{"Complaint Graphs",#N/A,FALSE,"Complaint Graphs"}</definedName>
    <definedName name="asdfsdaf_1_1_1_1" localSheetId="4" hidden="1">{"Complaint Graphs",#N/A,FALSE,"Complaint Graphs"}</definedName>
    <definedName name="asdfsdaf_1_1_1_1" hidden="1">{"Complaint Graphs",#N/A,FALSE,"Complaint Graphs"}</definedName>
    <definedName name="asdfsdaf_1_1_2" localSheetId="4" hidden="1">{"Complaint Graphs",#N/A,FALSE,"Complaint Graphs"}</definedName>
    <definedName name="asdfsdaf_1_1_2" hidden="1">{"Complaint Graphs",#N/A,FALSE,"Complaint Graphs"}</definedName>
    <definedName name="asdfsdaf_1_1_2_1" localSheetId="4" hidden="1">{"Complaint Graphs",#N/A,FALSE,"Complaint Graphs"}</definedName>
    <definedName name="asdfsdaf_1_1_2_1" hidden="1">{"Complaint Graphs",#N/A,FALSE,"Complaint Graphs"}</definedName>
    <definedName name="asdfsdaf_1_1_3" localSheetId="4" hidden="1">{"Complaint Graphs",#N/A,FALSE,"Complaint Graphs"}</definedName>
    <definedName name="asdfsdaf_1_1_3" hidden="1">{"Complaint Graphs",#N/A,FALSE,"Complaint Graphs"}</definedName>
    <definedName name="asdfsdaf_1_1_3_1" localSheetId="4" hidden="1">{"Complaint Graphs",#N/A,FALSE,"Complaint Graphs"}</definedName>
    <definedName name="asdfsdaf_1_1_3_1" hidden="1">{"Complaint Graphs",#N/A,FALSE,"Complaint Graphs"}</definedName>
    <definedName name="asdfsdaf_1_1_4" localSheetId="4" hidden="1">{"Complaint Graphs",#N/A,FALSE,"Complaint Graphs"}</definedName>
    <definedName name="asdfsdaf_1_1_4" hidden="1">{"Complaint Graphs",#N/A,FALSE,"Complaint Graphs"}</definedName>
    <definedName name="asdfsdaf_1_2" localSheetId="4" hidden="1">{"Complaint Graphs",#N/A,FALSE,"Complaint Graphs"}</definedName>
    <definedName name="asdfsdaf_1_2" hidden="1">{"Complaint Graphs",#N/A,FALSE,"Complaint Graphs"}</definedName>
    <definedName name="asdfsdaf_1_2_1" localSheetId="4" hidden="1">{"Complaint Graphs",#N/A,FALSE,"Complaint Graphs"}</definedName>
    <definedName name="asdfsdaf_1_2_1" hidden="1">{"Complaint Graphs",#N/A,FALSE,"Complaint Graphs"}</definedName>
    <definedName name="asdfsdaf_1_3" localSheetId="4" hidden="1">{"Complaint Graphs",#N/A,FALSE,"Complaint Graphs"}</definedName>
    <definedName name="asdfsdaf_1_3" hidden="1">{"Complaint Graphs",#N/A,FALSE,"Complaint Graphs"}</definedName>
    <definedName name="asdfsdaf_1_3_1" localSheetId="4" hidden="1">{"Complaint Graphs",#N/A,FALSE,"Complaint Graphs"}</definedName>
    <definedName name="asdfsdaf_1_3_1" hidden="1">{"Complaint Graphs",#N/A,FALSE,"Complaint Graphs"}</definedName>
    <definedName name="asdfsdaf_1_4" localSheetId="4" hidden="1">{"Complaint Graphs",#N/A,FALSE,"Complaint Graphs"}</definedName>
    <definedName name="asdfsdaf_1_4" hidden="1">{"Complaint Graphs",#N/A,FALSE,"Complaint Graphs"}</definedName>
    <definedName name="asdfsdaf_1_4_1" localSheetId="4" hidden="1">{"Complaint Graphs",#N/A,FALSE,"Complaint Graphs"}</definedName>
    <definedName name="asdfsdaf_1_4_1" hidden="1">{"Complaint Graphs",#N/A,FALSE,"Complaint Graphs"}</definedName>
    <definedName name="asdfsdaf_1_5" localSheetId="4" hidden="1">{"Complaint Graphs",#N/A,FALSE,"Complaint Graphs"}</definedName>
    <definedName name="asdfsdaf_1_5" hidden="1">{"Complaint Graphs",#N/A,FALSE,"Complaint Graphs"}</definedName>
    <definedName name="asdfsdaf_2" localSheetId="4" hidden="1">{"Complaint Graphs",#N/A,FALSE,"Complaint Graphs"}</definedName>
    <definedName name="asdfsdaf_2" hidden="1">{"Complaint Graphs",#N/A,FALSE,"Complaint Graphs"}</definedName>
    <definedName name="asdfsdaf_2_1" localSheetId="4" hidden="1">{"Complaint Graphs",#N/A,FALSE,"Complaint Graphs"}</definedName>
    <definedName name="asdfsdaf_2_1" hidden="1">{"Complaint Graphs",#N/A,FALSE,"Complaint Graphs"}</definedName>
    <definedName name="asdfsdaf_2_1_1" localSheetId="4" hidden="1">{"Complaint Graphs",#N/A,FALSE,"Complaint Graphs"}</definedName>
    <definedName name="asdfsdaf_2_1_1" hidden="1">{"Complaint Graphs",#N/A,FALSE,"Complaint Graphs"}</definedName>
    <definedName name="asdfsdaf_2_2" localSheetId="4" hidden="1">{"Complaint Graphs",#N/A,FALSE,"Complaint Graphs"}</definedName>
    <definedName name="asdfsdaf_2_2" hidden="1">{"Complaint Graphs",#N/A,FALSE,"Complaint Graphs"}</definedName>
    <definedName name="asdfsdaf_2_2_1" localSheetId="4" hidden="1">{"Complaint Graphs",#N/A,FALSE,"Complaint Graphs"}</definedName>
    <definedName name="asdfsdaf_2_2_1" hidden="1">{"Complaint Graphs",#N/A,FALSE,"Complaint Graphs"}</definedName>
    <definedName name="asdfsdaf_2_3" localSheetId="4" hidden="1">{"Complaint Graphs",#N/A,FALSE,"Complaint Graphs"}</definedName>
    <definedName name="asdfsdaf_2_3" hidden="1">{"Complaint Graphs",#N/A,FALSE,"Complaint Graphs"}</definedName>
    <definedName name="asdfsdaf_2_3_1" localSheetId="4" hidden="1">{"Complaint Graphs",#N/A,FALSE,"Complaint Graphs"}</definedName>
    <definedName name="asdfsdaf_2_3_1" hidden="1">{"Complaint Graphs",#N/A,FALSE,"Complaint Graphs"}</definedName>
    <definedName name="asdfsdaf_2_4" localSheetId="4" hidden="1">{"Complaint Graphs",#N/A,FALSE,"Complaint Graphs"}</definedName>
    <definedName name="asdfsdaf_2_4" hidden="1">{"Complaint Graphs",#N/A,FALSE,"Complaint Graphs"}</definedName>
    <definedName name="asdfsdaf_3" localSheetId="4" hidden="1">{"Complaint Graphs",#N/A,FALSE,"Complaint Graphs"}</definedName>
    <definedName name="asdfsdaf_3" hidden="1">{"Complaint Graphs",#N/A,FALSE,"Complaint Graphs"}</definedName>
    <definedName name="asdfsdaf_3_1" localSheetId="4" hidden="1">{"Complaint Graphs",#N/A,FALSE,"Complaint Graphs"}</definedName>
    <definedName name="asdfsdaf_3_1" hidden="1">{"Complaint Graphs",#N/A,FALSE,"Complaint Graphs"}</definedName>
    <definedName name="asdfsdaf_4" localSheetId="4" hidden="1">{"Complaint Graphs",#N/A,FALSE,"Complaint Graphs"}</definedName>
    <definedName name="asdfsdaf_4" hidden="1">{"Complaint Graphs",#N/A,FALSE,"Complaint Graphs"}</definedName>
    <definedName name="asdfsdaf_4_1" localSheetId="4" hidden="1">{"Complaint Graphs",#N/A,FALSE,"Complaint Graphs"}</definedName>
    <definedName name="asdfsdaf_4_1" hidden="1">{"Complaint Graphs",#N/A,FALSE,"Complaint Graphs"}</definedName>
    <definedName name="asdfsdaf_5" localSheetId="4" hidden="1">{"Complaint Graphs",#N/A,FALSE,"Complaint Graphs"}</definedName>
    <definedName name="asdfsdaf_5" hidden="1">{"Complaint Graphs",#N/A,FALSE,"Complaint Graphs"}</definedName>
    <definedName name="asdfsdaf_5_1" localSheetId="4" hidden="1">{"Complaint Graphs",#N/A,FALSE,"Complaint Graphs"}</definedName>
    <definedName name="asdfsdaf_5_1" hidden="1">{"Complaint Graphs",#N/A,FALSE,"Complaint Graphs"}</definedName>
    <definedName name="asdfw" hidden="1">[11]CFS_TO!$B$89</definedName>
    <definedName name="asdfwaersad" localSheetId="4" hidden="1">{"Complaint Graphs",#N/A,FALSE,"Complaint Graphs"}</definedName>
    <definedName name="asdfwaersad" hidden="1">{"Complaint Graphs",#N/A,FALSE,"Complaint Graphs"}</definedName>
    <definedName name="asdfwaersad_1" localSheetId="4" hidden="1">{"Complaint Graphs",#N/A,FALSE,"Complaint Graphs"}</definedName>
    <definedName name="asdfwaersad_1" hidden="1">{"Complaint Graphs",#N/A,FALSE,"Complaint Graphs"}</definedName>
    <definedName name="asdfwaersad_1_1" localSheetId="4" hidden="1">{"Complaint Graphs",#N/A,FALSE,"Complaint Graphs"}</definedName>
    <definedName name="asdfwaersad_1_1" hidden="1">{"Complaint Graphs",#N/A,FALSE,"Complaint Graphs"}</definedName>
    <definedName name="asdfwaersad_1_1_1" localSheetId="4" hidden="1">{"Complaint Graphs",#N/A,FALSE,"Complaint Graphs"}</definedName>
    <definedName name="asdfwaersad_1_1_1" hidden="1">{"Complaint Graphs",#N/A,FALSE,"Complaint Graphs"}</definedName>
    <definedName name="asdfwaersad_1_1_1_1" localSheetId="4" hidden="1">{"Complaint Graphs",#N/A,FALSE,"Complaint Graphs"}</definedName>
    <definedName name="asdfwaersad_1_1_1_1" hidden="1">{"Complaint Graphs",#N/A,FALSE,"Complaint Graphs"}</definedName>
    <definedName name="asdfwaersad_1_1_2" localSheetId="4" hidden="1">{"Complaint Graphs",#N/A,FALSE,"Complaint Graphs"}</definedName>
    <definedName name="asdfwaersad_1_1_2" hidden="1">{"Complaint Graphs",#N/A,FALSE,"Complaint Graphs"}</definedName>
    <definedName name="asdfwaersad_1_1_2_1" localSheetId="4" hidden="1">{"Complaint Graphs",#N/A,FALSE,"Complaint Graphs"}</definedName>
    <definedName name="asdfwaersad_1_1_2_1" hidden="1">{"Complaint Graphs",#N/A,FALSE,"Complaint Graphs"}</definedName>
    <definedName name="asdfwaersad_1_1_3" localSheetId="4" hidden="1">{"Complaint Graphs",#N/A,FALSE,"Complaint Graphs"}</definedName>
    <definedName name="asdfwaersad_1_1_3" hidden="1">{"Complaint Graphs",#N/A,FALSE,"Complaint Graphs"}</definedName>
    <definedName name="asdfwaersad_1_1_3_1" localSheetId="4" hidden="1">{"Complaint Graphs",#N/A,FALSE,"Complaint Graphs"}</definedName>
    <definedName name="asdfwaersad_1_1_3_1" hidden="1">{"Complaint Graphs",#N/A,FALSE,"Complaint Graphs"}</definedName>
    <definedName name="asdfwaersad_1_1_4" localSheetId="4" hidden="1">{"Complaint Graphs",#N/A,FALSE,"Complaint Graphs"}</definedName>
    <definedName name="asdfwaersad_1_1_4" hidden="1">{"Complaint Graphs",#N/A,FALSE,"Complaint Graphs"}</definedName>
    <definedName name="asdfwaersad_1_2" localSheetId="4" hidden="1">{"Complaint Graphs",#N/A,FALSE,"Complaint Graphs"}</definedName>
    <definedName name="asdfwaersad_1_2" hidden="1">{"Complaint Graphs",#N/A,FALSE,"Complaint Graphs"}</definedName>
    <definedName name="asdfwaersad_1_2_1" localSheetId="4" hidden="1">{"Complaint Graphs",#N/A,FALSE,"Complaint Graphs"}</definedName>
    <definedName name="asdfwaersad_1_2_1" hidden="1">{"Complaint Graphs",#N/A,FALSE,"Complaint Graphs"}</definedName>
    <definedName name="asdfwaersad_1_3" localSheetId="4" hidden="1">{"Complaint Graphs",#N/A,FALSE,"Complaint Graphs"}</definedName>
    <definedName name="asdfwaersad_1_3" hidden="1">{"Complaint Graphs",#N/A,FALSE,"Complaint Graphs"}</definedName>
    <definedName name="asdfwaersad_1_3_1" localSheetId="4" hidden="1">{"Complaint Graphs",#N/A,FALSE,"Complaint Graphs"}</definedName>
    <definedName name="asdfwaersad_1_3_1" hidden="1">{"Complaint Graphs",#N/A,FALSE,"Complaint Graphs"}</definedName>
    <definedName name="asdfwaersad_1_4" localSheetId="4" hidden="1">{"Complaint Graphs",#N/A,FALSE,"Complaint Graphs"}</definedName>
    <definedName name="asdfwaersad_1_4" hidden="1">{"Complaint Graphs",#N/A,FALSE,"Complaint Graphs"}</definedName>
    <definedName name="asdfwaersad_1_4_1" localSheetId="4" hidden="1">{"Complaint Graphs",#N/A,FALSE,"Complaint Graphs"}</definedName>
    <definedName name="asdfwaersad_1_4_1" hidden="1">{"Complaint Graphs",#N/A,FALSE,"Complaint Graphs"}</definedName>
    <definedName name="asdfwaersad_1_5" localSheetId="4" hidden="1">{"Complaint Graphs",#N/A,FALSE,"Complaint Graphs"}</definedName>
    <definedName name="asdfwaersad_1_5" hidden="1">{"Complaint Graphs",#N/A,FALSE,"Complaint Graphs"}</definedName>
    <definedName name="asdfwaersad_2" localSheetId="4" hidden="1">{"Complaint Graphs",#N/A,FALSE,"Complaint Graphs"}</definedName>
    <definedName name="asdfwaersad_2" hidden="1">{"Complaint Graphs",#N/A,FALSE,"Complaint Graphs"}</definedName>
    <definedName name="asdfwaersad_2_1" localSheetId="4" hidden="1">{"Complaint Graphs",#N/A,FALSE,"Complaint Graphs"}</definedName>
    <definedName name="asdfwaersad_2_1" hidden="1">{"Complaint Graphs",#N/A,FALSE,"Complaint Graphs"}</definedName>
    <definedName name="asdfwaersad_2_1_1" localSheetId="4" hidden="1">{"Complaint Graphs",#N/A,FALSE,"Complaint Graphs"}</definedName>
    <definedName name="asdfwaersad_2_1_1" hidden="1">{"Complaint Graphs",#N/A,FALSE,"Complaint Graphs"}</definedName>
    <definedName name="asdfwaersad_2_2" localSheetId="4" hidden="1">{"Complaint Graphs",#N/A,FALSE,"Complaint Graphs"}</definedName>
    <definedName name="asdfwaersad_2_2" hidden="1">{"Complaint Graphs",#N/A,FALSE,"Complaint Graphs"}</definedName>
    <definedName name="asdfwaersad_2_2_1" localSheetId="4" hidden="1">{"Complaint Graphs",#N/A,FALSE,"Complaint Graphs"}</definedName>
    <definedName name="asdfwaersad_2_2_1" hidden="1">{"Complaint Graphs",#N/A,FALSE,"Complaint Graphs"}</definedName>
    <definedName name="asdfwaersad_2_3" localSheetId="4" hidden="1">{"Complaint Graphs",#N/A,FALSE,"Complaint Graphs"}</definedName>
    <definedName name="asdfwaersad_2_3" hidden="1">{"Complaint Graphs",#N/A,FALSE,"Complaint Graphs"}</definedName>
    <definedName name="asdfwaersad_2_3_1" localSheetId="4" hidden="1">{"Complaint Graphs",#N/A,FALSE,"Complaint Graphs"}</definedName>
    <definedName name="asdfwaersad_2_3_1" hidden="1">{"Complaint Graphs",#N/A,FALSE,"Complaint Graphs"}</definedName>
    <definedName name="asdfwaersad_2_4" localSheetId="4" hidden="1">{"Complaint Graphs",#N/A,FALSE,"Complaint Graphs"}</definedName>
    <definedName name="asdfwaersad_2_4" hidden="1">{"Complaint Graphs",#N/A,FALSE,"Complaint Graphs"}</definedName>
    <definedName name="asdfwaersad_3" localSheetId="4" hidden="1">{"Complaint Graphs",#N/A,FALSE,"Complaint Graphs"}</definedName>
    <definedName name="asdfwaersad_3" hidden="1">{"Complaint Graphs",#N/A,FALSE,"Complaint Graphs"}</definedName>
    <definedName name="asdfwaersad_3_1" localSheetId="4" hidden="1">{"Complaint Graphs",#N/A,FALSE,"Complaint Graphs"}</definedName>
    <definedName name="asdfwaersad_3_1" hidden="1">{"Complaint Graphs",#N/A,FALSE,"Complaint Graphs"}</definedName>
    <definedName name="asdfwaersad_4" localSheetId="4" hidden="1">{"Complaint Graphs",#N/A,FALSE,"Complaint Graphs"}</definedName>
    <definedName name="asdfwaersad_4" hidden="1">{"Complaint Graphs",#N/A,FALSE,"Complaint Graphs"}</definedName>
    <definedName name="asdfwaersad_4_1" localSheetId="4" hidden="1">{"Complaint Graphs",#N/A,FALSE,"Complaint Graphs"}</definedName>
    <definedName name="asdfwaersad_4_1" hidden="1">{"Complaint Graphs",#N/A,FALSE,"Complaint Graphs"}</definedName>
    <definedName name="asdfwaersad_5" localSheetId="4" hidden="1">{"Complaint Graphs",#N/A,FALSE,"Complaint Graphs"}</definedName>
    <definedName name="asdfwaersad_5" hidden="1">{"Complaint Graphs",#N/A,FALSE,"Complaint Graphs"}</definedName>
    <definedName name="asdfwaersad_5_1" localSheetId="4" hidden="1">{"Complaint Graphs",#N/A,FALSE,"Complaint Graphs"}</definedName>
    <definedName name="asdfwaersad_5_1" hidden="1">{"Complaint Graphs",#N/A,FALSE,"Complaint Graphs"}</definedName>
    <definedName name="asfwerxzc" hidden="1">[11]Fcast_TA!$B$115</definedName>
    <definedName name="AttribName">#REF!</definedName>
    <definedName name="AUR_BMAD_Agency_ChtData">OFFSET('[9]Dashboard Data'!#REF!,0,COUNT('[9]Dashboard Data'!#REF!),1,-36)</definedName>
    <definedName name="AUR_BMAD_Direct_ChtData">OFFSET('[9]Dashboard Data'!#REF!,0,COUNT('[9]Dashboard Data'!#REF!),1,-36)</definedName>
    <definedName name="AUR_ROS_Agency_ChtData">OFFSET('[9]Dashboard Data'!#REF!,0,COUNT('[9]Dashboard Data'!#REF!),1,-36)</definedName>
    <definedName name="AUR_ROS_Direct_ChtData">OFFSET('[9]Dashboard Data'!#REF!,0,COUNT('[9]Dashboard Data'!#REF!),1,-36)</definedName>
    <definedName name="awersafdasf" localSheetId="4" hidden="1">{"Complaint Graphs",#N/A,FALSE,"Complaint Graphs"}</definedName>
    <definedName name="awersafdasf" hidden="1">{"Complaint Graphs",#N/A,FALSE,"Complaint Graphs"}</definedName>
    <definedName name="awersafdasf_1" localSheetId="4" hidden="1">{"Complaint Graphs",#N/A,FALSE,"Complaint Graphs"}</definedName>
    <definedName name="awersafdasf_1" hidden="1">{"Complaint Graphs",#N/A,FALSE,"Complaint Graphs"}</definedName>
    <definedName name="awersafdasf_1_1" localSheetId="4" hidden="1">{"Complaint Graphs",#N/A,FALSE,"Complaint Graphs"}</definedName>
    <definedName name="awersafdasf_1_1" hidden="1">{"Complaint Graphs",#N/A,FALSE,"Complaint Graphs"}</definedName>
    <definedName name="awersafdasf_1_1_1" localSheetId="4" hidden="1">{"Complaint Graphs",#N/A,FALSE,"Complaint Graphs"}</definedName>
    <definedName name="awersafdasf_1_1_1" hidden="1">{"Complaint Graphs",#N/A,FALSE,"Complaint Graphs"}</definedName>
    <definedName name="awersafdasf_1_1_1_1" localSheetId="4" hidden="1">{"Complaint Graphs",#N/A,FALSE,"Complaint Graphs"}</definedName>
    <definedName name="awersafdasf_1_1_1_1" hidden="1">{"Complaint Graphs",#N/A,FALSE,"Complaint Graphs"}</definedName>
    <definedName name="awersafdasf_1_1_2" localSheetId="4" hidden="1">{"Complaint Graphs",#N/A,FALSE,"Complaint Graphs"}</definedName>
    <definedName name="awersafdasf_1_1_2" hidden="1">{"Complaint Graphs",#N/A,FALSE,"Complaint Graphs"}</definedName>
    <definedName name="awersafdasf_1_1_2_1" localSheetId="4" hidden="1">{"Complaint Graphs",#N/A,FALSE,"Complaint Graphs"}</definedName>
    <definedName name="awersafdasf_1_1_2_1" hidden="1">{"Complaint Graphs",#N/A,FALSE,"Complaint Graphs"}</definedName>
    <definedName name="awersafdasf_1_1_3" localSheetId="4" hidden="1">{"Complaint Graphs",#N/A,FALSE,"Complaint Graphs"}</definedName>
    <definedName name="awersafdasf_1_1_3" hidden="1">{"Complaint Graphs",#N/A,FALSE,"Complaint Graphs"}</definedName>
    <definedName name="awersafdasf_1_1_3_1" localSheetId="4" hidden="1">{"Complaint Graphs",#N/A,FALSE,"Complaint Graphs"}</definedName>
    <definedName name="awersafdasf_1_1_3_1" hidden="1">{"Complaint Graphs",#N/A,FALSE,"Complaint Graphs"}</definedName>
    <definedName name="awersafdasf_1_1_4" localSheetId="4" hidden="1">{"Complaint Graphs",#N/A,FALSE,"Complaint Graphs"}</definedName>
    <definedName name="awersafdasf_1_1_4" hidden="1">{"Complaint Graphs",#N/A,FALSE,"Complaint Graphs"}</definedName>
    <definedName name="awersafdasf_1_2" localSheetId="4" hidden="1">{"Complaint Graphs",#N/A,FALSE,"Complaint Graphs"}</definedName>
    <definedName name="awersafdasf_1_2" hidden="1">{"Complaint Graphs",#N/A,FALSE,"Complaint Graphs"}</definedName>
    <definedName name="awersafdasf_1_2_1" localSheetId="4" hidden="1">{"Complaint Graphs",#N/A,FALSE,"Complaint Graphs"}</definedName>
    <definedName name="awersafdasf_1_2_1" hidden="1">{"Complaint Graphs",#N/A,FALSE,"Complaint Graphs"}</definedName>
    <definedName name="awersafdasf_1_3" localSheetId="4" hidden="1">{"Complaint Graphs",#N/A,FALSE,"Complaint Graphs"}</definedName>
    <definedName name="awersafdasf_1_3" hidden="1">{"Complaint Graphs",#N/A,FALSE,"Complaint Graphs"}</definedName>
    <definedName name="awersafdasf_1_3_1" localSheetId="4" hidden="1">{"Complaint Graphs",#N/A,FALSE,"Complaint Graphs"}</definedName>
    <definedName name="awersafdasf_1_3_1" hidden="1">{"Complaint Graphs",#N/A,FALSE,"Complaint Graphs"}</definedName>
    <definedName name="awersafdasf_1_4" localSheetId="4" hidden="1">{"Complaint Graphs",#N/A,FALSE,"Complaint Graphs"}</definedName>
    <definedName name="awersafdasf_1_4" hidden="1">{"Complaint Graphs",#N/A,FALSE,"Complaint Graphs"}</definedName>
    <definedName name="awersafdasf_1_4_1" localSheetId="4" hidden="1">{"Complaint Graphs",#N/A,FALSE,"Complaint Graphs"}</definedName>
    <definedName name="awersafdasf_1_4_1" hidden="1">{"Complaint Graphs",#N/A,FALSE,"Complaint Graphs"}</definedName>
    <definedName name="awersafdasf_1_5" localSheetId="4" hidden="1">{"Complaint Graphs",#N/A,FALSE,"Complaint Graphs"}</definedName>
    <definedName name="awersafdasf_1_5" hidden="1">{"Complaint Graphs",#N/A,FALSE,"Complaint Graphs"}</definedName>
    <definedName name="awersafdasf_2" localSheetId="4" hidden="1">{"Complaint Graphs",#N/A,FALSE,"Complaint Graphs"}</definedName>
    <definedName name="awersafdasf_2" hidden="1">{"Complaint Graphs",#N/A,FALSE,"Complaint Graphs"}</definedName>
    <definedName name="awersafdasf_2_1" localSheetId="4" hidden="1">{"Complaint Graphs",#N/A,FALSE,"Complaint Graphs"}</definedName>
    <definedName name="awersafdasf_2_1" hidden="1">{"Complaint Graphs",#N/A,FALSE,"Complaint Graphs"}</definedName>
    <definedName name="awersafdasf_2_1_1" localSheetId="4" hidden="1">{"Complaint Graphs",#N/A,FALSE,"Complaint Graphs"}</definedName>
    <definedName name="awersafdasf_2_1_1" hidden="1">{"Complaint Graphs",#N/A,FALSE,"Complaint Graphs"}</definedName>
    <definedName name="awersafdasf_2_2" localSheetId="4" hidden="1">{"Complaint Graphs",#N/A,FALSE,"Complaint Graphs"}</definedName>
    <definedName name="awersafdasf_2_2" hidden="1">{"Complaint Graphs",#N/A,FALSE,"Complaint Graphs"}</definedName>
    <definedName name="awersafdasf_2_2_1" localSheetId="4" hidden="1">{"Complaint Graphs",#N/A,FALSE,"Complaint Graphs"}</definedName>
    <definedName name="awersafdasf_2_2_1" hidden="1">{"Complaint Graphs",#N/A,FALSE,"Complaint Graphs"}</definedName>
    <definedName name="awersafdasf_2_3" localSheetId="4" hidden="1">{"Complaint Graphs",#N/A,FALSE,"Complaint Graphs"}</definedName>
    <definedName name="awersafdasf_2_3" hidden="1">{"Complaint Graphs",#N/A,FALSE,"Complaint Graphs"}</definedName>
    <definedName name="awersafdasf_2_3_1" localSheetId="4" hidden="1">{"Complaint Graphs",#N/A,FALSE,"Complaint Graphs"}</definedName>
    <definedName name="awersafdasf_2_3_1" hidden="1">{"Complaint Graphs",#N/A,FALSE,"Complaint Graphs"}</definedName>
    <definedName name="awersafdasf_2_4" localSheetId="4" hidden="1">{"Complaint Graphs",#N/A,FALSE,"Complaint Graphs"}</definedName>
    <definedName name="awersafdasf_2_4" hidden="1">{"Complaint Graphs",#N/A,FALSE,"Complaint Graphs"}</definedName>
    <definedName name="awersafdasf_3" localSheetId="4" hidden="1">{"Complaint Graphs",#N/A,FALSE,"Complaint Graphs"}</definedName>
    <definedName name="awersafdasf_3" hidden="1">{"Complaint Graphs",#N/A,FALSE,"Complaint Graphs"}</definedName>
    <definedName name="awersafdasf_3_1" localSheetId="4" hidden="1">{"Complaint Graphs",#N/A,FALSE,"Complaint Graphs"}</definedName>
    <definedName name="awersafdasf_3_1" hidden="1">{"Complaint Graphs",#N/A,FALSE,"Complaint Graphs"}</definedName>
    <definedName name="awersafdasf_4" localSheetId="4" hidden="1">{"Complaint Graphs",#N/A,FALSE,"Complaint Graphs"}</definedName>
    <definedName name="awersafdasf_4" hidden="1">{"Complaint Graphs",#N/A,FALSE,"Complaint Graphs"}</definedName>
    <definedName name="awersafdasf_4_1" localSheetId="4" hidden="1">{"Complaint Graphs",#N/A,FALSE,"Complaint Graphs"}</definedName>
    <definedName name="awersafdasf_4_1" hidden="1">{"Complaint Graphs",#N/A,FALSE,"Complaint Graphs"}</definedName>
    <definedName name="awersafdasf_5" localSheetId="4" hidden="1">{"Complaint Graphs",#N/A,FALSE,"Complaint Graphs"}</definedName>
    <definedName name="awersafdasf_5" hidden="1">{"Complaint Graphs",#N/A,FALSE,"Complaint Graphs"}</definedName>
    <definedName name="awersafdasf_5_1" localSheetId="4" hidden="1">{"Complaint Graphs",#N/A,FALSE,"Complaint Graphs"}</definedName>
    <definedName name="awersafdasf_5_1" hidden="1">{"Complaint Graphs",#N/A,FALSE,"Complaint Graphs"}</definedName>
    <definedName name="base">'[12]TOTAL BUSINESS INPUT'!$DC$1:$DC$6</definedName>
    <definedName name="Basecase">#REF!</definedName>
    <definedName name="BM" hidden="1">[13]Reports!#REF!</definedName>
    <definedName name="Budget">[5]Budget!$D$3:$AB$60</definedName>
    <definedName name="BUDGET_PRESENTATION_PRT">#REF!</definedName>
    <definedName name="cancel">#REF!</definedName>
    <definedName name="capex">#REF!</definedName>
    <definedName name="Cash_int">[14]Valuation!$D$30</definedName>
    <definedName name="CASH_PT_ALL">#REF!</definedName>
    <definedName name="cc">'[15]4GC'!#REF!</definedName>
    <definedName name="Central" localSheetId="4" hidden="1">{"français",#N/A,FALSE,"Intro";"français",#N/A,FALSE,"Index";#N/A,#N/A,FALSE,"3-Incor";#N/A,#N/A,FALSE,"4-Corpo"}</definedName>
    <definedName name="Central" hidden="1">{"français",#N/A,FALSE,"Intro";"français",#N/A,FALSE,"Index";#N/A,#N/A,FALSE,"3-Incor";#N/A,#N/A,FALSE,"4-Corpo"}</definedName>
    <definedName name="Central_1" localSheetId="4" hidden="1">{"français",#N/A,FALSE,"Intro";"français",#N/A,FALSE,"Index";#N/A,#N/A,FALSE,"3-Incor";#N/A,#N/A,FALSE,"4-Corpo"}</definedName>
    <definedName name="Central_1" hidden="1">{"français",#N/A,FALSE,"Intro";"français",#N/A,FALSE,"Index";#N/A,#N/A,FALSE,"3-Incor";#N/A,#N/A,FALSE,"4-Corpo"}</definedName>
    <definedName name="Central_1_1" localSheetId="4" hidden="1">{"français",#N/A,FALSE,"Intro";"français",#N/A,FALSE,"Index";#N/A,#N/A,FALSE,"3-Incor";#N/A,#N/A,FALSE,"4-Corpo"}</definedName>
    <definedName name="Central_1_1" hidden="1">{"français",#N/A,FALSE,"Intro";"français",#N/A,FALSE,"Index";#N/A,#N/A,FALSE,"3-Incor";#N/A,#N/A,FALSE,"4-Corpo"}</definedName>
    <definedName name="Central_1_1_1" localSheetId="4" hidden="1">{"français",#N/A,FALSE,"Intro";"français",#N/A,FALSE,"Index";#N/A,#N/A,FALSE,"3-Incor";#N/A,#N/A,FALSE,"4-Corpo"}</definedName>
    <definedName name="Central_1_1_1" hidden="1">{"français",#N/A,FALSE,"Intro";"français",#N/A,FALSE,"Index";#N/A,#N/A,FALSE,"3-Incor";#N/A,#N/A,FALSE,"4-Corpo"}</definedName>
    <definedName name="Central_1_1_1_1" localSheetId="4" hidden="1">{"français",#N/A,FALSE,"Intro";"français",#N/A,FALSE,"Index";#N/A,#N/A,FALSE,"3-Incor";#N/A,#N/A,FALSE,"4-Corpo"}</definedName>
    <definedName name="Central_1_1_1_1" hidden="1">{"français",#N/A,FALSE,"Intro";"français",#N/A,FALSE,"Index";#N/A,#N/A,FALSE,"3-Incor";#N/A,#N/A,FALSE,"4-Corpo"}</definedName>
    <definedName name="Central_1_1_2" localSheetId="4" hidden="1">{"français",#N/A,FALSE,"Intro";"français",#N/A,FALSE,"Index";#N/A,#N/A,FALSE,"3-Incor";#N/A,#N/A,FALSE,"4-Corpo"}</definedName>
    <definedName name="Central_1_1_2" hidden="1">{"français",#N/A,FALSE,"Intro";"français",#N/A,FALSE,"Index";#N/A,#N/A,FALSE,"3-Incor";#N/A,#N/A,FALSE,"4-Corpo"}</definedName>
    <definedName name="Central_1_1_2_1" localSheetId="4" hidden="1">{"français",#N/A,FALSE,"Intro";"français",#N/A,FALSE,"Index";#N/A,#N/A,FALSE,"3-Incor";#N/A,#N/A,FALSE,"4-Corpo"}</definedName>
    <definedName name="Central_1_1_2_1" hidden="1">{"français",#N/A,FALSE,"Intro";"français",#N/A,FALSE,"Index";#N/A,#N/A,FALSE,"3-Incor";#N/A,#N/A,FALSE,"4-Corpo"}</definedName>
    <definedName name="Central_1_1_3" localSheetId="4" hidden="1">{"français",#N/A,FALSE,"Intro";"français",#N/A,FALSE,"Index";#N/A,#N/A,FALSE,"3-Incor";#N/A,#N/A,FALSE,"4-Corpo"}</definedName>
    <definedName name="Central_1_1_3" hidden="1">{"français",#N/A,FALSE,"Intro";"français",#N/A,FALSE,"Index";#N/A,#N/A,FALSE,"3-Incor";#N/A,#N/A,FALSE,"4-Corpo"}</definedName>
    <definedName name="Central_1_1_3_1" localSheetId="4" hidden="1">{"français",#N/A,FALSE,"Intro";"français",#N/A,FALSE,"Index";#N/A,#N/A,FALSE,"3-Incor";#N/A,#N/A,FALSE,"4-Corpo"}</definedName>
    <definedName name="Central_1_1_3_1" hidden="1">{"français",#N/A,FALSE,"Intro";"français",#N/A,FALSE,"Index";#N/A,#N/A,FALSE,"3-Incor";#N/A,#N/A,FALSE,"4-Corpo"}</definedName>
    <definedName name="Central_1_1_4" localSheetId="4" hidden="1">{"français",#N/A,FALSE,"Intro";"français",#N/A,FALSE,"Index";#N/A,#N/A,FALSE,"3-Incor";#N/A,#N/A,FALSE,"4-Corpo"}</definedName>
    <definedName name="Central_1_1_4" hidden="1">{"français",#N/A,FALSE,"Intro";"français",#N/A,FALSE,"Index";#N/A,#N/A,FALSE,"3-Incor";#N/A,#N/A,FALSE,"4-Corpo"}</definedName>
    <definedName name="Central_1_2" localSheetId="4" hidden="1">{"français",#N/A,FALSE,"Intro";"français",#N/A,FALSE,"Index";#N/A,#N/A,FALSE,"3-Incor";#N/A,#N/A,FALSE,"4-Corpo"}</definedName>
    <definedName name="Central_1_2" hidden="1">{"français",#N/A,FALSE,"Intro";"français",#N/A,FALSE,"Index";#N/A,#N/A,FALSE,"3-Incor";#N/A,#N/A,FALSE,"4-Corpo"}</definedName>
    <definedName name="Central_1_2_1" localSheetId="4" hidden="1">{"français",#N/A,FALSE,"Intro";"français",#N/A,FALSE,"Index";#N/A,#N/A,FALSE,"3-Incor";#N/A,#N/A,FALSE,"4-Corpo"}</definedName>
    <definedName name="Central_1_2_1" hidden="1">{"français",#N/A,FALSE,"Intro";"français",#N/A,FALSE,"Index";#N/A,#N/A,FALSE,"3-Incor";#N/A,#N/A,FALSE,"4-Corpo"}</definedName>
    <definedName name="Central_1_3" localSheetId="4" hidden="1">{"français",#N/A,FALSE,"Intro";"français",#N/A,FALSE,"Index";#N/A,#N/A,FALSE,"3-Incor";#N/A,#N/A,FALSE,"4-Corpo"}</definedName>
    <definedName name="Central_1_3" hidden="1">{"français",#N/A,FALSE,"Intro";"français",#N/A,FALSE,"Index";#N/A,#N/A,FALSE,"3-Incor";#N/A,#N/A,FALSE,"4-Corpo"}</definedName>
    <definedName name="Central_1_3_1" localSheetId="4" hidden="1">{"français",#N/A,FALSE,"Intro";"français",#N/A,FALSE,"Index";#N/A,#N/A,FALSE,"3-Incor";#N/A,#N/A,FALSE,"4-Corpo"}</definedName>
    <definedName name="Central_1_3_1" hidden="1">{"français",#N/A,FALSE,"Intro";"français",#N/A,FALSE,"Index";#N/A,#N/A,FALSE,"3-Incor";#N/A,#N/A,FALSE,"4-Corpo"}</definedName>
    <definedName name="Central_1_4" localSheetId="4" hidden="1">{"français",#N/A,FALSE,"Intro";"français",#N/A,FALSE,"Index";#N/A,#N/A,FALSE,"3-Incor";#N/A,#N/A,FALSE,"4-Corpo"}</definedName>
    <definedName name="Central_1_4" hidden="1">{"français",#N/A,FALSE,"Intro";"français",#N/A,FALSE,"Index";#N/A,#N/A,FALSE,"3-Incor";#N/A,#N/A,FALSE,"4-Corpo"}</definedName>
    <definedName name="Central_1_4_1" localSheetId="4" hidden="1">{"français",#N/A,FALSE,"Intro";"français",#N/A,FALSE,"Index";#N/A,#N/A,FALSE,"3-Incor";#N/A,#N/A,FALSE,"4-Corpo"}</definedName>
    <definedName name="Central_1_4_1" hidden="1">{"français",#N/A,FALSE,"Intro";"français",#N/A,FALSE,"Index";#N/A,#N/A,FALSE,"3-Incor";#N/A,#N/A,FALSE,"4-Corpo"}</definedName>
    <definedName name="Central_1_5" localSheetId="4" hidden="1">{"français",#N/A,FALSE,"Intro";"français",#N/A,FALSE,"Index";#N/A,#N/A,FALSE,"3-Incor";#N/A,#N/A,FALSE,"4-Corpo"}</definedName>
    <definedName name="Central_1_5" hidden="1">{"français",#N/A,FALSE,"Intro";"français",#N/A,FALSE,"Index";#N/A,#N/A,FALSE,"3-Incor";#N/A,#N/A,FALSE,"4-Corpo"}</definedName>
    <definedName name="Central_2" localSheetId="4" hidden="1">{"français",#N/A,FALSE,"Intro";"français",#N/A,FALSE,"Index";#N/A,#N/A,FALSE,"3-Incor";#N/A,#N/A,FALSE,"4-Corpo"}</definedName>
    <definedName name="Central_2" hidden="1">{"français",#N/A,FALSE,"Intro";"français",#N/A,FALSE,"Index";#N/A,#N/A,FALSE,"3-Incor";#N/A,#N/A,FALSE,"4-Corpo"}</definedName>
    <definedName name="Central_2_1" localSheetId="4" hidden="1">{"français",#N/A,FALSE,"Intro";"français",#N/A,FALSE,"Index";#N/A,#N/A,FALSE,"3-Incor";#N/A,#N/A,FALSE,"4-Corpo"}</definedName>
    <definedName name="Central_2_1" hidden="1">{"français",#N/A,FALSE,"Intro";"français",#N/A,FALSE,"Index";#N/A,#N/A,FALSE,"3-Incor";#N/A,#N/A,FALSE,"4-Corpo"}</definedName>
    <definedName name="Central_2_1_1" localSheetId="4" hidden="1">{"français",#N/A,FALSE,"Intro";"français",#N/A,FALSE,"Index";#N/A,#N/A,FALSE,"3-Incor";#N/A,#N/A,FALSE,"4-Corpo"}</definedName>
    <definedName name="Central_2_1_1" hidden="1">{"français",#N/A,FALSE,"Intro";"français",#N/A,FALSE,"Index";#N/A,#N/A,FALSE,"3-Incor";#N/A,#N/A,FALSE,"4-Corpo"}</definedName>
    <definedName name="Central_2_2" localSheetId="4" hidden="1">{"français",#N/A,FALSE,"Intro";"français",#N/A,FALSE,"Index";#N/A,#N/A,FALSE,"3-Incor";#N/A,#N/A,FALSE,"4-Corpo"}</definedName>
    <definedName name="Central_2_2" hidden="1">{"français",#N/A,FALSE,"Intro";"français",#N/A,FALSE,"Index";#N/A,#N/A,FALSE,"3-Incor";#N/A,#N/A,FALSE,"4-Corpo"}</definedName>
    <definedName name="Central_2_2_1" localSheetId="4" hidden="1">{"français",#N/A,FALSE,"Intro";"français",#N/A,FALSE,"Index";#N/A,#N/A,FALSE,"3-Incor";#N/A,#N/A,FALSE,"4-Corpo"}</definedName>
    <definedName name="Central_2_2_1" hidden="1">{"français",#N/A,FALSE,"Intro";"français",#N/A,FALSE,"Index";#N/A,#N/A,FALSE,"3-Incor";#N/A,#N/A,FALSE,"4-Corpo"}</definedName>
    <definedName name="Central_2_3" localSheetId="4" hidden="1">{"français",#N/A,FALSE,"Intro";"français",#N/A,FALSE,"Index";#N/A,#N/A,FALSE,"3-Incor";#N/A,#N/A,FALSE,"4-Corpo"}</definedName>
    <definedName name="Central_2_3" hidden="1">{"français",#N/A,FALSE,"Intro";"français",#N/A,FALSE,"Index";#N/A,#N/A,FALSE,"3-Incor";#N/A,#N/A,FALSE,"4-Corpo"}</definedName>
    <definedName name="Central_2_3_1" localSheetId="4" hidden="1">{"français",#N/A,FALSE,"Intro";"français",#N/A,FALSE,"Index";#N/A,#N/A,FALSE,"3-Incor";#N/A,#N/A,FALSE,"4-Corpo"}</definedName>
    <definedName name="Central_2_3_1" hidden="1">{"français",#N/A,FALSE,"Intro";"français",#N/A,FALSE,"Index";#N/A,#N/A,FALSE,"3-Incor";#N/A,#N/A,FALSE,"4-Corpo"}</definedName>
    <definedName name="Central_2_4" localSheetId="4" hidden="1">{"français",#N/A,FALSE,"Intro";"français",#N/A,FALSE,"Index";#N/A,#N/A,FALSE,"3-Incor";#N/A,#N/A,FALSE,"4-Corpo"}</definedName>
    <definedName name="Central_2_4" hidden="1">{"français",#N/A,FALSE,"Intro";"français",#N/A,FALSE,"Index";#N/A,#N/A,FALSE,"3-Incor";#N/A,#N/A,FALSE,"4-Corpo"}</definedName>
    <definedName name="Central_3" localSheetId="4" hidden="1">{"français",#N/A,FALSE,"Intro";"français",#N/A,FALSE,"Index";#N/A,#N/A,FALSE,"3-Incor";#N/A,#N/A,FALSE,"4-Corpo"}</definedName>
    <definedName name="Central_3" hidden="1">{"français",#N/A,FALSE,"Intro";"français",#N/A,FALSE,"Index";#N/A,#N/A,FALSE,"3-Incor";#N/A,#N/A,FALSE,"4-Corpo"}</definedName>
    <definedName name="Central_3_1" localSheetId="4" hidden="1">{"français",#N/A,FALSE,"Intro";"français",#N/A,FALSE,"Index";#N/A,#N/A,FALSE,"3-Incor";#N/A,#N/A,FALSE,"4-Corpo"}</definedName>
    <definedName name="Central_3_1" hidden="1">{"français",#N/A,FALSE,"Intro";"français",#N/A,FALSE,"Index";#N/A,#N/A,FALSE,"3-Incor";#N/A,#N/A,FALSE,"4-Corpo"}</definedName>
    <definedName name="Central_4" localSheetId="4" hidden="1">{"français",#N/A,FALSE,"Intro";"français",#N/A,FALSE,"Index";#N/A,#N/A,FALSE,"3-Incor";#N/A,#N/A,FALSE,"4-Corpo"}</definedName>
    <definedName name="Central_4" hidden="1">{"français",#N/A,FALSE,"Intro";"français",#N/A,FALSE,"Index";#N/A,#N/A,FALSE,"3-Incor";#N/A,#N/A,FALSE,"4-Corpo"}</definedName>
    <definedName name="Central_4_1" localSheetId="4" hidden="1">{"français",#N/A,FALSE,"Intro";"français",#N/A,FALSE,"Index";#N/A,#N/A,FALSE,"3-Incor";#N/A,#N/A,FALSE,"4-Corpo"}</definedName>
    <definedName name="Central_4_1" hidden="1">{"français",#N/A,FALSE,"Intro";"français",#N/A,FALSE,"Index";#N/A,#N/A,FALSE,"3-Incor";#N/A,#N/A,FALSE,"4-Corpo"}</definedName>
    <definedName name="Central_5" localSheetId="4" hidden="1">{"français",#N/A,FALSE,"Intro";"français",#N/A,FALSE,"Index";#N/A,#N/A,FALSE,"3-Incor";#N/A,#N/A,FALSE,"4-Corpo"}</definedName>
    <definedName name="Central_5" hidden="1">{"français",#N/A,FALSE,"Intro";"français",#N/A,FALSE,"Index";#N/A,#N/A,FALSE,"3-Incor";#N/A,#N/A,FALSE,"4-Corpo"}</definedName>
    <definedName name="Central_5_1" localSheetId="4" hidden="1">{"français",#N/A,FALSE,"Intro";"français",#N/A,FALSE,"Index";#N/A,#N/A,FALSE,"3-Incor";#N/A,#N/A,FALSE,"4-Corpo"}</definedName>
    <definedName name="Central_5_1" hidden="1">{"français",#N/A,FALSE,"Intro";"français",#N/A,FALSE,"Index";#N/A,#N/A,FALSE,"3-Incor";#N/A,#N/A,FALSE,"4-Corpo"}</definedName>
    <definedName name="central1" localSheetId="4" hidden="1">{"français",#N/A,FALSE,"Intro";"français",#N/A,FALSE,"Index";#N/A,#N/A,FALSE,"3-Incor";#N/A,#N/A,FALSE,"4-Corpo"}</definedName>
    <definedName name="central1" hidden="1">{"français",#N/A,FALSE,"Intro";"français",#N/A,FALSE,"Index";#N/A,#N/A,FALSE,"3-Incor";#N/A,#N/A,FALSE,"4-Corpo"}</definedName>
    <definedName name="central1_1" localSheetId="4" hidden="1">{"français",#N/A,FALSE,"Intro";"français",#N/A,FALSE,"Index";#N/A,#N/A,FALSE,"3-Incor";#N/A,#N/A,FALSE,"4-Corpo"}</definedName>
    <definedName name="central1_1" hidden="1">{"français",#N/A,FALSE,"Intro";"français",#N/A,FALSE,"Index";#N/A,#N/A,FALSE,"3-Incor";#N/A,#N/A,FALSE,"4-Corpo"}</definedName>
    <definedName name="central1_1_1" localSheetId="4" hidden="1">{"français",#N/A,FALSE,"Intro";"français",#N/A,FALSE,"Index";#N/A,#N/A,FALSE,"3-Incor";#N/A,#N/A,FALSE,"4-Corpo"}</definedName>
    <definedName name="central1_1_1" hidden="1">{"français",#N/A,FALSE,"Intro";"français",#N/A,FALSE,"Index";#N/A,#N/A,FALSE,"3-Incor";#N/A,#N/A,FALSE,"4-Corpo"}</definedName>
    <definedName name="central1_1_1_1" localSheetId="4" hidden="1">{"français",#N/A,FALSE,"Intro";"français",#N/A,FALSE,"Index";#N/A,#N/A,FALSE,"3-Incor";#N/A,#N/A,FALSE,"4-Corpo"}</definedName>
    <definedName name="central1_1_1_1" hidden="1">{"français",#N/A,FALSE,"Intro";"français",#N/A,FALSE,"Index";#N/A,#N/A,FALSE,"3-Incor";#N/A,#N/A,FALSE,"4-Corpo"}</definedName>
    <definedName name="central1_1_1_1_1" localSheetId="4" hidden="1">{"français",#N/A,FALSE,"Intro";"français",#N/A,FALSE,"Index";#N/A,#N/A,FALSE,"3-Incor";#N/A,#N/A,FALSE,"4-Corpo"}</definedName>
    <definedName name="central1_1_1_1_1" hidden="1">{"français",#N/A,FALSE,"Intro";"français",#N/A,FALSE,"Index";#N/A,#N/A,FALSE,"3-Incor";#N/A,#N/A,FALSE,"4-Corpo"}</definedName>
    <definedName name="central1_1_1_2" localSheetId="4" hidden="1">{"français",#N/A,FALSE,"Intro";"français",#N/A,FALSE,"Index";#N/A,#N/A,FALSE,"3-Incor";#N/A,#N/A,FALSE,"4-Corpo"}</definedName>
    <definedName name="central1_1_1_2" hidden="1">{"français",#N/A,FALSE,"Intro";"français",#N/A,FALSE,"Index";#N/A,#N/A,FALSE,"3-Incor";#N/A,#N/A,FALSE,"4-Corpo"}</definedName>
    <definedName name="central1_1_1_2_1" localSheetId="4" hidden="1">{"français",#N/A,FALSE,"Intro";"français",#N/A,FALSE,"Index";#N/A,#N/A,FALSE,"3-Incor";#N/A,#N/A,FALSE,"4-Corpo"}</definedName>
    <definedName name="central1_1_1_2_1" hidden="1">{"français",#N/A,FALSE,"Intro";"français",#N/A,FALSE,"Index";#N/A,#N/A,FALSE,"3-Incor";#N/A,#N/A,FALSE,"4-Corpo"}</definedName>
    <definedName name="central1_1_1_3" localSheetId="4" hidden="1">{"français",#N/A,FALSE,"Intro";"français",#N/A,FALSE,"Index";#N/A,#N/A,FALSE,"3-Incor";#N/A,#N/A,FALSE,"4-Corpo"}</definedName>
    <definedName name="central1_1_1_3" hidden="1">{"français",#N/A,FALSE,"Intro";"français",#N/A,FALSE,"Index";#N/A,#N/A,FALSE,"3-Incor";#N/A,#N/A,FALSE,"4-Corpo"}</definedName>
    <definedName name="central1_1_1_3_1" localSheetId="4" hidden="1">{"français",#N/A,FALSE,"Intro";"français",#N/A,FALSE,"Index";#N/A,#N/A,FALSE,"3-Incor";#N/A,#N/A,FALSE,"4-Corpo"}</definedName>
    <definedName name="central1_1_1_3_1" hidden="1">{"français",#N/A,FALSE,"Intro";"français",#N/A,FALSE,"Index";#N/A,#N/A,FALSE,"3-Incor";#N/A,#N/A,FALSE,"4-Corpo"}</definedName>
    <definedName name="central1_1_1_4" localSheetId="4" hidden="1">{"français",#N/A,FALSE,"Intro";"français",#N/A,FALSE,"Index";#N/A,#N/A,FALSE,"3-Incor";#N/A,#N/A,FALSE,"4-Corpo"}</definedName>
    <definedName name="central1_1_1_4" hidden="1">{"français",#N/A,FALSE,"Intro";"français",#N/A,FALSE,"Index";#N/A,#N/A,FALSE,"3-Incor";#N/A,#N/A,FALSE,"4-Corpo"}</definedName>
    <definedName name="central1_1_2" localSheetId="4" hidden="1">{"français",#N/A,FALSE,"Intro";"français",#N/A,FALSE,"Index";#N/A,#N/A,FALSE,"3-Incor";#N/A,#N/A,FALSE,"4-Corpo"}</definedName>
    <definedName name="central1_1_2" hidden="1">{"français",#N/A,FALSE,"Intro";"français",#N/A,FALSE,"Index";#N/A,#N/A,FALSE,"3-Incor";#N/A,#N/A,FALSE,"4-Corpo"}</definedName>
    <definedName name="central1_1_2_1" localSheetId="4" hidden="1">{"français",#N/A,FALSE,"Intro";"français",#N/A,FALSE,"Index";#N/A,#N/A,FALSE,"3-Incor";#N/A,#N/A,FALSE,"4-Corpo"}</definedName>
    <definedName name="central1_1_2_1" hidden="1">{"français",#N/A,FALSE,"Intro";"français",#N/A,FALSE,"Index";#N/A,#N/A,FALSE,"3-Incor";#N/A,#N/A,FALSE,"4-Corpo"}</definedName>
    <definedName name="central1_1_3" localSheetId="4" hidden="1">{"français",#N/A,FALSE,"Intro";"français",#N/A,FALSE,"Index";#N/A,#N/A,FALSE,"3-Incor";#N/A,#N/A,FALSE,"4-Corpo"}</definedName>
    <definedName name="central1_1_3" hidden="1">{"français",#N/A,FALSE,"Intro";"français",#N/A,FALSE,"Index";#N/A,#N/A,FALSE,"3-Incor";#N/A,#N/A,FALSE,"4-Corpo"}</definedName>
    <definedName name="central1_1_3_1" localSheetId="4" hidden="1">{"français",#N/A,FALSE,"Intro";"français",#N/A,FALSE,"Index";#N/A,#N/A,FALSE,"3-Incor";#N/A,#N/A,FALSE,"4-Corpo"}</definedName>
    <definedName name="central1_1_3_1" hidden="1">{"français",#N/A,FALSE,"Intro";"français",#N/A,FALSE,"Index";#N/A,#N/A,FALSE,"3-Incor";#N/A,#N/A,FALSE,"4-Corpo"}</definedName>
    <definedName name="central1_1_4" localSheetId="4" hidden="1">{"français",#N/A,FALSE,"Intro";"français",#N/A,FALSE,"Index";#N/A,#N/A,FALSE,"3-Incor";#N/A,#N/A,FALSE,"4-Corpo"}</definedName>
    <definedName name="central1_1_4" hidden="1">{"français",#N/A,FALSE,"Intro";"français",#N/A,FALSE,"Index";#N/A,#N/A,FALSE,"3-Incor";#N/A,#N/A,FALSE,"4-Corpo"}</definedName>
    <definedName name="central1_1_4_1" localSheetId="4" hidden="1">{"français",#N/A,FALSE,"Intro";"français",#N/A,FALSE,"Index";#N/A,#N/A,FALSE,"3-Incor";#N/A,#N/A,FALSE,"4-Corpo"}</definedName>
    <definedName name="central1_1_4_1" hidden="1">{"français",#N/A,FALSE,"Intro";"français",#N/A,FALSE,"Index";#N/A,#N/A,FALSE,"3-Incor";#N/A,#N/A,FALSE,"4-Corpo"}</definedName>
    <definedName name="central1_1_5" localSheetId="4" hidden="1">{"français",#N/A,FALSE,"Intro";"français",#N/A,FALSE,"Index";#N/A,#N/A,FALSE,"3-Incor";#N/A,#N/A,FALSE,"4-Corpo"}</definedName>
    <definedName name="central1_1_5" hidden="1">{"français",#N/A,FALSE,"Intro";"français",#N/A,FALSE,"Index";#N/A,#N/A,FALSE,"3-Incor";#N/A,#N/A,FALSE,"4-Corpo"}</definedName>
    <definedName name="central1_2" localSheetId="4" hidden="1">{"français",#N/A,FALSE,"Intro";"français",#N/A,FALSE,"Index";#N/A,#N/A,FALSE,"3-Incor";#N/A,#N/A,FALSE,"4-Corpo"}</definedName>
    <definedName name="central1_2" hidden="1">{"français",#N/A,FALSE,"Intro";"français",#N/A,FALSE,"Index";#N/A,#N/A,FALSE,"3-Incor";#N/A,#N/A,FALSE,"4-Corpo"}</definedName>
    <definedName name="central1_2_1" localSheetId="4" hidden="1">{"français",#N/A,FALSE,"Intro";"français",#N/A,FALSE,"Index";#N/A,#N/A,FALSE,"3-Incor";#N/A,#N/A,FALSE,"4-Corpo"}</definedName>
    <definedName name="central1_2_1" hidden="1">{"français",#N/A,FALSE,"Intro";"français",#N/A,FALSE,"Index";#N/A,#N/A,FALSE,"3-Incor";#N/A,#N/A,FALSE,"4-Corpo"}</definedName>
    <definedName name="central1_2_1_1" localSheetId="4" hidden="1">{"français",#N/A,FALSE,"Intro";"français",#N/A,FALSE,"Index";#N/A,#N/A,FALSE,"3-Incor";#N/A,#N/A,FALSE,"4-Corpo"}</definedName>
    <definedName name="central1_2_1_1" hidden="1">{"français",#N/A,FALSE,"Intro";"français",#N/A,FALSE,"Index";#N/A,#N/A,FALSE,"3-Incor";#N/A,#N/A,FALSE,"4-Corpo"}</definedName>
    <definedName name="central1_2_2" localSheetId="4" hidden="1">{"français",#N/A,FALSE,"Intro";"français",#N/A,FALSE,"Index";#N/A,#N/A,FALSE,"3-Incor";#N/A,#N/A,FALSE,"4-Corpo"}</definedName>
    <definedName name="central1_2_2" hidden="1">{"français",#N/A,FALSE,"Intro";"français",#N/A,FALSE,"Index";#N/A,#N/A,FALSE,"3-Incor";#N/A,#N/A,FALSE,"4-Corpo"}</definedName>
    <definedName name="central1_2_2_1" localSheetId="4" hidden="1">{"français",#N/A,FALSE,"Intro";"français",#N/A,FALSE,"Index";#N/A,#N/A,FALSE,"3-Incor";#N/A,#N/A,FALSE,"4-Corpo"}</definedName>
    <definedName name="central1_2_2_1" hidden="1">{"français",#N/A,FALSE,"Intro";"français",#N/A,FALSE,"Index";#N/A,#N/A,FALSE,"3-Incor";#N/A,#N/A,FALSE,"4-Corpo"}</definedName>
    <definedName name="central1_2_3" localSheetId="4" hidden="1">{"français",#N/A,FALSE,"Intro";"français",#N/A,FALSE,"Index";#N/A,#N/A,FALSE,"3-Incor";#N/A,#N/A,FALSE,"4-Corpo"}</definedName>
    <definedName name="central1_2_3" hidden="1">{"français",#N/A,FALSE,"Intro";"français",#N/A,FALSE,"Index";#N/A,#N/A,FALSE,"3-Incor";#N/A,#N/A,FALSE,"4-Corpo"}</definedName>
    <definedName name="central1_2_3_1" localSheetId="4" hidden="1">{"français",#N/A,FALSE,"Intro";"français",#N/A,FALSE,"Index";#N/A,#N/A,FALSE,"3-Incor";#N/A,#N/A,FALSE,"4-Corpo"}</definedName>
    <definedName name="central1_2_3_1" hidden="1">{"français",#N/A,FALSE,"Intro";"français",#N/A,FALSE,"Index";#N/A,#N/A,FALSE,"3-Incor";#N/A,#N/A,FALSE,"4-Corpo"}</definedName>
    <definedName name="central1_2_4" localSheetId="4" hidden="1">{"français",#N/A,FALSE,"Intro";"français",#N/A,FALSE,"Index";#N/A,#N/A,FALSE,"3-Incor";#N/A,#N/A,FALSE,"4-Corpo"}</definedName>
    <definedName name="central1_2_4" hidden="1">{"français",#N/A,FALSE,"Intro";"français",#N/A,FALSE,"Index";#N/A,#N/A,FALSE,"3-Incor";#N/A,#N/A,FALSE,"4-Corpo"}</definedName>
    <definedName name="central1_3" localSheetId="4" hidden="1">{"français",#N/A,FALSE,"Intro";"français",#N/A,FALSE,"Index";#N/A,#N/A,FALSE,"3-Incor";#N/A,#N/A,FALSE,"4-Corpo"}</definedName>
    <definedName name="central1_3" hidden="1">{"français",#N/A,FALSE,"Intro";"français",#N/A,FALSE,"Index";#N/A,#N/A,FALSE,"3-Incor";#N/A,#N/A,FALSE,"4-Corpo"}</definedName>
    <definedName name="central1_3_1" localSheetId="4" hidden="1">{"français",#N/A,FALSE,"Intro";"français",#N/A,FALSE,"Index";#N/A,#N/A,FALSE,"3-Incor";#N/A,#N/A,FALSE,"4-Corpo"}</definedName>
    <definedName name="central1_3_1" hidden="1">{"français",#N/A,FALSE,"Intro";"français",#N/A,FALSE,"Index";#N/A,#N/A,FALSE,"3-Incor";#N/A,#N/A,FALSE,"4-Corpo"}</definedName>
    <definedName name="central1_4" localSheetId="4" hidden="1">{"français",#N/A,FALSE,"Intro";"français",#N/A,FALSE,"Index";#N/A,#N/A,FALSE,"3-Incor";#N/A,#N/A,FALSE,"4-Corpo"}</definedName>
    <definedName name="central1_4" hidden="1">{"français",#N/A,FALSE,"Intro";"français",#N/A,FALSE,"Index";#N/A,#N/A,FALSE,"3-Incor";#N/A,#N/A,FALSE,"4-Corpo"}</definedName>
    <definedName name="central1_4_1" localSheetId="4" hidden="1">{"français",#N/A,FALSE,"Intro";"français",#N/A,FALSE,"Index";#N/A,#N/A,FALSE,"3-Incor";#N/A,#N/A,FALSE,"4-Corpo"}</definedName>
    <definedName name="central1_4_1" hidden="1">{"français",#N/A,FALSE,"Intro";"français",#N/A,FALSE,"Index";#N/A,#N/A,FALSE,"3-Incor";#N/A,#N/A,FALSE,"4-Corpo"}</definedName>
    <definedName name="central1_5" localSheetId="4" hidden="1">{"français",#N/A,FALSE,"Intro";"français",#N/A,FALSE,"Index";#N/A,#N/A,FALSE,"3-Incor";#N/A,#N/A,FALSE,"4-Corpo"}</definedName>
    <definedName name="central1_5" hidden="1">{"français",#N/A,FALSE,"Intro";"français",#N/A,FALSE,"Index";#N/A,#N/A,FALSE,"3-Incor";#N/A,#N/A,FALSE,"4-Corpo"}</definedName>
    <definedName name="central1_5_1" localSheetId="4" hidden="1">{"français",#N/A,FALSE,"Intro";"français",#N/A,FALSE,"Index";#N/A,#N/A,FALSE,"3-Incor";#N/A,#N/A,FALSE,"4-Corpo"}</definedName>
    <definedName name="central1_5_1" hidden="1">{"français",#N/A,FALSE,"Intro";"français",#N/A,FALSE,"Index";#N/A,#N/A,FALSE,"3-Incor";#N/A,#N/A,FALSE,"4-Corpo"}</definedName>
    <definedName name="Central2" localSheetId="4" hidden="1">{"français",#N/A,FALSE,"Intro";"français",#N/A,FALSE,"Index";#N/A,#N/A,FALSE,"3-Incor";#N/A,#N/A,FALSE,"4-Corpo"}</definedName>
    <definedName name="Central2" hidden="1">{"français",#N/A,FALSE,"Intro";"français",#N/A,FALSE,"Index";#N/A,#N/A,FALSE,"3-Incor";#N/A,#N/A,FALSE,"4-Corpo"}</definedName>
    <definedName name="Central2_1" localSheetId="4" hidden="1">{"français",#N/A,FALSE,"Intro";"français",#N/A,FALSE,"Index";#N/A,#N/A,FALSE,"3-Incor";#N/A,#N/A,FALSE,"4-Corpo"}</definedName>
    <definedName name="Central2_1" hidden="1">{"français",#N/A,FALSE,"Intro";"français",#N/A,FALSE,"Index";#N/A,#N/A,FALSE,"3-Incor";#N/A,#N/A,FALSE,"4-Corpo"}</definedName>
    <definedName name="Central2_1_1" localSheetId="4" hidden="1">{"français",#N/A,FALSE,"Intro";"français",#N/A,FALSE,"Index";#N/A,#N/A,FALSE,"3-Incor";#N/A,#N/A,FALSE,"4-Corpo"}</definedName>
    <definedName name="Central2_1_1" hidden="1">{"français",#N/A,FALSE,"Intro";"français",#N/A,FALSE,"Index";#N/A,#N/A,FALSE,"3-Incor";#N/A,#N/A,FALSE,"4-Corpo"}</definedName>
    <definedName name="Central2_1_1_1" localSheetId="4" hidden="1">{"français",#N/A,FALSE,"Intro";"français",#N/A,FALSE,"Index";#N/A,#N/A,FALSE,"3-Incor";#N/A,#N/A,FALSE,"4-Corpo"}</definedName>
    <definedName name="Central2_1_1_1" hidden="1">{"français",#N/A,FALSE,"Intro";"français",#N/A,FALSE,"Index";#N/A,#N/A,FALSE,"3-Incor";#N/A,#N/A,FALSE,"4-Corpo"}</definedName>
    <definedName name="Central2_1_1_1_1" localSheetId="4" hidden="1">{"français",#N/A,FALSE,"Intro";"français",#N/A,FALSE,"Index";#N/A,#N/A,FALSE,"3-Incor";#N/A,#N/A,FALSE,"4-Corpo"}</definedName>
    <definedName name="Central2_1_1_1_1" hidden="1">{"français",#N/A,FALSE,"Intro";"français",#N/A,FALSE,"Index";#N/A,#N/A,FALSE,"3-Incor";#N/A,#N/A,FALSE,"4-Corpo"}</definedName>
    <definedName name="Central2_1_1_2" localSheetId="4" hidden="1">{"français",#N/A,FALSE,"Intro";"français",#N/A,FALSE,"Index";#N/A,#N/A,FALSE,"3-Incor";#N/A,#N/A,FALSE,"4-Corpo"}</definedName>
    <definedName name="Central2_1_1_2" hidden="1">{"français",#N/A,FALSE,"Intro";"français",#N/A,FALSE,"Index";#N/A,#N/A,FALSE,"3-Incor";#N/A,#N/A,FALSE,"4-Corpo"}</definedName>
    <definedName name="Central2_1_1_2_1" localSheetId="4" hidden="1">{"français",#N/A,FALSE,"Intro";"français",#N/A,FALSE,"Index";#N/A,#N/A,FALSE,"3-Incor";#N/A,#N/A,FALSE,"4-Corpo"}</definedName>
    <definedName name="Central2_1_1_2_1" hidden="1">{"français",#N/A,FALSE,"Intro";"français",#N/A,FALSE,"Index";#N/A,#N/A,FALSE,"3-Incor";#N/A,#N/A,FALSE,"4-Corpo"}</definedName>
    <definedName name="Central2_1_1_3" localSheetId="4" hidden="1">{"français",#N/A,FALSE,"Intro";"français",#N/A,FALSE,"Index";#N/A,#N/A,FALSE,"3-Incor";#N/A,#N/A,FALSE,"4-Corpo"}</definedName>
    <definedName name="Central2_1_1_3" hidden="1">{"français",#N/A,FALSE,"Intro";"français",#N/A,FALSE,"Index";#N/A,#N/A,FALSE,"3-Incor";#N/A,#N/A,FALSE,"4-Corpo"}</definedName>
    <definedName name="Central2_1_1_3_1" localSheetId="4" hidden="1">{"français",#N/A,FALSE,"Intro";"français",#N/A,FALSE,"Index";#N/A,#N/A,FALSE,"3-Incor";#N/A,#N/A,FALSE,"4-Corpo"}</definedName>
    <definedName name="Central2_1_1_3_1" hidden="1">{"français",#N/A,FALSE,"Intro";"français",#N/A,FALSE,"Index";#N/A,#N/A,FALSE,"3-Incor";#N/A,#N/A,FALSE,"4-Corpo"}</definedName>
    <definedName name="Central2_1_1_4" localSheetId="4" hidden="1">{"français",#N/A,FALSE,"Intro";"français",#N/A,FALSE,"Index";#N/A,#N/A,FALSE,"3-Incor";#N/A,#N/A,FALSE,"4-Corpo"}</definedName>
    <definedName name="Central2_1_1_4" hidden="1">{"français",#N/A,FALSE,"Intro";"français",#N/A,FALSE,"Index";#N/A,#N/A,FALSE,"3-Incor";#N/A,#N/A,FALSE,"4-Corpo"}</definedName>
    <definedName name="Central2_1_2" localSheetId="4" hidden="1">{"français",#N/A,FALSE,"Intro";"français",#N/A,FALSE,"Index";#N/A,#N/A,FALSE,"3-Incor";#N/A,#N/A,FALSE,"4-Corpo"}</definedName>
    <definedName name="Central2_1_2" hidden="1">{"français",#N/A,FALSE,"Intro";"français",#N/A,FALSE,"Index";#N/A,#N/A,FALSE,"3-Incor";#N/A,#N/A,FALSE,"4-Corpo"}</definedName>
    <definedName name="Central2_1_2_1" localSheetId="4" hidden="1">{"français",#N/A,FALSE,"Intro";"français",#N/A,FALSE,"Index";#N/A,#N/A,FALSE,"3-Incor";#N/A,#N/A,FALSE,"4-Corpo"}</definedName>
    <definedName name="Central2_1_2_1" hidden="1">{"français",#N/A,FALSE,"Intro";"français",#N/A,FALSE,"Index";#N/A,#N/A,FALSE,"3-Incor";#N/A,#N/A,FALSE,"4-Corpo"}</definedName>
    <definedName name="Central2_1_3" localSheetId="4" hidden="1">{"français",#N/A,FALSE,"Intro";"français",#N/A,FALSE,"Index";#N/A,#N/A,FALSE,"3-Incor";#N/A,#N/A,FALSE,"4-Corpo"}</definedName>
    <definedName name="Central2_1_3" hidden="1">{"français",#N/A,FALSE,"Intro";"français",#N/A,FALSE,"Index";#N/A,#N/A,FALSE,"3-Incor";#N/A,#N/A,FALSE,"4-Corpo"}</definedName>
    <definedName name="Central2_1_3_1" localSheetId="4" hidden="1">{"français",#N/A,FALSE,"Intro";"français",#N/A,FALSE,"Index";#N/A,#N/A,FALSE,"3-Incor";#N/A,#N/A,FALSE,"4-Corpo"}</definedName>
    <definedName name="Central2_1_3_1" hidden="1">{"français",#N/A,FALSE,"Intro";"français",#N/A,FALSE,"Index";#N/A,#N/A,FALSE,"3-Incor";#N/A,#N/A,FALSE,"4-Corpo"}</definedName>
    <definedName name="Central2_1_4" localSheetId="4" hidden="1">{"français",#N/A,FALSE,"Intro";"français",#N/A,FALSE,"Index";#N/A,#N/A,FALSE,"3-Incor";#N/A,#N/A,FALSE,"4-Corpo"}</definedName>
    <definedName name="Central2_1_4" hidden="1">{"français",#N/A,FALSE,"Intro";"français",#N/A,FALSE,"Index";#N/A,#N/A,FALSE,"3-Incor";#N/A,#N/A,FALSE,"4-Corpo"}</definedName>
    <definedName name="Central2_1_4_1" localSheetId="4" hidden="1">{"français",#N/A,FALSE,"Intro";"français",#N/A,FALSE,"Index";#N/A,#N/A,FALSE,"3-Incor";#N/A,#N/A,FALSE,"4-Corpo"}</definedName>
    <definedName name="Central2_1_4_1" hidden="1">{"français",#N/A,FALSE,"Intro";"français",#N/A,FALSE,"Index";#N/A,#N/A,FALSE,"3-Incor";#N/A,#N/A,FALSE,"4-Corpo"}</definedName>
    <definedName name="Central2_1_5" localSheetId="4" hidden="1">{"français",#N/A,FALSE,"Intro";"français",#N/A,FALSE,"Index";#N/A,#N/A,FALSE,"3-Incor";#N/A,#N/A,FALSE,"4-Corpo"}</definedName>
    <definedName name="Central2_1_5" hidden="1">{"français",#N/A,FALSE,"Intro";"français",#N/A,FALSE,"Index";#N/A,#N/A,FALSE,"3-Incor";#N/A,#N/A,FALSE,"4-Corpo"}</definedName>
    <definedName name="Central2_2" localSheetId="4" hidden="1">{"français",#N/A,FALSE,"Intro";"français",#N/A,FALSE,"Index";#N/A,#N/A,FALSE,"3-Incor";#N/A,#N/A,FALSE,"4-Corpo"}</definedName>
    <definedName name="Central2_2" hidden="1">{"français",#N/A,FALSE,"Intro";"français",#N/A,FALSE,"Index";#N/A,#N/A,FALSE,"3-Incor";#N/A,#N/A,FALSE,"4-Corpo"}</definedName>
    <definedName name="Central2_2_1" localSheetId="4" hidden="1">{"français",#N/A,FALSE,"Intro";"français",#N/A,FALSE,"Index";#N/A,#N/A,FALSE,"3-Incor";#N/A,#N/A,FALSE,"4-Corpo"}</definedName>
    <definedName name="Central2_2_1" hidden="1">{"français",#N/A,FALSE,"Intro";"français",#N/A,FALSE,"Index";#N/A,#N/A,FALSE,"3-Incor";#N/A,#N/A,FALSE,"4-Corpo"}</definedName>
    <definedName name="Central2_2_1_1" localSheetId="4" hidden="1">{"français",#N/A,FALSE,"Intro";"français",#N/A,FALSE,"Index";#N/A,#N/A,FALSE,"3-Incor";#N/A,#N/A,FALSE,"4-Corpo"}</definedName>
    <definedName name="Central2_2_1_1" hidden="1">{"français",#N/A,FALSE,"Intro";"français",#N/A,FALSE,"Index";#N/A,#N/A,FALSE,"3-Incor";#N/A,#N/A,FALSE,"4-Corpo"}</definedName>
    <definedName name="Central2_2_2" localSheetId="4" hidden="1">{"français",#N/A,FALSE,"Intro";"français",#N/A,FALSE,"Index";#N/A,#N/A,FALSE,"3-Incor";#N/A,#N/A,FALSE,"4-Corpo"}</definedName>
    <definedName name="Central2_2_2" hidden="1">{"français",#N/A,FALSE,"Intro";"français",#N/A,FALSE,"Index";#N/A,#N/A,FALSE,"3-Incor";#N/A,#N/A,FALSE,"4-Corpo"}</definedName>
    <definedName name="Central2_2_2_1" localSheetId="4" hidden="1">{"français",#N/A,FALSE,"Intro";"français",#N/A,FALSE,"Index";#N/A,#N/A,FALSE,"3-Incor";#N/A,#N/A,FALSE,"4-Corpo"}</definedName>
    <definedName name="Central2_2_2_1" hidden="1">{"français",#N/A,FALSE,"Intro";"français",#N/A,FALSE,"Index";#N/A,#N/A,FALSE,"3-Incor";#N/A,#N/A,FALSE,"4-Corpo"}</definedName>
    <definedName name="Central2_2_3" localSheetId="4" hidden="1">{"français",#N/A,FALSE,"Intro";"français",#N/A,FALSE,"Index";#N/A,#N/A,FALSE,"3-Incor";#N/A,#N/A,FALSE,"4-Corpo"}</definedName>
    <definedName name="Central2_2_3" hidden="1">{"français",#N/A,FALSE,"Intro";"français",#N/A,FALSE,"Index";#N/A,#N/A,FALSE,"3-Incor";#N/A,#N/A,FALSE,"4-Corpo"}</definedName>
    <definedName name="Central2_2_3_1" localSheetId="4" hidden="1">{"français",#N/A,FALSE,"Intro";"français",#N/A,FALSE,"Index";#N/A,#N/A,FALSE,"3-Incor";#N/A,#N/A,FALSE,"4-Corpo"}</definedName>
    <definedName name="Central2_2_3_1" hidden="1">{"français",#N/A,FALSE,"Intro";"français",#N/A,FALSE,"Index";#N/A,#N/A,FALSE,"3-Incor";#N/A,#N/A,FALSE,"4-Corpo"}</definedName>
    <definedName name="Central2_2_4" localSheetId="4" hidden="1">{"français",#N/A,FALSE,"Intro";"français",#N/A,FALSE,"Index";#N/A,#N/A,FALSE,"3-Incor";#N/A,#N/A,FALSE,"4-Corpo"}</definedName>
    <definedName name="Central2_2_4" hidden="1">{"français",#N/A,FALSE,"Intro";"français",#N/A,FALSE,"Index";#N/A,#N/A,FALSE,"3-Incor";#N/A,#N/A,FALSE,"4-Corpo"}</definedName>
    <definedName name="Central2_3" localSheetId="4" hidden="1">{"français",#N/A,FALSE,"Intro";"français",#N/A,FALSE,"Index";#N/A,#N/A,FALSE,"3-Incor";#N/A,#N/A,FALSE,"4-Corpo"}</definedName>
    <definedName name="Central2_3" hidden="1">{"français",#N/A,FALSE,"Intro";"français",#N/A,FALSE,"Index";#N/A,#N/A,FALSE,"3-Incor";#N/A,#N/A,FALSE,"4-Corpo"}</definedName>
    <definedName name="Central2_3_1" localSheetId="4" hidden="1">{"français",#N/A,FALSE,"Intro";"français",#N/A,FALSE,"Index";#N/A,#N/A,FALSE,"3-Incor";#N/A,#N/A,FALSE,"4-Corpo"}</definedName>
    <definedName name="Central2_3_1" hidden="1">{"français",#N/A,FALSE,"Intro";"français",#N/A,FALSE,"Index";#N/A,#N/A,FALSE,"3-Incor";#N/A,#N/A,FALSE,"4-Corpo"}</definedName>
    <definedName name="Central2_4" localSheetId="4" hidden="1">{"français",#N/A,FALSE,"Intro";"français",#N/A,FALSE,"Index";#N/A,#N/A,FALSE,"3-Incor";#N/A,#N/A,FALSE,"4-Corpo"}</definedName>
    <definedName name="Central2_4" hidden="1">{"français",#N/A,FALSE,"Intro";"français",#N/A,FALSE,"Index";#N/A,#N/A,FALSE,"3-Incor";#N/A,#N/A,FALSE,"4-Corpo"}</definedName>
    <definedName name="Central2_4_1" localSheetId="4" hidden="1">{"français",#N/A,FALSE,"Intro";"français",#N/A,FALSE,"Index";#N/A,#N/A,FALSE,"3-Incor";#N/A,#N/A,FALSE,"4-Corpo"}</definedName>
    <definedName name="Central2_4_1" hidden="1">{"français",#N/A,FALSE,"Intro";"français",#N/A,FALSE,"Index";#N/A,#N/A,FALSE,"3-Incor";#N/A,#N/A,FALSE,"4-Corpo"}</definedName>
    <definedName name="Central2_5" localSheetId="4" hidden="1">{"français",#N/A,FALSE,"Intro";"français",#N/A,FALSE,"Index";#N/A,#N/A,FALSE,"3-Incor";#N/A,#N/A,FALSE,"4-Corpo"}</definedName>
    <definedName name="Central2_5" hidden="1">{"français",#N/A,FALSE,"Intro";"français",#N/A,FALSE,"Index";#N/A,#N/A,FALSE,"3-Incor";#N/A,#N/A,FALSE,"4-Corpo"}</definedName>
    <definedName name="Central2_5_1" localSheetId="4" hidden="1">{"français",#N/A,FALSE,"Intro";"français",#N/A,FALSE,"Index";#N/A,#N/A,FALSE,"3-Incor";#N/A,#N/A,FALSE,"4-Corpo"}</definedName>
    <definedName name="Central2_5_1" hidden="1">{"français",#N/A,FALSE,"Intro";"français",#N/A,FALSE,"Index";#N/A,#N/A,FALSE,"3-Incor";#N/A,#N/A,FALSE,"4-Corpo"}</definedName>
    <definedName name="check_Exp">#REF!</definedName>
    <definedName name="ChtDataLabels_Months" localSheetId="4">OFFSET(AgencyRevenueChtData,-1,0)</definedName>
    <definedName name="ChtDataLabels_Months">OFFSET(AgencyRevenueChtData,-1,0)</definedName>
    <definedName name="ChtDataLabels_Surveys" localSheetId="4">OFFSET(NovaEnt_10_ChtData,-1,0)</definedName>
    <definedName name="ChtDataLabels_Surveys">OFFSET(NovaEnt_10_ChtData,-1,0)</definedName>
    <definedName name="class">[12]Sheet1!$A$2:$A$44</definedName>
    <definedName name="Company">_xlfn.ANCHORARRAY('[16]Completed V2'!$E$4)</definedName>
    <definedName name="Competitor1_10_ChtData">OFFSET('[9]Dashboard Data'!$A$56,0,COUNT('[9]Dashboard Data'!$56:$56),1,-24)</definedName>
    <definedName name="Competitor1_25_54_ChtData">OFFSET('[9]Dashboard Data'!$A$68,0,COUNT('[9]Dashboard Data'!$68:$68),1,-24)</definedName>
    <definedName name="Competitor1_40_54_ChtData">OFFSET('[9]Dashboard Data'!$A$62,0,COUNT('[9]Dashboard Data'!$62:$62),1,-24)</definedName>
    <definedName name="Competitor1_Cume_ChtData">OFFSET('[9]Dashboard Data'!$A$76,0,COUNT('[9]Dashboard Data'!$76:$76),1,-24)</definedName>
    <definedName name="Competitor2_10_ChtData">OFFSET('[9]Dashboard Data'!$A$57,0,COUNT('[9]Dashboard Data'!$57:$57),1,-24)</definedName>
    <definedName name="Competitor2_25_54_ChtData">OFFSET('[9]Dashboard Data'!$A$69,0,COUNT('[9]Dashboard Data'!$69:$69),1,-24)</definedName>
    <definedName name="Competitor2_40_54_ChtData">OFFSET('[9]Dashboard Data'!$A$63,0,COUNT('[9]Dashboard Data'!$63:$63),1,-24)</definedName>
    <definedName name="Competitor2_Cume_ChtData">OFFSET('[9]Dashboard Data'!$A$77,0,COUNT('[9]Dashboard Data'!$77:$77),1,-24)</definedName>
    <definedName name="Competitor3_10_ChtData">OFFSET('[9]Dashboard Data'!$A$58,0,COUNT('[9]Dashboard Data'!$58:$58),1,-24)</definedName>
    <definedName name="Competitor3_25_54_ChtData">OFFSET('[9]Dashboard Data'!$A$70,0,COUNT('[9]Dashboard Data'!$70:$70),1,-24)</definedName>
    <definedName name="Competitor3_40_54_ChtData">OFFSET('[9]Dashboard Data'!$A$64,0,COUNT('[9]Dashboard Data'!$64:$64),1,-24)</definedName>
    <definedName name="Competitor3_Cume_ChtData">OFFSET('[9]Dashboard Data'!$A$78,0,COUNT('[9]Dashboard Data'!$78:$78),1,-24)</definedName>
    <definedName name="Corporate">'[5]Input Actuals'!$C$176:$AA$193</definedName>
    <definedName name="Corporate_Production_Budget">#REF!</definedName>
    <definedName name="CPI_AUS_0102">[17]Assumptions!$D$15</definedName>
    <definedName name="CPI_AUS_0203">[17]Assumptions!$F$15</definedName>
    <definedName name="CPI_AUS_0304">[17]Assumptions!$H$15</definedName>
    <definedName name="CPI_AUS_0405">[17]Assumptions!$J$15</definedName>
    <definedName name="CPI_AUS_0506">[17]Assumptions!$L$15</definedName>
    <definedName name="CPI_NZ_0102">[17]Assumptions!$D$16</definedName>
    <definedName name="CPI_NZ_0203">[17]Assumptions!$F$16</definedName>
    <definedName name="CPI_NZ_0304">[17]Assumptions!$H$16</definedName>
    <definedName name="CPI_NZ_0405">[17]Assumptions!$J$16</definedName>
    <definedName name="CPI_NZ_0506">[17]Assumptions!$L$16</definedName>
    <definedName name="_xlnm.Criteria">[18]CURRENT1!#REF!</definedName>
    <definedName name="CRMel">'[5]Input Actuals'!$C$98:$AA$115</definedName>
    <definedName name="CRSyd">'[5]Input Actuals'!$C$79:$AA$96</definedName>
    <definedName name="Current_Week">[19]Instruction!$C$2</definedName>
    <definedName name="Current_Year">[20]Instruction!$C$4</definedName>
    <definedName name="cvxvs" hidden="1">[11]Fcast_TA!$B$50</definedName>
    <definedName name="cvzcvzxcv" localSheetId="4" hidden="1">{"Complaint Graphs",#N/A,FALSE,"Complaint Graphs"}</definedName>
    <definedName name="cvzcvzxcv" hidden="1">{"Complaint Graphs",#N/A,FALSE,"Complaint Graphs"}</definedName>
    <definedName name="cvzcvzxcv_1" localSheetId="4" hidden="1">{"Complaint Graphs",#N/A,FALSE,"Complaint Graphs"}</definedName>
    <definedName name="cvzcvzxcv_1" hidden="1">{"Complaint Graphs",#N/A,FALSE,"Complaint Graphs"}</definedName>
    <definedName name="cvzcvzxcv_1_1" localSheetId="4" hidden="1">{"Complaint Graphs",#N/A,FALSE,"Complaint Graphs"}</definedName>
    <definedName name="cvzcvzxcv_1_1" hidden="1">{"Complaint Graphs",#N/A,FALSE,"Complaint Graphs"}</definedName>
    <definedName name="cvzcvzxcv_1_1_1" localSheetId="4" hidden="1">{"Complaint Graphs",#N/A,FALSE,"Complaint Graphs"}</definedName>
    <definedName name="cvzcvzxcv_1_1_1" hidden="1">{"Complaint Graphs",#N/A,FALSE,"Complaint Graphs"}</definedName>
    <definedName name="cvzcvzxcv_1_1_1_1" localSheetId="4" hidden="1">{"Complaint Graphs",#N/A,FALSE,"Complaint Graphs"}</definedName>
    <definedName name="cvzcvzxcv_1_1_1_1" hidden="1">{"Complaint Graphs",#N/A,FALSE,"Complaint Graphs"}</definedName>
    <definedName name="cvzcvzxcv_1_1_2" localSheetId="4" hidden="1">{"Complaint Graphs",#N/A,FALSE,"Complaint Graphs"}</definedName>
    <definedName name="cvzcvzxcv_1_1_2" hidden="1">{"Complaint Graphs",#N/A,FALSE,"Complaint Graphs"}</definedName>
    <definedName name="cvzcvzxcv_1_1_2_1" localSheetId="4" hidden="1">{"Complaint Graphs",#N/A,FALSE,"Complaint Graphs"}</definedName>
    <definedName name="cvzcvzxcv_1_1_2_1" hidden="1">{"Complaint Graphs",#N/A,FALSE,"Complaint Graphs"}</definedName>
    <definedName name="cvzcvzxcv_1_1_3" localSheetId="4" hidden="1">{"Complaint Graphs",#N/A,FALSE,"Complaint Graphs"}</definedName>
    <definedName name="cvzcvzxcv_1_1_3" hidden="1">{"Complaint Graphs",#N/A,FALSE,"Complaint Graphs"}</definedName>
    <definedName name="cvzcvzxcv_1_1_3_1" localSheetId="4" hidden="1">{"Complaint Graphs",#N/A,FALSE,"Complaint Graphs"}</definedName>
    <definedName name="cvzcvzxcv_1_1_3_1" hidden="1">{"Complaint Graphs",#N/A,FALSE,"Complaint Graphs"}</definedName>
    <definedName name="cvzcvzxcv_1_1_4" localSheetId="4" hidden="1">{"Complaint Graphs",#N/A,FALSE,"Complaint Graphs"}</definedName>
    <definedName name="cvzcvzxcv_1_1_4" hidden="1">{"Complaint Graphs",#N/A,FALSE,"Complaint Graphs"}</definedName>
    <definedName name="cvzcvzxcv_1_2" localSheetId="4" hidden="1">{"Complaint Graphs",#N/A,FALSE,"Complaint Graphs"}</definedName>
    <definedName name="cvzcvzxcv_1_2" hidden="1">{"Complaint Graphs",#N/A,FALSE,"Complaint Graphs"}</definedName>
    <definedName name="cvzcvzxcv_1_2_1" localSheetId="4" hidden="1">{"Complaint Graphs",#N/A,FALSE,"Complaint Graphs"}</definedName>
    <definedName name="cvzcvzxcv_1_2_1" hidden="1">{"Complaint Graphs",#N/A,FALSE,"Complaint Graphs"}</definedName>
    <definedName name="cvzcvzxcv_1_3" localSheetId="4" hidden="1">{"Complaint Graphs",#N/A,FALSE,"Complaint Graphs"}</definedName>
    <definedName name="cvzcvzxcv_1_3" hidden="1">{"Complaint Graphs",#N/A,FALSE,"Complaint Graphs"}</definedName>
    <definedName name="cvzcvzxcv_1_3_1" localSheetId="4" hidden="1">{"Complaint Graphs",#N/A,FALSE,"Complaint Graphs"}</definedName>
    <definedName name="cvzcvzxcv_1_3_1" hidden="1">{"Complaint Graphs",#N/A,FALSE,"Complaint Graphs"}</definedName>
    <definedName name="cvzcvzxcv_1_4" localSheetId="4" hidden="1">{"Complaint Graphs",#N/A,FALSE,"Complaint Graphs"}</definedName>
    <definedName name="cvzcvzxcv_1_4" hidden="1">{"Complaint Graphs",#N/A,FALSE,"Complaint Graphs"}</definedName>
    <definedName name="cvzcvzxcv_1_4_1" localSheetId="4" hidden="1">{"Complaint Graphs",#N/A,FALSE,"Complaint Graphs"}</definedName>
    <definedName name="cvzcvzxcv_1_4_1" hidden="1">{"Complaint Graphs",#N/A,FALSE,"Complaint Graphs"}</definedName>
    <definedName name="cvzcvzxcv_1_5" localSheetId="4" hidden="1">{"Complaint Graphs",#N/A,FALSE,"Complaint Graphs"}</definedName>
    <definedName name="cvzcvzxcv_1_5" hidden="1">{"Complaint Graphs",#N/A,FALSE,"Complaint Graphs"}</definedName>
    <definedName name="cvzcvzxcv_2" localSheetId="4" hidden="1">{"Complaint Graphs",#N/A,FALSE,"Complaint Graphs"}</definedName>
    <definedName name="cvzcvzxcv_2" hidden="1">{"Complaint Graphs",#N/A,FALSE,"Complaint Graphs"}</definedName>
    <definedName name="cvzcvzxcv_2_1" localSheetId="4" hidden="1">{"Complaint Graphs",#N/A,FALSE,"Complaint Graphs"}</definedName>
    <definedName name="cvzcvzxcv_2_1" hidden="1">{"Complaint Graphs",#N/A,FALSE,"Complaint Graphs"}</definedName>
    <definedName name="cvzcvzxcv_2_1_1" localSheetId="4" hidden="1">{"Complaint Graphs",#N/A,FALSE,"Complaint Graphs"}</definedName>
    <definedName name="cvzcvzxcv_2_1_1" hidden="1">{"Complaint Graphs",#N/A,FALSE,"Complaint Graphs"}</definedName>
    <definedName name="cvzcvzxcv_2_2" localSheetId="4" hidden="1">{"Complaint Graphs",#N/A,FALSE,"Complaint Graphs"}</definedName>
    <definedName name="cvzcvzxcv_2_2" hidden="1">{"Complaint Graphs",#N/A,FALSE,"Complaint Graphs"}</definedName>
    <definedName name="cvzcvzxcv_2_2_1" localSheetId="4" hidden="1">{"Complaint Graphs",#N/A,FALSE,"Complaint Graphs"}</definedName>
    <definedName name="cvzcvzxcv_2_2_1" hidden="1">{"Complaint Graphs",#N/A,FALSE,"Complaint Graphs"}</definedName>
    <definedName name="cvzcvzxcv_2_3" localSheetId="4" hidden="1">{"Complaint Graphs",#N/A,FALSE,"Complaint Graphs"}</definedName>
    <definedName name="cvzcvzxcv_2_3" hidden="1">{"Complaint Graphs",#N/A,FALSE,"Complaint Graphs"}</definedName>
    <definedName name="cvzcvzxcv_2_3_1" localSheetId="4" hidden="1">{"Complaint Graphs",#N/A,FALSE,"Complaint Graphs"}</definedName>
    <definedName name="cvzcvzxcv_2_3_1" hidden="1">{"Complaint Graphs",#N/A,FALSE,"Complaint Graphs"}</definedName>
    <definedName name="cvzcvzxcv_2_4" localSheetId="4" hidden="1">{"Complaint Graphs",#N/A,FALSE,"Complaint Graphs"}</definedName>
    <definedName name="cvzcvzxcv_2_4" hidden="1">{"Complaint Graphs",#N/A,FALSE,"Complaint Graphs"}</definedName>
    <definedName name="cvzcvzxcv_3" localSheetId="4" hidden="1">{"Complaint Graphs",#N/A,FALSE,"Complaint Graphs"}</definedName>
    <definedName name="cvzcvzxcv_3" hidden="1">{"Complaint Graphs",#N/A,FALSE,"Complaint Graphs"}</definedName>
    <definedName name="cvzcvzxcv_3_1" localSheetId="4" hidden="1">{"Complaint Graphs",#N/A,FALSE,"Complaint Graphs"}</definedName>
    <definedName name="cvzcvzxcv_3_1" hidden="1">{"Complaint Graphs",#N/A,FALSE,"Complaint Graphs"}</definedName>
    <definedName name="cvzcvzxcv_4" localSheetId="4" hidden="1">{"Complaint Graphs",#N/A,FALSE,"Complaint Graphs"}</definedName>
    <definedName name="cvzcvzxcv_4" hidden="1">{"Complaint Graphs",#N/A,FALSE,"Complaint Graphs"}</definedName>
    <definedName name="cvzcvzxcv_4_1" localSheetId="4" hidden="1">{"Complaint Graphs",#N/A,FALSE,"Complaint Graphs"}</definedName>
    <definedName name="cvzcvzxcv_4_1" hidden="1">{"Complaint Graphs",#N/A,FALSE,"Complaint Graphs"}</definedName>
    <definedName name="cvzcvzxcv_5" localSheetId="4" hidden="1">{"Complaint Graphs",#N/A,FALSE,"Complaint Graphs"}</definedName>
    <definedName name="cvzcvzxcv_5" hidden="1">{"Complaint Graphs",#N/A,FALSE,"Complaint Graphs"}</definedName>
    <definedName name="cvzcvzxcv_5_1" localSheetId="4" hidden="1">{"Complaint Graphs",#N/A,FALSE,"Complaint Graphs"}</definedName>
    <definedName name="cvzcvzxcv_5_1" hidden="1">{"Complaint Graphs",#N/A,FALSE,"Complaint Graphs"}</definedName>
    <definedName name="d" localSheetId="4" hidden="1">{"Complaint Graphs",#N/A,FALSE,"Complaint Graphs"}</definedName>
    <definedName name="d" hidden="1">{"Complaint Graphs",#N/A,FALSE,"Complaint Graphs"}</definedName>
    <definedName name="d_1" localSheetId="4" hidden="1">{"Complaint Graphs",#N/A,FALSE,"Complaint Graphs"}</definedName>
    <definedName name="d_1" hidden="1">{"Complaint Graphs",#N/A,FALSE,"Complaint Graphs"}</definedName>
    <definedName name="d_1_1" localSheetId="4" hidden="1">{"Complaint Graphs",#N/A,FALSE,"Complaint Graphs"}</definedName>
    <definedName name="d_1_1" hidden="1">{"Complaint Graphs",#N/A,FALSE,"Complaint Graphs"}</definedName>
    <definedName name="d_1_1_1" localSheetId="4" hidden="1">{"Complaint Graphs",#N/A,FALSE,"Complaint Graphs"}</definedName>
    <definedName name="d_1_1_1" hidden="1">{"Complaint Graphs",#N/A,FALSE,"Complaint Graphs"}</definedName>
    <definedName name="d_1_1_1_1" localSheetId="4" hidden="1">{"Complaint Graphs",#N/A,FALSE,"Complaint Graphs"}</definedName>
    <definedName name="d_1_1_1_1" hidden="1">{"Complaint Graphs",#N/A,FALSE,"Complaint Graphs"}</definedName>
    <definedName name="d_1_1_2" localSheetId="4" hidden="1">{"Complaint Graphs",#N/A,FALSE,"Complaint Graphs"}</definedName>
    <definedName name="d_1_1_2" hidden="1">{"Complaint Graphs",#N/A,FALSE,"Complaint Graphs"}</definedName>
    <definedName name="d_1_1_2_1" localSheetId="4" hidden="1">{"Complaint Graphs",#N/A,FALSE,"Complaint Graphs"}</definedName>
    <definedName name="d_1_1_2_1" hidden="1">{"Complaint Graphs",#N/A,FALSE,"Complaint Graphs"}</definedName>
    <definedName name="d_1_1_3" localSheetId="4" hidden="1">{"Complaint Graphs",#N/A,FALSE,"Complaint Graphs"}</definedName>
    <definedName name="d_1_1_3" hidden="1">{"Complaint Graphs",#N/A,FALSE,"Complaint Graphs"}</definedName>
    <definedName name="d_1_1_3_1" localSheetId="4" hidden="1">{"Complaint Graphs",#N/A,FALSE,"Complaint Graphs"}</definedName>
    <definedName name="d_1_1_3_1" hidden="1">{"Complaint Graphs",#N/A,FALSE,"Complaint Graphs"}</definedName>
    <definedName name="d_1_1_4" localSheetId="4" hidden="1">{"Complaint Graphs",#N/A,FALSE,"Complaint Graphs"}</definedName>
    <definedName name="d_1_1_4" hidden="1">{"Complaint Graphs",#N/A,FALSE,"Complaint Graphs"}</definedName>
    <definedName name="d_1_2" localSheetId="4" hidden="1">{"Complaint Graphs",#N/A,FALSE,"Complaint Graphs"}</definedName>
    <definedName name="d_1_2" hidden="1">{"Complaint Graphs",#N/A,FALSE,"Complaint Graphs"}</definedName>
    <definedName name="d_1_2_1" localSheetId="4" hidden="1">{"Complaint Graphs",#N/A,FALSE,"Complaint Graphs"}</definedName>
    <definedName name="d_1_2_1" hidden="1">{"Complaint Graphs",#N/A,FALSE,"Complaint Graphs"}</definedName>
    <definedName name="d_1_3" localSheetId="4" hidden="1">{"Complaint Graphs",#N/A,FALSE,"Complaint Graphs"}</definedName>
    <definedName name="d_1_3" hidden="1">{"Complaint Graphs",#N/A,FALSE,"Complaint Graphs"}</definedName>
    <definedName name="d_1_3_1" localSheetId="4" hidden="1">{"Complaint Graphs",#N/A,FALSE,"Complaint Graphs"}</definedName>
    <definedName name="d_1_3_1" hidden="1">{"Complaint Graphs",#N/A,FALSE,"Complaint Graphs"}</definedName>
    <definedName name="d_1_4" localSheetId="4" hidden="1">{"Complaint Graphs",#N/A,FALSE,"Complaint Graphs"}</definedName>
    <definedName name="d_1_4" hidden="1">{"Complaint Graphs",#N/A,FALSE,"Complaint Graphs"}</definedName>
    <definedName name="d_1_4_1" localSheetId="4" hidden="1">{"Complaint Graphs",#N/A,FALSE,"Complaint Graphs"}</definedName>
    <definedName name="d_1_4_1" hidden="1">{"Complaint Graphs",#N/A,FALSE,"Complaint Graphs"}</definedName>
    <definedName name="d_1_5" localSheetId="4" hidden="1">{"Complaint Graphs",#N/A,FALSE,"Complaint Graphs"}</definedName>
    <definedName name="d_1_5" hidden="1">{"Complaint Graphs",#N/A,FALSE,"Complaint Graphs"}</definedName>
    <definedName name="d_2" localSheetId="4" hidden="1">{"Complaint Graphs",#N/A,FALSE,"Complaint Graphs"}</definedName>
    <definedName name="d_2" hidden="1">{"Complaint Graphs",#N/A,FALSE,"Complaint Graphs"}</definedName>
    <definedName name="d_2_1" localSheetId="4" hidden="1">{"Complaint Graphs",#N/A,FALSE,"Complaint Graphs"}</definedName>
    <definedName name="d_2_1" hidden="1">{"Complaint Graphs",#N/A,FALSE,"Complaint Graphs"}</definedName>
    <definedName name="d_2_1_1" localSheetId="4" hidden="1">{"Complaint Graphs",#N/A,FALSE,"Complaint Graphs"}</definedName>
    <definedName name="d_2_1_1" hidden="1">{"Complaint Graphs",#N/A,FALSE,"Complaint Graphs"}</definedName>
    <definedName name="d_2_2" localSheetId="4" hidden="1">{"Complaint Graphs",#N/A,FALSE,"Complaint Graphs"}</definedName>
    <definedName name="d_2_2" hidden="1">{"Complaint Graphs",#N/A,FALSE,"Complaint Graphs"}</definedName>
    <definedName name="d_2_2_1" localSheetId="4" hidden="1">{"Complaint Graphs",#N/A,FALSE,"Complaint Graphs"}</definedName>
    <definedName name="d_2_2_1" hidden="1">{"Complaint Graphs",#N/A,FALSE,"Complaint Graphs"}</definedName>
    <definedName name="d_2_3" localSheetId="4" hidden="1">{"Complaint Graphs",#N/A,FALSE,"Complaint Graphs"}</definedName>
    <definedName name="d_2_3" hidden="1">{"Complaint Graphs",#N/A,FALSE,"Complaint Graphs"}</definedName>
    <definedName name="d_2_3_1" localSheetId="4" hidden="1">{"Complaint Graphs",#N/A,FALSE,"Complaint Graphs"}</definedName>
    <definedName name="d_2_3_1" hidden="1">{"Complaint Graphs",#N/A,FALSE,"Complaint Graphs"}</definedName>
    <definedName name="d_2_4" localSheetId="4" hidden="1">{"Complaint Graphs",#N/A,FALSE,"Complaint Graphs"}</definedName>
    <definedName name="d_2_4" hidden="1">{"Complaint Graphs",#N/A,FALSE,"Complaint Graphs"}</definedName>
    <definedName name="d_3" localSheetId="4" hidden="1">{"Complaint Graphs",#N/A,FALSE,"Complaint Graphs"}</definedName>
    <definedName name="d_3" hidden="1">{"Complaint Graphs",#N/A,FALSE,"Complaint Graphs"}</definedName>
    <definedName name="d_3_1" localSheetId="4" hidden="1">{"Complaint Graphs",#N/A,FALSE,"Complaint Graphs"}</definedName>
    <definedName name="d_3_1" hidden="1">{"Complaint Graphs",#N/A,FALSE,"Complaint Graphs"}</definedName>
    <definedName name="d_4" localSheetId="4" hidden="1">{"Complaint Graphs",#N/A,FALSE,"Complaint Graphs"}</definedName>
    <definedName name="d_4" hidden="1">{"Complaint Graphs",#N/A,FALSE,"Complaint Graphs"}</definedName>
    <definedName name="d_4_1" localSheetId="4" hidden="1">{"Complaint Graphs",#N/A,FALSE,"Complaint Graphs"}</definedName>
    <definedName name="d_4_1" hidden="1">{"Complaint Graphs",#N/A,FALSE,"Complaint Graphs"}</definedName>
    <definedName name="d_5" localSheetId="4" hidden="1">{"Complaint Graphs",#N/A,FALSE,"Complaint Graphs"}</definedName>
    <definedName name="d_5" hidden="1">{"Complaint Graphs",#N/A,FALSE,"Complaint Graphs"}</definedName>
    <definedName name="d_5_1" localSheetId="4" hidden="1">{"Complaint Graphs",#N/A,FALSE,"Complaint Graphs"}</definedName>
    <definedName name="d_5_1" hidden="1">{"Complaint Graphs",#N/A,FALSE,"Complaint Graphs"}</definedName>
    <definedName name="DAB">'[5]Input Actuals'!$C$155:$AA$174</definedName>
    <definedName name="DATA">'[21]Rolling input'!$C$1:$CR$72</definedName>
    <definedName name="DATA1">#REF!</definedName>
    <definedName name="DATA10">#REF!</definedName>
    <definedName name="DATA11">#REF!</definedName>
    <definedName name="DATA12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SORT">#REF!</definedName>
    <definedName name="date">#REF!</definedName>
    <definedName name="dd" localSheetId="4" hidden="1">{#N/A,#N/A,FALSE,"BAS Calculation Statement";#N/A,#N/A,FALSE,"Acquisitions";#N/A,#N/A,FALSE,"Sheet2";#N/A,#N/A,FALSE,"Sheet1";#N/A,#N/A,FALSE,"G7 Adjustments Schedule";#N/A,#N/A,FALSE,"BAS Revenue Reconciliation"}</definedName>
    <definedName name="dd" hidden="1">{#N/A,#N/A,FALSE,"BAS Calculation Statement";#N/A,#N/A,FALSE,"Acquisitions";#N/A,#N/A,FALSE,"Sheet2";#N/A,#N/A,FALSE,"Sheet1";#N/A,#N/A,FALSE,"G7 Adjustments Schedule";#N/A,#N/A,FALSE,"BAS Revenue Reconciliation"}</definedName>
    <definedName name="dd_1" localSheetId="4" hidden="1">{#N/A,#N/A,FALSE,"BAS Calculation Statement";#N/A,#N/A,FALSE,"Acquisitions";#N/A,#N/A,FALSE,"Sheet2";#N/A,#N/A,FALSE,"Sheet1";#N/A,#N/A,FALSE,"G7 Adjustments Schedule";#N/A,#N/A,FALSE,"BAS Revenue Reconciliation"}</definedName>
    <definedName name="dd_1" hidden="1">{#N/A,#N/A,FALSE,"BAS Calculation Statement";#N/A,#N/A,FALSE,"Acquisitions";#N/A,#N/A,FALSE,"Sheet2";#N/A,#N/A,FALSE,"Sheet1";#N/A,#N/A,FALSE,"G7 Adjustments Schedule";#N/A,#N/A,FALSE,"BAS Revenue Reconciliation"}</definedName>
    <definedName name="dddddddddddd" localSheetId="4" hidden="1">{#N/A,#N/A,FALSE,"BAS Calculation Statement";#N/A,#N/A,FALSE,"Acquisitions";#N/A,#N/A,FALSE,"Sheet2";#N/A,#N/A,FALSE,"Sheet1";#N/A,#N/A,FALSE,"G7 Adjustments Schedule";#N/A,#N/A,FALSE,"BAS Revenue Reconciliation"}</definedName>
    <definedName name="dddddddddddd" hidden="1">{#N/A,#N/A,FALSE,"BAS Calculation Statement";#N/A,#N/A,FALSE,"Acquisitions";#N/A,#N/A,FALSE,"Sheet2";#N/A,#N/A,FALSE,"Sheet1";#N/A,#N/A,FALSE,"G7 Adjustments Schedule";#N/A,#N/A,FALSE,"BAS Revenue Reconciliation"}</definedName>
    <definedName name="dddddddddddd_1" localSheetId="4" hidden="1">{#N/A,#N/A,FALSE,"BAS Calculation Statement";#N/A,#N/A,FALSE,"Acquisitions";#N/A,#N/A,FALSE,"Sheet2";#N/A,#N/A,FALSE,"Sheet1";#N/A,#N/A,FALSE,"G7 Adjustments Schedule";#N/A,#N/A,FALSE,"BAS Revenue Reconciliation"}</definedName>
    <definedName name="dddddddddddd_1" hidden="1">{#N/A,#N/A,FALSE,"BAS Calculation Statement";#N/A,#N/A,FALSE,"Acquisitions";#N/A,#N/A,FALSE,"Sheet2";#N/A,#N/A,FALSE,"Sheet1";#N/A,#N/A,FALSE,"G7 Adjustments Schedule";#N/A,#N/A,FALSE,"BAS Revenue Reconciliation"}</definedName>
    <definedName name="delay12months">#REF!</definedName>
    <definedName name="Delay3months">#REF!</definedName>
    <definedName name="Delay6months">#REF!</definedName>
    <definedName name="Department">#REF!</definedName>
    <definedName name="Department1">'[22]4AM'!#REF!</definedName>
    <definedName name="DeprPeriod">[14]Valuation!#REF!</definedName>
    <definedName name="Dept">'[23]4GC'!#REF!</definedName>
    <definedName name="Dept1">'[23]4GC'!#REF!</definedName>
    <definedName name="dfg" hidden="1">[11]Fcast_TO!$B$183</definedName>
    <definedName name="dfgert" hidden="1">[11]Fcast_TO!$B$157</definedName>
    <definedName name="dfggggg" hidden="1">[24]Reports!#REF!</definedName>
    <definedName name="dfwer" hidden="1">[11]Fcast_TA!$B$98</definedName>
    <definedName name="Digital" localSheetId="4">IF('[8]Digital Slide'!$L$38&lt;(-5%),Red,IF('[8]Digital Slide'!$L$38&gt;=(0%),Green,Yellow))</definedName>
    <definedName name="Digital">IF('[8]Digital Slide'!$L$38&lt;(-5%),Red,IF('[8]Digital Slide'!$L$38&gt;=(0%),Green,Yellow))</definedName>
    <definedName name="DigitalRevenueChtData">OFFSET('[9]Dashboard Data'!$A$49,0,COUNT('[9]Dashboard Data'!$49:$49),1,-36)</definedName>
    <definedName name="Direct_Revenue" localSheetId="4">IF('[8]Direct Revenue Table'!$C$30/'[8]Direct Revenue Table'!$D$30&lt;(0.95),Red,IF('[8]Direct Revenue Table'!$C$30/'[8]Direct Revenue Table'!$D$30&gt;=(1),Green,Yellow))</definedName>
    <definedName name="Direct_Revenue">IF('[8]Direct Revenue Table'!$C$30/'[8]Direct Revenue Table'!$D$30&lt;(0.95),Red,IF('[8]Direct Revenue Table'!$C$30/'[8]Direct Revenue Table'!$D$30&gt;=(1),Green,Yellow))</definedName>
    <definedName name="DirectRevenueChtData">OFFSET('[9]Dashboard Data'!$A$26,0,COUNT('[9]Dashboard Data'!$26:$26),1,-36)</definedName>
    <definedName name="DirectShareChtData">OFFSET('[9]Dashboard Data'!$A$28,0,COUNT('[9]Dashboard Data'!$28:$28),1,-36)</definedName>
    <definedName name="Disc_rate_change">[25]Sensitivty!$D$20</definedName>
    <definedName name="DSJD" hidden="1">[10]Reports!#REF!</definedName>
    <definedName name="DTJ" hidden="1">[10]Reports!#REF!</definedName>
    <definedName name="dzb">[26]GA!$B$9</definedName>
    <definedName name="EBITDAChtData">OFFSET('[9]Dashboard Data'!$A$47,0,COUNT('[9]Dashboard Data'!$47:$47),1,-36)</definedName>
    <definedName name="ec">#REF!</definedName>
    <definedName name="ecc">#REF!</definedName>
    <definedName name="eDM">#REF!</definedName>
    <definedName name="edzxdc" hidden="1">[11]Fcast_TA!$B$41</definedName>
    <definedName name="Eff_Perc">#REF!</definedName>
    <definedName name="Emp_Type">[27]Data!$C$3:$C$6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"5k6d3Br75dzGb58ikNaNkwnsNNHY5N0IZavZ5XVxbGSVVW9VFbr/PHdyNfbHqVRxF5szc6etF|OYzXbVv57b5aFr9onXOHx9NptV62j|/GvtwEQwZKAnR/Z/fewa4HIEYCfvfLepbXRzuP78ovUejNqsyuX9bVKq/b685EaaPnxA6v85LkIp99kS8mJN6RZuG8RhtQE3nfG/L3jk9OvvzqxZvvj7/37V365|XzE|L5XrMBcN8u8jqrp/Nr1zQlJ"</definedName>
    <definedName name="EPMWorkbookOptions_4" hidden="1">"fJoWZSffYQ5/yg6JH43MgG3e/fx3c0DfXz3NhTzJvBnj9nWs6J9U2dF|fX5bWdn/2Bn5/bstvv/cnb76unZmzevjs|eG4578/ufvXj5/3We||bIQcT46s3/18nx/x4RPMna/KKqr7|2AN67d//|/v7|7QVw7//dAnhy/Ob08y9f/T6G35589fQn7/3|T/|/znHfFDmOT958dfz8R9QQajw/fvH07MXn/18nx/971NHpsi3ar6|MPn2wu3Nw8OD2"</definedName>
    <definedName name="EPMWorkbookOptions_5" hidden="1">"yuje/7uV0emLN2dvLLedfbq3s7|z|/91bvtmiPF6d|fTez8ihfDFvZ3dH/GFusunJ99|8tWPaMHmiWRk///rpPh/j3F6VlZXX9s0UaD66af37r1HpLr//27b9Oz5l981jPbs4cMfsZnf7FatBtjs87par5qvz2jvnYG7//9uRvv81ZdfvXxtWO3kzauft5YupMSPMpFhs1u1GpC5N/TZD1HiPv1/t8S9Ofvi1HDZ3s7u3vjp6f/nee0bo8WXJ/|"</definedName>
    <definedName name="EPMWorkbookOptions_6" hidden="1">"fTz9|Y7R48eVP/ogWTIt7P5IRjxZfHP8|/2|kRTCM/8/Ypi9Oj19/9er09Q/RPj34f7d9MhQhdqP/ffH7vPl5m54PKfH/A0J8g2J3i0YBNvFGj|8er1ZlMc1agmM/Dz41zQlatVwS4vTZ06zN|GP/wzdVd/CPX|Xndd7Mv1x|ucqXR|dZ2ZAfGn7I7U7KPKsB9Mvl6|wyNy27H3Pb71b120lVvSURbZmMpnX/i7D91YxnzTX8ciXj|38APtQZMz"</definedName>
    <definedName name="EPMWorkbookOptions_7" hidden="1">"klAAA="</definedName>
    <definedName name="EPMWorkbookOptions_8" hidden="1">"z/9ZchIHEr/||L3efP0/|ss|s1Q4v8HhPgGZfUWjQJs4o0e3z1ercpimrUEx34efGqaE7RquSTE6bOnWZvxx/6Hb6ru4B|/ys/rvJl/ufxylS|PQLnHd8PPuNlJmWc1YH65fJ1d5kfnWdlQy|7H3Pa7Vf12UlVvST5bpqJp3f8ibH8100l7fNb8ZFYX2aTMv8jrCweh9/lvnDiwX66EGP8PktWOgXM3AAA="</definedName>
    <definedName name="ert" hidden="1">[11]Fcast_TO!$B$62</definedName>
    <definedName name="ertertsert" localSheetId="4" hidden="1">{"Complaint Graphs",#N/A,FALSE,"Complaint Graphs"}</definedName>
    <definedName name="ertertsert" hidden="1">{"Complaint Graphs",#N/A,FALSE,"Complaint Graphs"}</definedName>
    <definedName name="ertertsert_1" localSheetId="4" hidden="1">{"Complaint Graphs",#N/A,FALSE,"Complaint Graphs"}</definedName>
    <definedName name="ertertsert_1" hidden="1">{"Complaint Graphs",#N/A,FALSE,"Complaint Graphs"}</definedName>
    <definedName name="ertertsert_1_1" localSheetId="4" hidden="1">{"Complaint Graphs",#N/A,FALSE,"Complaint Graphs"}</definedName>
    <definedName name="ertertsert_1_1" hidden="1">{"Complaint Graphs",#N/A,FALSE,"Complaint Graphs"}</definedName>
    <definedName name="ertertsert_1_1_1" localSheetId="4" hidden="1">{"Complaint Graphs",#N/A,FALSE,"Complaint Graphs"}</definedName>
    <definedName name="ertertsert_1_1_1" hidden="1">{"Complaint Graphs",#N/A,FALSE,"Complaint Graphs"}</definedName>
    <definedName name="ertertsert_1_1_1_1" localSheetId="4" hidden="1">{"Complaint Graphs",#N/A,FALSE,"Complaint Graphs"}</definedName>
    <definedName name="ertertsert_1_1_1_1" hidden="1">{"Complaint Graphs",#N/A,FALSE,"Complaint Graphs"}</definedName>
    <definedName name="ertertsert_1_1_2" localSheetId="4" hidden="1">{"Complaint Graphs",#N/A,FALSE,"Complaint Graphs"}</definedName>
    <definedName name="ertertsert_1_1_2" hidden="1">{"Complaint Graphs",#N/A,FALSE,"Complaint Graphs"}</definedName>
    <definedName name="ertertsert_1_1_2_1" localSheetId="4" hidden="1">{"Complaint Graphs",#N/A,FALSE,"Complaint Graphs"}</definedName>
    <definedName name="ertertsert_1_1_2_1" hidden="1">{"Complaint Graphs",#N/A,FALSE,"Complaint Graphs"}</definedName>
    <definedName name="ertertsert_1_1_3" localSheetId="4" hidden="1">{"Complaint Graphs",#N/A,FALSE,"Complaint Graphs"}</definedName>
    <definedName name="ertertsert_1_1_3" hidden="1">{"Complaint Graphs",#N/A,FALSE,"Complaint Graphs"}</definedName>
    <definedName name="ertertsert_1_1_3_1" localSheetId="4" hidden="1">{"Complaint Graphs",#N/A,FALSE,"Complaint Graphs"}</definedName>
    <definedName name="ertertsert_1_1_3_1" hidden="1">{"Complaint Graphs",#N/A,FALSE,"Complaint Graphs"}</definedName>
    <definedName name="ertertsert_1_1_4" localSheetId="4" hidden="1">{"Complaint Graphs",#N/A,FALSE,"Complaint Graphs"}</definedName>
    <definedName name="ertertsert_1_1_4" hidden="1">{"Complaint Graphs",#N/A,FALSE,"Complaint Graphs"}</definedName>
    <definedName name="ertertsert_1_2" localSheetId="4" hidden="1">{"Complaint Graphs",#N/A,FALSE,"Complaint Graphs"}</definedName>
    <definedName name="ertertsert_1_2" hidden="1">{"Complaint Graphs",#N/A,FALSE,"Complaint Graphs"}</definedName>
    <definedName name="ertertsert_1_2_1" localSheetId="4" hidden="1">{"Complaint Graphs",#N/A,FALSE,"Complaint Graphs"}</definedName>
    <definedName name="ertertsert_1_2_1" hidden="1">{"Complaint Graphs",#N/A,FALSE,"Complaint Graphs"}</definedName>
    <definedName name="ertertsert_1_3" localSheetId="4" hidden="1">{"Complaint Graphs",#N/A,FALSE,"Complaint Graphs"}</definedName>
    <definedName name="ertertsert_1_3" hidden="1">{"Complaint Graphs",#N/A,FALSE,"Complaint Graphs"}</definedName>
    <definedName name="ertertsert_1_3_1" localSheetId="4" hidden="1">{"Complaint Graphs",#N/A,FALSE,"Complaint Graphs"}</definedName>
    <definedName name="ertertsert_1_3_1" hidden="1">{"Complaint Graphs",#N/A,FALSE,"Complaint Graphs"}</definedName>
    <definedName name="ertertsert_1_4" localSheetId="4" hidden="1">{"Complaint Graphs",#N/A,FALSE,"Complaint Graphs"}</definedName>
    <definedName name="ertertsert_1_4" hidden="1">{"Complaint Graphs",#N/A,FALSE,"Complaint Graphs"}</definedName>
    <definedName name="ertertsert_1_4_1" localSheetId="4" hidden="1">{"Complaint Graphs",#N/A,FALSE,"Complaint Graphs"}</definedName>
    <definedName name="ertertsert_1_4_1" hidden="1">{"Complaint Graphs",#N/A,FALSE,"Complaint Graphs"}</definedName>
    <definedName name="ertertsert_1_5" localSheetId="4" hidden="1">{"Complaint Graphs",#N/A,FALSE,"Complaint Graphs"}</definedName>
    <definedName name="ertertsert_1_5" hidden="1">{"Complaint Graphs",#N/A,FALSE,"Complaint Graphs"}</definedName>
    <definedName name="ertertsert_2" localSheetId="4" hidden="1">{"Complaint Graphs",#N/A,FALSE,"Complaint Graphs"}</definedName>
    <definedName name="ertertsert_2" hidden="1">{"Complaint Graphs",#N/A,FALSE,"Complaint Graphs"}</definedName>
    <definedName name="ertertsert_2_1" localSheetId="4" hidden="1">{"Complaint Graphs",#N/A,FALSE,"Complaint Graphs"}</definedName>
    <definedName name="ertertsert_2_1" hidden="1">{"Complaint Graphs",#N/A,FALSE,"Complaint Graphs"}</definedName>
    <definedName name="ertertsert_2_1_1" localSheetId="4" hidden="1">{"Complaint Graphs",#N/A,FALSE,"Complaint Graphs"}</definedName>
    <definedName name="ertertsert_2_1_1" hidden="1">{"Complaint Graphs",#N/A,FALSE,"Complaint Graphs"}</definedName>
    <definedName name="ertertsert_2_2" localSheetId="4" hidden="1">{"Complaint Graphs",#N/A,FALSE,"Complaint Graphs"}</definedName>
    <definedName name="ertertsert_2_2" hidden="1">{"Complaint Graphs",#N/A,FALSE,"Complaint Graphs"}</definedName>
    <definedName name="ertertsert_2_2_1" localSheetId="4" hidden="1">{"Complaint Graphs",#N/A,FALSE,"Complaint Graphs"}</definedName>
    <definedName name="ertertsert_2_2_1" hidden="1">{"Complaint Graphs",#N/A,FALSE,"Complaint Graphs"}</definedName>
    <definedName name="ertertsert_2_3" localSheetId="4" hidden="1">{"Complaint Graphs",#N/A,FALSE,"Complaint Graphs"}</definedName>
    <definedName name="ertertsert_2_3" hidden="1">{"Complaint Graphs",#N/A,FALSE,"Complaint Graphs"}</definedName>
    <definedName name="ertertsert_2_3_1" localSheetId="4" hidden="1">{"Complaint Graphs",#N/A,FALSE,"Complaint Graphs"}</definedName>
    <definedName name="ertertsert_2_3_1" hidden="1">{"Complaint Graphs",#N/A,FALSE,"Complaint Graphs"}</definedName>
    <definedName name="ertertsert_2_4" localSheetId="4" hidden="1">{"Complaint Graphs",#N/A,FALSE,"Complaint Graphs"}</definedName>
    <definedName name="ertertsert_2_4" hidden="1">{"Complaint Graphs",#N/A,FALSE,"Complaint Graphs"}</definedName>
    <definedName name="ertertsert_3" localSheetId="4" hidden="1">{"Complaint Graphs",#N/A,FALSE,"Complaint Graphs"}</definedName>
    <definedName name="ertertsert_3" hidden="1">{"Complaint Graphs",#N/A,FALSE,"Complaint Graphs"}</definedName>
    <definedName name="ertertsert_3_1" localSheetId="4" hidden="1">{"Complaint Graphs",#N/A,FALSE,"Complaint Graphs"}</definedName>
    <definedName name="ertertsert_3_1" hidden="1">{"Complaint Graphs",#N/A,FALSE,"Complaint Graphs"}</definedName>
    <definedName name="ertertsert_4" localSheetId="4" hidden="1">{"Complaint Graphs",#N/A,FALSE,"Complaint Graphs"}</definedName>
    <definedName name="ertertsert_4" hidden="1">{"Complaint Graphs",#N/A,FALSE,"Complaint Graphs"}</definedName>
    <definedName name="ertertsert_4_1" localSheetId="4" hidden="1">{"Complaint Graphs",#N/A,FALSE,"Complaint Graphs"}</definedName>
    <definedName name="ertertsert_4_1" hidden="1">{"Complaint Graphs",#N/A,FALSE,"Complaint Graphs"}</definedName>
    <definedName name="ertertsert_5" localSheetId="4" hidden="1">{"Complaint Graphs",#N/A,FALSE,"Complaint Graphs"}</definedName>
    <definedName name="ertertsert_5" hidden="1">{"Complaint Graphs",#N/A,FALSE,"Complaint Graphs"}</definedName>
    <definedName name="ertertsert_5_1" localSheetId="4" hidden="1">{"Complaint Graphs",#N/A,FALSE,"Complaint Graphs"}</definedName>
    <definedName name="ertertsert_5_1" hidden="1">{"Complaint Graphs",#N/A,FALSE,"Complaint Graphs"}</definedName>
    <definedName name="EV__ALLOWSTOPEXPAND__" hidden="1">1</definedName>
    <definedName name="EV__EVCOM_OPTIONS__" hidden="1">8</definedName>
    <definedName name="EV__EXPOPTIONS__" hidden="1">0</definedName>
    <definedName name="EV__LASTREFTIME__" hidden="1">39059.4452662037</definedName>
    <definedName name="EV__LASTREFTIME___1" hidden="1">39059.4452662037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134217728</definedName>
    <definedName name="EV__WBVERSION__" hidden="1">0</definedName>
    <definedName name="Excel_BuiltIn_Print_Area_5">#REF!</definedName>
    <definedName name="ExitX">[28]Sensitivity!$C$39</definedName>
    <definedName name="Expenses">#REF!</definedName>
    <definedName name="_xlnm.Extract">[18]CURRENT1!#REF!</definedName>
    <definedName name="Finance">#REF!</definedName>
    <definedName name="FIVEaa">'[5]Input Actuals'!$C$117:$AA$134</definedName>
    <definedName name="Flag">INDIRECT([29]Report!$C$2)</definedName>
    <definedName name="Function">[27]Data!$D$3:$D$8</definedName>
    <definedName name="FY_BP">'[30]FY BP'!$C$5:$P$80</definedName>
    <definedName name="FY_BP2">[30]GL24!$P$9:$AC$114</definedName>
    <definedName name="FY_FC">'[30]FY FC'!$C$5:$P$80</definedName>
    <definedName name="FY_FC2">[30]GL24!$B$9:$O$114</definedName>
    <definedName name="FY_LY">'[30]FY LY'!$C$5:$P$80</definedName>
    <definedName name="FY_LY2">[30]GL24!$AD$9:$AQ$114</definedName>
    <definedName name="gdfger" localSheetId="4" hidden="1">{"Complaint Graphs",#N/A,FALSE,"Complaint Graphs"}</definedName>
    <definedName name="gdfger" hidden="1">{"Complaint Graphs",#N/A,FALSE,"Complaint Graphs"}</definedName>
    <definedName name="gdfger_1" localSheetId="4" hidden="1">{"Complaint Graphs",#N/A,FALSE,"Complaint Graphs"}</definedName>
    <definedName name="gdfger_1" hidden="1">{"Complaint Graphs",#N/A,FALSE,"Complaint Graphs"}</definedName>
    <definedName name="gdfger_1_1" localSheetId="4" hidden="1">{"Complaint Graphs",#N/A,FALSE,"Complaint Graphs"}</definedName>
    <definedName name="gdfger_1_1" hidden="1">{"Complaint Graphs",#N/A,FALSE,"Complaint Graphs"}</definedName>
    <definedName name="gdfger_1_1_1" localSheetId="4" hidden="1">{"Complaint Graphs",#N/A,FALSE,"Complaint Graphs"}</definedName>
    <definedName name="gdfger_1_1_1" hidden="1">{"Complaint Graphs",#N/A,FALSE,"Complaint Graphs"}</definedName>
    <definedName name="gdfger_1_1_1_1" localSheetId="4" hidden="1">{"Complaint Graphs",#N/A,FALSE,"Complaint Graphs"}</definedName>
    <definedName name="gdfger_1_1_1_1" hidden="1">{"Complaint Graphs",#N/A,FALSE,"Complaint Graphs"}</definedName>
    <definedName name="gdfger_1_1_2" localSheetId="4" hidden="1">{"Complaint Graphs",#N/A,FALSE,"Complaint Graphs"}</definedName>
    <definedName name="gdfger_1_1_2" hidden="1">{"Complaint Graphs",#N/A,FALSE,"Complaint Graphs"}</definedName>
    <definedName name="gdfger_1_1_2_1" localSheetId="4" hidden="1">{"Complaint Graphs",#N/A,FALSE,"Complaint Graphs"}</definedName>
    <definedName name="gdfger_1_1_2_1" hidden="1">{"Complaint Graphs",#N/A,FALSE,"Complaint Graphs"}</definedName>
    <definedName name="gdfger_1_1_3" localSheetId="4" hidden="1">{"Complaint Graphs",#N/A,FALSE,"Complaint Graphs"}</definedName>
    <definedName name="gdfger_1_1_3" hidden="1">{"Complaint Graphs",#N/A,FALSE,"Complaint Graphs"}</definedName>
    <definedName name="gdfger_1_1_3_1" localSheetId="4" hidden="1">{"Complaint Graphs",#N/A,FALSE,"Complaint Graphs"}</definedName>
    <definedName name="gdfger_1_1_3_1" hidden="1">{"Complaint Graphs",#N/A,FALSE,"Complaint Graphs"}</definedName>
    <definedName name="gdfger_1_1_4" localSheetId="4" hidden="1">{"Complaint Graphs",#N/A,FALSE,"Complaint Graphs"}</definedName>
    <definedName name="gdfger_1_1_4" hidden="1">{"Complaint Graphs",#N/A,FALSE,"Complaint Graphs"}</definedName>
    <definedName name="gdfger_1_2" localSheetId="4" hidden="1">{"Complaint Graphs",#N/A,FALSE,"Complaint Graphs"}</definedName>
    <definedName name="gdfger_1_2" hidden="1">{"Complaint Graphs",#N/A,FALSE,"Complaint Graphs"}</definedName>
    <definedName name="gdfger_1_2_1" localSheetId="4" hidden="1">{"Complaint Graphs",#N/A,FALSE,"Complaint Graphs"}</definedName>
    <definedName name="gdfger_1_2_1" hidden="1">{"Complaint Graphs",#N/A,FALSE,"Complaint Graphs"}</definedName>
    <definedName name="gdfger_1_3" localSheetId="4" hidden="1">{"Complaint Graphs",#N/A,FALSE,"Complaint Graphs"}</definedName>
    <definedName name="gdfger_1_3" hidden="1">{"Complaint Graphs",#N/A,FALSE,"Complaint Graphs"}</definedName>
    <definedName name="gdfger_1_3_1" localSheetId="4" hidden="1">{"Complaint Graphs",#N/A,FALSE,"Complaint Graphs"}</definedName>
    <definedName name="gdfger_1_3_1" hidden="1">{"Complaint Graphs",#N/A,FALSE,"Complaint Graphs"}</definedName>
    <definedName name="gdfger_1_4" localSheetId="4" hidden="1">{"Complaint Graphs",#N/A,FALSE,"Complaint Graphs"}</definedName>
    <definedName name="gdfger_1_4" hidden="1">{"Complaint Graphs",#N/A,FALSE,"Complaint Graphs"}</definedName>
    <definedName name="gdfger_1_4_1" localSheetId="4" hidden="1">{"Complaint Graphs",#N/A,FALSE,"Complaint Graphs"}</definedName>
    <definedName name="gdfger_1_4_1" hidden="1">{"Complaint Graphs",#N/A,FALSE,"Complaint Graphs"}</definedName>
    <definedName name="gdfger_1_5" localSheetId="4" hidden="1">{"Complaint Graphs",#N/A,FALSE,"Complaint Graphs"}</definedName>
    <definedName name="gdfger_1_5" hidden="1">{"Complaint Graphs",#N/A,FALSE,"Complaint Graphs"}</definedName>
    <definedName name="gdfger_2" localSheetId="4" hidden="1">{"Complaint Graphs",#N/A,FALSE,"Complaint Graphs"}</definedName>
    <definedName name="gdfger_2" hidden="1">{"Complaint Graphs",#N/A,FALSE,"Complaint Graphs"}</definedName>
    <definedName name="gdfger_2_1" localSheetId="4" hidden="1">{"Complaint Graphs",#N/A,FALSE,"Complaint Graphs"}</definedName>
    <definedName name="gdfger_2_1" hidden="1">{"Complaint Graphs",#N/A,FALSE,"Complaint Graphs"}</definedName>
    <definedName name="gdfger_2_1_1" localSheetId="4" hidden="1">{"Complaint Graphs",#N/A,FALSE,"Complaint Graphs"}</definedName>
    <definedName name="gdfger_2_1_1" hidden="1">{"Complaint Graphs",#N/A,FALSE,"Complaint Graphs"}</definedName>
    <definedName name="gdfger_2_2" localSheetId="4" hidden="1">{"Complaint Graphs",#N/A,FALSE,"Complaint Graphs"}</definedName>
    <definedName name="gdfger_2_2" hidden="1">{"Complaint Graphs",#N/A,FALSE,"Complaint Graphs"}</definedName>
    <definedName name="gdfger_2_2_1" localSheetId="4" hidden="1">{"Complaint Graphs",#N/A,FALSE,"Complaint Graphs"}</definedName>
    <definedName name="gdfger_2_2_1" hidden="1">{"Complaint Graphs",#N/A,FALSE,"Complaint Graphs"}</definedName>
    <definedName name="gdfger_2_3" localSheetId="4" hidden="1">{"Complaint Graphs",#N/A,FALSE,"Complaint Graphs"}</definedName>
    <definedName name="gdfger_2_3" hidden="1">{"Complaint Graphs",#N/A,FALSE,"Complaint Graphs"}</definedName>
    <definedName name="gdfger_2_3_1" localSheetId="4" hidden="1">{"Complaint Graphs",#N/A,FALSE,"Complaint Graphs"}</definedName>
    <definedName name="gdfger_2_3_1" hidden="1">{"Complaint Graphs",#N/A,FALSE,"Complaint Graphs"}</definedName>
    <definedName name="gdfger_2_4" localSheetId="4" hidden="1">{"Complaint Graphs",#N/A,FALSE,"Complaint Graphs"}</definedName>
    <definedName name="gdfger_2_4" hidden="1">{"Complaint Graphs",#N/A,FALSE,"Complaint Graphs"}</definedName>
    <definedName name="gdfger_3" localSheetId="4" hidden="1">{"Complaint Graphs",#N/A,FALSE,"Complaint Graphs"}</definedName>
    <definedName name="gdfger_3" hidden="1">{"Complaint Graphs",#N/A,FALSE,"Complaint Graphs"}</definedName>
    <definedName name="gdfger_3_1" localSheetId="4" hidden="1">{"Complaint Graphs",#N/A,FALSE,"Complaint Graphs"}</definedName>
    <definedName name="gdfger_3_1" hidden="1">{"Complaint Graphs",#N/A,FALSE,"Complaint Graphs"}</definedName>
    <definedName name="gdfger_4" localSheetId="4" hidden="1">{"Complaint Graphs",#N/A,FALSE,"Complaint Graphs"}</definedName>
    <definedName name="gdfger_4" hidden="1">{"Complaint Graphs",#N/A,FALSE,"Complaint Graphs"}</definedName>
    <definedName name="gdfger_4_1" localSheetId="4" hidden="1">{"Complaint Graphs",#N/A,FALSE,"Complaint Graphs"}</definedName>
    <definedName name="gdfger_4_1" hidden="1">{"Complaint Graphs",#N/A,FALSE,"Complaint Graphs"}</definedName>
    <definedName name="gdfger_5" localSheetId="4" hidden="1">{"Complaint Graphs",#N/A,FALSE,"Complaint Graphs"}</definedName>
    <definedName name="gdfger_5" hidden="1">{"Complaint Graphs",#N/A,FALSE,"Complaint Graphs"}</definedName>
    <definedName name="gdfger_5_1" localSheetId="4" hidden="1">{"Complaint Graphs",#N/A,FALSE,"Complaint Graphs"}</definedName>
    <definedName name="gdfger_5_1" hidden="1">{"Complaint Graphs",#N/A,FALSE,"Complaint Graphs"}</definedName>
    <definedName name="GDP_AUS_0102">[17]Assumptions!$D$8</definedName>
    <definedName name="GDP_AUS_0203">[17]Assumptions!$F$8</definedName>
    <definedName name="GDP_AUS_0304">[17]Assumptions!$H$8</definedName>
    <definedName name="GDP_AUS_0405">[17]Assumptions!$J$8</definedName>
    <definedName name="GDP_AUS_0506">[17]Assumptions!$L$8</definedName>
    <definedName name="GDP_NZ_0102">[17]Assumptions!$D$11</definedName>
    <definedName name="GDP_NZ_0203">[17]Assumptions!$F$11</definedName>
    <definedName name="GDP_NZ_0304">[17]Assumptions!$H$11</definedName>
    <definedName name="GDP_NZ_0405">[17]Assumptions!$J$11</definedName>
    <definedName name="GDP_NZ_0506">[17]Assumptions!$L$11</definedName>
    <definedName name="Ges">[31]Salden!$B$2</definedName>
    <definedName name="ghj" hidden="1">[11]Fcast_TO!$B$89</definedName>
    <definedName name="ghjbn" hidden="1">[11]Fcast_TA!$B$16</definedName>
    <definedName name="GHJG" localSheetId="4" hidden="1">{"français",#N/A,FALSE,"Intro";"français",#N/A,FALSE,"Index";#N/A,#N/A,FALSE,"3-Incor";#N/A,#N/A,FALSE,"4-Corpo"}</definedName>
    <definedName name="GHJG" hidden="1">{"français",#N/A,FALSE,"Intro";"français",#N/A,FALSE,"Index";#N/A,#N/A,FALSE,"3-Incor";#N/A,#N/A,FALSE,"4-Corpo"}</definedName>
    <definedName name="GHJG_1" localSheetId="4" hidden="1">{"français",#N/A,FALSE,"Intro";"français",#N/A,FALSE,"Index";#N/A,#N/A,FALSE,"3-Incor";#N/A,#N/A,FALSE,"4-Corpo"}</definedName>
    <definedName name="GHJG_1" hidden="1">{"français",#N/A,FALSE,"Intro";"français",#N/A,FALSE,"Index";#N/A,#N/A,FALSE,"3-Incor";#N/A,#N/A,FALSE,"4-Corpo"}</definedName>
    <definedName name="GHJG_1_1" localSheetId="4" hidden="1">{"français",#N/A,FALSE,"Intro";"français",#N/A,FALSE,"Index";#N/A,#N/A,FALSE,"3-Incor";#N/A,#N/A,FALSE,"4-Corpo"}</definedName>
    <definedName name="GHJG_1_1" hidden="1">{"français",#N/A,FALSE,"Intro";"français",#N/A,FALSE,"Index";#N/A,#N/A,FALSE,"3-Incor";#N/A,#N/A,FALSE,"4-Corpo"}</definedName>
    <definedName name="GHJG_1_1_1" localSheetId="4" hidden="1">{"français",#N/A,FALSE,"Intro";"français",#N/A,FALSE,"Index";#N/A,#N/A,FALSE,"3-Incor";#N/A,#N/A,FALSE,"4-Corpo"}</definedName>
    <definedName name="GHJG_1_1_1" hidden="1">{"français",#N/A,FALSE,"Intro";"français",#N/A,FALSE,"Index";#N/A,#N/A,FALSE,"3-Incor";#N/A,#N/A,FALSE,"4-Corpo"}</definedName>
    <definedName name="GHJG_1_1_1_1" localSheetId="4" hidden="1">{"français",#N/A,FALSE,"Intro";"français",#N/A,FALSE,"Index";#N/A,#N/A,FALSE,"3-Incor";#N/A,#N/A,FALSE,"4-Corpo"}</definedName>
    <definedName name="GHJG_1_1_1_1" hidden="1">{"français",#N/A,FALSE,"Intro";"français",#N/A,FALSE,"Index";#N/A,#N/A,FALSE,"3-Incor";#N/A,#N/A,FALSE,"4-Corpo"}</definedName>
    <definedName name="GHJG_1_1_2" localSheetId="4" hidden="1">{"français",#N/A,FALSE,"Intro";"français",#N/A,FALSE,"Index";#N/A,#N/A,FALSE,"3-Incor";#N/A,#N/A,FALSE,"4-Corpo"}</definedName>
    <definedName name="GHJG_1_1_2" hidden="1">{"français",#N/A,FALSE,"Intro";"français",#N/A,FALSE,"Index";#N/A,#N/A,FALSE,"3-Incor";#N/A,#N/A,FALSE,"4-Corpo"}</definedName>
    <definedName name="GHJG_1_1_2_1" localSheetId="4" hidden="1">{"français",#N/A,FALSE,"Intro";"français",#N/A,FALSE,"Index";#N/A,#N/A,FALSE,"3-Incor";#N/A,#N/A,FALSE,"4-Corpo"}</definedName>
    <definedName name="GHJG_1_1_2_1" hidden="1">{"français",#N/A,FALSE,"Intro";"français",#N/A,FALSE,"Index";#N/A,#N/A,FALSE,"3-Incor";#N/A,#N/A,FALSE,"4-Corpo"}</definedName>
    <definedName name="GHJG_1_1_3" localSheetId="4" hidden="1">{"français",#N/A,FALSE,"Intro";"français",#N/A,FALSE,"Index";#N/A,#N/A,FALSE,"3-Incor";#N/A,#N/A,FALSE,"4-Corpo"}</definedName>
    <definedName name="GHJG_1_1_3" hidden="1">{"français",#N/A,FALSE,"Intro";"français",#N/A,FALSE,"Index";#N/A,#N/A,FALSE,"3-Incor";#N/A,#N/A,FALSE,"4-Corpo"}</definedName>
    <definedName name="GHJG_1_1_3_1" localSheetId="4" hidden="1">{"français",#N/A,FALSE,"Intro";"français",#N/A,FALSE,"Index";#N/A,#N/A,FALSE,"3-Incor";#N/A,#N/A,FALSE,"4-Corpo"}</definedName>
    <definedName name="GHJG_1_1_3_1" hidden="1">{"français",#N/A,FALSE,"Intro";"français",#N/A,FALSE,"Index";#N/A,#N/A,FALSE,"3-Incor";#N/A,#N/A,FALSE,"4-Corpo"}</definedName>
    <definedName name="GHJG_1_1_4" localSheetId="4" hidden="1">{"français",#N/A,FALSE,"Intro";"français",#N/A,FALSE,"Index";#N/A,#N/A,FALSE,"3-Incor";#N/A,#N/A,FALSE,"4-Corpo"}</definedName>
    <definedName name="GHJG_1_1_4" hidden="1">{"français",#N/A,FALSE,"Intro";"français",#N/A,FALSE,"Index";#N/A,#N/A,FALSE,"3-Incor";#N/A,#N/A,FALSE,"4-Corpo"}</definedName>
    <definedName name="GHJG_1_2" localSheetId="4" hidden="1">{"français",#N/A,FALSE,"Intro";"français",#N/A,FALSE,"Index";#N/A,#N/A,FALSE,"3-Incor";#N/A,#N/A,FALSE,"4-Corpo"}</definedName>
    <definedName name="GHJG_1_2" hidden="1">{"français",#N/A,FALSE,"Intro";"français",#N/A,FALSE,"Index";#N/A,#N/A,FALSE,"3-Incor";#N/A,#N/A,FALSE,"4-Corpo"}</definedName>
    <definedName name="GHJG_1_2_1" localSheetId="4" hidden="1">{"français",#N/A,FALSE,"Intro";"français",#N/A,FALSE,"Index";#N/A,#N/A,FALSE,"3-Incor";#N/A,#N/A,FALSE,"4-Corpo"}</definedName>
    <definedName name="GHJG_1_2_1" hidden="1">{"français",#N/A,FALSE,"Intro";"français",#N/A,FALSE,"Index";#N/A,#N/A,FALSE,"3-Incor";#N/A,#N/A,FALSE,"4-Corpo"}</definedName>
    <definedName name="GHJG_1_3" localSheetId="4" hidden="1">{"français",#N/A,FALSE,"Intro";"français",#N/A,FALSE,"Index";#N/A,#N/A,FALSE,"3-Incor";#N/A,#N/A,FALSE,"4-Corpo"}</definedName>
    <definedName name="GHJG_1_3" hidden="1">{"français",#N/A,FALSE,"Intro";"français",#N/A,FALSE,"Index";#N/A,#N/A,FALSE,"3-Incor";#N/A,#N/A,FALSE,"4-Corpo"}</definedName>
    <definedName name="GHJG_1_3_1" localSheetId="4" hidden="1">{"français",#N/A,FALSE,"Intro";"français",#N/A,FALSE,"Index";#N/A,#N/A,FALSE,"3-Incor";#N/A,#N/A,FALSE,"4-Corpo"}</definedName>
    <definedName name="GHJG_1_3_1" hidden="1">{"français",#N/A,FALSE,"Intro";"français",#N/A,FALSE,"Index";#N/A,#N/A,FALSE,"3-Incor";#N/A,#N/A,FALSE,"4-Corpo"}</definedName>
    <definedName name="GHJG_1_4" localSheetId="4" hidden="1">{"français",#N/A,FALSE,"Intro";"français",#N/A,FALSE,"Index";#N/A,#N/A,FALSE,"3-Incor";#N/A,#N/A,FALSE,"4-Corpo"}</definedName>
    <definedName name="GHJG_1_4" hidden="1">{"français",#N/A,FALSE,"Intro";"français",#N/A,FALSE,"Index";#N/A,#N/A,FALSE,"3-Incor";#N/A,#N/A,FALSE,"4-Corpo"}</definedName>
    <definedName name="GHJG_1_4_1" localSheetId="4" hidden="1">{"français",#N/A,FALSE,"Intro";"français",#N/A,FALSE,"Index";#N/A,#N/A,FALSE,"3-Incor";#N/A,#N/A,FALSE,"4-Corpo"}</definedName>
    <definedName name="GHJG_1_4_1" hidden="1">{"français",#N/A,FALSE,"Intro";"français",#N/A,FALSE,"Index";#N/A,#N/A,FALSE,"3-Incor";#N/A,#N/A,FALSE,"4-Corpo"}</definedName>
    <definedName name="GHJG_1_5" localSheetId="4" hidden="1">{"français",#N/A,FALSE,"Intro";"français",#N/A,FALSE,"Index";#N/A,#N/A,FALSE,"3-Incor";#N/A,#N/A,FALSE,"4-Corpo"}</definedName>
    <definedName name="GHJG_1_5" hidden="1">{"français",#N/A,FALSE,"Intro";"français",#N/A,FALSE,"Index";#N/A,#N/A,FALSE,"3-Incor";#N/A,#N/A,FALSE,"4-Corpo"}</definedName>
    <definedName name="GHJG_2" localSheetId="4" hidden="1">{"français",#N/A,FALSE,"Intro";"français",#N/A,FALSE,"Index";#N/A,#N/A,FALSE,"3-Incor";#N/A,#N/A,FALSE,"4-Corpo"}</definedName>
    <definedName name="GHJG_2" hidden="1">{"français",#N/A,FALSE,"Intro";"français",#N/A,FALSE,"Index";#N/A,#N/A,FALSE,"3-Incor";#N/A,#N/A,FALSE,"4-Corpo"}</definedName>
    <definedName name="GHJG_2_1" localSheetId="4" hidden="1">{"français",#N/A,FALSE,"Intro";"français",#N/A,FALSE,"Index";#N/A,#N/A,FALSE,"3-Incor";#N/A,#N/A,FALSE,"4-Corpo"}</definedName>
    <definedName name="GHJG_2_1" hidden="1">{"français",#N/A,FALSE,"Intro";"français",#N/A,FALSE,"Index";#N/A,#N/A,FALSE,"3-Incor";#N/A,#N/A,FALSE,"4-Corpo"}</definedName>
    <definedName name="GHJG_2_1_1" localSheetId="4" hidden="1">{"français",#N/A,FALSE,"Intro";"français",#N/A,FALSE,"Index";#N/A,#N/A,FALSE,"3-Incor";#N/A,#N/A,FALSE,"4-Corpo"}</definedName>
    <definedName name="GHJG_2_1_1" hidden="1">{"français",#N/A,FALSE,"Intro";"français",#N/A,FALSE,"Index";#N/A,#N/A,FALSE,"3-Incor";#N/A,#N/A,FALSE,"4-Corpo"}</definedName>
    <definedName name="GHJG_2_2" localSheetId="4" hidden="1">{"français",#N/A,FALSE,"Intro";"français",#N/A,FALSE,"Index";#N/A,#N/A,FALSE,"3-Incor";#N/A,#N/A,FALSE,"4-Corpo"}</definedName>
    <definedName name="GHJG_2_2" hidden="1">{"français",#N/A,FALSE,"Intro";"français",#N/A,FALSE,"Index";#N/A,#N/A,FALSE,"3-Incor";#N/A,#N/A,FALSE,"4-Corpo"}</definedName>
    <definedName name="GHJG_2_2_1" localSheetId="4" hidden="1">{"français",#N/A,FALSE,"Intro";"français",#N/A,FALSE,"Index";#N/A,#N/A,FALSE,"3-Incor";#N/A,#N/A,FALSE,"4-Corpo"}</definedName>
    <definedName name="GHJG_2_2_1" hidden="1">{"français",#N/A,FALSE,"Intro";"français",#N/A,FALSE,"Index";#N/A,#N/A,FALSE,"3-Incor";#N/A,#N/A,FALSE,"4-Corpo"}</definedName>
    <definedName name="GHJG_2_3" localSheetId="4" hidden="1">{"français",#N/A,FALSE,"Intro";"français",#N/A,FALSE,"Index";#N/A,#N/A,FALSE,"3-Incor";#N/A,#N/A,FALSE,"4-Corpo"}</definedName>
    <definedName name="GHJG_2_3" hidden="1">{"français",#N/A,FALSE,"Intro";"français",#N/A,FALSE,"Index";#N/A,#N/A,FALSE,"3-Incor";#N/A,#N/A,FALSE,"4-Corpo"}</definedName>
    <definedName name="GHJG_2_3_1" localSheetId="4" hidden="1">{"français",#N/A,FALSE,"Intro";"français",#N/A,FALSE,"Index";#N/A,#N/A,FALSE,"3-Incor";#N/A,#N/A,FALSE,"4-Corpo"}</definedName>
    <definedName name="GHJG_2_3_1" hidden="1">{"français",#N/A,FALSE,"Intro";"français",#N/A,FALSE,"Index";#N/A,#N/A,FALSE,"3-Incor";#N/A,#N/A,FALSE,"4-Corpo"}</definedName>
    <definedName name="GHJG_2_4" localSheetId="4" hidden="1">{"français",#N/A,FALSE,"Intro";"français",#N/A,FALSE,"Index";#N/A,#N/A,FALSE,"3-Incor";#N/A,#N/A,FALSE,"4-Corpo"}</definedName>
    <definedName name="GHJG_2_4" hidden="1">{"français",#N/A,FALSE,"Intro";"français",#N/A,FALSE,"Index";#N/A,#N/A,FALSE,"3-Incor";#N/A,#N/A,FALSE,"4-Corpo"}</definedName>
    <definedName name="GHJG_3" localSheetId="4" hidden="1">{"français",#N/A,FALSE,"Intro";"français",#N/A,FALSE,"Index";#N/A,#N/A,FALSE,"3-Incor";#N/A,#N/A,FALSE,"4-Corpo"}</definedName>
    <definedName name="GHJG_3" hidden="1">{"français",#N/A,FALSE,"Intro";"français",#N/A,FALSE,"Index";#N/A,#N/A,FALSE,"3-Incor";#N/A,#N/A,FALSE,"4-Corpo"}</definedName>
    <definedName name="GHJG_3_1" localSheetId="4" hidden="1">{"français",#N/A,FALSE,"Intro";"français",#N/A,FALSE,"Index";#N/A,#N/A,FALSE,"3-Incor";#N/A,#N/A,FALSE,"4-Corpo"}</definedName>
    <definedName name="GHJG_3_1" hidden="1">{"français",#N/A,FALSE,"Intro";"français",#N/A,FALSE,"Index";#N/A,#N/A,FALSE,"3-Incor";#N/A,#N/A,FALSE,"4-Corpo"}</definedName>
    <definedName name="GHJG_4" localSheetId="4" hidden="1">{"français",#N/A,FALSE,"Intro";"français",#N/A,FALSE,"Index";#N/A,#N/A,FALSE,"3-Incor";#N/A,#N/A,FALSE,"4-Corpo"}</definedName>
    <definedName name="GHJG_4" hidden="1">{"français",#N/A,FALSE,"Intro";"français",#N/A,FALSE,"Index";#N/A,#N/A,FALSE,"3-Incor";#N/A,#N/A,FALSE,"4-Corpo"}</definedName>
    <definedName name="GHJG_4_1" localSheetId="4" hidden="1">{"français",#N/A,FALSE,"Intro";"français",#N/A,FALSE,"Index";#N/A,#N/A,FALSE,"3-Incor";#N/A,#N/A,FALSE,"4-Corpo"}</definedName>
    <definedName name="GHJG_4_1" hidden="1">{"français",#N/A,FALSE,"Intro";"français",#N/A,FALSE,"Index";#N/A,#N/A,FALSE,"3-Incor";#N/A,#N/A,FALSE,"4-Corpo"}</definedName>
    <definedName name="GHJG_5" localSheetId="4" hidden="1">{"français",#N/A,FALSE,"Intro";"français",#N/A,FALSE,"Index";#N/A,#N/A,FALSE,"3-Incor";#N/A,#N/A,FALSE,"4-Corpo"}</definedName>
    <definedName name="GHJG_5" hidden="1">{"français",#N/A,FALSE,"Intro";"français",#N/A,FALSE,"Index";#N/A,#N/A,FALSE,"3-Incor";#N/A,#N/A,FALSE,"4-Corpo"}</definedName>
    <definedName name="GHJG_5_1" localSheetId="4" hidden="1">{"français",#N/A,FALSE,"Intro";"français",#N/A,FALSE,"Index";#N/A,#N/A,FALSE,"3-Incor";#N/A,#N/A,FALSE,"4-Corpo"}</definedName>
    <definedName name="GHJG_5_1" hidden="1">{"français",#N/A,FALSE,"Intro";"français",#N/A,FALSE,"Index";#N/A,#N/A,FALSE,"3-Incor";#N/A,#N/A,FALSE,"4-Corpo"}</definedName>
    <definedName name="GHJGF" localSheetId="4" hidden="1">{"français",#N/A,FALSE,"Intro";"français",#N/A,FALSE,"Index";#N/A,#N/A,FALSE,"3-Incor";#N/A,#N/A,FALSE,"4-Corpo"}</definedName>
    <definedName name="GHJGF" hidden="1">{"français",#N/A,FALSE,"Intro";"français",#N/A,FALSE,"Index";#N/A,#N/A,FALSE,"3-Incor";#N/A,#N/A,FALSE,"4-Corpo"}</definedName>
    <definedName name="GHJGF_1" localSheetId="4" hidden="1">{"français",#N/A,FALSE,"Intro";"français",#N/A,FALSE,"Index";#N/A,#N/A,FALSE,"3-Incor";#N/A,#N/A,FALSE,"4-Corpo"}</definedName>
    <definedName name="GHJGF_1" hidden="1">{"français",#N/A,FALSE,"Intro";"français",#N/A,FALSE,"Index";#N/A,#N/A,FALSE,"3-Incor";#N/A,#N/A,FALSE,"4-Corpo"}</definedName>
    <definedName name="GHJGF_1_1" localSheetId="4" hidden="1">{"français",#N/A,FALSE,"Intro";"français",#N/A,FALSE,"Index";#N/A,#N/A,FALSE,"3-Incor";#N/A,#N/A,FALSE,"4-Corpo"}</definedName>
    <definedName name="GHJGF_1_1" hidden="1">{"français",#N/A,FALSE,"Intro";"français",#N/A,FALSE,"Index";#N/A,#N/A,FALSE,"3-Incor";#N/A,#N/A,FALSE,"4-Corpo"}</definedName>
    <definedName name="GHJGF_1_1_1" localSheetId="4" hidden="1">{"français",#N/A,FALSE,"Intro";"français",#N/A,FALSE,"Index";#N/A,#N/A,FALSE,"3-Incor";#N/A,#N/A,FALSE,"4-Corpo"}</definedName>
    <definedName name="GHJGF_1_1_1" hidden="1">{"français",#N/A,FALSE,"Intro";"français",#N/A,FALSE,"Index";#N/A,#N/A,FALSE,"3-Incor";#N/A,#N/A,FALSE,"4-Corpo"}</definedName>
    <definedName name="GHJGF_1_1_1_1" localSheetId="4" hidden="1">{"français",#N/A,FALSE,"Intro";"français",#N/A,FALSE,"Index";#N/A,#N/A,FALSE,"3-Incor";#N/A,#N/A,FALSE,"4-Corpo"}</definedName>
    <definedName name="GHJGF_1_1_1_1" hidden="1">{"français",#N/A,FALSE,"Intro";"français",#N/A,FALSE,"Index";#N/A,#N/A,FALSE,"3-Incor";#N/A,#N/A,FALSE,"4-Corpo"}</definedName>
    <definedName name="GHJGF_1_1_2" localSheetId="4" hidden="1">{"français",#N/A,FALSE,"Intro";"français",#N/A,FALSE,"Index";#N/A,#N/A,FALSE,"3-Incor";#N/A,#N/A,FALSE,"4-Corpo"}</definedName>
    <definedName name="GHJGF_1_1_2" hidden="1">{"français",#N/A,FALSE,"Intro";"français",#N/A,FALSE,"Index";#N/A,#N/A,FALSE,"3-Incor";#N/A,#N/A,FALSE,"4-Corpo"}</definedName>
    <definedName name="GHJGF_1_1_2_1" localSheetId="4" hidden="1">{"français",#N/A,FALSE,"Intro";"français",#N/A,FALSE,"Index";#N/A,#N/A,FALSE,"3-Incor";#N/A,#N/A,FALSE,"4-Corpo"}</definedName>
    <definedName name="GHJGF_1_1_2_1" hidden="1">{"français",#N/A,FALSE,"Intro";"français",#N/A,FALSE,"Index";#N/A,#N/A,FALSE,"3-Incor";#N/A,#N/A,FALSE,"4-Corpo"}</definedName>
    <definedName name="GHJGF_1_1_3" localSheetId="4" hidden="1">{"français",#N/A,FALSE,"Intro";"français",#N/A,FALSE,"Index";#N/A,#N/A,FALSE,"3-Incor";#N/A,#N/A,FALSE,"4-Corpo"}</definedName>
    <definedName name="GHJGF_1_1_3" hidden="1">{"français",#N/A,FALSE,"Intro";"français",#N/A,FALSE,"Index";#N/A,#N/A,FALSE,"3-Incor";#N/A,#N/A,FALSE,"4-Corpo"}</definedName>
    <definedName name="GHJGF_1_1_3_1" localSheetId="4" hidden="1">{"français",#N/A,FALSE,"Intro";"français",#N/A,FALSE,"Index";#N/A,#N/A,FALSE,"3-Incor";#N/A,#N/A,FALSE,"4-Corpo"}</definedName>
    <definedName name="GHJGF_1_1_3_1" hidden="1">{"français",#N/A,FALSE,"Intro";"français",#N/A,FALSE,"Index";#N/A,#N/A,FALSE,"3-Incor";#N/A,#N/A,FALSE,"4-Corpo"}</definedName>
    <definedName name="GHJGF_1_1_4" localSheetId="4" hidden="1">{"français",#N/A,FALSE,"Intro";"français",#N/A,FALSE,"Index";#N/A,#N/A,FALSE,"3-Incor";#N/A,#N/A,FALSE,"4-Corpo"}</definedName>
    <definedName name="GHJGF_1_1_4" hidden="1">{"français",#N/A,FALSE,"Intro";"français",#N/A,FALSE,"Index";#N/A,#N/A,FALSE,"3-Incor";#N/A,#N/A,FALSE,"4-Corpo"}</definedName>
    <definedName name="GHJGF_1_2" localSheetId="4" hidden="1">{"français",#N/A,FALSE,"Intro";"français",#N/A,FALSE,"Index";#N/A,#N/A,FALSE,"3-Incor";#N/A,#N/A,FALSE,"4-Corpo"}</definedName>
    <definedName name="GHJGF_1_2" hidden="1">{"français",#N/A,FALSE,"Intro";"français",#N/A,FALSE,"Index";#N/A,#N/A,FALSE,"3-Incor";#N/A,#N/A,FALSE,"4-Corpo"}</definedName>
    <definedName name="GHJGF_1_2_1" localSheetId="4" hidden="1">{"français",#N/A,FALSE,"Intro";"français",#N/A,FALSE,"Index";#N/A,#N/A,FALSE,"3-Incor";#N/A,#N/A,FALSE,"4-Corpo"}</definedName>
    <definedName name="GHJGF_1_2_1" hidden="1">{"français",#N/A,FALSE,"Intro";"français",#N/A,FALSE,"Index";#N/A,#N/A,FALSE,"3-Incor";#N/A,#N/A,FALSE,"4-Corpo"}</definedName>
    <definedName name="GHJGF_1_3" localSheetId="4" hidden="1">{"français",#N/A,FALSE,"Intro";"français",#N/A,FALSE,"Index";#N/A,#N/A,FALSE,"3-Incor";#N/A,#N/A,FALSE,"4-Corpo"}</definedName>
    <definedName name="GHJGF_1_3" hidden="1">{"français",#N/A,FALSE,"Intro";"français",#N/A,FALSE,"Index";#N/A,#N/A,FALSE,"3-Incor";#N/A,#N/A,FALSE,"4-Corpo"}</definedName>
    <definedName name="GHJGF_1_3_1" localSheetId="4" hidden="1">{"français",#N/A,FALSE,"Intro";"français",#N/A,FALSE,"Index";#N/A,#N/A,FALSE,"3-Incor";#N/A,#N/A,FALSE,"4-Corpo"}</definedName>
    <definedName name="GHJGF_1_3_1" hidden="1">{"français",#N/A,FALSE,"Intro";"français",#N/A,FALSE,"Index";#N/A,#N/A,FALSE,"3-Incor";#N/A,#N/A,FALSE,"4-Corpo"}</definedName>
    <definedName name="GHJGF_1_4" localSheetId="4" hidden="1">{"français",#N/A,FALSE,"Intro";"français",#N/A,FALSE,"Index";#N/A,#N/A,FALSE,"3-Incor";#N/A,#N/A,FALSE,"4-Corpo"}</definedName>
    <definedName name="GHJGF_1_4" hidden="1">{"français",#N/A,FALSE,"Intro";"français",#N/A,FALSE,"Index";#N/A,#N/A,FALSE,"3-Incor";#N/A,#N/A,FALSE,"4-Corpo"}</definedName>
    <definedName name="GHJGF_1_4_1" localSheetId="4" hidden="1">{"français",#N/A,FALSE,"Intro";"français",#N/A,FALSE,"Index";#N/A,#N/A,FALSE,"3-Incor";#N/A,#N/A,FALSE,"4-Corpo"}</definedName>
    <definedName name="GHJGF_1_4_1" hidden="1">{"français",#N/A,FALSE,"Intro";"français",#N/A,FALSE,"Index";#N/A,#N/A,FALSE,"3-Incor";#N/A,#N/A,FALSE,"4-Corpo"}</definedName>
    <definedName name="GHJGF_1_5" localSheetId="4" hidden="1">{"français",#N/A,FALSE,"Intro";"français",#N/A,FALSE,"Index";#N/A,#N/A,FALSE,"3-Incor";#N/A,#N/A,FALSE,"4-Corpo"}</definedName>
    <definedName name="GHJGF_1_5" hidden="1">{"français",#N/A,FALSE,"Intro";"français",#N/A,FALSE,"Index";#N/A,#N/A,FALSE,"3-Incor";#N/A,#N/A,FALSE,"4-Corpo"}</definedName>
    <definedName name="GHJGF_2" localSheetId="4" hidden="1">{"français",#N/A,FALSE,"Intro";"français",#N/A,FALSE,"Index";#N/A,#N/A,FALSE,"3-Incor";#N/A,#N/A,FALSE,"4-Corpo"}</definedName>
    <definedName name="GHJGF_2" hidden="1">{"français",#N/A,FALSE,"Intro";"français",#N/A,FALSE,"Index";#N/A,#N/A,FALSE,"3-Incor";#N/A,#N/A,FALSE,"4-Corpo"}</definedName>
    <definedName name="GHJGF_2_1" localSheetId="4" hidden="1">{"français",#N/A,FALSE,"Intro";"français",#N/A,FALSE,"Index";#N/A,#N/A,FALSE,"3-Incor";#N/A,#N/A,FALSE,"4-Corpo"}</definedName>
    <definedName name="GHJGF_2_1" hidden="1">{"français",#N/A,FALSE,"Intro";"français",#N/A,FALSE,"Index";#N/A,#N/A,FALSE,"3-Incor";#N/A,#N/A,FALSE,"4-Corpo"}</definedName>
    <definedName name="GHJGF_2_1_1" localSheetId="4" hidden="1">{"français",#N/A,FALSE,"Intro";"français",#N/A,FALSE,"Index";#N/A,#N/A,FALSE,"3-Incor";#N/A,#N/A,FALSE,"4-Corpo"}</definedName>
    <definedName name="GHJGF_2_1_1" hidden="1">{"français",#N/A,FALSE,"Intro";"français",#N/A,FALSE,"Index";#N/A,#N/A,FALSE,"3-Incor";#N/A,#N/A,FALSE,"4-Corpo"}</definedName>
    <definedName name="GHJGF_2_2" localSheetId="4" hidden="1">{"français",#N/A,FALSE,"Intro";"français",#N/A,FALSE,"Index";#N/A,#N/A,FALSE,"3-Incor";#N/A,#N/A,FALSE,"4-Corpo"}</definedName>
    <definedName name="GHJGF_2_2" hidden="1">{"français",#N/A,FALSE,"Intro";"français",#N/A,FALSE,"Index";#N/A,#N/A,FALSE,"3-Incor";#N/A,#N/A,FALSE,"4-Corpo"}</definedName>
    <definedName name="GHJGF_2_2_1" localSheetId="4" hidden="1">{"français",#N/A,FALSE,"Intro";"français",#N/A,FALSE,"Index";#N/A,#N/A,FALSE,"3-Incor";#N/A,#N/A,FALSE,"4-Corpo"}</definedName>
    <definedName name="GHJGF_2_2_1" hidden="1">{"français",#N/A,FALSE,"Intro";"français",#N/A,FALSE,"Index";#N/A,#N/A,FALSE,"3-Incor";#N/A,#N/A,FALSE,"4-Corpo"}</definedName>
    <definedName name="GHJGF_2_3" localSheetId="4" hidden="1">{"français",#N/A,FALSE,"Intro";"français",#N/A,FALSE,"Index";#N/A,#N/A,FALSE,"3-Incor";#N/A,#N/A,FALSE,"4-Corpo"}</definedName>
    <definedName name="GHJGF_2_3" hidden="1">{"français",#N/A,FALSE,"Intro";"français",#N/A,FALSE,"Index";#N/A,#N/A,FALSE,"3-Incor";#N/A,#N/A,FALSE,"4-Corpo"}</definedName>
    <definedName name="GHJGF_2_3_1" localSheetId="4" hidden="1">{"français",#N/A,FALSE,"Intro";"français",#N/A,FALSE,"Index";#N/A,#N/A,FALSE,"3-Incor";#N/A,#N/A,FALSE,"4-Corpo"}</definedName>
    <definedName name="GHJGF_2_3_1" hidden="1">{"français",#N/A,FALSE,"Intro";"français",#N/A,FALSE,"Index";#N/A,#N/A,FALSE,"3-Incor";#N/A,#N/A,FALSE,"4-Corpo"}</definedName>
    <definedName name="GHJGF_2_4" localSheetId="4" hidden="1">{"français",#N/A,FALSE,"Intro";"français",#N/A,FALSE,"Index";#N/A,#N/A,FALSE,"3-Incor";#N/A,#N/A,FALSE,"4-Corpo"}</definedName>
    <definedName name="GHJGF_2_4" hidden="1">{"français",#N/A,FALSE,"Intro";"français",#N/A,FALSE,"Index";#N/A,#N/A,FALSE,"3-Incor";#N/A,#N/A,FALSE,"4-Corpo"}</definedName>
    <definedName name="GHJGF_3" localSheetId="4" hidden="1">{"français",#N/A,FALSE,"Intro";"français",#N/A,FALSE,"Index";#N/A,#N/A,FALSE,"3-Incor";#N/A,#N/A,FALSE,"4-Corpo"}</definedName>
    <definedName name="GHJGF_3" hidden="1">{"français",#N/A,FALSE,"Intro";"français",#N/A,FALSE,"Index";#N/A,#N/A,FALSE,"3-Incor";#N/A,#N/A,FALSE,"4-Corpo"}</definedName>
    <definedName name="GHJGF_3_1" localSheetId="4" hidden="1">{"français",#N/A,FALSE,"Intro";"français",#N/A,FALSE,"Index";#N/A,#N/A,FALSE,"3-Incor";#N/A,#N/A,FALSE,"4-Corpo"}</definedName>
    <definedName name="GHJGF_3_1" hidden="1">{"français",#N/A,FALSE,"Intro";"français",#N/A,FALSE,"Index";#N/A,#N/A,FALSE,"3-Incor";#N/A,#N/A,FALSE,"4-Corpo"}</definedName>
    <definedName name="GHJGF_4" localSheetId="4" hidden="1">{"français",#N/A,FALSE,"Intro";"français",#N/A,FALSE,"Index";#N/A,#N/A,FALSE,"3-Incor";#N/A,#N/A,FALSE,"4-Corpo"}</definedName>
    <definedName name="GHJGF_4" hidden="1">{"français",#N/A,FALSE,"Intro";"français",#N/A,FALSE,"Index";#N/A,#N/A,FALSE,"3-Incor";#N/A,#N/A,FALSE,"4-Corpo"}</definedName>
    <definedName name="GHJGF_4_1" localSheetId="4" hidden="1">{"français",#N/A,FALSE,"Intro";"français",#N/A,FALSE,"Index";#N/A,#N/A,FALSE,"3-Incor";#N/A,#N/A,FALSE,"4-Corpo"}</definedName>
    <definedName name="GHJGF_4_1" hidden="1">{"français",#N/A,FALSE,"Intro";"français",#N/A,FALSE,"Index";#N/A,#N/A,FALSE,"3-Incor";#N/A,#N/A,FALSE,"4-Corpo"}</definedName>
    <definedName name="GHJGF_5" localSheetId="4" hidden="1">{"français",#N/A,FALSE,"Intro";"français",#N/A,FALSE,"Index";#N/A,#N/A,FALSE,"3-Incor";#N/A,#N/A,FALSE,"4-Corpo"}</definedName>
    <definedName name="GHJGF_5" hidden="1">{"français",#N/A,FALSE,"Intro";"français",#N/A,FALSE,"Index";#N/A,#N/A,FALSE,"3-Incor";#N/A,#N/A,FALSE,"4-Corpo"}</definedName>
    <definedName name="GHJGF_5_1" localSheetId="4" hidden="1">{"français",#N/A,FALSE,"Intro";"français",#N/A,FALSE,"Index";#N/A,#N/A,FALSE,"3-Incor";#N/A,#N/A,FALSE,"4-Corpo"}</definedName>
    <definedName name="GHJGF_5_1" hidden="1">{"français",#N/A,FALSE,"Intro";"français",#N/A,FALSE,"Index";#N/A,#N/A,FALSE,"3-Incor";#N/A,#N/A,FALSE,"4-Corpo"}</definedName>
    <definedName name="GL_CODE">'[32]Lead Schedule '!$C$6:$D$38</definedName>
    <definedName name="GL_COY">'[32]Lead Schedule '!$B$5:$D$45</definedName>
    <definedName name="Green">[8]Data!$B$60:$C$68</definedName>
    <definedName name="Headcount">[33]Data!$A$18:$A$19</definedName>
    <definedName name="HighCase">#REF!</definedName>
    <definedName name="ID" localSheetId="0" hidden="1">"d918f8db-ffe8-467d-946a-e0260f3d610c"</definedName>
    <definedName name="ID" localSheetId="13" hidden="1">"77873a98-b6ff-4b95-8c1f-bb565b1cb1c7"</definedName>
    <definedName name="ID" localSheetId="12" hidden="1">"d0997174-ecb7-4b8c-b24d-0ccb5b87a6b9"</definedName>
    <definedName name="ID" localSheetId="10" hidden="1">"880b9afc-20b5-4d73-81c6-2eaee229e174"</definedName>
    <definedName name="ID" localSheetId="1" hidden="1">"53b85711-b32c-45f0-83fa-4985e6a615fb"</definedName>
    <definedName name="ID" localSheetId="3" hidden="1">"dd9622a9-96eb-418c-8f46-188a9bfc4f0a"</definedName>
    <definedName name="ID" localSheetId="11" hidden="1">"c2d472af-0772-4ad0-9343-34acd4c5fd11"</definedName>
    <definedName name="ID" localSheetId="9" hidden="1">"f3337efb-0d5b-43fa-b0f2-b363f2ab6f62"</definedName>
    <definedName name="ID" localSheetId="8" hidden="1">"09eed276-d5dc-441f-bc39-c6f102086585"</definedName>
    <definedName name="ID" localSheetId="7" hidden="1">"9732d69c-b9c5-481d-ae70-4b3906054734"</definedName>
    <definedName name="ID" localSheetId="2" hidden="1">"bf327bd1-aa44-44ad-a02c-354e0c551fce"</definedName>
    <definedName name="ID" localSheetId="6" hidden="1">"5e2559ce-9a62-4ca8-b3db-b54052cafce3"</definedName>
    <definedName name="ID" localSheetId="5" hidden="1">"b9f2c9dd-1688-4622-99e6-64708d179339"</definedName>
    <definedName name="ID" localSheetId="4" hidden="1">"f8b60352-61aa-4053-8d2d-93b21e93cdd9"</definedName>
    <definedName name="InterstateInShareChtData">OFFSET('[9]Dashboard Data'!$A$42,0,COUNT('[9]Dashboard Data'!$42:$42),1,-36)</definedName>
    <definedName name="InterstateOutShareChtData">OFFSET('[9]Dashboard Data'!#REF!,0,COUNT('[9]Dashboard Data'!#REF!),1,-36)</definedName>
    <definedName name="InterstateRevenueInChtData">OFFSET('[9]Dashboard Data'!$A$40,0,COUNT('[9]Dashboard Data'!$40:$40),1,-36)</definedName>
    <definedName name="InterstateRevenueOutChtData">OFFSET('[9]Dashboard Data'!#REF!,0,COUNT('[9]Dashboard Data'!#REF!),1,-36)</definedName>
    <definedName name="IntRate">[28]Assumptions!$C$33</definedName>
    <definedName name="InvDate">OFFSET([34]Inventory_Line!$G$5,,,COUNT([34]Inventory_Line!$G$5:$G$29))</definedName>
    <definedName name="InvValue">OFFSET([34]Inventory_Line!$H$5,,,COUNT([34]Inventory_Line!$G$5:$G$29))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"10/14/2016 15:40:31"</definedName>
    <definedName name="IQ_QTD" hidden="1">750000</definedName>
    <definedName name="IQ_TODAY" hidden="1">0</definedName>
    <definedName name="IQ_YTDMONTH" hidden="1">130000</definedName>
    <definedName name="JNL_TYPE">'[32]Lead Schedule '!$F$6:$G$8</definedName>
    <definedName name="K2_WBEVMODE" hidden="1">0</definedName>
    <definedName name="kbz">[26]GA!$B$28</definedName>
    <definedName name="KD">#REF!</definedName>
    <definedName name="KPI_Act">[30]KPI!$A$48:$P$89</definedName>
    <definedName name="KPI_BP">[30]KPI!$A$146:$P$179</definedName>
    <definedName name="KPI_LY">[30]KPI!$A$97:$P$138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12_Month">OFFSET([35]Section_4!$B$48,COUNTA([35]Section_4!$B$49:$B$70),0,-12,1)</definedName>
    <definedName name="L12_Sales">OFFSET([35]Section_4!$C$48,COUNTA([35]Section_4!$C$49:$C$70),0,-12,1)</definedName>
    <definedName name="le">#REF!</definedName>
    <definedName name="LKJ" localSheetId="4" hidden="1">{"Complaint Graphs",#N/A,FALSE,"Complaint Graphs"}</definedName>
    <definedName name="LKJ" hidden="1">{"Complaint Graphs",#N/A,FALSE,"Complaint Graphs"}</definedName>
    <definedName name="LKJ_1" localSheetId="4" hidden="1">{"Complaint Graphs",#N/A,FALSE,"Complaint Graphs"}</definedName>
    <definedName name="LKJ_1" hidden="1">{"Complaint Graphs",#N/A,FALSE,"Complaint Graphs"}</definedName>
    <definedName name="LKJ_1_1" localSheetId="4" hidden="1">{"Complaint Graphs",#N/A,FALSE,"Complaint Graphs"}</definedName>
    <definedName name="LKJ_1_1" hidden="1">{"Complaint Graphs",#N/A,FALSE,"Complaint Graphs"}</definedName>
    <definedName name="LKJ_1_1_1" localSheetId="4" hidden="1">{"Complaint Graphs",#N/A,FALSE,"Complaint Graphs"}</definedName>
    <definedName name="LKJ_1_1_1" hidden="1">{"Complaint Graphs",#N/A,FALSE,"Complaint Graphs"}</definedName>
    <definedName name="LKJ_1_1_1_1" localSheetId="4" hidden="1">{"Complaint Graphs",#N/A,FALSE,"Complaint Graphs"}</definedName>
    <definedName name="LKJ_1_1_1_1" hidden="1">{"Complaint Graphs",#N/A,FALSE,"Complaint Graphs"}</definedName>
    <definedName name="LKJ_1_1_2" localSheetId="4" hidden="1">{"Complaint Graphs",#N/A,FALSE,"Complaint Graphs"}</definedName>
    <definedName name="LKJ_1_1_2" hidden="1">{"Complaint Graphs",#N/A,FALSE,"Complaint Graphs"}</definedName>
    <definedName name="LKJ_1_1_2_1" localSheetId="4" hidden="1">{"Complaint Graphs",#N/A,FALSE,"Complaint Graphs"}</definedName>
    <definedName name="LKJ_1_1_2_1" hidden="1">{"Complaint Graphs",#N/A,FALSE,"Complaint Graphs"}</definedName>
    <definedName name="LKJ_1_1_3" localSheetId="4" hidden="1">{"Complaint Graphs",#N/A,FALSE,"Complaint Graphs"}</definedName>
    <definedName name="LKJ_1_1_3" hidden="1">{"Complaint Graphs",#N/A,FALSE,"Complaint Graphs"}</definedName>
    <definedName name="LKJ_1_1_3_1" localSheetId="4" hidden="1">{"Complaint Graphs",#N/A,FALSE,"Complaint Graphs"}</definedName>
    <definedName name="LKJ_1_1_3_1" hidden="1">{"Complaint Graphs",#N/A,FALSE,"Complaint Graphs"}</definedName>
    <definedName name="LKJ_1_1_4" localSheetId="4" hidden="1">{"Complaint Graphs",#N/A,FALSE,"Complaint Graphs"}</definedName>
    <definedName name="LKJ_1_1_4" hidden="1">{"Complaint Graphs",#N/A,FALSE,"Complaint Graphs"}</definedName>
    <definedName name="LKJ_1_2" localSheetId="4" hidden="1">{"Complaint Graphs",#N/A,FALSE,"Complaint Graphs"}</definedName>
    <definedName name="LKJ_1_2" hidden="1">{"Complaint Graphs",#N/A,FALSE,"Complaint Graphs"}</definedName>
    <definedName name="LKJ_1_2_1" localSheetId="4" hidden="1">{"Complaint Graphs",#N/A,FALSE,"Complaint Graphs"}</definedName>
    <definedName name="LKJ_1_2_1" hidden="1">{"Complaint Graphs",#N/A,FALSE,"Complaint Graphs"}</definedName>
    <definedName name="LKJ_1_3" localSheetId="4" hidden="1">{"Complaint Graphs",#N/A,FALSE,"Complaint Graphs"}</definedName>
    <definedName name="LKJ_1_3" hidden="1">{"Complaint Graphs",#N/A,FALSE,"Complaint Graphs"}</definedName>
    <definedName name="LKJ_1_3_1" localSheetId="4" hidden="1">{"Complaint Graphs",#N/A,FALSE,"Complaint Graphs"}</definedName>
    <definedName name="LKJ_1_3_1" hidden="1">{"Complaint Graphs",#N/A,FALSE,"Complaint Graphs"}</definedName>
    <definedName name="LKJ_1_4" localSheetId="4" hidden="1">{"Complaint Graphs",#N/A,FALSE,"Complaint Graphs"}</definedName>
    <definedName name="LKJ_1_4" hidden="1">{"Complaint Graphs",#N/A,FALSE,"Complaint Graphs"}</definedName>
    <definedName name="LKJ_1_4_1" localSheetId="4" hidden="1">{"Complaint Graphs",#N/A,FALSE,"Complaint Graphs"}</definedName>
    <definedName name="LKJ_1_4_1" hidden="1">{"Complaint Graphs",#N/A,FALSE,"Complaint Graphs"}</definedName>
    <definedName name="LKJ_1_5" localSheetId="4" hidden="1">{"Complaint Graphs",#N/A,FALSE,"Complaint Graphs"}</definedName>
    <definedName name="LKJ_1_5" hidden="1">{"Complaint Graphs",#N/A,FALSE,"Complaint Graphs"}</definedName>
    <definedName name="LKJ_2" localSheetId="4" hidden="1">{"Complaint Graphs",#N/A,FALSE,"Complaint Graphs"}</definedName>
    <definedName name="LKJ_2" hidden="1">{"Complaint Graphs",#N/A,FALSE,"Complaint Graphs"}</definedName>
    <definedName name="LKJ_2_1" localSheetId="4" hidden="1">{"Complaint Graphs",#N/A,FALSE,"Complaint Graphs"}</definedName>
    <definedName name="LKJ_2_1" hidden="1">{"Complaint Graphs",#N/A,FALSE,"Complaint Graphs"}</definedName>
    <definedName name="LKJ_2_1_1" localSheetId="4" hidden="1">{"Complaint Graphs",#N/A,FALSE,"Complaint Graphs"}</definedName>
    <definedName name="LKJ_2_1_1" hidden="1">{"Complaint Graphs",#N/A,FALSE,"Complaint Graphs"}</definedName>
    <definedName name="LKJ_2_2" localSheetId="4" hidden="1">{"Complaint Graphs",#N/A,FALSE,"Complaint Graphs"}</definedName>
    <definedName name="LKJ_2_2" hidden="1">{"Complaint Graphs",#N/A,FALSE,"Complaint Graphs"}</definedName>
    <definedName name="LKJ_2_2_1" localSheetId="4" hidden="1">{"Complaint Graphs",#N/A,FALSE,"Complaint Graphs"}</definedName>
    <definedName name="LKJ_2_2_1" hidden="1">{"Complaint Graphs",#N/A,FALSE,"Complaint Graphs"}</definedName>
    <definedName name="LKJ_2_3" localSheetId="4" hidden="1">{"Complaint Graphs",#N/A,FALSE,"Complaint Graphs"}</definedName>
    <definedName name="LKJ_2_3" hidden="1">{"Complaint Graphs",#N/A,FALSE,"Complaint Graphs"}</definedName>
    <definedName name="LKJ_2_3_1" localSheetId="4" hidden="1">{"Complaint Graphs",#N/A,FALSE,"Complaint Graphs"}</definedName>
    <definedName name="LKJ_2_3_1" hidden="1">{"Complaint Graphs",#N/A,FALSE,"Complaint Graphs"}</definedName>
    <definedName name="LKJ_2_4" localSheetId="4" hidden="1">{"Complaint Graphs",#N/A,FALSE,"Complaint Graphs"}</definedName>
    <definedName name="LKJ_2_4" hidden="1">{"Complaint Graphs",#N/A,FALSE,"Complaint Graphs"}</definedName>
    <definedName name="LKJ_3" localSheetId="4" hidden="1">{"Complaint Graphs",#N/A,FALSE,"Complaint Graphs"}</definedName>
    <definedName name="LKJ_3" hidden="1">{"Complaint Graphs",#N/A,FALSE,"Complaint Graphs"}</definedName>
    <definedName name="LKJ_3_1" localSheetId="4" hidden="1">{"Complaint Graphs",#N/A,FALSE,"Complaint Graphs"}</definedName>
    <definedName name="LKJ_3_1" hidden="1">{"Complaint Graphs",#N/A,FALSE,"Complaint Graphs"}</definedName>
    <definedName name="LKJ_4" localSheetId="4" hidden="1">{"Complaint Graphs",#N/A,FALSE,"Complaint Graphs"}</definedName>
    <definedName name="LKJ_4" hidden="1">{"Complaint Graphs",#N/A,FALSE,"Complaint Graphs"}</definedName>
    <definedName name="LKJ_4_1" localSheetId="4" hidden="1">{"Complaint Graphs",#N/A,FALSE,"Complaint Graphs"}</definedName>
    <definedName name="LKJ_4_1" hidden="1">{"Complaint Graphs",#N/A,FALSE,"Complaint Graphs"}</definedName>
    <definedName name="LKJ_5" localSheetId="4" hidden="1">{"Complaint Graphs",#N/A,FALSE,"Complaint Graphs"}</definedName>
    <definedName name="LKJ_5" hidden="1">{"Complaint Graphs",#N/A,FALSE,"Complaint Graphs"}</definedName>
    <definedName name="LKJ_5_1" localSheetId="4" hidden="1">{"Complaint Graphs",#N/A,FALSE,"Complaint Graphs"}</definedName>
    <definedName name="LKJ_5_1" hidden="1">{"Complaint Graphs",#N/A,FALSE,"Complaint Graphs"}</definedName>
    <definedName name="LL">'[36]8'!$B$14:$B$15</definedName>
    <definedName name="Location">[37]lookup!$A$1:$D$65536</definedName>
    <definedName name="LY_Pivot">#REF!</definedName>
    <definedName name="LY_PnL">#REF!</definedName>
    <definedName name="LYear">'[38]0. LST'!$B$3</definedName>
    <definedName name="LYStore">#REF!</definedName>
    <definedName name="MacroName">#REF!</definedName>
    <definedName name="MakeDirectories">#REF!</definedName>
    <definedName name="Marketing" localSheetId="4">IF('[8]Marketing Slide'!$H$24&gt;(0.05),Red,IF('[8]Marketing Slide'!$H$24&lt;=(0),Green,Yellow))</definedName>
    <definedName name="Marketing">IF('[8]Marketing Slide'!$H$24&gt;(0.05),Red,IF('[8]Marketing Slide'!$H$24&lt;=(0),Green,Yellow))</definedName>
    <definedName name="MarketResearch">#REF!</definedName>
    <definedName name="month">#REF!</definedName>
    <definedName name="Month1">[39]Data!$B$19:$M$19</definedName>
    <definedName name="MTC_Share">#REF!</definedName>
    <definedName name="mth_table">#REF!</definedName>
    <definedName name="mydate">[40]IgnoreBlanks!$E$36:INDEX([40]IgnoreBlanks!$E$36:$E$56,COUNT([40]IgnoreBlanks!$E$36:$E$56))</definedName>
    <definedName name="mylist">INDEX(([41]!TableProd[Productivity],[41]!TableGame[Games],[41]!TableUtility[Utility]),,,MATCH([41]Table!$F$4,[41]Table!$A$4:$C$4,0))</definedName>
    <definedName name="myvalue">[40]IgnoreBlanks!$F$36:INDEX([40]IgnoreBlanks!$F$36:$F$56,COUNT([40]IgnoreBlanks!$E$36:$E$56))</definedName>
    <definedName name="neginvlabel">OFFSET([34]Inventory_Line!$E$5,,,COUNT([34]Inventory_Line!$G$5:$G$29))</definedName>
    <definedName name="NEW">#REF!</definedName>
    <definedName name="NewShares">#REF!</definedName>
    <definedName name="Nova100">'[5]Input Actuals'!$C$22:$AA$39</definedName>
    <definedName name="Nova1069">[42]CALL!#REF!</definedName>
    <definedName name="Nova919">'[5]Input Actuals'!$C$60:$AA$77</definedName>
    <definedName name="Nova937">'[5]Input Actuals'!$C$214:$AA$231</definedName>
    <definedName name="nova969">'[5]Input Actuals'!$C$3:$AA$20</definedName>
    <definedName name="NovaEnt_10_ChtData">OFFSET('[9]Dashboard Data'!$A$55,0,COUNT('[9]Dashboard Data'!$55:$55),1,-24)</definedName>
    <definedName name="NovaEnt_25_54_ChtData">OFFSET('[9]Dashboard Data'!$A$67,0,COUNT('[9]Dashboard Data'!$67:$67),1,-24)</definedName>
    <definedName name="NovaEnt_40_54_ChtData">OFFSET('[9]Dashboard Data'!$A$61,0,COUNT('[9]Dashboard Data'!$61:$61),1,-24)</definedName>
    <definedName name="NovaEnt_Cume_ChtData">OFFSET('[9]Dashboard Data'!$A$75,0,COUNT('[9]Dashboard Data'!$75:$75),1,-24)</definedName>
    <definedName name="OnlineLanguage">[43]Struktur!$C$2</definedName>
    <definedName name="P_AUS">#REF!</definedName>
    <definedName name="P_BS">#REF!</definedName>
    <definedName name="P_BSheet">#REF!</definedName>
    <definedName name="P_CFlow">#REF!</definedName>
    <definedName name="P_FGL">#REF!</definedName>
    <definedName name="path">[44]StkDebtorsCDep!#REF!</definedName>
    <definedName name="pCube">"TM1ops:GL3"</definedName>
    <definedName name="pCube_1">"TM1ops:GL3"</definedName>
    <definedName name="Perc_Acq">#REF!</definedName>
    <definedName name="Period">#REF!</definedName>
    <definedName name="Periode">[31]Salden!$G$5</definedName>
    <definedName name="pForecast">#REF!</definedName>
    <definedName name="pMonth">'[38]0. LST'!$B$5</definedName>
    <definedName name="pMonthYTD">'[45]0_Control'!$C$4&amp;" YTD"</definedName>
    <definedName name="posInvLabel">OFFSET([34]Inventory_Line!$F$5,,,COUNT([34]Inventory_Line!$G$5:$G$29))</definedName>
    <definedName name="PR_TA_FY15_CPI_Rates" hidden="1">[46]PR_TA!$U$109</definedName>
    <definedName name="PR_TA_FY15_ExpBD" hidden="1">[47]PR_TA!$K$111:$N$194</definedName>
    <definedName name="PR_TA_FY15_FL_Area" hidden="1">[47]PR_TA!$K$113:$N$194</definedName>
    <definedName name="PR_TA_FY15_Outgoing" hidden="1">[47]PR_TA!$K$113:$N$194</definedName>
    <definedName name="PR_TA_FY15_Rent" hidden="1">[47]PR_TA!$K$113:$N$194</definedName>
    <definedName name="PR_TA_FY15_Rent_Review_Date" hidden="1">[47]PR_TA!$K$113:$N$194</definedName>
    <definedName name="PR_TA_FY15_YB_Date" hidden="1">[46]PR_TA!$R$109</definedName>
    <definedName name="PR_TA_FY15_YE_Date" hidden="1">[46]PR_TA!$R$110</definedName>
    <definedName name="PR_TA_FY15_YT_Days" hidden="1">[46]PR_TA!$R$111</definedName>
    <definedName name="Pre_tax_cost_debt">[14]Valuation!$D$33</definedName>
    <definedName name="_xlnm.Print_Area">#REF!</definedName>
    <definedName name="PRINT_AREA_MI">#REF!</definedName>
    <definedName name="Print_BSheet">#REF!</definedName>
    <definedName name="Print_BudBSht">#REF!</definedName>
    <definedName name="Print_BudCFlow">#REF!</definedName>
    <definedName name="Print_BudPL">#REF!</definedName>
    <definedName name="Print_CFlow">#REF!</definedName>
    <definedName name="Print_CFlowPLRec">#REF!</definedName>
    <definedName name="Print_PLoss">#REF!</definedName>
    <definedName name="Print_Sales_AveWkly">#REF!</definedName>
    <definedName name="Print_Sales_Mthly">#REF!</definedName>
    <definedName name="Prior_Year">[20]Instruction!$C$5</definedName>
    <definedName name="Profit" localSheetId="4">IF(ABS('[8]Monthly Fin Summary'!$C$41/'[8]Monthly Fin Summary'!$D$41)&lt;ABS((0.95)),Red,IF(ABS('[8]Monthly Fin Summary'!$C$41/'[8]Monthly Fin Summary'!$D$41)&gt;=ABS((1)),Green,Yellow))</definedName>
    <definedName name="Profit">IF(ABS('[8]Monthly Fin Summary'!$C$41/'[8]Monthly Fin Summary'!$D$41)&lt;ABS((0.95)),Red,IF(ABS('[8]Monthly Fin Summary'!$C$41/'[8]Monthly Fin Summary'!$D$41)&gt;=ABS((1)),Green,Yellow))</definedName>
    <definedName name="PRT_REPORT">#REF!</definedName>
    <definedName name="PT_Budget">#REF!</definedName>
    <definedName name="PT_FIVEAA">#REF!</definedName>
    <definedName name="PT_REC">#REF!</definedName>
    <definedName name="pView">"TM1OPS:GL3"</definedName>
    <definedName name="pWeek">'[38]0. LST'!$B$4</definedName>
    <definedName name="pYear">'[38]0. LST'!$B$2</definedName>
    <definedName name="q" localSheetId="4" hidden="1">{"Complaint Graphs",#N/A,FALSE,"Complaint Graphs"}</definedName>
    <definedName name="q" hidden="1">{"Complaint Graphs",#N/A,FALSE,"Complaint Graphs"}</definedName>
    <definedName name="q_1" localSheetId="4" hidden="1">{"Complaint Graphs",#N/A,FALSE,"Complaint Graphs"}</definedName>
    <definedName name="q_1" hidden="1">{"Complaint Graphs",#N/A,FALSE,"Complaint Graphs"}</definedName>
    <definedName name="q_1_1" localSheetId="4" hidden="1">{"Complaint Graphs",#N/A,FALSE,"Complaint Graphs"}</definedName>
    <definedName name="q_1_1" hidden="1">{"Complaint Graphs",#N/A,FALSE,"Complaint Graphs"}</definedName>
    <definedName name="q_1_1_1" localSheetId="4" hidden="1">{"Complaint Graphs",#N/A,FALSE,"Complaint Graphs"}</definedName>
    <definedName name="q_1_1_1" hidden="1">{"Complaint Graphs",#N/A,FALSE,"Complaint Graphs"}</definedName>
    <definedName name="q_1_1_1_1" localSheetId="4" hidden="1">{"Complaint Graphs",#N/A,FALSE,"Complaint Graphs"}</definedName>
    <definedName name="q_1_1_1_1" hidden="1">{"Complaint Graphs",#N/A,FALSE,"Complaint Graphs"}</definedName>
    <definedName name="q_1_1_2" localSheetId="4" hidden="1">{"Complaint Graphs",#N/A,FALSE,"Complaint Graphs"}</definedName>
    <definedName name="q_1_1_2" hidden="1">{"Complaint Graphs",#N/A,FALSE,"Complaint Graphs"}</definedName>
    <definedName name="q_1_1_2_1" localSheetId="4" hidden="1">{"Complaint Graphs",#N/A,FALSE,"Complaint Graphs"}</definedName>
    <definedName name="q_1_1_2_1" hidden="1">{"Complaint Graphs",#N/A,FALSE,"Complaint Graphs"}</definedName>
    <definedName name="q_1_1_3" localSheetId="4" hidden="1">{"Complaint Graphs",#N/A,FALSE,"Complaint Graphs"}</definedName>
    <definedName name="q_1_1_3" hidden="1">{"Complaint Graphs",#N/A,FALSE,"Complaint Graphs"}</definedName>
    <definedName name="q_1_1_3_1" localSheetId="4" hidden="1">{"Complaint Graphs",#N/A,FALSE,"Complaint Graphs"}</definedName>
    <definedName name="q_1_1_3_1" hidden="1">{"Complaint Graphs",#N/A,FALSE,"Complaint Graphs"}</definedName>
    <definedName name="q_1_1_4" localSheetId="4" hidden="1">{"Complaint Graphs",#N/A,FALSE,"Complaint Graphs"}</definedName>
    <definedName name="q_1_1_4" hidden="1">{"Complaint Graphs",#N/A,FALSE,"Complaint Graphs"}</definedName>
    <definedName name="q_1_2" localSheetId="4" hidden="1">{"Complaint Graphs",#N/A,FALSE,"Complaint Graphs"}</definedName>
    <definedName name="q_1_2" hidden="1">{"Complaint Graphs",#N/A,FALSE,"Complaint Graphs"}</definedName>
    <definedName name="q_1_2_1" localSheetId="4" hidden="1">{"Complaint Graphs",#N/A,FALSE,"Complaint Graphs"}</definedName>
    <definedName name="q_1_2_1" hidden="1">{"Complaint Graphs",#N/A,FALSE,"Complaint Graphs"}</definedName>
    <definedName name="q_1_3" localSheetId="4" hidden="1">{"Complaint Graphs",#N/A,FALSE,"Complaint Graphs"}</definedName>
    <definedName name="q_1_3" hidden="1">{"Complaint Graphs",#N/A,FALSE,"Complaint Graphs"}</definedName>
    <definedName name="q_1_3_1" localSheetId="4" hidden="1">{"Complaint Graphs",#N/A,FALSE,"Complaint Graphs"}</definedName>
    <definedName name="q_1_3_1" hidden="1">{"Complaint Graphs",#N/A,FALSE,"Complaint Graphs"}</definedName>
    <definedName name="q_1_4" localSheetId="4" hidden="1">{"Complaint Graphs",#N/A,FALSE,"Complaint Graphs"}</definedName>
    <definedName name="q_1_4" hidden="1">{"Complaint Graphs",#N/A,FALSE,"Complaint Graphs"}</definedName>
    <definedName name="q_1_4_1" localSheetId="4" hidden="1">{"Complaint Graphs",#N/A,FALSE,"Complaint Graphs"}</definedName>
    <definedName name="q_1_4_1" hidden="1">{"Complaint Graphs",#N/A,FALSE,"Complaint Graphs"}</definedName>
    <definedName name="q_1_5" localSheetId="4" hidden="1">{"Complaint Graphs",#N/A,FALSE,"Complaint Graphs"}</definedName>
    <definedName name="q_1_5" hidden="1">{"Complaint Graphs",#N/A,FALSE,"Complaint Graphs"}</definedName>
    <definedName name="q_2" localSheetId="4" hidden="1">{"Complaint Graphs",#N/A,FALSE,"Complaint Graphs"}</definedName>
    <definedName name="q_2" hidden="1">{"Complaint Graphs",#N/A,FALSE,"Complaint Graphs"}</definedName>
    <definedName name="q_2_1" localSheetId="4" hidden="1">{"Complaint Graphs",#N/A,FALSE,"Complaint Graphs"}</definedName>
    <definedName name="q_2_1" hidden="1">{"Complaint Graphs",#N/A,FALSE,"Complaint Graphs"}</definedName>
    <definedName name="q_2_1_1" localSheetId="4" hidden="1">{"Complaint Graphs",#N/A,FALSE,"Complaint Graphs"}</definedName>
    <definedName name="q_2_1_1" hidden="1">{"Complaint Graphs",#N/A,FALSE,"Complaint Graphs"}</definedName>
    <definedName name="q_2_2" localSheetId="4" hidden="1">{"Complaint Graphs",#N/A,FALSE,"Complaint Graphs"}</definedName>
    <definedName name="q_2_2" hidden="1">{"Complaint Graphs",#N/A,FALSE,"Complaint Graphs"}</definedName>
    <definedName name="q_2_2_1" localSheetId="4" hidden="1">{"Complaint Graphs",#N/A,FALSE,"Complaint Graphs"}</definedName>
    <definedName name="q_2_2_1" hidden="1">{"Complaint Graphs",#N/A,FALSE,"Complaint Graphs"}</definedName>
    <definedName name="q_2_3" localSheetId="4" hidden="1">{"Complaint Graphs",#N/A,FALSE,"Complaint Graphs"}</definedName>
    <definedName name="q_2_3" hidden="1">{"Complaint Graphs",#N/A,FALSE,"Complaint Graphs"}</definedName>
    <definedName name="q_2_3_1" localSheetId="4" hidden="1">{"Complaint Graphs",#N/A,FALSE,"Complaint Graphs"}</definedName>
    <definedName name="q_2_3_1" hidden="1">{"Complaint Graphs",#N/A,FALSE,"Complaint Graphs"}</definedName>
    <definedName name="q_2_4" localSheetId="4" hidden="1">{"Complaint Graphs",#N/A,FALSE,"Complaint Graphs"}</definedName>
    <definedName name="q_2_4" hidden="1">{"Complaint Graphs",#N/A,FALSE,"Complaint Graphs"}</definedName>
    <definedName name="q_3" localSheetId="4" hidden="1">{"Complaint Graphs",#N/A,FALSE,"Complaint Graphs"}</definedName>
    <definedName name="q_3" hidden="1">{"Complaint Graphs",#N/A,FALSE,"Complaint Graphs"}</definedName>
    <definedName name="q_3_1" localSheetId="4" hidden="1">{"Complaint Graphs",#N/A,FALSE,"Complaint Graphs"}</definedName>
    <definedName name="q_3_1" hidden="1">{"Complaint Graphs",#N/A,FALSE,"Complaint Graphs"}</definedName>
    <definedName name="q_4" localSheetId="4" hidden="1">{"Complaint Graphs",#N/A,FALSE,"Complaint Graphs"}</definedName>
    <definedName name="q_4" hidden="1">{"Complaint Graphs",#N/A,FALSE,"Complaint Graphs"}</definedName>
    <definedName name="q_4_1" localSheetId="4" hidden="1">{"Complaint Graphs",#N/A,FALSE,"Complaint Graphs"}</definedName>
    <definedName name="q_4_1" hidden="1">{"Complaint Graphs",#N/A,FALSE,"Complaint Graphs"}</definedName>
    <definedName name="q_5" localSheetId="4" hidden="1">{"Complaint Graphs",#N/A,FALSE,"Complaint Graphs"}</definedName>
    <definedName name="q_5" hidden="1">{"Complaint Graphs",#N/A,FALSE,"Complaint Graphs"}</definedName>
    <definedName name="q_5_1" localSheetId="4" hidden="1">{"Complaint Graphs",#N/A,FALSE,"Complaint Graphs"}</definedName>
    <definedName name="q_5_1" hidden="1">{"Complaint Graphs",#N/A,FALSE,"Complaint Graphs"}</definedName>
    <definedName name="qq">[48]SF!$C$57:$C$74</definedName>
    <definedName name="qqq">[48]SF!$C$148:$C$165</definedName>
    <definedName name="qqqqqq">[48]SF!$C$102:$C$119</definedName>
    <definedName name="qwe" localSheetId="4" hidden="1">{"Complaint Graphs",#N/A,FALSE,"Complaint Graphs"}</definedName>
    <definedName name="qwe" hidden="1">{"Complaint Graphs",#N/A,FALSE,"Complaint Graphs"}</definedName>
    <definedName name="qwe_1" localSheetId="4" hidden="1">{"Complaint Graphs",#N/A,FALSE,"Complaint Graphs"}</definedName>
    <definedName name="qwe_1" hidden="1">{"Complaint Graphs",#N/A,FALSE,"Complaint Graphs"}</definedName>
    <definedName name="qwe_1_1" localSheetId="4" hidden="1">{"Complaint Graphs",#N/A,FALSE,"Complaint Graphs"}</definedName>
    <definedName name="qwe_1_1" hidden="1">{"Complaint Graphs",#N/A,FALSE,"Complaint Graphs"}</definedName>
    <definedName name="qwe_1_1_1" localSheetId="4" hidden="1">{"Complaint Graphs",#N/A,FALSE,"Complaint Graphs"}</definedName>
    <definedName name="qwe_1_1_1" hidden="1">{"Complaint Graphs",#N/A,FALSE,"Complaint Graphs"}</definedName>
    <definedName name="qwe_1_1_1_1" localSheetId="4" hidden="1">{"Complaint Graphs",#N/A,FALSE,"Complaint Graphs"}</definedName>
    <definedName name="qwe_1_1_1_1" hidden="1">{"Complaint Graphs",#N/A,FALSE,"Complaint Graphs"}</definedName>
    <definedName name="qwe_1_1_2" localSheetId="4" hidden="1">{"Complaint Graphs",#N/A,FALSE,"Complaint Graphs"}</definedName>
    <definedName name="qwe_1_1_2" hidden="1">{"Complaint Graphs",#N/A,FALSE,"Complaint Graphs"}</definedName>
    <definedName name="qwe_1_1_2_1" localSheetId="4" hidden="1">{"Complaint Graphs",#N/A,FALSE,"Complaint Graphs"}</definedName>
    <definedName name="qwe_1_1_2_1" hidden="1">{"Complaint Graphs",#N/A,FALSE,"Complaint Graphs"}</definedName>
    <definedName name="qwe_1_1_3" localSheetId="4" hidden="1">{"Complaint Graphs",#N/A,FALSE,"Complaint Graphs"}</definedName>
    <definedName name="qwe_1_1_3" hidden="1">{"Complaint Graphs",#N/A,FALSE,"Complaint Graphs"}</definedName>
    <definedName name="qwe_1_1_3_1" localSheetId="4" hidden="1">{"Complaint Graphs",#N/A,FALSE,"Complaint Graphs"}</definedName>
    <definedName name="qwe_1_1_3_1" hidden="1">{"Complaint Graphs",#N/A,FALSE,"Complaint Graphs"}</definedName>
    <definedName name="qwe_1_1_4" localSheetId="4" hidden="1">{"Complaint Graphs",#N/A,FALSE,"Complaint Graphs"}</definedName>
    <definedName name="qwe_1_1_4" hidden="1">{"Complaint Graphs",#N/A,FALSE,"Complaint Graphs"}</definedName>
    <definedName name="qwe_1_2" localSheetId="4" hidden="1">{"Complaint Graphs",#N/A,FALSE,"Complaint Graphs"}</definedName>
    <definedName name="qwe_1_2" hidden="1">{"Complaint Graphs",#N/A,FALSE,"Complaint Graphs"}</definedName>
    <definedName name="qwe_1_2_1" localSheetId="4" hidden="1">{"Complaint Graphs",#N/A,FALSE,"Complaint Graphs"}</definedName>
    <definedName name="qwe_1_2_1" hidden="1">{"Complaint Graphs",#N/A,FALSE,"Complaint Graphs"}</definedName>
    <definedName name="qwe_1_3" localSheetId="4" hidden="1">{"Complaint Graphs",#N/A,FALSE,"Complaint Graphs"}</definedName>
    <definedName name="qwe_1_3" hidden="1">{"Complaint Graphs",#N/A,FALSE,"Complaint Graphs"}</definedName>
    <definedName name="qwe_1_3_1" localSheetId="4" hidden="1">{"Complaint Graphs",#N/A,FALSE,"Complaint Graphs"}</definedName>
    <definedName name="qwe_1_3_1" hidden="1">{"Complaint Graphs",#N/A,FALSE,"Complaint Graphs"}</definedName>
    <definedName name="qwe_1_4" localSheetId="4" hidden="1">{"Complaint Graphs",#N/A,FALSE,"Complaint Graphs"}</definedName>
    <definedName name="qwe_1_4" hidden="1">{"Complaint Graphs",#N/A,FALSE,"Complaint Graphs"}</definedName>
    <definedName name="qwe_1_4_1" localSheetId="4" hidden="1">{"Complaint Graphs",#N/A,FALSE,"Complaint Graphs"}</definedName>
    <definedName name="qwe_1_4_1" hidden="1">{"Complaint Graphs",#N/A,FALSE,"Complaint Graphs"}</definedName>
    <definedName name="qwe_1_5" localSheetId="4" hidden="1">{"Complaint Graphs",#N/A,FALSE,"Complaint Graphs"}</definedName>
    <definedName name="qwe_1_5" hidden="1">{"Complaint Graphs",#N/A,FALSE,"Complaint Graphs"}</definedName>
    <definedName name="qwe_2" localSheetId="4" hidden="1">{"Complaint Graphs",#N/A,FALSE,"Complaint Graphs"}</definedName>
    <definedName name="qwe_2" hidden="1">{"Complaint Graphs",#N/A,FALSE,"Complaint Graphs"}</definedName>
    <definedName name="qwe_2_1" localSheetId="4" hidden="1">{"Complaint Graphs",#N/A,FALSE,"Complaint Graphs"}</definedName>
    <definedName name="qwe_2_1" hidden="1">{"Complaint Graphs",#N/A,FALSE,"Complaint Graphs"}</definedName>
    <definedName name="qwe_2_1_1" localSheetId="4" hidden="1">{"Complaint Graphs",#N/A,FALSE,"Complaint Graphs"}</definedName>
    <definedName name="qwe_2_1_1" hidden="1">{"Complaint Graphs",#N/A,FALSE,"Complaint Graphs"}</definedName>
    <definedName name="qwe_2_2" localSheetId="4" hidden="1">{"Complaint Graphs",#N/A,FALSE,"Complaint Graphs"}</definedName>
    <definedName name="qwe_2_2" hidden="1">{"Complaint Graphs",#N/A,FALSE,"Complaint Graphs"}</definedName>
    <definedName name="qwe_2_2_1" localSheetId="4" hidden="1">{"Complaint Graphs",#N/A,FALSE,"Complaint Graphs"}</definedName>
    <definedName name="qwe_2_2_1" hidden="1">{"Complaint Graphs",#N/A,FALSE,"Complaint Graphs"}</definedName>
    <definedName name="qwe_2_3" localSheetId="4" hidden="1">{"Complaint Graphs",#N/A,FALSE,"Complaint Graphs"}</definedName>
    <definedName name="qwe_2_3" hidden="1">{"Complaint Graphs",#N/A,FALSE,"Complaint Graphs"}</definedName>
    <definedName name="qwe_2_3_1" localSheetId="4" hidden="1">{"Complaint Graphs",#N/A,FALSE,"Complaint Graphs"}</definedName>
    <definedName name="qwe_2_3_1" hidden="1">{"Complaint Graphs",#N/A,FALSE,"Complaint Graphs"}</definedName>
    <definedName name="qwe_2_4" localSheetId="4" hidden="1">{"Complaint Graphs",#N/A,FALSE,"Complaint Graphs"}</definedName>
    <definedName name="qwe_2_4" hidden="1">{"Complaint Graphs",#N/A,FALSE,"Complaint Graphs"}</definedName>
    <definedName name="qwe_3" localSheetId="4" hidden="1">{"Complaint Graphs",#N/A,FALSE,"Complaint Graphs"}</definedName>
    <definedName name="qwe_3" hidden="1">{"Complaint Graphs",#N/A,FALSE,"Complaint Graphs"}</definedName>
    <definedName name="qwe_3_1" localSheetId="4" hidden="1">{"Complaint Graphs",#N/A,FALSE,"Complaint Graphs"}</definedName>
    <definedName name="qwe_3_1" hidden="1">{"Complaint Graphs",#N/A,FALSE,"Complaint Graphs"}</definedName>
    <definedName name="qwe_4" localSheetId="4" hidden="1">{"Complaint Graphs",#N/A,FALSE,"Complaint Graphs"}</definedName>
    <definedName name="qwe_4" hidden="1">{"Complaint Graphs",#N/A,FALSE,"Complaint Graphs"}</definedName>
    <definedName name="qwe_4_1" localSheetId="4" hidden="1">{"Complaint Graphs",#N/A,FALSE,"Complaint Graphs"}</definedName>
    <definedName name="qwe_4_1" hidden="1">{"Complaint Graphs",#N/A,FALSE,"Complaint Graphs"}</definedName>
    <definedName name="qwe_5" localSheetId="4" hidden="1">{"Complaint Graphs",#N/A,FALSE,"Complaint Graphs"}</definedName>
    <definedName name="qwe_5" hidden="1">{"Complaint Graphs",#N/A,FALSE,"Complaint Graphs"}</definedName>
    <definedName name="qwe_5_1" localSheetId="4" hidden="1">{"Complaint Graphs",#N/A,FALSE,"Complaint Graphs"}</definedName>
    <definedName name="qwe_5_1" hidden="1">{"Complaint Graphs",#N/A,FALSE,"Complaint Graphs"}</definedName>
    <definedName name="qweqwe" localSheetId="4" hidden="1">{"Complaint Graphs",#N/A,FALSE,"Complaint Graphs"}</definedName>
    <definedName name="qweqwe" hidden="1">{"Complaint Graphs",#N/A,FALSE,"Complaint Graphs"}</definedName>
    <definedName name="qweqwe_1" localSheetId="4" hidden="1">{"Complaint Graphs",#N/A,FALSE,"Complaint Graphs"}</definedName>
    <definedName name="qweqwe_1" hidden="1">{"Complaint Graphs",#N/A,FALSE,"Complaint Graphs"}</definedName>
    <definedName name="qweqwe_1_1" localSheetId="4" hidden="1">{"Complaint Graphs",#N/A,FALSE,"Complaint Graphs"}</definedName>
    <definedName name="qweqwe_1_1" hidden="1">{"Complaint Graphs",#N/A,FALSE,"Complaint Graphs"}</definedName>
    <definedName name="qweqwe_1_1_1" localSheetId="4" hidden="1">{"Complaint Graphs",#N/A,FALSE,"Complaint Graphs"}</definedName>
    <definedName name="qweqwe_1_1_1" hidden="1">{"Complaint Graphs",#N/A,FALSE,"Complaint Graphs"}</definedName>
    <definedName name="qweqwe_1_1_1_1" localSheetId="4" hidden="1">{"Complaint Graphs",#N/A,FALSE,"Complaint Graphs"}</definedName>
    <definedName name="qweqwe_1_1_1_1" hidden="1">{"Complaint Graphs",#N/A,FALSE,"Complaint Graphs"}</definedName>
    <definedName name="qweqwe_1_1_2" localSheetId="4" hidden="1">{"Complaint Graphs",#N/A,FALSE,"Complaint Graphs"}</definedName>
    <definedName name="qweqwe_1_1_2" hidden="1">{"Complaint Graphs",#N/A,FALSE,"Complaint Graphs"}</definedName>
    <definedName name="qweqwe_1_1_2_1" localSheetId="4" hidden="1">{"Complaint Graphs",#N/A,FALSE,"Complaint Graphs"}</definedName>
    <definedName name="qweqwe_1_1_2_1" hidden="1">{"Complaint Graphs",#N/A,FALSE,"Complaint Graphs"}</definedName>
    <definedName name="qweqwe_1_1_3" localSheetId="4" hidden="1">{"Complaint Graphs",#N/A,FALSE,"Complaint Graphs"}</definedName>
    <definedName name="qweqwe_1_1_3" hidden="1">{"Complaint Graphs",#N/A,FALSE,"Complaint Graphs"}</definedName>
    <definedName name="qweqwe_1_1_3_1" localSheetId="4" hidden="1">{"Complaint Graphs",#N/A,FALSE,"Complaint Graphs"}</definedName>
    <definedName name="qweqwe_1_1_3_1" hidden="1">{"Complaint Graphs",#N/A,FALSE,"Complaint Graphs"}</definedName>
    <definedName name="qweqwe_1_1_4" localSheetId="4" hidden="1">{"Complaint Graphs",#N/A,FALSE,"Complaint Graphs"}</definedName>
    <definedName name="qweqwe_1_1_4" hidden="1">{"Complaint Graphs",#N/A,FALSE,"Complaint Graphs"}</definedName>
    <definedName name="qweqwe_1_2" localSheetId="4" hidden="1">{"Complaint Graphs",#N/A,FALSE,"Complaint Graphs"}</definedName>
    <definedName name="qweqwe_1_2" hidden="1">{"Complaint Graphs",#N/A,FALSE,"Complaint Graphs"}</definedName>
    <definedName name="qweqwe_1_2_1" localSheetId="4" hidden="1">{"Complaint Graphs",#N/A,FALSE,"Complaint Graphs"}</definedName>
    <definedName name="qweqwe_1_2_1" hidden="1">{"Complaint Graphs",#N/A,FALSE,"Complaint Graphs"}</definedName>
    <definedName name="qweqwe_1_3" localSheetId="4" hidden="1">{"Complaint Graphs",#N/A,FALSE,"Complaint Graphs"}</definedName>
    <definedName name="qweqwe_1_3" hidden="1">{"Complaint Graphs",#N/A,FALSE,"Complaint Graphs"}</definedName>
    <definedName name="qweqwe_1_3_1" localSheetId="4" hidden="1">{"Complaint Graphs",#N/A,FALSE,"Complaint Graphs"}</definedName>
    <definedName name="qweqwe_1_3_1" hidden="1">{"Complaint Graphs",#N/A,FALSE,"Complaint Graphs"}</definedName>
    <definedName name="qweqwe_1_4" localSheetId="4" hidden="1">{"Complaint Graphs",#N/A,FALSE,"Complaint Graphs"}</definedName>
    <definedName name="qweqwe_1_4" hidden="1">{"Complaint Graphs",#N/A,FALSE,"Complaint Graphs"}</definedName>
    <definedName name="qweqwe_1_4_1" localSheetId="4" hidden="1">{"Complaint Graphs",#N/A,FALSE,"Complaint Graphs"}</definedName>
    <definedName name="qweqwe_1_4_1" hidden="1">{"Complaint Graphs",#N/A,FALSE,"Complaint Graphs"}</definedName>
    <definedName name="qweqwe_1_5" localSheetId="4" hidden="1">{"Complaint Graphs",#N/A,FALSE,"Complaint Graphs"}</definedName>
    <definedName name="qweqwe_1_5" hidden="1">{"Complaint Graphs",#N/A,FALSE,"Complaint Graphs"}</definedName>
    <definedName name="qweqwe_2" localSheetId="4" hidden="1">{"Complaint Graphs",#N/A,FALSE,"Complaint Graphs"}</definedName>
    <definedName name="qweqwe_2" hidden="1">{"Complaint Graphs",#N/A,FALSE,"Complaint Graphs"}</definedName>
    <definedName name="qweqwe_2_1" localSheetId="4" hidden="1">{"Complaint Graphs",#N/A,FALSE,"Complaint Graphs"}</definedName>
    <definedName name="qweqwe_2_1" hidden="1">{"Complaint Graphs",#N/A,FALSE,"Complaint Graphs"}</definedName>
    <definedName name="qweqwe_2_1_1" localSheetId="4" hidden="1">{"Complaint Graphs",#N/A,FALSE,"Complaint Graphs"}</definedName>
    <definedName name="qweqwe_2_1_1" hidden="1">{"Complaint Graphs",#N/A,FALSE,"Complaint Graphs"}</definedName>
    <definedName name="qweqwe_2_2" localSheetId="4" hidden="1">{"Complaint Graphs",#N/A,FALSE,"Complaint Graphs"}</definedName>
    <definedName name="qweqwe_2_2" hidden="1">{"Complaint Graphs",#N/A,FALSE,"Complaint Graphs"}</definedName>
    <definedName name="qweqwe_2_2_1" localSheetId="4" hidden="1">{"Complaint Graphs",#N/A,FALSE,"Complaint Graphs"}</definedName>
    <definedName name="qweqwe_2_2_1" hidden="1">{"Complaint Graphs",#N/A,FALSE,"Complaint Graphs"}</definedName>
    <definedName name="qweqwe_2_3" localSheetId="4" hidden="1">{"Complaint Graphs",#N/A,FALSE,"Complaint Graphs"}</definedName>
    <definedName name="qweqwe_2_3" hidden="1">{"Complaint Graphs",#N/A,FALSE,"Complaint Graphs"}</definedName>
    <definedName name="qweqwe_2_3_1" localSheetId="4" hidden="1">{"Complaint Graphs",#N/A,FALSE,"Complaint Graphs"}</definedName>
    <definedName name="qweqwe_2_3_1" hidden="1">{"Complaint Graphs",#N/A,FALSE,"Complaint Graphs"}</definedName>
    <definedName name="qweqwe_2_4" localSheetId="4" hidden="1">{"Complaint Graphs",#N/A,FALSE,"Complaint Graphs"}</definedName>
    <definedName name="qweqwe_2_4" hidden="1">{"Complaint Graphs",#N/A,FALSE,"Complaint Graphs"}</definedName>
    <definedName name="qweqwe_3" localSheetId="4" hidden="1">{"Complaint Graphs",#N/A,FALSE,"Complaint Graphs"}</definedName>
    <definedName name="qweqwe_3" hidden="1">{"Complaint Graphs",#N/A,FALSE,"Complaint Graphs"}</definedName>
    <definedName name="qweqwe_3_1" localSheetId="4" hidden="1">{"Complaint Graphs",#N/A,FALSE,"Complaint Graphs"}</definedName>
    <definedName name="qweqwe_3_1" hidden="1">{"Complaint Graphs",#N/A,FALSE,"Complaint Graphs"}</definedName>
    <definedName name="qweqwe_4" localSheetId="4" hidden="1">{"Complaint Graphs",#N/A,FALSE,"Complaint Graphs"}</definedName>
    <definedName name="qweqwe_4" hidden="1">{"Complaint Graphs",#N/A,FALSE,"Complaint Graphs"}</definedName>
    <definedName name="qweqwe_4_1" localSheetId="4" hidden="1">{"Complaint Graphs",#N/A,FALSE,"Complaint Graphs"}</definedName>
    <definedName name="qweqwe_4_1" hidden="1">{"Complaint Graphs",#N/A,FALSE,"Complaint Graphs"}</definedName>
    <definedName name="qweqwe_5" localSheetId="4" hidden="1">{"Complaint Graphs",#N/A,FALSE,"Complaint Graphs"}</definedName>
    <definedName name="qweqwe_5" hidden="1">{"Complaint Graphs",#N/A,FALSE,"Complaint Graphs"}</definedName>
    <definedName name="qweqwe_5_1" localSheetId="4" hidden="1">{"Complaint Graphs",#N/A,FALSE,"Complaint Graphs"}</definedName>
    <definedName name="qweqwe_5_1" hidden="1">{"Complaint Graphs",#N/A,FALSE,"Complaint Graphs"}</definedName>
    <definedName name="qwewq" hidden="1">[11]Keys_BO!$B$7</definedName>
    <definedName name="range">[49]TM1!$B$12:$G$203</definedName>
    <definedName name="range2">[49]TM1!$B$12:$H$198</definedName>
    <definedName name="Ratings" localSheetId="4">IF(AND('[8]Ratings Slide'!$S$15&lt;'[8]Ratings Slide'!$S$16,'[8]Ratings Slide'!$S$17&lt;'[8]Ratings Slide'!$S$18),Red,IF(AND('[8]Ratings Slide'!$S$15&gt;='[8]Ratings Slide'!$S$16,'[8]Ratings Slide'!$S$17&gt;='[8]Ratings Slide'!$S$18),Green,Yellow))</definedName>
    <definedName name="Ratings">IF(AND('[8]Ratings Slide'!$S$15&lt;'[8]Ratings Slide'!$S$16,'[8]Ratings Slide'!$S$17&lt;'[8]Ratings Slide'!$S$18),Red,IF(AND('[8]Ratings Slide'!$S$15&gt;='[8]Ratings Slide'!$S$16,'[8]Ratings Slide'!$S$17&gt;='[8]Ratings Slide'!$S$18),Green,Yellow))</definedName>
    <definedName name="_xlnm.Recorder">#REF!</definedName>
    <definedName name="Red">[8]Data!$E$60:$F$68</definedName>
    <definedName name="Rent_AUS_0102">[17]Assumptions!$D$28</definedName>
    <definedName name="Rent_AUS_0203">[17]Assumptions!$F$28</definedName>
    <definedName name="Rent_AUS_0304">[17]Assumptions!$H$28</definedName>
    <definedName name="Rent_AUS_0405">[17]Assumptions!$J$28</definedName>
    <definedName name="Rent_AUS_0506">[17]Assumptions!$L$28</definedName>
    <definedName name="Rent_NZ_0102">[17]Assumptions!$D$29</definedName>
    <definedName name="Rent_NZ_0203">[17]Assumptions!$F$29</definedName>
    <definedName name="Rent_NZ_0304">[17]Assumptions!$H$29</definedName>
    <definedName name="Rent_NZ_0405">[17]Assumptions!$J$29</definedName>
    <definedName name="Rent_NZ_0506">[17]Assumptions!$L$29</definedName>
    <definedName name="ReportCreated">TRUE</definedName>
    <definedName name="REPT_MTH">'[32]Lead Schedule '!$I$6:$K$17</definedName>
    <definedName name="retfg" hidden="1">[11]Keys_BO!$B$102</definedName>
    <definedName name="Rev">[50]Control!$F$2:$G$6</definedName>
    <definedName name="Rok">[26]GA!$B$10</definedName>
    <definedName name="rtfg" hidden="1">[11]Fcast_TA!$B$29</definedName>
    <definedName name="rtyfg" hidden="1">[11]Checks_BO!$B$49</definedName>
    <definedName name="rtyfgh" hidden="1">[11]Checks_BO!$B$7</definedName>
    <definedName name="RunMacros">#REF!</definedName>
    <definedName name="RunMacrosWhen">#REF!</definedName>
    <definedName name="RV02020100001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1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2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2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4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1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2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2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4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4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4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5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1_5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1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2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2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4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2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4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4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4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5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5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5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RV020201000013_5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sad" localSheetId="4" hidden="1">{"Complaint Graphs",#N/A,FALSE,"Complaint Graphs"}</definedName>
    <definedName name="sad" hidden="1">{"Complaint Graphs",#N/A,FALSE,"Complaint Graphs"}</definedName>
    <definedName name="sad_1" localSheetId="4" hidden="1">{"Complaint Graphs",#N/A,FALSE,"Complaint Graphs"}</definedName>
    <definedName name="sad_1" hidden="1">{"Complaint Graphs",#N/A,FALSE,"Complaint Graphs"}</definedName>
    <definedName name="sad_1_1" localSheetId="4" hidden="1">{"Complaint Graphs",#N/A,FALSE,"Complaint Graphs"}</definedName>
    <definedName name="sad_1_1" hidden="1">{"Complaint Graphs",#N/A,FALSE,"Complaint Graphs"}</definedName>
    <definedName name="sad_1_1_1" localSheetId="4" hidden="1">{"Complaint Graphs",#N/A,FALSE,"Complaint Graphs"}</definedName>
    <definedName name="sad_1_1_1" hidden="1">{"Complaint Graphs",#N/A,FALSE,"Complaint Graphs"}</definedName>
    <definedName name="sad_1_1_1_1" localSheetId="4" hidden="1">{"Complaint Graphs",#N/A,FALSE,"Complaint Graphs"}</definedName>
    <definedName name="sad_1_1_1_1" hidden="1">{"Complaint Graphs",#N/A,FALSE,"Complaint Graphs"}</definedName>
    <definedName name="sad_1_1_2" localSheetId="4" hidden="1">{"Complaint Graphs",#N/A,FALSE,"Complaint Graphs"}</definedName>
    <definedName name="sad_1_1_2" hidden="1">{"Complaint Graphs",#N/A,FALSE,"Complaint Graphs"}</definedName>
    <definedName name="sad_1_1_2_1" localSheetId="4" hidden="1">{"Complaint Graphs",#N/A,FALSE,"Complaint Graphs"}</definedName>
    <definedName name="sad_1_1_2_1" hidden="1">{"Complaint Graphs",#N/A,FALSE,"Complaint Graphs"}</definedName>
    <definedName name="sad_1_1_3" localSheetId="4" hidden="1">{"Complaint Graphs",#N/A,FALSE,"Complaint Graphs"}</definedName>
    <definedName name="sad_1_1_3" hidden="1">{"Complaint Graphs",#N/A,FALSE,"Complaint Graphs"}</definedName>
    <definedName name="sad_1_1_3_1" localSheetId="4" hidden="1">{"Complaint Graphs",#N/A,FALSE,"Complaint Graphs"}</definedName>
    <definedName name="sad_1_1_3_1" hidden="1">{"Complaint Graphs",#N/A,FALSE,"Complaint Graphs"}</definedName>
    <definedName name="sad_1_1_4" localSheetId="4" hidden="1">{"Complaint Graphs",#N/A,FALSE,"Complaint Graphs"}</definedName>
    <definedName name="sad_1_1_4" hidden="1">{"Complaint Graphs",#N/A,FALSE,"Complaint Graphs"}</definedName>
    <definedName name="sad_1_2" localSheetId="4" hidden="1">{"Complaint Graphs",#N/A,FALSE,"Complaint Graphs"}</definedName>
    <definedName name="sad_1_2" hidden="1">{"Complaint Graphs",#N/A,FALSE,"Complaint Graphs"}</definedName>
    <definedName name="sad_1_2_1" localSheetId="4" hidden="1">{"Complaint Graphs",#N/A,FALSE,"Complaint Graphs"}</definedName>
    <definedName name="sad_1_2_1" hidden="1">{"Complaint Graphs",#N/A,FALSE,"Complaint Graphs"}</definedName>
    <definedName name="sad_1_3" localSheetId="4" hidden="1">{"Complaint Graphs",#N/A,FALSE,"Complaint Graphs"}</definedName>
    <definedName name="sad_1_3" hidden="1">{"Complaint Graphs",#N/A,FALSE,"Complaint Graphs"}</definedName>
    <definedName name="sad_1_3_1" localSheetId="4" hidden="1">{"Complaint Graphs",#N/A,FALSE,"Complaint Graphs"}</definedName>
    <definedName name="sad_1_3_1" hidden="1">{"Complaint Graphs",#N/A,FALSE,"Complaint Graphs"}</definedName>
    <definedName name="sad_1_4" localSheetId="4" hidden="1">{"Complaint Graphs",#N/A,FALSE,"Complaint Graphs"}</definedName>
    <definedName name="sad_1_4" hidden="1">{"Complaint Graphs",#N/A,FALSE,"Complaint Graphs"}</definedName>
    <definedName name="sad_1_4_1" localSheetId="4" hidden="1">{"Complaint Graphs",#N/A,FALSE,"Complaint Graphs"}</definedName>
    <definedName name="sad_1_4_1" hidden="1">{"Complaint Graphs",#N/A,FALSE,"Complaint Graphs"}</definedName>
    <definedName name="sad_1_5" localSheetId="4" hidden="1">{"Complaint Graphs",#N/A,FALSE,"Complaint Graphs"}</definedName>
    <definedName name="sad_1_5" hidden="1">{"Complaint Graphs",#N/A,FALSE,"Complaint Graphs"}</definedName>
    <definedName name="sad_2" localSheetId="4" hidden="1">{"Complaint Graphs",#N/A,FALSE,"Complaint Graphs"}</definedName>
    <definedName name="sad_2" hidden="1">{"Complaint Graphs",#N/A,FALSE,"Complaint Graphs"}</definedName>
    <definedName name="sad_2_1" localSheetId="4" hidden="1">{"Complaint Graphs",#N/A,FALSE,"Complaint Graphs"}</definedName>
    <definedName name="sad_2_1" hidden="1">{"Complaint Graphs",#N/A,FALSE,"Complaint Graphs"}</definedName>
    <definedName name="sad_2_1_1" localSheetId="4" hidden="1">{"Complaint Graphs",#N/A,FALSE,"Complaint Graphs"}</definedName>
    <definedName name="sad_2_1_1" hidden="1">{"Complaint Graphs",#N/A,FALSE,"Complaint Graphs"}</definedName>
    <definedName name="sad_2_2" localSheetId="4" hidden="1">{"Complaint Graphs",#N/A,FALSE,"Complaint Graphs"}</definedName>
    <definedName name="sad_2_2" hidden="1">{"Complaint Graphs",#N/A,FALSE,"Complaint Graphs"}</definedName>
    <definedName name="sad_2_2_1" localSheetId="4" hidden="1">{"Complaint Graphs",#N/A,FALSE,"Complaint Graphs"}</definedName>
    <definedName name="sad_2_2_1" hidden="1">{"Complaint Graphs",#N/A,FALSE,"Complaint Graphs"}</definedName>
    <definedName name="sad_2_3" localSheetId="4" hidden="1">{"Complaint Graphs",#N/A,FALSE,"Complaint Graphs"}</definedName>
    <definedName name="sad_2_3" hidden="1">{"Complaint Graphs",#N/A,FALSE,"Complaint Graphs"}</definedName>
    <definedName name="sad_2_3_1" localSheetId="4" hidden="1">{"Complaint Graphs",#N/A,FALSE,"Complaint Graphs"}</definedName>
    <definedName name="sad_2_3_1" hidden="1">{"Complaint Graphs",#N/A,FALSE,"Complaint Graphs"}</definedName>
    <definedName name="sad_2_4" localSheetId="4" hidden="1">{"Complaint Graphs",#N/A,FALSE,"Complaint Graphs"}</definedName>
    <definedName name="sad_2_4" hidden="1">{"Complaint Graphs",#N/A,FALSE,"Complaint Graphs"}</definedName>
    <definedName name="sad_3" localSheetId="4" hidden="1">{"Complaint Graphs",#N/A,FALSE,"Complaint Graphs"}</definedName>
    <definedName name="sad_3" hidden="1">{"Complaint Graphs",#N/A,FALSE,"Complaint Graphs"}</definedName>
    <definedName name="sad_3_1" localSheetId="4" hidden="1">{"Complaint Graphs",#N/A,FALSE,"Complaint Graphs"}</definedName>
    <definedName name="sad_3_1" hidden="1">{"Complaint Graphs",#N/A,FALSE,"Complaint Graphs"}</definedName>
    <definedName name="sad_4" localSheetId="4" hidden="1">{"Complaint Graphs",#N/A,FALSE,"Complaint Graphs"}</definedName>
    <definedName name="sad_4" hidden="1">{"Complaint Graphs",#N/A,FALSE,"Complaint Graphs"}</definedName>
    <definedName name="sad_4_1" localSheetId="4" hidden="1">{"Complaint Graphs",#N/A,FALSE,"Complaint Graphs"}</definedName>
    <definedName name="sad_4_1" hidden="1">{"Complaint Graphs",#N/A,FALSE,"Complaint Graphs"}</definedName>
    <definedName name="sad_5" localSheetId="4" hidden="1">{"Complaint Graphs",#N/A,FALSE,"Complaint Graphs"}</definedName>
    <definedName name="sad_5" hidden="1">{"Complaint Graphs",#N/A,FALSE,"Complaint Graphs"}</definedName>
    <definedName name="sad_5_1" localSheetId="4" hidden="1">{"Complaint Graphs",#N/A,FALSE,"Complaint Graphs"}</definedName>
    <definedName name="sad_5_1" hidden="1">{"Complaint Graphs",#N/A,FALSE,"Complaint Graphs"}</definedName>
    <definedName name="sales">_xlfn.ANCHORARRAY('[16]Completed V2'!$F$4)</definedName>
    <definedName name="SAPBEXrevision" hidden="1">4</definedName>
    <definedName name="SAPBEXsysID" hidden="1">"PBW"</definedName>
    <definedName name="SAPBEXwbID" hidden="1">"3TKSO853324FJ4MADHEEU3PTO"</definedName>
    <definedName name="sasasasa" localSheetId="4" hidden="1">{"Complaint Graphs",#N/A,FALSE,"Complaint Graphs"}</definedName>
    <definedName name="sasasasa" hidden="1">{"Complaint Graphs",#N/A,FALSE,"Complaint Graphs"}</definedName>
    <definedName name="sasasasa_1" localSheetId="4" hidden="1">{"Complaint Graphs",#N/A,FALSE,"Complaint Graphs"}</definedName>
    <definedName name="sasasasa_1" hidden="1">{"Complaint Graphs",#N/A,FALSE,"Complaint Graphs"}</definedName>
    <definedName name="sasasasa_1_1" localSheetId="4" hidden="1">{"Complaint Graphs",#N/A,FALSE,"Complaint Graphs"}</definedName>
    <definedName name="sasasasa_1_1" hidden="1">{"Complaint Graphs",#N/A,FALSE,"Complaint Graphs"}</definedName>
    <definedName name="sasasasa_1_1_1" localSheetId="4" hidden="1">{"Complaint Graphs",#N/A,FALSE,"Complaint Graphs"}</definedName>
    <definedName name="sasasasa_1_1_1" hidden="1">{"Complaint Graphs",#N/A,FALSE,"Complaint Graphs"}</definedName>
    <definedName name="sasasasa_1_1_1_1" localSheetId="4" hidden="1">{"Complaint Graphs",#N/A,FALSE,"Complaint Graphs"}</definedName>
    <definedName name="sasasasa_1_1_1_1" hidden="1">{"Complaint Graphs",#N/A,FALSE,"Complaint Graphs"}</definedName>
    <definedName name="sasasasa_1_1_2" localSheetId="4" hidden="1">{"Complaint Graphs",#N/A,FALSE,"Complaint Graphs"}</definedName>
    <definedName name="sasasasa_1_1_2" hidden="1">{"Complaint Graphs",#N/A,FALSE,"Complaint Graphs"}</definedName>
    <definedName name="sasasasa_1_1_2_1" localSheetId="4" hidden="1">{"Complaint Graphs",#N/A,FALSE,"Complaint Graphs"}</definedName>
    <definedName name="sasasasa_1_1_2_1" hidden="1">{"Complaint Graphs",#N/A,FALSE,"Complaint Graphs"}</definedName>
    <definedName name="sasasasa_1_1_3" localSheetId="4" hidden="1">{"Complaint Graphs",#N/A,FALSE,"Complaint Graphs"}</definedName>
    <definedName name="sasasasa_1_1_3" hidden="1">{"Complaint Graphs",#N/A,FALSE,"Complaint Graphs"}</definedName>
    <definedName name="sasasasa_1_1_3_1" localSheetId="4" hidden="1">{"Complaint Graphs",#N/A,FALSE,"Complaint Graphs"}</definedName>
    <definedName name="sasasasa_1_1_3_1" hidden="1">{"Complaint Graphs",#N/A,FALSE,"Complaint Graphs"}</definedName>
    <definedName name="sasasasa_1_1_4" localSheetId="4" hidden="1">{"Complaint Graphs",#N/A,FALSE,"Complaint Graphs"}</definedName>
    <definedName name="sasasasa_1_1_4" hidden="1">{"Complaint Graphs",#N/A,FALSE,"Complaint Graphs"}</definedName>
    <definedName name="sasasasa_1_2" localSheetId="4" hidden="1">{"Complaint Graphs",#N/A,FALSE,"Complaint Graphs"}</definedName>
    <definedName name="sasasasa_1_2" hidden="1">{"Complaint Graphs",#N/A,FALSE,"Complaint Graphs"}</definedName>
    <definedName name="sasasasa_1_2_1" localSheetId="4" hidden="1">{"Complaint Graphs",#N/A,FALSE,"Complaint Graphs"}</definedName>
    <definedName name="sasasasa_1_2_1" hidden="1">{"Complaint Graphs",#N/A,FALSE,"Complaint Graphs"}</definedName>
    <definedName name="sasasasa_1_3" localSheetId="4" hidden="1">{"Complaint Graphs",#N/A,FALSE,"Complaint Graphs"}</definedName>
    <definedName name="sasasasa_1_3" hidden="1">{"Complaint Graphs",#N/A,FALSE,"Complaint Graphs"}</definedName>
    <definedName name="sasasasa_1_3_1" localSheetId="4" hidden="1">{"Complaint Graphs",#N/A,FALSE,"Complaint Graphs"}</definedName>
    <definedName name="sasasasa_1_3_1" hidden="1">{"Complaint Graphs",#N/A,FALSE,"Complaint Graphs"}</definedName>
    <definedName name="sasasasa_1_4" localSheetId="4" hidden="1">{"Complaint Graphs",#N/A,FALSE,"Complaint Graphs"}</definedName>
    <definedName name="sasasasa_1_4" hidden="1">{"Complaint Graphs",#N/A,FALSE,"Complaint Graphs"}</definedName>
    <definedName name="sasasasa_1_4_1" localSheetId="4" hidden="1">{"Complaint Graphs",#N/A,FALSE,"Complaint Graphs"}</definedName>
    <definedName name="sasasasa_1_4_1" hidden="1">{"Complaint Graphs",#N/A,FALSE,"Complaint Graphs"}</definedName>
    <definedName name="sasasasa_1_5" localSheetId="4" hidden="1">{"Complaint Graphs",#N/A,FALSE,"Complaint Graphs"}</definedName>
    <definedName name="sasasasa_1_5" hidden="1">{"Complaint Graphs",#N/A,FALSE,"Complaint Graphs"}</definedName>
    <definedName name="sasasasa_2" localSheetId="4" hidden="1">{"Complaint Graphs",#N/A,FALSE,"Complaint Graphs"}</definedName>
    <definedName name="sasasasa_2" hidden="1">{"Complaint Graphs",#N/A,FALSE,"Complaint Graphs"}</definedName>
    <definedName name="sasasasa_2_1" localSheetId="4" hidden="1">{"Complaint Graphs",#N/A,FALSE,"Complaint Graphs"}</definedName>
    <definedName name="sasasasa_2_1" hidden="1">{"Complaint Graphs",#N/A,FALSE,"Complaint Graphs"}</definedName>
    <definedName name="sasasasa_2_1_1" localSheetId="4" hidden="1">{"Complaint Graphs",#N/A,FALSE,"Complaint Graphs"}</definedName>
    <definedName name="sasasasa_2_1_1" hidden="1">{"Complaint Graphs",#N/A,FALSE,"Complaint Graphs"}</definedName>
    <definedName name="sasasasa_2_2" localSheetId="4" hidden="1">{"Complaint Graphs",#N/A,FALSE,"Complaint Graphs"}</definedName>
    <definedName name="sasasasa_2_2" hidden="1">{"Complaint Graphs",#N/A,FALSE,"Complaint Graphs"}</definedName>
    <definedName name="sasasasa_2_2_1" localSheetId="4" hidden="1">{"Complaint Graphs",#N/A,FALSE,"Complaint Graphs"}</definedName>
    <definedName name="sasasasa_2_2_1" hidden="1">{"Complaint Graphs",#N/A,FALSE,"Complaint Graphs"}</definedName>
    <definedName name="sasasasa_2_3" localSheetId="4" hidden="1">{"Complaint Graphs",#N/A,FALSE,"Complaint Graphs"}</definedName>
    <definedName name="sasasasa_2_3" hidden="1">{"Complaint Graphs",#N/A,FALSE,"Complaint Graphs"}</definedName>
    <definedName name="sasasasa_2_3_1" localSheetId="4" hidden="1">{"Complaint Graphs",#N/A,FALSE,"Complaint Graphs"}</definedName>
    <definedName name="sasasasa_2_3_1" hidden="1">{"Complaint Graphs",#N/A,FALSE,"Complaint Graphs"}</definedName>
    <definedName name="sasasasa_2_4" localSheetId="4" hidden="1">{"Complaint Graphs",#N/A,FALSE,"Complaint Graphs"}</definedName>
    <definedName name="sasasasa_2_4" hidden="1">{"Complaint Graphs",#N/A,FALSE,"Complaint Graphs"}</definedName>
    <definedName name="sasasasa_3" localSheetId="4" hidden="1">{"Complaint Graphs",#N/A,FALSE,"Complaint Graphs"}</definedName>
    <definedName name="sasasasa_3" hidden="1">{"Complaint Graphs",#N/A,FALSE,"Complaint Graphs"}</definedName>
    <definedName name="sasasasa_3_1" localSheetId="4" hidden="1">{"Complaint Graphs",#N/A,FALSE,"Complaint Graphs"}</definedName>
    <definedName name="sasasasa_3_1" hidden="1">{"Complaint Graphs",#N/A,FALSE,"Complaint Graphs"}</definedName>
    <definedName name="sasasasa_4" localSheetId="4" hidden="1">{"Complaint Graphs",#N/A,FALSE,"Complaint Graphs"}</definedName>
    <definedName name="sasasasa_4" hidden="1">{"Complaint Graphs",#N/A,FALSE,"Complaint Graphs"}</definedName>
    <definedName name="sasasasa_4_1" localSheetId="4" hidden="1">{"Complaint Graphs",#N/A,FALSE,"Complaint Graphs"}</definedName>
    <definedName name="sasasasa_4_1" hidden="1">{"Complaint Graphs",#N/A,FALSE,"Complaint Graphs"}</definedName>
    <definedName name="sasasasa_5" localSheetId="4" hidden="1">{"Complaint Graphs",#N/A,FALSE,"Complaint Graphs"}</definedName>
    <definedName name="sasasasa_5" hidden="1">{"Complaint Graphs",#N/A,FALSE,"Complaint Graphs"}</definedName>
    <definedName name="sasasasa_5_1" localSheetId="4" hidden="1">{"Complaint Graphs",#N/A,FALSE,"Complaint Graphs"}</definedName>
    <definedName name="sasasasa_5_1" hidden="1">{"Complaint Graphs",#N/A,FALSE,"Complaint Graphs"}</definedName>
    <definedName name="savefiles">'[51]xlsBeach-P&amp;L'!$B$8</definedName>
    <definedName name="SCC">#REF!</definedName>
    <definedName name="SCEN">#REF!</definedName>
    <definedName name="Scenario">'[52]Mthly Forecast'!#REF!</definedName>
    <definedName name="sdf" localSheetId="4" hidden="1">{"Complaint Graphs",#N/A,FALSE,"Complaint Graphs"}</definedName>
    <definedName name="sdf" hidden="1">{"Complaint Graphs",#N/A,FALSE,"Complaint Graphs"}</definedName>
    <definedName name="sdf_1" localSheetId="4" hidden="1">{"Complaint Graphs",#N/A,FALSE,"Complaint Graphs"}</definedName>
    <definedName name="sdf_1" hidden="1">{"Complaint Graphs",#N/A,FALSE,"Complaint Graphs"}</definedName>
    <definedName name="sdf_1_1" localSheetId="4" hidden="1">{"Complaint Graphs",#N/A,FALSE,"Complaint Graphs"}</definedName>
    <definedName name="sdf_1_1" hidden="1">{"Complaint Graphs",#N/A,FALSE,"Complaint Graphs"}</definedName>
    <definedName name="sdf_1_1_1" localSheetId="4" hidden="1">{"Complaint Graphs",#N/A,FALSE,"Complaint Graphs"}</definedName>
    <definedName name="sdf_1_1_1" hidden="1">{"Complaint Graphs",#N/A,FALSE,"Complaint Graphs"}</definedName>
    <definedName name="sdf_1_1_1_1" localSheetId="4" hidden="1">{"Complaint Graphs",#N/A,FALSE,"Complaint Graphs"}</definedName>
    <definedName name="sdf_1_1_1_1" hidden="1">{"Complaint Graphs",#N/A,FALSE,"Complaint Graphs"}</definedName>
    <definedName name="sdf_1_1_2" localSheetId="4" hidden="1">{"Complaint Graphs",#N/A,FALSE,"Complaint Graphs"}</definedName>
    <definedName name="sdf_1_1_2" hidden="1">{"Complaint Graphs",#N/A,FALSE,"Complaint Graphs"}</definedName>
    <definedName name="sdf_1_1_2_1" localSheetId="4" hidden="1">{"Complaint Graphs",#N/A,FALSE,"Complaint Graphs"}</definedName>
    <definedName name="sdf_1_1_2_1" hidden="1">{"Complaint Graphs",#N/A,FALSE,"Complaint Graphs"}</definedName>
    <definedName name="sdf_1_1_3" localSheetId="4" hidden="1">{"Complaint Graphs",#N/A,FALSE,"Complaint Graphs"}</definedName>
    <definedName name="sdf_1_1_3" hidden="1">{"Complaint Graphs",#N/A,FALSE,"Complaint Graphs"}</definedName>
    <definedName name="sdf_1_1_3_1" localSheetId="4" hidden="1">{"Complaint Graphs",#N/A,FALSE,"Complaint Graphs"}</definedName>
    <definedName name="sdf_1_1_3_1" hidden="1">{"Complaint Graphs",#N/A,FALSE,"Complaint Graphs"}</definedName>
    <definedName name="sdf_1_1_4" localSheetId="4" hidden="1">{"Complaint Graphs",#N/A,FALSE,"Complaint Graphs"}</definedName>
    <definedName name="sdf_1_1_4" hidden="1">{"Complaint Graphs",#N/A,FALSE,"Complaint Graphs"}</definedName>
    <definedName name="sdf_1_2" localSheetId="4" hidden="1">{"Complaint Graphs",#N/A,FALSE,"Complaint Graphs"}</definedName>
    <definedName name="sdf_1_2" hidden="1">{"Complaint Graphs",#N/A,FALSE,"Complaint Graphs"}</definedName>
    <definedName name="sdf_1_2_1" localSheetId="4" hidden="1">{"Complaint Graphs",#N/A,FALSE,"Complaint Graphs"}</definedName>
    <definedName name="sdf_1_2_1" hidden="1">{"Complaint Graphs",#N/A,FALSE,"Complaint Graphs"}</definedName>
    <definedName name="sdf_1_3" localSheetId="4" hidden="1">{"Complaint Graphs",#N/A,FALSE,"Complaint Graphs"}</definedName>
    <definedName name="sdf_1_3" hidden="1">{"Complaint Graphs",#N/A,FALSE,"Complaint Graphs"}</definedName>
    <definedName name="sdf_1_3_1" localSheetId="4" hidden="1">{"Complaint Graphs",#N/A,FALSE,"Complaint Graphs"}</definedName>
    <definedName name="sdf_1_3_1" hidden="1">{"Complaint Graphs",#N/A,FALSE,"Complaint Graphs"}</definedName>
    <definedName name="sdf_1_4" localSheetId="4" hidden="1">{"Complaint Graphs",#N/A,FALSE,"Complaint Graphs"}</definedName>
    <definedName name="sdf_1_4" hidden="1">{"Complaint Graphs",#N/A,FALSE,"Complaint Graphs"}</definedName>
    <definedName name="sdf_1_4_1" localSheetId="4" hidden="1">{"Complaint Graphs",#N/A,FALSE,"Complaint Graphs"}</definedName>
    <definedName name="sdf_1_4_1" hidden="1">{"Complaint Graphs",#N/A,FALSE,"Complaint Graphs"}</definedName>
    <definedName name="sdf_1_5" localSheetId="4" hidden="1">{"Complaint Graphs",#N/A,FALSE,"Complaint Graphs"}</definedName>
    <definedName name="sdf_1_5" hidden="1">{"Complaint Graphs",#N/A,FALSE,"Complaint Graphs"}</definedName>
    <definedName name="sdf_2" localSheetId="4" hidden="1">{"Complaint Graphs",#N/A,FALSE,"Complaint Graphs"}</definedName>
    <definedName name="sdf_2" hidden="1">{"Complaint Graphs",#N/A,FALSE,"Complaint Graphs"}</definedName>
    <definedName name="sdf_2_1" localSheetId="4" hidden="1">{"Complaint Graphs",#N/A,FALSE,"Complaint Graphs"}</definedName>
    <definedName name="sdf_2_1" hidden="1">{"Complaint Graphs",#N/A,FALSE,"Complaint Graphs"}</definedName>
    <definedName name="sdf_2_1_1" localSheetId="4" hidden="1">{"Complaint Graphs",#N/A,FALSE,"Complaint Graphs"}</definedName>
    <definedName name="sdf_2_1_1" hidden="1">{"Complaint Graphs",#N/A,FALSE,"Complaint Graphs"}</definedName>
    <definedName name="sdf_2_2" localSheetId="4" hidden="1">{"Complaint Graphs",#N/A,FALSE,"Complaint Graphs"}</definedName>
    <definedName name="sdf_2_2" hidden="1">{"Complaint Graphs",#N/A,FALSE,"Complaint Graphs"}</definedName>
    <definedName name="sdf_2_2_1" localSheetId="4" hidden="1">{"Complaint Graphs",#N/A,FALSE,"Complaint Graphs"}</definedName>
    <definedName name="sdf_2_2_1" hidden="1">{"Complaint Graphs",#N/A,FALSE,"Complaint Graphs"}</definedName>
    <definedName name="sdf_2_3" localSheetId="4" hidden="1">{"Complaint Graphs",#N/A,FALSE,"Complaint Graphs"}</definedName>
    <definedName name="sdf_2_3" hidden="1">{"Complaint Graphs",#N/A,FALSE,"Complaint Graphs"}</definedName>
    <definedName name="sdf_2_3_1" localSheetId="4" hidden="1">{"Complaint Graphs",#N/A,FALSE,"Complaint Graphs"}</definedName>
    <definedName name="sdf_2_3_1" hidden="1">{"Complaint Graphs",#N/A,FALSE,"Complaint Graphs"}</definedName>
    <definedName name="sdf_2_4" localSheetId="4" hidden="1">{"Complaint Graphs",#N/A,FALSE,"Complaint Graphs"}</definedName>
    <definedName name="sdf_2_4" hidden="1">{"Complaint Graphs",#N/A,FALSE,"Complaint Graphs"}</definedName>
    <definedName name="sdf_3" localSheetId="4" hidden="1">{"Complaint Graphs",#N/A,FALSE,"Complaint Graphs"}</definedName>
    <definedName name="sdf_3" hidden="1">{"Complaint Graphs",#N/A,FALSE,"Complaint Graphs"}</definedName>
    <definedName name="sdf_3_1" localSheetId="4" hidden="1">{"Complaint Graphs",#N/A,FALSE,"Complaint Graphs"}</definedName>
    <definedName name="sdf_3_1" hidden="1">{"Complaint Graphs",#N/A,FALSE,"Complaint Graphs"}</definedName>
    <definedName name="sdf_4" localSheetId="4" hidden="1">{"Complaint Graphs",#N/A,FALSE,"Complaint Graphs"}</definedName>
    <definedName name="sdf_4" hidden="1">{"Complaint Graphs",#N/A,FALSE,"Complaint Graphs"}</definedName>
    <definedName name="sdf_4_1" localSheetId="4" hidden="1">{"Complaint Graphs",#N/A,FALSE,"Complaint Graphs"}</definedName>
    <definedName name="sdf_4_1" hidden="1">{"Complaint Graphs",#N/A,FALSE,"Complaint Graphs"}</definedName>
    <definedName name="sdf_5" localSheetId="4" hidden="1">{"Complaint Graphs",#N/A,FALSE,"Complaint Graphs"}</definedName>
    <definedName name="sdf_5" hidden="1">{"Complaint Graphs",#N/A,FALSE,"Complaint Graphs"}</definedName>
    <definedName name="sdf_5_1" localSheetId="4" hidden="1">{"Complaint Graphs",#N/A,FALSE,"Complaint Graphs"}</definedName>
    <definedName name="sdf_5_1" hidden="1">{"Complaint Graphs",#N/A,FALSE,"Complaint Graphs"}</definedName>
    <definedName name="sdfa" localSheetId="4" hidden="1">{"Complaint Graphs",#N/A,FALSE,"Complaint Graphs"}</definedName>
    <definedName name="sdfa" hidden="1">{"Complaint Graphs",#N/A,FALSE,"Complaint Graphs"}</definedName>
    <definedName name="sdfa_1" localSheetId="4" hidden="1">{"Complaint Graphs",#N/A,FALSE,"Complaint Graphs"}</definedName>
    <definedName name="sdfa_1" hidden="1">{"Complaint Graphs",#N/A,FALSE,"Complaint Graphs"}</definedName>
    <definedName name="sdfa_1_1" localSheetId="4" hidden="1">{"Complaint Graphs",#N/A,FALSE,"Complaint Graphs"}</definedName>
    <definedName name="sdfa_1_1" hidden="1">{"Complaint Graphs",#N/A,FALSE,"Complaint Graphs"}</definedName>
    <definedName name="sdfa_1_1_1" localSheetId="4" hidden="1">{"Complaint Graphs",#N/A,FALSE,"Complaint Graphs"}</definedName>
    <definedName name="sdfa_1_1_1" hidden="1">{"Complaint Graphs",#N/A,FALSE,"Complaint Graphs"}</definedName>
    <definedName name="sdfa_1_1_1_1" localSheetId="4" hidden="1">{"Complaint Graphs",#N/A,FALSE,"Complaint Graphs"}</definedName>
    <definedName name="sdfa_1_1_1_1" hidden="1">{"Complaint Graphs",#N/A,FALSE,"Complaint Graphs"}</definedName>
    <definedName name="sdfa_1_1_2" localSheetId="4" hidden="1">{"Complaint Graphs",#N/A,FALSE,"Complaint Graphs"}</definedName>
    <definedName name="sdfa_1_1_2" hidden="1">{"Complaint Graphs",#N/A,FALSE,"Complaint Graphs"}</definedName>
    <definedName name="sdfa_1_1_2_1" localSheetId="4" hidden="1">{"Complaint Graphs",#N/A,FALSE,"Complaint Graphs"}</definedName>
    <definedName name="sdfa_1_1_2_1" hidden="1">{"Complaint Graphs",#N/A,FALSE,"Complaint Graphs"}</definedName>
    <definedName name="sdfa_1_1_3" localSheetId="4" hidden="1">{"Complaint Graphs",#N/A,FALSE,"Complaint Graphs"}</definedName>
    <definedName name="sdfa_1_1_3" hidden="1">{"Complaint Graphs",#N/A,FALSE,"Complaint Graphs"}</definedName>
    <definedName name="sdfa_1_1_3_1" localSheetId="4" hidden="1">{"Complaint Graphs",#N/A,FALSE,"Complaint Graphs"}</definedName>
    <definedName name="sdfa_1_1_3_1" hidden="1">{"Complaint Graphs",#N/A,FALSE,"Complaint Graphs"}</definedName>
    <definedName name="sdfa_1_1_4" localSheetId="4" hidden="1">{"Complaint Graphs",#N/A,FALSE,"Complaint Graphs"}</definedName>
    <definedName name="sdfa_1_1_4" hidden="1">{"Complaint Graphs",#N/A,FALSE,"Complaint Graphs"}</definedName>
    <definedName name="sdfa_1_2" localSheetId="4" hidden="1">{"Complaint Graphs",#N/A,FALSE,"Complaint Graphs"}</definedName>
    <definedName name="sdfa_1_2" hidden="1">{"Complaint Graphs",#N/A,FALSE,"Complaint Graphs"}</definedName>
    <definedName name="sdfa_1_2_1" localSheetId="4" hidden="1">{"Complaint Graphs",#N/A,FALSE,"Complaint Graphs"}</definedName>
    <definedName name="sdfa_1_2_1" hidden="1">{"Complaint Graphs",#N/A,FALSE,"Complaint Graphs"}</definedName>
    <definedName name="sdfa_1_3" localSheetId="4" hidden="1">{"Complaint Graphs",#N/A,FALSE,"Complaint Graphs"}</definedName>
    <definedName name="sdfa_1_3" hidden="1">{"Complaint Graphs",#N/A,FALSE,"Complaint Graphs"}</definedName>
    <definedName name="sdfa_1_3_1" localSheetId="4" hidden="1">{"Complaint Graphs",#N/A,FALSE,"Complaint Graphs"}</definedName>
    <definedName name="sdfa_1_3_1" hidden="1">{"Complaint Graphs",#N/A,FALSE,"Complaint Graphs"}</definedName>
    <definedName name="sdfa_1_4" localSheetId="4" hidden="1">{"Complaint Graphs",#N/A,FALSE,"Complaint Graphs"}</definedName>
    <definedName name="sdfa_1_4" hidden="1">{"Complaint Graphs",#N/A,FALSE,"Complaint Graphs"}</definedName>
    <definedName name="sdfa_1_4_1" localSheetId="4" hidden="1">{"Complaint Graphs",#N/A,FALSE,"Complaint Graphs"}</definedName>
    <definedName name="sdfa_1_4_1" hidden="1">{"Complaint Graphs",#N/A,FALSE,"Complaint Graphs"}</definedName>
    <definedName name="sdfa_1_5" localSheetId="4" hidden="1">{"Complaint Graphs",#N/A,FALSE,"Complaint Graphs"}</definedName>
    <definedName name="sdfa_1_5" hidden="1">{"Complaint Graphs",#N/A,FALSE,"Complaint Graphs"}</definedName>
    <definedName name="sdfa_2" localSheetId="4" hidden="1">{"Complaint Graphs",#N/A,FALSE,"Complaint Graphs"}</definedName>
    <definedName name="sdfa_2" hidden="1">{"Complaint Graphs",#N/A,FALSE,"Complaint Graphs"}</definedName>
    <definedName name="sdfa_2_1" localSheetId="4" hidden="1">{"Complaint Graphs",#N/A,FALSE,"Complaint Graphs"}</definedName>
    <definedName name="sdfa_2_1" hidden="1">{"Complaint Graphs",#N/A,FALSE,"Complaint Graphs"}</definedName>
    <definedName name="sdfa_2_1_1" localSheetId="4" hidden="1">{"Complaint Graphs",#N/A,FALSE,"Complaint Graphs"}</definedName>
    <definedName name="sdfa_2_1_1" hidden="1">{"Complaint Graphs",#N/A,FALSE,"Complaint Graphs"}</definedName>
    <definedName name="sdfa_2_2" localSheetId="4" hidden="1">{"Complaint Graphs",#N/A,FALSE,"Complaint Graphs"}</definedName>
    <definedName name="sdfa_2_2" hidden="1">{"Complaint Graphs",#N/A,FALSE,"Complaint Graphs"}</definedName>
    <definedName name="sdfa_2_2_1" localSheetId="4" hidden="1">{"Complaint Graphs",#N/A,FALSE,"Complaint Graphs"}</definedName>
    <definedName name="sdfa_2_2_1" hidden="1">{"Complaint Graphs",#N/A,FALSE,"Complaint Graphs"}</definedName>
    <definedName name="sdfa_2_3" localSheetId="4" hidden="1">{"Complaint Graphs",#N/A,FALSE,"Complaint Graphs"}</definedName>
    <definedName name="sdfa_2_3" hidden="1">{"Complaint Graphs",#N/A,FALSE,"Complaint Graphs"}</definedName>
    <definedName name="sdfa_2_3_1" localSheetId="4" hidden="1">{"Complaint Graphs",#N/A,FALSE,"Complaint Graphs"}</definedName>
    <definedName name="sdfa_2_3_1" hidden="1">{"Complaint Graphs",#N/A,FALSE,"Complaint Graphs"}</definedName>
    <definedName name="sdfa_2_4" localSheetId="4" hidden="1">{"Complaint Graphs",#N/A,FALSE,"Complaint Graphs"}</definedName>
    <definedName name="sdfa_2_4" hidden="1">{"Complaint Graphs",#N/A,FALSE,"Complaint Graphs"}</definedName>
    <definedName name="sdfa_3" localSheetId="4" hidden="1">{"Complaint Graphs",#N/A,FALSE,"Complaint Graphs"}</definedName>
    <definedName name="sdfa_3" hidden="1">{"Complaint Graphs",#N/A,FALSE,"Complaint Graphs"}</definedName>
    <definedName name="sdfa_3_1" localSheetId="4" hidden="1">{"Complaint Graphs",#N/A,FALSE,"Complaint Graphs"}</definedName>
    <definedName name="sdfa_3_1" hidden="1">{"Complaint Graphs",#N/A,FALSE,"Complaint Graphs"}</definedName>
    <definedName name="sdfa_4" localSheetId="4" hidden="1">{"Complaint Graphs",#N/A,FALSE,"Complaint Graphs"}</definedName>
    <definedName name="sdfa_4" hidden="1">{"Complaint Graphs",#N/A,FALSE,"Complaint Graphs"}</definedName>
    <definedName name="sdfa_4_1" localSheetId="4" hidden="1">{"Complaint Graphs",#N/A,FALSE,"Complaint Graphs"}</definedName>
    <definedName name="sdfa_4_1" hidden="1">{"Complaint Graphs",#N/A,FALSE,"Complaint Graphs"}</definedName>
    <definedName name="sdfa_5" localSheetId="4" hidden="1">{"Complaint Graphs",#N/A,FALSE,"Complaint Graphs"}</definedName>
    <definedName name="sdfa_5" hidden="1">{"Complaint Graphs",#N/A,FALSE,"Complaint Graphs"}</definedName>
    <definedName name="sdfa_5_1" localSheetId="4" hidden="1">{"Complaint Graphs",#N/A,FALSE,"Complaint Graphs"}</definedName>
    <definedName name="sdfa_5_1" hidden="1">{"Complaint Graphs",#N/A,FALSE,"Complaint Graphs"}</definedName>
    <definedName name="sdfdsf" localSheetId="4" hidden="1">{"Complaint Graphs",#N/A,FALSE,"Complaint Graphs"}</definedName>
    <definedName name="sdfdsf" hidden="1">{"Complaint Graphs",#N/A,FALSE,"Complaint Graphs"}</definedName>
    <definedName name="sdfdsf_1" localSheetId="4" hidden="1">{"Complaint Graphs",#N/A,FALSE,"Complaint Graphs"}</definedName>
    <definedName name="sdfdsf_1" hidden="1">{"Complaint Graphs",#N/A,FALSE,"Complaint Graphs"}</definedName>
    <definedName name="sdfdsf_1_1" localSheetId="4" hidden="1">{"Complaint Graphs",#N/A,FALSE,"Complaint Graphs"}</definedName>
    <definedName name="sdfdsf_1_1" hidden="1">{"Complaint Graphs",#N/A,FALSE,"Complaint Graphs"}</definedName>
    <definedName name="sdfdsf_1_1_1" localSheetId="4" hidden="1">{"Complaint Graphs",#N/A,FALSE,"Complaint Graphs"}</definedName>
    <definedName name="sdfdsf_1_1_1" hidden="1">{"Complaint Graphs",#N/A,FALSE,"Complaint Graphs"}</definedName>
    <definedName name="sdfdsf_1_1_1_1" localSheetId="4" hidden="1">{"Complaint Graphs",#N/A,FALSE,"Complaint Graphs"}</definedName>
    <definedName name="sdfdsf_1_1_1_1" hidden="1">{"Complaint Graphs",#N/A,FALSE,"Complaint Graphs"}</definedName>
    <definedName name="sdfdsf_1_1_2" localSheetId="4" hidden="1">{"Complaint Graphs",#N/A,FALSE,"Complaint Graphs"}</definedName>
    <definedName name="sdfdsf_1_1_2" hidden="1">{"Complaint Graphs",#N/A,FALSE,"Complaint Graphs"}</definedName>
    <definedName name="sdfdsf_1_1_2_1" localSheetId="4" hidden="1">{"Complaint Graphs",#N/A,FALSE,"Complaint Graphs"}</definedName>
    <definedName name="sdfdsf_1_1_2_1" hidden="1">{"Complaint Graphs",#N/A,FALSE,"Complaint Graphs"}</definedName>
    <definedName name="sdfdsf_1_1_3" localSheetId="4" hidden="1">{"Complaint Graphs",#N/A,FALSE,"Complaint Graphs"}</definedName>
    <definedName name="sdfdsf_1_1_3" hidden="1">{"Complaint Graphs",#N/A,FALSE,"Complaint Graphs"}</definedName>
    <definedName name="sdfdsf_1_1_3_1" localSheetId="4" hidden="1">{"Complaint Graphs",#N/A,FALSE,"Complaint Graphs"}</definedName>
    <definedName name="sdfdsf_1_1_3_1" hidden="1">{"Complaint Graphs",#N/A,FALSE,"Complaint Graphs"}</definedName>
    <definedName name="sdfdsf_1_1_4" localSheetId="4" hidden="1">{"Complaint Graphs",#N/A,FALSE,"Complaint Graphs"}</definedName>
    <definedName name="sdfdsf_1_1_4" hidden="1">{"Complaint Graphs",#N/A,FALSE,"Complaint Graphs"}</definedName>
    <definedName name="sdfdsf_1_2" localSheetId="4" hidden="1">{"Complaint Graphs",#N/A,FALSE,"Complaint Graphs"}</definedName>
    <definedName name="sdfdsf_1_2" hidden="1">{"Complaint Graphs",#N/A,FALSE,"Complaint Graphs"}</definedName>
    <definedName name="sdfdsf_1_2_1" localSheetId="4" hidden="1">{"Complaint Graphs",#N/A,FALSE,"Complaint Graphs"}</definedName>
    <definedName name="sdfdsf_1_2_1" hidden="1">{"Complaint Graphs",#N/A,FALSE,"Complaint Graphs"}</definedName>
    <definedName name="sdfdsf_1_3" localSheetId="4" hidden="1">{"Complaint Graphs",#N/A,FALSE,"Complaint Graphs"}</definedName>
    <definedName name="sdfdsf_1_3" hidden="1">{"Complaint Graphs",#N/A,FALSE,"Complaint Graphs"}</definedName>
    <definedName name="sdfdsf_1_3_1" localSheetId="4" hidden="1">{"Complaint Graphs",#N/A,FALSE,"Complaint Graphs"}</definedName>
    <definedName name="sdfdsf_1_3_1" hidden="1">{"Complaint Graphs",#N/A,FALSE,"Complaint Graphs"}</definedName>
    <definedName name="sdfdsf_1_4" localSheetId="4" hidden="1">{"Complaint Graphs",#N/A,FALSE,"Complaint Graphs"}</definedName>
    <definedName name="sdfdsf_1_4" hidden="1">{"Complaint Graphs",#N/A,FALSE,"Complaint Graphs"}</definedName>
    <definedName name="sdfdsf_1_4_1" localSheetId="4" hidden="1">{"Complaint Graphs",#N/A,FALSE,"Complaint Graphs"}</definedName>
    <definedName name="sdfdsf_1_4_1" hidden="1">{"Complaint Graphs",#N/A,FALSE,"Complaint Graphs"}</definedName>
    <definedName name="sdfdsf_1_5" localSheetId="4" hidden="1">{"Complaint Graphs",#N/A,FALSE,"Complaint Graphs"}</definedName>
    <definedName name="sdfdsf_1_5" hidden="1">{"Complaint Graphs",#N/A,FALSE,"Complaint Graphs"}</definedName>
    <definedName name="sdfdsf_2" localSheetId="4" hidden="1">{"Complaint Graphs",#N/A,FALSE,"Complaint Graphs"}</definedName>
    <definedName name="sdfdsf_2" hidden="1">{"Complaint Graphs",#N/A,FALSE,"Complaint Graphs"}</definedName>
    <definedName name="sdfdsf_2_1" localSheetId="4" hidden="1">{"Complaint Graphs",#N/A,FALSE,"Complaint Graphs"}</definedName>
    <definedName name="sdfdsf_2_1" hidden="1">{"Complaint Graphs",#N/A,FALSE,"Complaint Graphs"}</definedName>
    <definedName name="sdfdsf_2_1_1" localSheetId="4" hidden="1">{"Complaint Graphs",#N/A,FALSE,"Complaint Graphs"}</definedName>
    <definedName name="sdfdsf_2_1_1" hidden="1">{"Complaint Graphs",#N/A,FALSE,"Complaint Graphs"}</definedName>
    <definedName name="sdfdsf_2_2" localSheetId="4" hidden="1">{"Complaint Graphs",#N/A,FALSE,"Complaint Graphs"}</definedName>
    <definedName name="sdfdsf_2_2" hidden="1">{"Complaint Graphs",#N/A,FALSE,"Complaint Graphs"}</definedName>
    <definedName name="sdfdsf_2_2_1" localSheetId="4" hidden="1">{"Complaint Graphs",#N/A,FALSE,"Complaint Graphs"}</definedName>
    <definedName name="sdfdsf_2_2_1" hidden="1">{"Complaint Graphs",#N/A,FALSE,"Complaint Graphs"}</definedName>
    <definedName name="sdfdsf_2_3" localSheetId="4" hidden="1">{"Complaint Graphs",#N/A,FALSE,"Complaint Graphs"}</definedName>
    <definedName name="sdfdsf_2_3" hidden="1">{"Complaint Graphs",#N/A,FALSE,"Complaint Graphs"}</definedName>
    <definedName name="sdfdsf_2_3_1" localSheetId="4" hidden="1">{"Complaint Graphs",#N/A,FALSE,"Complaint Graphs"}</definedName>
    <definedName name="sdfdsf_2_3_1" hidden="1">{"Complaint Graphs",#N/A,FALSE,"Complaint Graphs"}</definedName>
    <definedName name="sdfdsf_2_4" localSheetId="4" hidden="1">{"Complaint Graphs",#N/A,FALSE,"Complaint Graphs"}</definedName>
    <definedName name="sdfdsf_2_4" hidden="1">{"Complaint Graphs",#N/A,FALSE,"Complaint Graphs"}</definedName>
    <definedName name="sdfdsf_3" localSheetId="4" hidden="1">{"Complaint Graphs",#N/A,FALSE,"Complaint Graphs"}</definedName>
    <definedName name="sdfdsf_3" hidden="1">{"Complaint Graphs",#N/A,FALSE,"Complaint Graphs"}</definedName>
    <definedName name="sdfdsf_3_1" localSheetId="4" hidden="1">{"Complaint Graphs",#N/A,FALSE,"Complaint Graphs"}</definedName>
    <definedName name="sdfdsf_3_1" hidden="1">{"Complaint Graphs",#N/A,FALSE,"Complaint Graphs"}</definedName>
    <definedName name="sdfdsf_4" localSheetId="4" hidden="1">{"Complaint Graphs",#N/A,FALSE,"Complaint Graphs"}</definedName>
    <definedName name="sdfdsf_4" hidden="1">{"Complaint Graphs",#N/A,FALSE,"Complaint Graphs"}</definedName>
    <definedName name="sdfdsf_4_1" localSheetId="4" hidden="1">{"Complaint Graphs",#N/A,FALSE,"Complaint Graphs"}</definedName>
    <definedName name="sdfdsf_4_1" hidden="1">{"Complaint Graphs",#N/A,FALSE,"Complaint Graphs"}</definedName>
    <definedName name="sdfdsf_5" localSheetId="4" hidden="1">{"Complaint Graphs",#N/A,FALSE,"Complaint Graphs"}</definedName>
    <definedName name="sdfdsf_5" hidden="1">{"Complaint Graphs",#N/A,FALSE,"Complaint Graphs"}</definedName>
    <definedName name="sdfdsf_5_1" localSheetId="4" hidden="1">{"Complaint Graphs",#N/A,FALSE,"Complaint Graphs"}</definedName>
    <definedName name="sdfdsf_5_1" hidden="1">{"Complaint Graphs",#N/A,FALSE,"Complaint Graphs"}</definedName>
    <definedName name="SDFSDF" localSheetId="4" hidden="1">{"Complaint Graphs",#N/A,FALSE,"Complaint Graphs"}</definedName>
    <definedName name="SDFSDF" hidden="1">{"Complaint Graphs",#N/A,FALSE,"Complaint Graphs"}</definedName>
    <definedName name="SDFSDF_1" localSheetId="4" hidden="1">{"Complaint Graphs",#N/A,FALSE,"Complaint Graphs"}</definedName>
    <definedName name="SDFSDF_1" hidden="1">{"Complaint Graphs",#N/A,FALSE,"Complaint Graphs"}</definedName>
    <definedName name="SDFSDF_1_1" localSheetId="4" hidden="1">{"Complaint Graphs",#N/A,FALSE,"Complaint Graphs"}</definedName>
    <definedName name="SDFSDF_1_1" hidden="1">{"Complaint Graphs",#N/A,FALSE,"Complaint Graphs"}</definedName>
    <definedName name="SDFSDF_1_1_1" localSheetId="4" hidden="1">{"Complaint Graphs",#N/A,FALSE,"Complaint Graphs"}</definedName>
    <definedName name="SDFSDF_1_1_1" hidden="1">{"Complaint Graphs",#N/A,FALSE,"Complaint Graphs"}</definedName>
    <definedName name="SDFSDF_1_1_1_1" localSheetId="4" hidden="1">{"Complaint Graphs",#N/A,FALSE,"Complaint Graphs"}</definedName>
    <definedName name="SDFSDF_1_1_1_1" hidden="1">{"Complaint Graphs",#N/A,FALSE,"Complaint Graphs"}</definedName>
    <definedName name="SDFSDF_1_1_2" localSheetId="4" hidden="1">{"Complaint Graphs",#N/A,FALSE,"Complaint Graphs"}</definedName>
    <definedName name="SDFSDF_1_1_2" hidden="1">{"Complaint Graphs",#N/A,FALSE,"Complaint Graphs"}</definedName>
    <definedName name="SDFSDF_1_1_2_1" localSheetId="4" hidden="1">{"Complaint Graphs",#N/A,FALSE,"Complaint Graphs"}</definedName>
    <definedName name="SDFSDF_1_1_2_1" hidden="1">{"Complaint Graphs",#N/A,FALSE,"Complaint Graphs"}</definedName>
    <definedName name="SDFSDF_1_1_3" localSheetId="4" hidden="1">{"Complaint Graphs",#N/A,FALSE,"Complaint Graphs"}</definedName>
    <definedName name="SDFSDF_1_1_3" hidden="1">{"Complaint Graphs",#N/A,FALSE,"Complaint Graphs"}</definedName>
    <definedName name="SDFSDF_1_1_3_1" localSheetId="4" hidden="1">{"Complaint Graphs",#N/A,FALSE,"Complaint Graphs"}</definedName>
    <definedName name="SDFSDF_1_1_3_1" hidden="1">{"Complaint Graphs",#N/A,FALSE,"Complaint Graphs"}</definedName>
    <definedName name="SDFSDF_1_1_4" localSheetId="4" hidden="1">{"Complaint Graphs",#N/A,FALSE,"Complaint Graphs"}</definedName>
    <definedName name="SDFSDF_1_1_4" hidden="1">{"Complaint Graphs",#N/A,FALSE,"Complaint Graphs"}</definedName>
    <definedName name="SDFSDF_1_2" localSheetId="4" hidden="1">{"Complaint Graphs",#N/A,FALSE,"Complaint Graphs"}</definedName>
    <definedName name="SDFSDF_1_2" hidden="1">{"Complaint Graphs",#N/A,FALSE,"Complaint Graphs"}</definedName>
    <definedName name="SDFSDF_1_2_1" localSheetId="4" hidden="1">{"Complaint Graphs",#N/A,FALSE,"Complaint Graphs"}</definedName>
    <definedName name="SDFSDF_1_2_1" hidden="1">{"Complaint Graphs",#N/A,FALSE,"Complaint Graphs"}</definedName>
    <definedName name="SDFSDF_1_3" localSheetId="4" hidden="1">{"Complaint Graphs",#N/A,FALSE,"Complaint Graphs"}</definedName>
    <definedName name="SDFSDF_1_3" hidden="1">{"Complaint Graphs",#N/A,FALSE,"Complaint Graphs"}</definedName>
    <definedName name="SDFSDF_1_3_1" localSheetId="4" hidden="1">{"Complaint Graphs",#N/A,FALSE,"Complaint Graphs"}</definedName>
    <definedName name="SDFSDF_1_3_1" hidden="1">{"Complaint Graphs",#N/A,FALSE,"Complaint Graphs"}</definedName>
    <definedName name="SDFSDF_1_4" localSheetId="4" hidden="1">{"Complaint Graphs",#N/A,FALSE,"Complaint Graphs"}</definedName>
    <definedName name="SDFSDF_1_4" hidden="1">{"Complaint Graphs",#N/A,FALSE,"Complaint Graphs"}</definedName>
    <definedName name="SDFSDF_1_4_1" localSheetId="4" hidden="1">{"Complaint Graphs",#N/A,FALSE,"Complaint Graphs"}</definedName>
    <definedName name="SDFSDF_1_4_1" hidden="1">{"Complaint Graphs",#N/A,FALSE,"Complaint Graphs"}</definedName>
    <definedName name="SDFSDF_1_5" localSheetId="4" hidden="1">{"Complaint Graphs",#N/A,FALSE,"Complaint Graphs"}</definedName>
    <definedName name="SDFSDF_1_5" hidden="1">{"Complaint Graphs",#N/A,FALSE,"Complaint Graphs"}</definedName>
    <definedName name="SDFSDF_2" localSheetId="4" hidden="1">{"Complaint Graphs",#N/A,FALSE,"Complaint Graphs"}</definedName>
    <definedName name="SDFSDF_2" hidden="1">{"Complaint Graphs",#N/A,FALSE,"Complaint Graphs"}</definedName>
    <definedName name="SDFSDF_2_1" localSheetId="4" hidden="1">{"Complaint Graphs",#N/A,FALSE,"Complaint Graphs"}</definedName>
    <definedName name="SDFSDF_2_1" hidden="1">{"Complaint Graphs",#N/A,FALSE,"Complaint Graphs"}</definedName>
    <definedName name="SDFSDF_2_1_1" localSheetId="4" hidden="1">{"Complaint Graphs",#N/A,FALSE,"Complaint Graphs"}</definedName>
    <definedName name="SDFSDF_2_1_1" hidden="1">{"Complaint Graphs",#N/A,FALSE,"Complaint Graphs"}</definedName>
    <definedName name="SDFSDF_2_2" localSheetId="4" hidden="1">{"Complaint Graphs",#N/A,FALSE,"Complaint Graphs"}</definedName>
    <definedName name="SDFSDF_2_2" hidden="1">{"Complaint Graphs",#N/A,FALSE,"Complaint Graphs"}</definedName>
    <definedName name="SDFSDF_2_2_1" localSheetId="4" hidden="1">{"Complaint Graphs",#N/A,FALSE,"Complaint Graphs"}</definedName>
    <definedName name="SDFSDF_2_2_1" hidden="1">{"Complaint Graphs",#N/A,FALSE,"Complaint Graphs"}</definedName>
    <definedName name="SDFSDF_2_3" localSheetId="4" hidden="1">{"Complaint Graphs",#N/A,FALSE,"Complaint Graphs"}</definedName>
    <definedName name="SDFSDF_2_3" hidden="1">{"Complaint Graphs",#N/A,FALSE,"Complaint Graphs"}</definedName>
    <definedName name="SDFSDF_2_3_1" localSheetId="4" hidden="1">{"Complaint Graphs",#N/A,FALSE,"Complaint Graphs"}</definedName>
    <definedName name="SDFSDF_2_3_1" hidden="1">{"Complaint Graphs",#N/A,FALSE,"Complaint Graphs"}</definedName>
    <definedName name="SDFSDF_2_4" localSheetId="4" hidden="1">{"Complaint Graphs",#N/A,FALSE,"Complaint Graphs"}</definedName>
    <definedName name="SDFSDF_2_4" hidden="1">{"Complaint Graphs",#N/A,FALSE,"Complaint Graphs"}</definedName>
    <definedName name="SDFSDF_3" localSheetId="4" hidden="1">{"Complaint Graphs",#N/A,FALSE,"Complaint Graphs"}</definedName>
    <definedName name="SDFSDF_3" hidden="1">{"Complaint Graphs",#N/A,FALSE,"Complaint Graphs"}</definedName>
    <definedName name="SDFSDF_3_1" localSheetId="4" hidden="1">{"Complaint Graphs",#N/A,FALSE,"Complaint Graphs"}</definedName>
    <definedName name="SDFSDF_3_1" hidden="1">{"Complaint Graphs",#N/A,FALSE,"Complaint Graphs"}</definedName>
    <definedName name="SDFSDF_4" localSheetId="4" hidden="1">{"Complaint Graphs",#N/A,FALSE,"Complaint Graphs"}</definedName>
    <definedName name="SDFSDF_4" hidden="1">{"Complaint Graphs",#N/A,FALSE,"Complaint Graphs"}</definedName>
    <definedName name="SDFSDF_4_1" localSheetId="4" hidden="1">{"Complaint Graphs",#N/A,FALSE,"Complaint Graphs"}</definedName>
    <definedName name="SDFSDF_4_1" hidden="1">{"Complaint Graphs",#N/A,FALSE,"Complaint Graphs"}</definedName>
    <definedName name="SDFSDF_5" localSheetId="4" hidden="1">{"Complaint Graphs",#N/A,FALSE,"Complaint Graphs"}</definedName>
    <definedName name="SDFSDF_5" hidden="1">{"Complaint Graphs",#N/A,FALSE,"Complaint Graphs"}</definedName>
    <definedName name="SDFSDF_5_1" localSheetId="4" hidden="1">{"Complaint Graphs",#N/A,FALSE,"Complaint Graphs"}</definedName>
    <definedName name="SDFSDF_5_1" hidden="1">{"Complaint Graphs",#N/A,FALSE,"Complaint Graphs"}</definedName>
    <definedName name="sfdsdf" localSheetId="4" hidden="1">{"Complaint Graphs",#N/A,FALSE,"Complaint Graphs"}</definedName>
    <definedName name="sfdsdf" hidden="1">{"Complaint Graphs",#N/A,FALSE,"Complaint Graphs"}</definedName>
    <definedName name="sfdsdf_1" localSheetId="4" hidden="1">{"Complaint Graphs",#N/A,FALSE,"Complaint Graphs"}</definedName>
    <definedName name="sfdsdf_1" hidden="1">{"Complaint Graphs",#N/A,FALSE,"Complaint Graphs"}</definedName>
    <definedName name="sfdsdf_1_1" localSheetId="4" hidden="1">{"Complaint Graphs",#N/A,FALSE,"Complaint Graphs"}</definedName>
    <definedName name="sfdsdf_1_1" hidden="1">{"Complaint Graphs",#N/A,FALSE,"Complaint Graphs"}</definedName>
    <definedName name="sfdsdf_1_1_1" localSheetId="4" hidden="1">{"Complaint Graphs",#N/A,FALSE,"Complaint Graphs"}</definedName>
    <definedName name="sfdsdf_1_1_1" hidden="1">{"Complaint Graphs",#N/A,FALSE,"Complaint Graphs"}</definedName>
    <definedName name="sfdsdf_1_1_1_1" localSheetId="4" hidden="1">{"Complaint Graphs",#N/A,FALSE,"Complaint Graphs"}</definedName>
    <definedName name="sfdsdf_1_1_1_1" hidden="1">{"Complaint Graphs",#N/A,FALSE,"Complaint Graphs"}</definedName>
    <definedName name="sfdsdf_1_1_2" localSheetId="4" hidden="1">{"Complaint Graphs",#N/A,FALSE,"Complaint Graphs"}</definedName>
    <definedName name="sfdsdf_1_1_2" hidden="1">{"Complaint Graphs",#N/A,FALSE,"Complaint Graphs"}</definedName>
    <definedName name="sfdsdf_1_1_2_1" localSheetId="4" hidden="1">{"Complaint Graphs",#N/A,FALSE,"Complaint Graphs"}</definedName>
    <definedName name="sfdsdf_1_1_2_1" hidden="1">{"Complaint Graphs",#N/A,FALSE,"Complaint Graphs"}</definedName>
    <definedName name="sfdsdf_1_1_3" localSheetId="4" hidden="1">{"Complaint Graphs",#N/A,FALSE,"Complaint Graphs"}</definedName>
    <definedName name="sfdsdf_1_1_3" hidden="1">{"Complaint Graphs",#N/A,FALSE,"Complaint Graphs"}</definedName>
    <definedName name="sfdsdf_1_1_3_1" localSheetId="4" hidden="1">{"Complaint Graphs",#N/A,FALSE,"Complaint Graphs"}</definedName>
    <definedName name="sfdsdf_1_1_3_1" hidden="1">{"Complaint Graphs",#N/A,FALSE,"Complaint Graphs"}</definedName>
    <definedName name="sfdsdf_1_1_4" localSheetId="4" hidden="1">{"Complaint Graphs",#N/A,FALSE,"Complaint Graphs"}</definedName>
    <definedName name="sfdsdf_1_1_4" hidden="1">{"Complaint Graphs",#N/A,FALSE,"Complaint Graphs"}</definedName>
    <definedName name="sfdsdf_1_2" localSheetId="4" hidden="1">{"Complaint Graphs",#N/A,FALSE,"Complaint Graphs"}</definedName>
    <definedName name="sfdsdf_1_2" hidden="1">{"Complaint Graphs",#N/A,FALSE,"Complaint Graphs"}</definedName>
    <definedName name="sfdsdf_1_2_1" localSheetId="4" hidden="1">{"Complaint Graphs",#N/A,FALSE,"Complaint Graphs"}</definedName>
    <definedName name="sfdsdf_1_2_1" hidden="1">{"Complaint Graphs",#N/A,FALSE,"Complaint Graphs"}</definedName>
    <definedName name="sfdsdf_1_3" localSheetId="4" hidden="1">{"Complaint Graphs",#N/A,FALSE,"Complaint Graphs"}</definedName>
    <definedName name="sfdsdf_1_3" hidden="1">{"Complaint Graphs",#N/A,FALSE,"Complaint Graphs"}</definedName>
    <definedName name="sfdsdf_1_3_1" localSheetId="4" hidden="1">{"Complaint Graphs",#N/A,FALSE,"Complaint Graphs"}</definedName>
    <definedName name="sfdsdf_1_3_1" hidden="1">{"Complaint Graphs",#N/A,FALSE,"Complaint Graphs"}</definedName>
    <definedName name="sfdsdf_1_4" localSheetId="4" hidden="1">{"Complaint Graphs",#N/A,FALSE,"Complaint Graphs"}</definedName>
    <definedName name="sfdsdf_1_4" hidden="1">{"Complaint Graphs",#N/A,FALSE,"Complaint Graphs"}</definedName>
    <definedName name="sfdsdf_1_4_1" localSheetId="4" hidden="1">{"Complaint Graphs",#N/A,FALSE,"Complaint Graphs"}</definedName>
    <definedName name="sfdsdf_1_4_1" hidden="1">{"Complaint Graphs",#N/A,FALSE,"Complaint Graphs"}</definedName>
    <definedName name="sfdsdf_1_5" localSheetId="4" hidden="1">{"Complaint Graphs",#N/A,FALSE,"Complaint Graphs"}</definedName>
    <definedName name="sfdsdf_1_5" hidden="1">{"Complaint Graphs",#N/A,FALSE,"Complaint Graphs"}</definedName>
    <definedName name="sfdsdf_2" localSheetId="4" hidden="1">{"Complaint Graphs",#N/A,FALSE,"Complaint Graphs"}</definedName>
    <definedName name="sfdsdf_2" hidden="1">{"Complaint Graphs",#N/A,FALSE,"Complaint Graphs"}</definedName>
    <definedName name="sfdsdf_2_1" localSheetId="4" hidden="1">{"Complaint Graphs",#N/A,FALSE,"Complaint Graphs"}</definedName>
    <definedName name="sfdsdf_2_1" hidden="1">{"Complaint Graphs",#N/A,FALSE,"Complaint Graphs"}</definedName>
    <definedName name="sfdsdf_2_1_1" localSheetId="4" hidden="1">{"Complaint Graphs",#N/A,FALSE,"Complaint Graphs"}</definedName>
    <definedName name="sfdsdf_2_1_1" hidden="1">{"Complaint Graphs",#N/A,FALSE,"Complaint Graphs"}</definedName>
    <definedName name="sfdsdf_2_2" localSheetId="4" hidden="1">{"Complaint Graphs",#N/A,FALSE,"Complaint Graphs"}</definedName>
    <definedName name="sfdsdf_2_2" hidden="1">{"Complaint Graphs",#N/A,FALSE,"Complaint Graphs"}</definedName>
    <definedName name="sfdsdf_2_2_1" localSheetId="4" hidden="1">{"Complaint Graphs",#N/A,FALSE,"Complaint Graphs"}</definedName>
    <definedName name="sfdsdf_2_2_1" hidden="1">{"Complaint Graphs",#N/A,FALSE,"Complaint Graphs"}</definedName>
    <definedName name="sfdsdf_2_3" localSheetId="4" hidden="1">{"Complaint Graphs",#N/A,FALSE,"Complaint Graphs"}</definedName>
    <definedName name="sfdsdf_2_3" hidden="1">{"Complaint Graphs",#N/A,FALSE,"Complaint Graphs"}</definedName>
    <definedName name="sfdsdf_2_3_1" localSheetId="4" hidden="1">{"Complaint Graphs",#N/A,FALSE,"Complaint Graphs"}</definedName>
    <definedName name="sfdsdf_2_3_1" hidden="1">{"Complaint Graphs",#N/A,FALSE,"Complaint Graphs"}</definedName>
    <definedName name="sfdsdf_2_4" localSheetId="4" hidden="1">{"Complaint Graphs",#N/A,FALSE,"Complaint Graphs"}</definedName>
    <definedName name="sfdsdf_2_4" hidden="1">{"Complaint Graphs",#N/A,FALSE,"Complaint Graphs"}</definedName>
    <definedName name="sfdsdf_3" localSheetId="4" hidden="1">{"Complaint Graphs",#N/A,FALSE,"Complaint Graphs"}</definedName>
    <definedName name="sfdsdf_3" hidden="1">{"Complaint Graphs",#N/A,FALSE,"Complaint Graphs"}</definedName>
    <definedName name="sfdsdf_3_1" localSheetId="4" hidden="1">{"Complaint Graphs",#N/A,FALSE,"Complaint Graphs"}</definedName>
    <definedName name="sfdsdf_3_1" hidden="1">{"Complaint Graphs",#N/A,FALSE,"Complaint Graphs"}</definedName>
    <definedName name="sfdsdf_4" localSheetId="4" hidden="1">{"Complaint Graphs",#N/A,FALSE,"Complaint Graphs"}</definedName>
    <definedName name="sfdsdf_4" hidden="1">{"Complaint Graphs",#N/A,FALSE,"Complaint Graphs"}</definedName>
    <definedName name="sfdsdf_4_1" localSheetId="4" hidden="1">{"Complaint Graphs",#N/A,FALSE,"Complaint Graphs"}</definedName>
    <definedName name="sfdsdf_4_1" hidden="1">{"Complaint Graphs",#N/A,FALSE,"Complaint Graphs"}</definedName>
    <definedName name="sfdsdf_5" localSheetId="4" hidden="1">{"Complaint Graphs",#N/A,FALSE,"Complaint Graphs"}</definedName>
    <definedName name="sfdsdf_5" hidden="1">{"Complaint Graphs",#N/A,FALSE,"Complaint Graphs"}</definedName>
    <definedName name="sfdsdf_5_1" localSheetId="4" hidden="1">{"Complaint Graphs",#N/A,FALSE,"Complaint Graphs"}</definedName>
    <definedName name="sfdsdf_5_1" hidden="1">{"Complaint Graphs",#N/A,FALSE,"Complaint Graphs"}</definedName>
    <definedName name="Spółka">[26]GA!$B$8</definedName>
    <definedName name="SponsorshipRevenueChtData">OFFSET('[9]Dashboard Data'!$A$48,0,COUNT('[9]Dashboard Data'!$48:$48),1,-36)</definedName>
    <definedName name="ss" hidden="1">#REF!</definedName>
    <definedName name="Star">'[5]Input Actuals'!$C$136:$AA$153</definedName>
    <definedName name="State">[27]Data!$B$3:$B$10</definedName>
    <definedName name="StationName">[33]Data!$A$4:$A$14</definedName>
    <definedName name="Stations">[53]Data!$A$5:$A$16</definedName>
    <definedName name="Store">[54]Pivot!$4:$4</definedName>
    <definedName name="Stores">[55]Pivot!$4:$4</definedName>
    <definedName name="SW_BP">'[30]S&amp;W'!$A$39:$N$64</definedName>
    <definedName name="SW_FC">'[30]S&amp;W'!$A$3:$N$36</definedName>
    <definedName name="TAB_EXPENSES">#REF!</definedName>
    <definedName name="TAB_PRINT">#REF!</definedName>
    <definedName name="TAB_RACING">#REF!</definedName>
    <definedName name="TAB_S_BREAKFAST">#REF!</definedName>
    <definedName name="Tax_rate">[14]Valuation!$D$34</definedName>
    <definedName name="TaxRate">[28]Assumptions!$C$34</definedName>
    <definedName name="Technical">#REF!</definedName>
    <definedName name="Terminal_gro_change">[14]Sensitivty!$D$21</definedName>
    <definedName name="tert" hidden="1">[11]Keys_BO!$B$54</definedName>
    <definedName name="tertdf" hidden="1">[11]Fcast_TO!$B$25</definedName>
    <definedName name="test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m1\\_0_H">"{ ""server"" : ""http://tm1.freedom.com.au"", ""cube"" : ""{ \""server\"" : \""TM1ops\"", \""cube\"" : \""FIN General Ledger\""}""}"</definedName>
    <definedName name="TM1PREFIX" localSheetId="4">TM1SERVER&amp;":"</definedName>
    <definedName name="TM1PREFIX">TM1SERVER&amp;":"</definedName>
    <definedName name="TM1REBUILDOPTION">1</definedName>
    <definedName name="TM1SERVER">"TM1OPS"</definedName>
    <definedName name="TOC_Hdg_1" hidden="1">[11]Keys_BO!$B$7</definedName>
    <definedName name="TOC_Hdg_10" hidden="1">[11]Fcast_TA!$B$41</definedName>
    <definedName name="TOC_Hdg_11" hidden="1">[11]Fcast_TA!$B$50</definedName>
    <definedName name="TOC_Hdg_12" hidden="1">[11]Fcast_TA!$B$98</definedName>
    <definedName name="TOC_Hdg_13" hidden="1">[11]Fcast_TA!$B$115</definedName>
    <definedName name="TOC_Hdg_14" hidden="1">[11]CFS_TO!$B$89</definedName>
    <definedName name="TOC_Hdg_15" hidden="1">[11]Fcast_TO!$B$89</definedName>
    <definedName name="TOC_Hdg_16" hidden="1">[11]Fcast_TO!$B$183</definedName>
    <definedName name="TOC_Hdg_17" hidden="1">[11]Fcast_TO!$B$62</definedName>
    <definedName name="TOC_Hdg_2" hidden="1">[11]Keys_BO!$B$54</definedName>
    <definedName name="TOC_Hdg_21" hidden="1">[11]Fcast_TO!$B$16</definedName>
    <definedName name="TOC_Hdg_24" hidden="1">[11]Fcast_TO!$B$25</definedName>
    <definedName name="TOC_Hdg_3" hidden="1">[11]Keys_BO!$B$102</definedName>
    <definedName name="TOC_Hdg_32" hidden="1">[11]Fcast_TO!$B$157</definedName>
    <definedName name="TOC_Hdg_35" hidden="1">[11]CFS_TO!$B$16</definedName>
    <definedName name="TOC_Hdg_36" hidden="1">[11]CFS_TO!$B$53</definedName>
    <definedName name="TOC_Hdg_5" hidden="1">[11]Fcast_TA!$B$16</definedName>
    <definedName name="TOC_Hdg_6" hidden="1">[11]Checks_BO!$B$7</definedName>
    <definedName name="TOC_Hdg_7" hidden="1">[11]Checks_BO!$B$33</definedName>
    <definedName name="TOC_Hdg_8" hidden="1">[11]Checks_BO!$B$49</definedName>
    <definedName name="TOC_Hdg_9" hidden="1">[11]Fcast_TA!$B$29</definedName>
    <definedName name="tre" hidden="1">[11]Fcast_TO!$B$16</definedName>
    <definedName name="Type">#REF!</definedName>
    <definedName name="Unique_Browsers_MI_ChtData">OFFSET('[9]Dashboard Data'!#REF!,0,COUNT('[9]Dashboard Data'!#REF!),1,-36)</definedName>
    <definedName name="v" localSheetId="4" hidden="1">{#N/A,#N/A,FALSE,"BAS Calculation Statement";#N/A,#N/A,FALSE,"Acquisitions";#N/A,#N/A,FALSE,"Sheet2";#N/A,#N/A,FALSE,"Sheet1";#N/A,#N/A,FALSE,"G7 Adjustments Schedule";#N/A,#N/A,FALSE,"BAS Revenue Reconciliation"}</definedName>
    <definedName name="v" hidden="1">{#N/A,#N/A,FALSE,"BAS Calculation Statement";#N/A,#N/A,FALSE,"Acquisitions";#N/A,#N/A,FALSE,"Sheet2";#N/A,#N/A,FALSE,"Sheet1";#N/A,#N/A,FALSE,"G7 Adjustments Schedule";#N/A,#N/A,FALSE,"BAS Revenue Reconciliation"}</definedName>
    <definedName name="v_1" localSheetId="4" hidden="1">{#N/A,#N/A,FALSE,"BAS Calculation Statement";#N/A,#N/A,FALSE,"Acquisitions";#N/A,#N/A,FALSE,"Sheet2";#N/A,#N/A,FALSE,"Sheet1";#N/A,#N/A,FALSE,"G7 Adjustments Schedule";#N/A,#N/A,FALSE,"BAS Revenue Reconciliation"}</definedName>
    <definedName name="v_1" hidden="1">{#N/A,#N/A,FALSE,"BAS Calculation Statement";#N/A,#N/A,FALSE,"Acquisitions";#N/A,#N/A,FALSE,"Sheet2";#N/A,#N/A,FALSE,"Sheet1";#N/A,#N/A,FALSE,"G7 Adjustments Schedule";#N/A,#N/A,FALSE,"BAS Revenue Reconciliation"}</definedName>
    <definedName name="Value">_xlfn.ANCHORARRAY(#REF!)</definedName>
    <definedName name="valuevx">42.314159</definedName>
    <definedName name="vbnfgh" hidden="1">[11]Checks_BO!$B$33</definedName>
    <definedName name="vbtyer" hidden="1">[11]CFS_TO!$B$16</definedName>
    <definedName name="VPeriode">[31]Salden!$F$5</definedName>
    <definedName name="w3qeeqw" localSheetId="4" hidden="1">{"Complaint Graphs",#N/A,FALSE,"Complaint Graphs"}</definedName>
    <definedName name="w3qeeqw" hidden="1">{"Complaint Graphs",#N/A,FALSE,"Complaint Graphs"}</definedName>
    <definedName name="w3qeeqw_1" localSheetId="4" hidden="1">{"Complaint Graphs",#N/A,FALSE,"Complaint Graphs"}</definedName>
    <definedName name="w3qeeqw_1" hidden="1">{"Complaint Graphs",#N/A,FALSE,"Complaint Graphs"}</definedName>
    <definedName name="w3qeeqw_1_1" localSheetId="4" hidden="1">{"Complaint Graphs",#N/A,FALSE,"Complaint Graphs"}</definedName>
    <definedName name="w3qeeqw_1_1" hidden="1">{"Complaint Graphs",#N/A,FALSE,"Complaint Graphs"}</definedName>
    <definedName name="w3qeeqw_1_1_1" localSheetId="4" hidden="1">{"Complaint Graphs",#N/A,FALSE,"Complaint Graphs"}</definedName>
    <definedName name="w3qeeqw_1_1_1" hidden="1">{"Complaint Graphs",#N/A,FALSE,"Complaint Graphs"}</definedName>
    <definedName name="w3qeeqw_1_1_1_1" localSheetId="4" hidden="1">{"Complaint Graphs",#N/A,FALSE,"Complaint Graphs"}</definedName>
    <definedName name="w3qeeqw_1_1_1_1" hidden="1">{"Complaint Graphs",#N/A,FALSE,"Complaint Graphs"}</definedName>
    <definedName name="w3qeeqw_1_1_2" localSheetId="4" hidden="1">{"Complaint Graphs",#N/A,FALSE,"Complaint Graphs"}</definedName>
    <definedName name="w3qeeqw_1_1_2" hidden="1">{"Complaint Graphs",#N/A,FALSE,"Complaint Graphs"}</definedName>
    <definedName name="w3qeeqw_1_1_2_1" localSheetId="4" hidden="1">{"Complaint Graphs",#N/A,FALSE,"Complaint Graphs"}</definedName>
    <definedName name="w3qeeqw_1_1_2_1" hidden="1">{"Complaint Graphs",#N/A,FALSE,"Complaint Graphs"}</definedName>
    <definedName name="w3qeeqw_1_1_3" localSheetId="4" hidden="1">{"Complaint Graphs",#N/A,FALSE,"Complaint Graphs"}</definedName>
    <definedName name="w3qeeqw_1_1_3" hidden="1">{"Complaint Graphs",#N/A,FALSE,"Complaint Graphs"}</definedName>
    <definedName name="w3qeeqw_1_1_3_1" localSheetId="4" hidden="1">{"Complaint Graphs",#N/A,FALSE,"Complaint Graphs"}</definedName>
    <definedName name="w3qeeqw_1_1_3_1" hidden="1">{"Complaint Graphs",#N/A,FALSE,"Complaint Graphs"}</definedName>
    <definedName name="w3qeeqw_1_1_4" localSheetId="4" hidden="1">{"Complaint Graphs",#N/A,FALSE,"Complaint Graphs"}</definedName>
    <definedName name="w3qeeqw_1_1_4" hidden="1">{"Complaint Graphs",#N/A,FALSE,"Complaint Graphs"}</definedName>
    <definedName name="w3qeeqw_1_2" localSheetId="4" hidden="1">{"Complaint Graphs",#N/A,FALSE,"Complaint Graphs"}</definedName>
    <definedName name="w3qeeqw_1_2" hidden="1">{"Complaint Graphs",#N/A,FALSE,"Complaint Graphs"}</definedName>
    <definedName name="w3qeeqw_1_2_1" localSheetId="4" hidden="1">{"Complaint Graphs",#N/A,FALSE,"Complaint Graphs"}</definedName>
    <definedName name="w3qeeqw_1_2_1" hidden="1">{"Complaint Graphs",#N/A,FALSE,"Complaint Graphs"}</definedName>
    <definedName name="w3qeeqw_1_3" localSheetId="4" hidden="1">{"Complaint Graphs",#N/A,FALSE,"Complaint Graphs"}</definedName>
    <definedName name="w3qeeqw_1_3" hidden="1">{"Complaint Graphs",#N/A,FALSE,"Complaint Graphs"}</definedName>
    <definedName name="w3qeeqw_1_3_1" localSheetId="4" hidden="1">{"Complaint Graphs",#N/A,FALSE,"Complaint Graphs"}</definedName>
    <definedName name="w3qeeqw_1_3_1" hidden="1">{"Complaint Graphs",#N/A,FALSE,"Complaint Graphs"}</definedName>
    <definedName name="w3qeeqw_1_4" localSheetId="4" hidden="1">{"Complaint Graphs",#N/A,FALSE,"Complaint Graphs"}</definedName>
    <definedName name="w3qeeqw_1_4" hidden="1">{"Complaint Graphs",#N/A,FALSE,"Complaint Graphs"}</definedName>
    <definedName name="w3qeeqw_1_4_1" localSheetId="4" hidden="1">{"Complaint Graphs",#N/A,FALSE,"Complaint Graphs"}</definedName>
    <definedName name="w3qeeqw_1_4_1" hidden="1">{"Complaint Graphs",#N/A,FALSE,"Complaint Graphs"}</definedName>
    <definedName name="w3qeeqw_1_5" localSheetId="4" hidden="1">{"Complaint Graphs",#N/A,FALSE,"Complaint Graphs"}</definedName>
    <definedName name="w3qeeqw_1_5" hidden="1">{"Complaint Graphs",#N/A,FALSE,"Complaint Graphs"}</definedName>
    <definedName name="w3qeeqw_2" localSheetId="4" hidden="1">{"Complaint Graphs",#N/A,FALSE,"Complaint Graphs"}</definedName>
    <definedName name="w3qeeqw_2" hidden="1">{"Complaint Graphs",#N/A,FALSE,"Complaint Graphs"}</definedName>
    <definedName name="w3qeeqw_2_1" localSheetId="4" hidden="1">{"Complaint Graphs",#N/A,FALSE,"Complaint Graphs"}</definedName>
    <definedName name="w3qeeqw_2_1" hidden="1">{"Complaint Graphs",#N/A,FALSE,"Complaint Graphs"}</definedName>
    <definedName name="w3qeeqw_2_1_1" localSheetId="4" hidden="1">{"Complaint Graphs",#N/A,FALSE,"Complaint Graphs"}</definedName>
    <definedName name="w3qeeqw_2_1_1" hidden="1">{"Complaint Graphs",#N/A,FALSE,"Complaint Graphs"}</definedName>
    <definedName name="w3qeeqw_2_2" localSheetId="4" hidden="1">{"Complaint Graphs",#N/A,FALSE,"Complaint Graphs"}</definedName>
    <definedName name="w3qeeqw_2_2" hidden="1">{"Complaint Graphs",#N/A,FALSE,"Complaint Graphs"}</definedName>
    <definedName name="w3qeeqw_2_2_1" localSheetId="4" hidden="1">{"Complaint Graphs",#N/A,FALSE,"Complaint Graphs"}</definedName>
    <definedName name="w3qeeqw_2_2_1" hidden="1">{"Complaint Graphs",#N/A,FALSE,"Complaint Graphs"}</definedName>
    <definedName name="w3qeeqw_2_3" localSheetId="4" hidden="1">{"Complaint Graphs",#N/A,FALSE,"Complaint Graphs"}</definedName>
    <definedName name="w3qeeqw_2_3" hidden="1">{"Complaint Graphs",#N/A,FALSE,"Complaint Graphs"}</definedName>
    <definedName name="w3qeeqw_2_3_1" localSheetId="4" hidden="1">{"Complaint Graphs",#N/A,FALSE,"Complaint Graphs"}</definedName>
    <definedName name="w3qeeqw_2_3_1" hidden="1">{"Complaint Graphs",#N/A,FALSE,"Complaint Graphs"}</definedName>
    <definedName name="w3qeeqw_2_4" localSheetId="4" hidden="1">{"Complaint Graphs",#N/A,FALSE,"Complaint Graphs"}</definedName>
    <definedName name="w3qeeqw_2_4" hidden="1">{"Complaint Graphs",#N/A,FALSE,"Complaint Graphs"}</definedName>
    <definedName name="w3qeeqw_3" localSheetId="4" hidden="1">{"Complaint Graphs",#N/A,FALSE,"Complaint Graphs"}</definedName>
    <definedName name="w3qeeqw_3" hidden="1">{"Complaint Graphs",#N/A,FALSE,"Complaint Graphs"}</definedName>
    <definedName name="w3qeeqw_3_1" localSheetId="4" hidden="1">{"Complaint Graphs",#N/A,FALSE,"Complaint Graphs"}</definedName>
    <definedName name="w3qeeqw_3_1" hidden="1">{"Complaint Graphs",#N/A,FALSE,"Complaint Graphs"}</definedName>
    <definedName name="w3qeeqw_4" localSheetId="4" hidden="1">{"Complaint Graphs",#N/A,FALSE,"Complaint Graphs"}</definedName>
    <definedName name="w3qeeqw_4" hidden="1">{"Complaint Graphs",#N/A,FALSE,"Complaint Graphs"}</definedName>
    <definedName name="w3qeeqw_4_1" localSheetId="4" hidden="1">{"Complaint Graphs",#N/A,FALSE,"Complaint Graphs"}</definedName>
    <definedName name="w3qeeqw_4_1" hidden="1">{"Complaint Graphs",#N/A,FALSE,"Complaint Graphs"}</definedName>
    <definedName name="w3qeeqw_5" localSheetId="4" hidden="1">{"Complaint Graphs",#N/A,FALSE,"Complaint Graphs"}</definedName>
    <definedName name="w3qeeqw_5" hidden="1">{"Complaint Graphs",#N/A,FALSE,"Complaint Graphs"}</definedName>
    <definedName name="w3qeeqw_5_1" localSheetId="4" hidden="1">{"Complaint Graphs",#N/A,FALSE,"Complaint Graphs"}</definedName>
    <definedName name="w3qeeqw_5_1" hidden="1">{"Complaint Graphs",#N/A,FALSE,"Complaint Graphs"}</definedName>
    <definedName name="Wages_SC_AUS_0102">[17]Assumptions!$D$23</definedName>
    <definedName name="Wages_SC_AUS_0203">[17]Assumptions!$F$23</definedName>
    <definedName name="Wages_SC_AUS_0304">[17]Assumptions!$H$23</definedName>
    <definedName name="Wages_SC_AUS_0405">[17]Assumptions!$J$23</definedName>
    <definedName name="Wages_SC_AUS_0506">[17]Assumptions!$L$23</definedName>
    <definedName name="Wages_SC_NZ_0102">[17]Assumptions!$D$25</definedName>
    <definedName name="Wages_SC_NZ_0203">[17]Assumptions!$F$25</definedName>
    <definedName name="Wages_SC_NZ_0304">[17]Assumptions!$H$25</definedName>
    <definedName name="Wages_SC_NZ_0405">[17]Assumptions!$J$25</definedName>
    <definedName name="Wages_SC_NZ_0506">[17]Assumptions!$L$25</definedName>
    <definedName name="Wages_Stores_AUS_0102">[17]Assumptions!$D$19</definedName>
    <definedName name="Wages_Stores_AUS_0203">[17]Assumptions!$F$19</definedName>
    <definedName name="Wages_Stores_AUS_0304">[17]Assumptions!$H$19</definedName>
    <definedName name="Wages_Stores_AUS_0405">[17]Assumptions!$J$19</definedName>
    <definedName name="Wages_Stores_AUS_0506">[17]Assumptions!$L$19</definedName>
    <definedName name="Wages_Stores_NZ_0102">[17]Assumptions!$D$22</definedName>
    <definedName name="Wages_Stores_NZ_0203">[17]Assumptions!$F$22</definedName>
    <definedName name="Wages_Stores_NZ_0304">[17]Assumptions!$H$22</definedName>
    <definedName name="Wages_Stores_NZ_0405">[17]Assumptions!$J$22</definedName>
    <definedName name="Wages_Stores_NZ_0506">[17]Assumptions!$L$22</definedName>
    <definedName name="waluta">[26]GA!$B$22</definedName>
    <definedName name="week">[37]lookup!$F$1:$H$65536</definedName>
    <definedName name="Week_Ending">[56]Data!$C$3:$C$54</definedName>
    <definedName name="WeekEnding">[57]Data!$C$2:$C$54</definedName>
    <definedName name="WKZ">[31]Salden!$G$3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4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4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localSheetId="4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1_1_1" localSheetId="4" hidden="1">{#N/A,#N/A,FALSE,"Aging Summary";#N/A,#N/A,FALSE,"Ratio Analysis";#N/A,#N/A,FALSE,"Test 120 Day Accts";#N/A,#N/A,FALSE,"Tickmarks"}</definedName>
    <definedName name="wrn.Aging._.and._.Trend._.Analysis._1_1_1_1" hidden="1">{#N/A,#N/A,FALSE,"Aging Summary";#N/A,#N/A,FALSE,"Ratio Analysis";#N/A,#N/A,FALSE,"Test 120 Day Accts";#N/A,#N/A,FALSE,"Tickmarks"}</definedName>
    <definedName name="wrn.Aging._.and._.Trend._.Analysis._1_1_2" localSheetId="4" hidden="1">{#N/A,#N/A,FALSE,"Aging Summary";#N/A,#N/A,FALSE,"Ratio Analysis";#N/A,#N/A,FALSE,"Test 120 Day Accts";#N/A,#N/A,FALSE,"Tickmarks"}</definedName>
    <definedName name="wrn.Aging._.and._.Trend._.Analysis._1_1_2" hidden="1">{#N/A,#N/A,FALSE,"Aging Summary";#N/A,#N/A,FALSE,"Ratio Analysis";#N/A,#N/A,FALSE,"Test 120 Day Accts";#N/A,#N/A,FALSE,"Tickmarks"}</definedName>
    <definedName name="wrn.Aging._.and._.Trend._.Analysis._1_1_2_1" localSheetId="4" hidden="1">{#N/A,#N/A,FALSE,"Aging Summary";#N/A,#N/A,FALSE,"Ratio Analysis";#N/A,#N/A,FALSE,"Test 120 Day Accts";#N/A,#N/A,FALSE,"Tickmarks"}</definedName>
    <definedName name="wrn.Aging._.and._.Trend._.Analysis._1_1_2_1" hidden="1">{#N/A,#N/A,FALSE,"Aging Summary";#N/A,#N/A,FALSE,"Ratio Analysis";#N/A,#N/A,FALSE,"Test 120 Day Accts";#N/A,#N/A,FALSE,"Tickmarks"}</definedName>
    <definedName name="wrn.Aging._.and._.Trend._.Analysis._1_1_3" localSheetId="4" hidden="1">{#N/A,#N/A,FALSE,"Aging Summary";#N/A,#N/A,FALSE,"Ratio Analysis";#N/A,#N/A,FALSE,"Test 120 Day Accts";#N/A,#N/A,FALSE,"Tickmarks"}</definedName>
    <definedName name="wrn.Aging._.and._.Trend._.Analysis._1_1_3" hidden="1">{#N/A,#N/A,FALSE,"Aging Summary";#N/A,#N/A,FALSE,"Ratio Analysis";#N/A,#N/A,FALSE,"Test 120 Day Accts";#N/A,#N/A,FALSE,"Tickmarks"}</definedName>
    <definedName name="wrn.Aging._.and._.Trend._.Analysis._1_1_3_1" localSheetId="4" hidden="1">{#N/A,#N/A,FALSE,"Aging Summary";#N/A,#N/A,FALSE,"Ratio Analysis";#N/A,#N/A,FALSE,"Test 120 Day Accts";#N/A,#N/A,FALSE,"Tickmarks"}</definedName>
    <definedName name="wrn.Aging._.and._.Trend._.Analysis._1_1_3_1" hidden="1">{#N/A,#N/A,FALSE,"Aging Summary";#N/A,#N/A,FALSE,"Ratio Analysis";#N/A,#N/A,FALSE,"Test 120 Day Accts";#N/A,#N/A,FALSE,"Tickmarks"}</definedName>
    <definedName name="wrn.Aging._.and._.Trend._.Analysis._1_1_4" localSheetId="4" hidden="1">{#N/A,#N/A,FALSE,"Aging Summary";#N/A,#N/A,FALSE,"Ratio Analysis";#N/A,#N/A,FALSE,"Test 120 Day Accts";#N/A,#N/A,FALSE,"Tickmarks"}</definedName>
    <definedName name="wrn.Aging._.and._.Trend._.Analysis._1_1_4" hidden="1">{#N/A,#N/A,FALSE,"Aging Summary";#N/A,#N/A,FALSE,"Ratio Analysis";#N/A,#N/A,FALSE,"Test 120 Day Accts";#N/A,#N/A,FALSE,"Tickmarks"}</definedName>
    <definedName name="wrn.Aging._.and._.Trend._.Analysis._1_2" localSheetId="4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2_1" localSheetId="4" hidden="1">{#N/A,#N/A,FALSE,"Aging Summary";#N/A,#N/A,FALSE,"Ratio Analysis";#N/A,#N/A,FALSE,"Test 120 Day Accts";#N/A,#N/A,FALSE,"Tickmarks"}</definedName>
    <definedName name="wrn.Aging._.and._.Trend._.Analysis._1_2_1" hidden="1">{#N/A,#N/A,FALSE,"Aging Summary";#N/A,#N/A,FALSE,"Ratio Analysis";#N/A,#N/A,FALSE,"Test 120 Day Accts";#N/A,#N/A,FALSE,"Tickmarks"}</definedName>
    <definedName name="wrn.Aging._.and._.Trend._.Analysis._1_3" localSheetId="4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3_1" localSheetId="4" hidden="1">{#N/A,#N/A,FALSE,"Aging Summary";#N/A,#N/A,FALSE,"Ratio Analysis";#N/A,#N/A,FALSE,"Test 120 Day Accts";#N/A,#N/A,FALSE,"Tickmarks"}</definedName>
    <definedName name="wrn.Aging._.and._.Trend._.Analysis._1_3_1" hidden="1">{#N/A,#N/A,FALSE,"Aging Summary";#N/A,#N/A,FALSE,"Ratio Analysis";#N/A,#N/A,FALSE,"Test 120 Day Accts";#N/A,#N/A,FALSE,"Tickmarks"}</definedName>
    <definedName name="wrn.Aging._.and._.Trend._.Analysis._1_4" localSheetId="4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4_1" localSheetId="4" hidden="1">{#N/A,#N/A,FALSE,"Aging Summary";#N/A,#N/A,FALSE,"Ratio Analysis";#N/A,#N/A,FALSE,"Test 120 Day Accts";#N/A,#N/A,FALSE,"Tickmarks"}</definedName>
    <definedName name="wrn.Aging._.and._.Trend._.Analysis._1_4_1" hidden="1">{#N/A,#N/A,FALSE,"Aging Summary";#N/A,#N/A,FALSE,"Ratio Analysis";#N/A,#N/A,FALSE,"Test 120 Day Accts";#N/A,#N/A,FALSE,"Tickmarks"}</definedName>
    <definedName name="wrn.Aging._.and._.Trend._.Analysis._1_5" localSheetId="4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localSheetId="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localSheetId="4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1_1" localSheetId="4" hidden="1">{#N/A,#N/A,FALSE,"Aging Summary";#N/A,#N/A,FALSE,"Ratio Analysis";#N/A,#N/A,FALSE,"Test 120 Day Accts";#N/A,#N/A,FALSE,"Tickmarks"}</definedName>
    <definedName name="wrn.Aging._.and._.Trend._.Analysis._2_1_1" hidden="1">{#N/A,#N/A,FALSE,"Aging Summary";#N/A,#N/A,FALSE,"Ratio Analysis";#N/A,#N/A,FALSE,"Test 120 Day Accts";#N/A,#N/A,FALSE,"Tickmarks"}</definedName>
    <definedName name="wrn.Aging._.and._.Trend._.Analysis._2_2" localSheetId="4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2_1" localSheetId="4" hidden="1">{#N/A,#N/A,FALSE,"Aging Summary";#N/A,#N/A,FALSE,"Ratio Analysis";#N/A,#N/A,FALSE,"Test 120 Day Accts";#N/A,#N/A,FALSE,"Tickmarks"}</definedName>
    <definedName name="wrn.Aging._.and._.Trend._.Analysis._2_2_1" hidden="1">{#N/A,#N/A,FALSE,"Aging Summary";#N/A,#N/A,FALSE,"Ratio Analysis";#N/A,#N/A,FALSE,"Test 120 Day Accts";#N/A,#N/A,FALSE,"Tickmarks"}</definedName>
    <definedName name="wrn.Aging._.and._.Trend._.Analysis._2_3" localSheetId="4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3_1" localSheetId="4" hidden="1">{#N/A,#N/A,FALSE,"Aging Summary";#N/A,#N/A,FALSE,"Ratio Analysis";#N/A,#N/A,FALSE,"Test 120 Day Accts";#N/A,#N/A,FALSE,"Tickmarks"}</definedName>
    <definedName name="wrn.Aging._.and._.Trend._.Analysis._2_3_1" hidden="1">{#N/A,#N/A,FALSE,"Aging Summary";#N/A,#N/A,FALSE,"Ratio Analysis";#N/A,#N/A,FALSE,"Test 120 Day Accts";#N/A,#N/A,FALSE,"Tickmarks"}</definedName>
    <definedName name="wrn.Aging._.and._.Trend._.Analysis._2_4" localSheetId="4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3" localSheetId="4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localSheetId="4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4" localSheetId="4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localSheetId="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5" localSheetId="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localSheetId="4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ll.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1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2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2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4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1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2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2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4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4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4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5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1_5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1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1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2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2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2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2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4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2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3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3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3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3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4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4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4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5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5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5_1" localSheetId="4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all._5_1" hidden="1">{#N/A,#N/A,FALSE,"1 - 1";#N/A,#N/A,FALSE,"1 - 4";#N/A,#N/A,FALSE,"1 - 3";#N/A,#N/A,FALSE,"1 - 5";#N/A,#N/A,FALSE,"1 - 6";#N/A,#N/A,FALSE,"1 - 8";#N/A,#N/A,FALSE,"1 - 9";#N/A,#N/A,FALSE,"1 - 10";#N/A,#N/A,FALSE,"1 - 13";#N/A,#N/A,FALSE,"1 - 14";#N/A,#N/A,FALSE,"1 - 15";#N/A,#N/A,FALSE,"1 - 16"}</definedName>
    <definedName name="wrn.BSA._.OCT." localSheetId="4" hidden="1">{#N/A,#N/A,FALSE,"BAS Calculation Statement";#N/A,#N/A,FALSE,"Acquisitions";#N/A,#N/A,FALSE,"Sheet2";#N/A,#N/A,FALSE,"Sheet1";#N/A,#N/A,FALSE,"G7 Adjustments Schedule";#N/A,#N/A,FALSE,"BAS Revenue Reconciliation"}</definedName>
    <definedName name="wrn.BSA._.OCT." hidden="1">{#N/A,#N/A,FALSE,"BAS Calculation Statement";#N/A,#N/A,FALSE,"Acquisitions";#N/A,#N/A,FALSE,"Sheet2";#N/A,#N/A,FALSE,"Sheet1";#N/A,#N/A,FALSE,"G7 Adjustments Schedule";#N/A,#N/A,FALSE,"BAS Revenue Reconciliation"}</definedName>
    <definedName name="wrn.BSA._.OCT._1" localSheetId="4" hidden="1">{#N/A,#N/A,FALSE,"BAS Calculation Statement";#N/A,#N/A,FALSE,"Acquisitions";#N/A,#N/A,FALSE,"Sheet2";#N/A,#N/A,FALSE,"Sheet1";#N/A,#N/A,FALSE,"G7 Adjustments Schedule";#N/A,#N/A,FALSE,"BAS Revenue Reconciliation"}</definedName>
    <definedName name="wrn.BSA._.OCT._1" hidden="1">{#N/A,#N/A,FALSE,"BAS Calculation Statement";#N/A,#N/A,FALSE,"Acquisitions";#N/A,#N/A,FALSE,"Sheet2";#N/A,#N/A,FALSE,"Sheet1";#N/A,#N/A,FALSE,"G7 Adjustments Schedule";#N/A,#N/A,FALSE,"BAS Revenue Reconciliation"}</definedName>
    <definedName name="wrn.Complaint._.Report._.2._.page._.basic." localSheetId="4" hidden="1">{"Complaint Graphs",#N/A,FALSE,"Complaint Graphs"}</definedName>
    <definedName name="wrn.Complaint._.Report._.2._.page._.basic." hidden="1">{"Complaint Graphs",#N/A,FALSE,"Complaint Graphs"}</definedName>
    <definedName name="wrn.Complaint._.Report._.2._.page._.basic._1" localSheetId="4" hidden="1">{"Complaint Graphs",#N/A,FALSE,"Complaint Graphs"}</definedName>
    <definedName name="wrn.Complaint._.Report._.2._.page._.basic._1" hidden="1">{"Complaint Graphs",#N/A,FALSE,"Complaint Graphs"}</definedName>
    <definedName name="wrn.Complaint._.Report._.2._.page._.basic._1_1" localSheetId="4" hidden="1">{"Complaint Graphs",#N/A,FALSE,"Complaint Graphs"}</definedName>
    <definedName name="wrn.Complaint._.Report._.2._.page._.basic._1_1" hidden="1">{"Complaint Graphs",#N/A,FALSE,"Complaint Graphs"}</definedName>
    <definedName name="wrn.Complaint._.Report._.2._.page._.basic._1_1_1" localSheetId="4" hidden="1">{"Complaint Graphs",#N/A,FALSE,"Complaint Graphs"}</definedName>
    <definedName name="wrn.Complaint._.Report._.2._.page._.basic._1_1_1" hidden="1">{"Complaint Graphs",#N/A,FALSE,"Complaint Graphs"}</definedName>
    <definedName name="wrn.Complaint._.Report._.2._.page._.basic._1_1_1_1" localSheetId="4" hidden="1">{"Complaint Graphs",#N/A,FALSE,"Complaint Graphs"}</definedName>
    <definedName name="wrn.Complaint._.Report._.2._.page._.basic._1_1_1_1" hidden="1">{"Complaint Graphs",#N/A,FALSE,"Complaint Graphs"}</definedName>
    <definedName name="wrn.Complaint._.Report._.2._.page._.basic._1_1_2" localSheetId="4" hidden="1">{"Complaint Graphs",#N/A,FALSE,"Complaint Graphs"}</definedName>
    <definedName name="wrn.Complaint._.Report._.2._.page._.basic._1_1_2" hidden="1">{"Complaint Graphs",#N/A,FALSE,"Complaint Graphs"}</definedName>
    <definedName name="wrn.Complaint._.Report._.2._.page._.basic._1_1_2_1" localSheetId="4" hidden="1">{"Complaint Graphs",#N/A,FALSE,"Complaint Graphs"}</definedName>
    <definedName name="wrn.Complaint._.Report._.2._.page._.basic._1_1_2_1" hidden="1">{"Complaint Graphs",#N/A,FALSE,"Complaint Graphs"}</definedName>
    <definedName name="wrn.Complaint._.Report._.2._.page._.basic._1_1_3" localSheetId="4" hidden="1">{"Complaint Graphs",#N/A,FALSE,"Complaint Graphs"}</definedName>
    <definedName name="wrn.Complaint._.Report._.2._.page._.basic._1_1_3" hidden="1">{"Complaint Graphs",#N/A,FALSE,"Complaint Graphs"}</definedName>
    <definedName name="wrn.Complaint._.Report._.2._.page._.basic._1_1_3_1" localSheetId="4" hidden="1">{"Complaint Graphs",#N/A,FALSE,"Complaint Graphs"}</definedName>
    <definedName name="wrn.Complaint._.Report._.2._.page._.basic._1_1_3_1" hidden="1">{"Complaint Graphs",#N/A,FALSE,"Complaint Graphs"}</definedName>
    <definedName name="wrn.Complaint._.Report._.2._.page._.basic._1_1_4" localSheetId="4" hidden="1">{"Complaint Graphs",#N/A,FALSE,"Complaint Graphs"}</definedName>
    <definedName name="wrn.Complaint._.Report._.2._.page._.basic._1_1_4" hidden="1">{"Complaint Graphs",#N/A,FALSE,"Complaint Graphs"}</definedName>
    <definedName name="wrn.Complaint._.Report._.2._.page._.basic._1_2" localSheetId="4" hidden="1">{"Complaint Graphs",#N/A,FALSE,"Complaint Graphs"}</definedName>
    <definedName name="wrn.Complaint._.Report._.2._.page._.basic._1_2" hidden="1">{"Complaint Graphs",#N/A,FALSE,"Complaint Graphs"}</definedName>
    <definedName name="wrn.Complaint._.Report._.2._.page._.basic._1_2_1" localSheetId="4" hidden="1">{"Complaint Graphs",#N/A,FALSE,"Complaint Graphs"}</definedName>
    <definedName name="wrn.Complaint._.Report._.2._.page._.basic._1_2_1" hidden="1">{"Complaint Graphs",#N/A,FALSE,"Complaint Graphs"}</definedName>
    <definedName name="wrn.Complaint._.Report._.2._.page._.basic._1_3" localSheetId="4" hidden="1">{"Complaint Graphs",#N/A,FALSE,"Complaint Graphs"}</definedName>
    <definedName name="wrn.Complaint._.Report._.2._.page._.basic._1_3" hidden="1">{"Complaint Graphs",#N/A,FALSE,"Complaint Graphs"}</definedName>
    <definedName name="wrn.Complaint._.Report._.2._.page._.basic._1_3_1" localSheetId="4" hidden="1">{"Complaint Graphs",#N/A,FALSE,"Complaint Graphs"}</definedName>
    <definedName name="wrn.Complaint._.Report._.2._.page._.basic._1_3_1" hidden="1">{"Complaint Graphs",#N/A,FALSE,"Complaint Graphs"}</definedName>
    <definedName name="wrn.Complaint._.Report._.2._.page._.basic._1_4" localSheetId="4" hidden="1">{"Complaint Graphs",#N/A,FALSE,"Complaint Graphs"}</definedName>
    <definedName name="wrn.Complaint._.Report._.2._.page._.basic._1_4" hidden="1">{"Complaint Graphs",#N/A,FALSE,"Complaint Graphs"}</definedName>
    <definedName name="wrn.Complaint._.Report._.2._.page._.basic._1_4_1" localSheetId="4" hidden="1">{"Complaint Graphs",#N/A,FALSE,"Complaint Graphs"}</definedName>
    <definedName name="wrn.Complaint._.Report._.2._.page._.basic._1_4_1" hidden="1">{"Complaint Graphs",#N/A,FALSE,"Complaint Graphs"}</definedName>
    <definedName name="wrn.Complaint._.Report._.2._.page._.basic._1_5" localSheetId="4" hidden="1">{"Complaint Graphs",#N/A,FALSE,"Complaint Graphs"}</definedName>
    <definedName name="wrn.Complaint._.Report._.2._.page._.basic._1_5" hidden="1">{"Complaint Graphs",#N/A,FALSE,"Complaint Graphs"}</definedName>
    <definedName name="wrn.Complaint._.Report._.2._.page._.basic._2" localSheetId="4" hidden="1">{"Complaint Graphs",#N/A,FALSE,"Complaint Graphs"}</definedName>
    <definedName name="wrn.Complaint._.Report._.2._.page._.basic._2" hidden="1">{"Complaint Graphs",#N/A,FALSE,"Complaint Graphs"}</definedName>
    <definedName name="wrn.Complaint._.Report._.2._.page._.basic._2_1" localSheetId="4" hidden="1">{"Complaint Graphs",#N/A,FALSE,"Complaint Graphs"}</definedName>
    <definedName name="wrn.Complaint._.Report._.2._.page._.basic._2_1" hidden="1">{"Complaint Graphs",#N/A,FALSE,"Complaint Graphs"}</definedName>
    <definedName name="wrn.Complaint._.Report._.2._.page._.basic._2_1_1" localSheetId="4" hidden="1">{"Complaint Graphs",#N/A,FALSE,"Complaint Graphs"}</definedName>
    <definedName name="wrn.Complaint._.Report._.2._.page._.basic._2_1_1" hidden="1">{"Complaint Graphs",#N/A,FALSE,"Complaint Graphs"}</definedName>
    <definedName name="wrn.Complaint._.Report._.2._.page._.basic._2_2" localSheetId="4" hidden="1">{"Complaint Graphs",#N/A,FALSE,"Complaint Graphs"}</definedName>
    <definedName name="wrn.Complaint._.Report._.2._.page._.basic._2_2" hidden="1">{"Complaint Graphs",#N/A,FALSE,"Complaint Graphs"}</definedName>
    <definedName name="wrn.Complaint._.Report._.2._.page._.basic._2_2_1" localSheetId="4" hidden="1">{"Complaint Graphs",#N/A,FALSE,"Complaint Graphs"}</definedName>
    <definedName name="wrn.Complaint._.Report._.2._.page._.basic._2_2_1" hidden="1">{"Complaint Graphs",#N/A,FALSE,"Complaint Graphs"}</definedName>
    <definedName name="wrn.Complaint._.Report._.2._.page._.basic._2_3" localSheetId="4" hidden="1">{"Complaint Graphs",#N/A,FALSE,"Complaint Graphs"}</definedName>
    <definedName name="wrn.Complaint._.Report._.2._.page._.basic._2_3" hidden="1">{"Complaint Graphs",#N/A,FALSE,"Complaint Graphs"}</definedName>
    <definedName name="wrn.Complaint._.Report._.2._.page._.basic._2_3_1" localSheetId="4" hidden="1">{"Complaint Graphs",#N/A,FALSE,"Complaint Graphs"}</definedName>
    <definedName name="wrn.Complaint._.Report._.2._.page._.basic._2_3_1" hidden="1">{"Complaint Graphs",#N/A,FALSE,"Complaint Graphs"}</definedName>
    <definedName name="wrn.Complaint._.Report._.2._.page._.basic._2_4" localSheetId="4" hidden="1">{"Complaint Graphs",#N/A,FALSE,"Complaint Graphs"}</definedName>
    <definedName name="wrn.Complaint._.Report._.2._.page._.basic._2_4" hidden="1">{"Complaint Graphs",#N/A,FALSE,"Complaint Graphs"}</definedName>
    <definedName name="wrn.Complaint._.Report._.2._.page._.basic._3" localSheetId="4" hidden="1">{"Complaint Graphs",#N/A,FALSE,"Complaint Graphs"}</definedName>
    <definedName name="wrn.Complaint._.Report._.2._.page._.basic._3" hidden="1">{"Complaint Graphs",#N/A,FALSE,"Complaint Graphs"}</definedName>
    <definedName name="wrn.Complaint._.Report._.2._.page._.basic._3_1" localSheetId="4" hidden="1">{"Complaint Graphs",#N/A,FALSE,"Complaint Graphs"}</definedName>
    <definedName name="wrn.Complaint._.Report._.2._.page._.basic._3_1" hidden="1">{"Complaint Graphs",#N/A,FALSE,"Complaint Graphs"}</definedName>
    <definedName name="wrn.Complaint._.Report._.2._.page._.basic._4" localSheetId="4" hidden="1">{"Complaint Graphs",#N/A,FALSE,"Complaint Graphs"}</definedName>
    <definedName name="wrn.Complaint._.Report._.2._.page._.basic._4" hidden="1">{"Complaint Graphs",#N/A,FALSE,"Complaint Graphs"}</definedName>
    <definedName name="wrn.Complaint._.Report._.2._.page._.basic._4_1" localSheetId="4" hidden="1">{"Complaint Graphs",#N/A,FALSE,"Complaint Graphs"}</definedName>
    <definedName name="wrn.Complaint._.Report._.2._.page._.basic._4_1" hidden="1">{"Complaint Graphs",#N/A,FALSE,"Complaint Graphs"}</definedName>
    <definedName name="wrn.Complaint._.Report._.2._.page._.basic._5" localSheetId="4" hidden="1">{"Complaint Graphs",#N/A,FALSE,"Complaint Graphs"}</definedName>
    <definedName name="wrn.Complaint._.Report._.2._.page._.basic._5" hidden="1">{"Complaint Graphs",#N/A,FALSE,"Complaint Graphs"}</definedName>
    <definedName name="wrn.Complaint._.Report._.2._.page._.basic._5_1" localSheetId="4" hidden="1">{"Complaint Graphs",#N/A,FALSE,"Complaint Graphs"}</definedName>
    <definedName name="wrn.Complaint._.Report._.2._.page._.basic._5_1" hidden="1">{"Complaint Graphs",#N/A,FALSE,"Complaint Graphs"}</definedName>
    <definedName name="wrn.français." localSheetId="4" hidden="1">{"français",#N/A,FALSE,"Intro";"français",#N/A,FALSE,"Index";#N/A,#N/A,FALSE,"3-Incor";#N/A,#N/A,FALSE,"4-Corpo"}</definedName>
    <definedName name="wrn.français." hidden="1">{"français",#N/A,FALSE,"Intro";"français",#N/A,FALSE,"Index";#N/A,#N/A,FALSE,"3-Incor";#N/A,#N/A,FALSE,"4-Corpo"}</definedName>
    <definedName name="wrn.français._1" localSheetId="4" hidden="1">{"français",#N/A,FALSE,"Intro";"français",#N/A,FALSE,"Index";#N/A,#N/A,FALSE,"3-Incor";#N/A,#N/A,FALSE,"4-Corpo"}</definedName>
    <definedName name="wrn.français._1" hidden="1">{"français",#N/A,FALSE,"Intro";"français",#N/A,FALSE,"Index";#N/A,#N/A,FALSE,"3-Incor";#N/A,#N/A,FALSE,"4-Corpo"}</definedName>
    <definedName name="wrn.français._1_1" localSheetId="4" hidden="1">{"français",#N/A,FALSE,"Intro";"français",#N/A,FALSE,"Index";#N/A,#N/A,FALSE,"3-Incor";#N/A,#N/A,FALSE,"4-Corpo"}</definedName>
    <definedName name="wrn.français._1_1" hidden="1">{"français",#N/A,FALSE,"Intro";"français",#N/A,FALSE,"Index";#N/A,#N/A,FALSE,"3-Incor";#N/A,#N/A,FALSE,"4-Corpo"}</definedName>
    <definedName name="wrn.français._1_1_1" localSheetId="4" hidden="1">{"français",#N/A,FALSE,"Intro";"français",#N/A,FALSE,"Index";#N/A,#N/A,FALSE,"3-Incor";#N/A,#N/A,FALSE,"4-Corpo"}</definedName>
    <definedName name="wrn.français._1_1_1" hidden="1">{"français",#N/A,FALSE,"Intro";"français",#N/A,FALSE,"Index";#N/A,#N/A,FALSE,"3-Incor";#N/A,#N/A,FALSE,"4-Corpo"}</definedName>
    <definedName name="wrn.français._1_1_1_1" localSheetId="4" hidden="1">{"français",#N/A,FALSE,"Intro";"français",#N/A,FALSE,"Index";#N/A,#N/A,FALSE,"3-Incor";#N/A,#N/A,FALSE,"4-Corpo"}</definedName>
    <definedName name="wrn.français._1_1_1_1" hidden="1">{"français",#N/A,FALSE,"Intro";"français",#N/A,FALSE,"Index";#N/A,#N/A,FALSE,"3-Incor";#N/A,#N/A,FALSE,"4-Corpo"}</definedName>
    <definedName name="wrn.français._1_1_2" localSheetId="4" hidden="1">{"français",#N/A,FALSE,"Intro";"français",#N/A,FALSE,"Index";#N/A,#N/A,FALSE,"3-Incor";#N/A,#N/A,FALSE,"4-Corpo"}</definedName>
    <definedName name="wrn.français._1_1_2" hidden="1">{"français",#N/A,FALSE,"Intro";"français",#N/A,FALSE,"Index";#N/A,#N/A,FALSE,"3-Incor";#N/A,#N/A,FALSE,"4-Corpo"}</definedName>
    <definedName name="wrn.français._1_1_2_1" localSheetId="4" hidden="1">{"français",#N/A,FALSE,"Intro";"français",#N/A,FALSE,"Index";#N/A,#N/A,FALSE,"3-Incor";#N/A,#N/A,FALSE,"4-Corpo"}</definedName>
    <definedName name="wrn.français._1_1_2_1" hidden="1">{"français",#N/A,FALSE,"Intro";"français",#N/A,FALSE,"Index";#N/A,#N/A,FALSE,"3-Incor";#N/A,#N/A,FALSE,"4-Corpo"}</definedName>
    <definedName name="wrn.français._1_1_3" localSheetId="4" hidden="1">{"français",#N/A,FALSE,"Intro";"français",#N/A,FALSE,"Index";#N/A,#N/A,FALSE,"3-Incor";#N/A,#N/A,FALSE,"4-Corpo"}</definedName>
    <definedName name="wrn.français._1_1_3" hidden="1">{"français",#N/A,FALSE,"Intro";"français",#N/A,FALSE,"Index";#N/A,#N/A,FALSE,"3-Incor";#N/A,#N/A,FALSE,"4-Corpo"}</definedName>
    <definedName name="wrn.français._1_1_3_1" localSheetId="4" hidden="1">{"français",#N/A,FALSE,"Intro";"français",#N/A,FALSE,"Index";#N/A,#N/A,FALSE,"3-Incor";#N/A,#N/A,FALSE,"4-Corpo"}</definedName>
    <definedName name="wrn.français._1_1_3_1" hidden="1">{"français",#N/A,FALSE,"Intro";"français",#N/A,FALSE,"Index";#N/A,#N/A,FALSE,"3-Incor";#N/A,#N/A,FALSE,"4-Corpo"}</definedName>
    <definedName name="wrn.français._1_1_4" localSheetId="4" hidden="1">{"français",#N/A,FALSE,"Intro";"français",#N/A,FALSE,"Index";#N/A,#N/A,FALSE,"3-Incor";#N/A,#N/A,FALSE,"4-Corpo"}</definedName>
    <definedName name="wrn.français._1_1_4" hidden="1">{"français",#N/A,FALSE,"Intro";"français",#N/A,FALSE,"Index";#N/A,#N/A,FALSE,"3-Incor";#N/A,#N/A,FALSE,"4-Corpo"}</definedName>
    <definedName name="wrn.français._1_2" localSheetId="4" hidden="1">{"français",#N/A,FALSE,"Intro";"français",#N/A,FALSE,"Index";#N/A,#N/A,FALSE,"3-Incor";#N/A,#N/A,FALSE,"4-Corpo"}</definedName>
    <definedName name="wrn.français._1_2" hidden="1">{"français",#N/A,FALSE,"Intro";"français",#N/A,FALSE,"Index";#N/A,#N/A,FALSE,"3-Incor";#N/A,#N/A,FALSE,"4-Corpo"}</definedName>
    <definedName name="wrn.français._1_2_1" localSheetId="4" hidden="1">{"français",#N/A,FALSE,"Intro";"français",#N/A,FALSE,"Index";#N/A,#N/A,FALSE,"3-Incor";#N/A,#N/A,FALSE,"4-Corpo"}</definedName>
    <definedName name="wrn.français._1_2_1" hidden="1">{"français",#N/A,FALSE,"Intro";"français",#N/A,FALSE,"Index";#N/A,#N/A,FALSE,"3-Incor";#N/A,#N/A,FALSE,"4-Corpo"}</definedName>
    <definedName name="wrn.français._1_3" localSheetId="4" hidden="1">{"français",#N/A,FALSE,"Intro";"français",#N/A,FALSE,"Index";#N/A,#N/A,FALSE,"3-Incor";#N/A,#N/A,FALSE,"4-Corpo"}</definedName>
    <definedName name="wrn.français._1_3" hidden="1">{"français",#N/A,FALSE,"Intro";"français",#N/A,FALSE,"Index";#N/A,#N/A,FALSE,"3-Incor";#N/A,#N/A,FALSE,"4-Corpo"}</definedName>
    <definedName name="wrn.français._1_3_1" localSheetId="4" hidden="1">{"français",#N/A,FALSE,"Intro";"français",#N/A,FALSE,"Index";#N/A,#N/A,FALSE,"3-Incor";#N/A,#N/A,FALSE,"4-Corpo"}</definedName>
    <definedName name="wrn.français._1_3_1" hidden="1">{"français",#N/A,FALSE,"Intro";"français",#N/A,FALSE,"Index";#N/A,#N/A,FALSE,"3-Incor";#N/A,#N/A,FALSE,"4-Corpo"}</definedName>
    <definedName name="wrn.français._1_4" localSheetId="4" hidden="1">{"français",#N/A,FALSE,"Intro";"français",#N/A,FALSE,"Index";#N/A,#N/A,FALSE,"3-Incor";#N/A,#N/A,FALSE,"4-Corpo"}</definedName>
    <definedName name="wrn.français._1_4" hidden="1">{"français",#N/A,FALSE,"Intro";"français",#N/A,FALSE,"Index";#N/A,#N/A,FALSE,"3-Incor";#N/A,#N/A,FALSE,"4-Corpo"}</definedName>
    <definedName name="wrn.français._1_4_1" localSheetId="4" hidden="1">{"français",#N/A,FALSE,"Intro";"français",#N/A,FALSE,"Index";#N/A,#N/A,FALSE,"3-Incor";#N/A,#N/A,FALSE,"4-Corpo"}</definedName>
    <definedName name="wrn.français._1_4_1" hidden="1">{"français",#N/A,FALSE,"Intro";"français",#N/A,FALSE,"Index";#N/A,#N/A,FALSE,"3-Incor";#N/A,#N/A,FALSE,"4-Corpo"}</definedName>
    <definedName name="wrn.français._1_5" localSheetId="4" hidden="1">{"français",#N/A,FALSE,"Intro";"français",#N/A,FALSE,"Index";#N/A,#N/A,FALSE,"3-Incor";#N/A,#N/A,FALSE,"4-Corpo"}</definedName>
    <definedName name="wrn.français._1_5" hidden="1">{"français",#N/A,FALSE,"Intro";"français",#N/A,FALSE,"Index";#N/A,#N/A,FALSE,"3-Incor";#N/A,#N/A,FALSE,"4-Corpo"}</definedName>
    <definedName name="wrn.français._2" localSheetId="4" hidden="1">{"français",#N/A,FALSE,"Intro";"français",#N/A,FALSE,"Index";#N/A,#N/A,FALSE,"3-Incor";#N/A,#N/A,FALSE,"4-Corpo"}</definedName>
    <definedName name="wrn.français._2" hidden="1">{"français",#N/A,FALSE,"Intro";"français",#N/A,FALSE,"Index";#N/A,#N/A,FALSE,"3-Incor";#N/A,#N/A,FALSE,"4-Corpo"}</definedName>
    <definedName name="wrn.français._2_1" localSheetId="4" hidden="1">{"français",#N/A,FALSE,"Intro";"français",#N/A,FALSE,"Index";#N/A,#N/A,FALSE,"3-Incor";#N/A,#N/A,FALSE,"4-Corpo"}</definedName>
    <definedName name="wrn.français._2_1" hidden="1">{"français",#N/A,FALSE,"Intro";"français",#N/A,FALSE,"Index";#N/A,#N/A,FALSE,"3-Incor";#N/A,#N/A,FALSE,"4-Corpo"}</definedName>
    <definedName name="wrn.français._2_1_1" localSheetId="4" hidden="1">{"français",#N/A,FALSE,"Intro";"français",#N/A,FALSE,"Index";#N/A,#N/A,FALSE,"3-Incor";#N/A,#N/A,FALSE,"4-Corpo"}</definedName>
    <definedName name="wrn.français._2_1_1" hidden="1">{"français",#N/A,FALSE,"Intro";"français",#N/A,FALSE,"Index";#N/A,#N/A,FALSE,"3-Incor";#N/A,#N/A,FALSE,"4-Corpo"}</definedName>
    <definedName name="wrn.français._2_2" localSheetId="4" hidden="1">{"français",#N/A,FALSE,"Intro";"français",#N/A,FALSE,"Index";#N/A,#N/A,FALSE,"3-Incor";#N/A,#N/A,FALSE,"4-Corpo"}</definedName>
    <definedName name="wrn.français._2_2" hidden="1">{"français",#N/A,FALSE,"Intro";"français",#N/A,FALSE,"Index";#N/A,#N/A,FALSE,"3-Incor";#N/A,#N/A,FALSE,"4-Corpo"}</definedName>
    <definedName name="wrn.français._2_2_1" localSheetId="4" hidden="1">{"français",#N/A,FALSE,"Intro";"français",#N/A,FALSE,"Index";#N/A,#N/A,FALSE,"3-Incor";#N/A,#N/A,FALSE,"4-Corpo"}</definedName>
    <definedName name="wrn.français._2_2_1" hidden="1">{"français",#N/A,FALSE,"Intro";"français",#N/A,FALSE,"Index";#N/A,#N/A,FALSE,"3-Incor";#N/A,#N/A,FALSE,"4-Corpo"}</definedName>
    <definedName name="wrn.français._2_3" localSheetId="4" hidden="1">{"français",#N/A,FALSE,"Intro";"français",#N/A,FALSE,"Index";#N/A,#N/A,FALSE,"3-Incor";#N/A,#N/A,FALSE,"4-Corpo"}</definedName>
    <definedName name="wrn.français._2_3" hidden="1">{"français",#N/A,FALSE,"Intro";"français",#N/A,FALSE,"Index";#N/A,#N/A,FALSE,"3-Incor";#N/A,#N/A,FALSE,"4-Corpo"}</definedName>
    <definedName name="wrn.français._2_3_1" localSheetId="4" hidden="1">{"français",#N/A,FALSE,"Intro";"français",#N/A,FALSE,"Index";#N/A,#N/A,FALSE,"3-Incor";#N/A,#N/A,FALSE,"4-Corpo"}</definedName>
    <definedName name="wrn.français._2_3_1" hidden="1">{"français",#N/A,FALSE,"Intro";"français",#N/A,FALSE,"Index";#N/A,#N/A,FALSE,"3-Incor";#N/A,#N/A,FALSE,"4-Corpo"}</definedName>
    <definedName name="wrn.français._2_4" localSheetId="4" hidden="1">{"français",#N/A,FALSE,"Intro";"français",#N/A,FALSE,"Index";#N/A,#N/A,FALSE,"3-Incor";#N/A,#N/A,FALSE,"4-Corpo"}</definedName>
    <definedName name="wrn.français._2_4" hidden="1">{"français",#N/A,FALSE,"Intro";"français",#N/A,FALSE,"Index";#N/A,#N/A,FALSE,"3-Incor";#N/A,#N/A,FALSE,"4-Corpo"}</definedName>
    <definedName name="wrn.français._3" localSheetId="4" hidden="1">{"français",#N/A,FALSE,"Intro";"français",#N/A,FALSE,"Index";#N/A,#N/A,FALSE,"3-Incor";#N/A,#N/A,FALSE,"4-Corpo"}</definedName>
    <definedName name="wrn.français._3" hidden="1">{"français",#N/A,FALSE,"Intro";"français",#N/A,FALSE,"Index";#N/A,#N/A,FALSE,"3-Incor";#N/A,#N/A,FALSE,"4-Corpo"}</definedName>
    <definedName name="wrn.français._3_1" localSheetId="4" hidden="1">{"français",#N/A,FALSE,"Intro";"français",#N/A,FALSE,"Index";#N/A,#N/A,FALSE,"3-Incor";#N/A,#N/A,FALSE,"4-Corpo"}</definedName>
    <definedName name="wrn.français._3_1" hidden="1">{"français",#N/A,FALSE,"Intro";"français",#N/A,FALSE,"Index";#N/A,#N/A,FALSE,"3-Incor";#N/A,#N/A,FALSE,"4-Corpo"}</definedName>
    <definedName name="wrn.français._4" localSheetId="4" hidden="1">{"français",#N/A,FALSE,"Intro";"français",#N/A,FALSE,"Index";#N/A,#N/A,FALSE,"3-Incor";#N/A,#N/A,FALSE,"4-Corpo"}</definedName>
    <definedName name="wrn.français._4" hidden="1">{"français",#N/A,FALSE,"Intro";"français",#N/A,FALSE,"Index";#N/A,#N/A,FALSE,"3-Incor";#N/A,#N/A,FALSE,"4-Corpo"}</definedName>
    <definedName name="wrn.français._4_1" localSheetId="4" hidden="1">{"français",#N/A,FALSE,"Intro";"français",#N/A,FALSE,"Index";#N/A,#N/A,FALSE,"3-Incor";#N/A,#N/A,FALSE,"4-Corpo"}</definedName>
    <definedName name="wrn.français._4_1" hidden="1">{"français",#N/A,FALSE,"Intro";"français",#N/A,FALSE,"Index";#N/A,#N/A,FALSE,"3-Incor";#N/A,#N/A,FALSE,"4-Corpo"}</definedName>
    <definedName name="wrn.français._5" localSheetId="4" hidden="1">{"français",#N/A,FALSE,"Intro";"français",#N/A,FALSE,"Index";#N/A,#N/A,FALSE,"3-Incor";#N/A,#N/A,FALSE,"4-Corpo"}</definedName>
    <definedName name="wrn.français._5" hidden="1">{"français",#N/A,FALSE,"Intro";"français",#N/A,FALSE,"Index";#N/A,#N/A,FALSE,"3-Incor";#N/A,#N/A,FALSE,"4-Corpo"}</definedName>
    <definedName name="wrn.français._5_1" localSheetId="4" hidden="1">{"français",#N/A,FALSE,"Intro";"français",#N/A,FALSE,"Index";#N/A,#N/A,FALSE,"3-Incor";#N/A,#N/A,FALSE,"4-Corpo"}</definedName>
    <definedName name="wrn.français._5_1" hidden="1">{"français",#N/A,FALSE,"Intro";"français",#N/A,FALSE,"Index";#N/A,#N/A,FALSE,"3-Incor";#N/A,#N/A,FALSE,"4-Corpo"}</definedName>
    <definedName name="wydruk">[26]GA!$B$19</definedName>
    <definedName name="X" localSheetId="4">{"français",#N/A,FALSE,"Intro";"français",#N/A,FALSE,"Index";#N/A,#N/A,FALSE,"3-Incor";#N/A,#N/A,FALSE,"4-Corpo"}</definedName>
    <definedName name="X">{"français",#N/A,FALSE,"Intro";"français",#N/A,FALSE,"Index";#N/A,#N/A,FALSE,"3-Incor";#N/A,#N/A,FALSE,"4-Corpo"}</definedName>
    <definedName name="X_1" localSheetId="4" hidden="1">{"français",#N/A,FALSE,"Intro";"français",#N/A,FALSE,"Index";#N/A,#N/A,FALSE,"3-Incor";#N/A,#N/A,FALSE,"4-Corpo"}</definedName>
    <definedName name="X_1" hidden="1">{"français",#N/A,FALSE,"Intro";"français",#N/A,FALSE,"Index";#N/A,#N/A,FALSE,"3-Incor";#N/A,#N/A,FALSE,"4-Corpo"}</definedName>
    <definedName name="X_1_1" localSheetId="4" hidden="1">{"français",#N/A,FALSE,"Intro";"français",#N/A,FALSE,"Index";#N/A,#N/A,FALSE,"3-Incor";#N/A,#N/A,FALSE,"4-Corpo"}</definedName>
    <definedName name="X_1_1" hidden="1">{"français",#N/A,FALSE,"Intro";"français",#N/A,FALSE,"Index";#N/A,#N/A,FALSE,"3-Incor";#N/A,#N/A,FALSE,"4-Corpo"}</definedName>
    <definedName name="X_1_1_1" localSheetId="4" hidden="1">{"français",#N/A,FALSE,"Intro";"français",#N/A,FALSE,"Index";#N/A,#N/A,FALSE,"3-Incor";#N/A,#N/A,FALSE,"4-Corpo"}</definedName>
    <definedName name="X_1_1_1" hidden="1">{"français",#N/A,FALSE,"Intro";"français",#N/A,FALSE,"Index";#N/A,#N/A,FALSE,"3-Incor";#N/A,#N/A,FALSE,"4-Corpo"}</definedName>
    <definedName name="X_1_1_1_1" localSheetId="4" hidden="1">{"français",#N/A,FALSE,"Intro";"français",#N/A,FALSE,"Index";#N/A,#N/A,FALSE,"3-Incor";#N/A,#N/A,FALSE,"4-Corpo"}</definedName>
    <definedName name="X_1_1_1_1" hidden="1">{"français",#N/A,FALSE,"Intro";"français",#N/A,FALSE,"Index";#N/A,#N/A,FALSE,"3-Incor";#N/A,#N/A,FALSE,"4-Corpo"}</definedName>
    <definedName name="X_1_1_2" localSheetId="4" hidden="1">{"français",#N/A,FALSE,"Intro";"français",#N/A,FALSE,"Index";#N/A,#N/A,FALSE,"3-Incor";#N/A,#N/A,FALSE,"4-Corpo"}</definedName>
    <definedName name="X_1_1_2" hidden="1">{"français",#N/A,FALSE,"Intro";"français",#N/A,FALSE,"Index";#N/A,#N/A,FALSE,"3-Incor";#N/A,#N/A,FALSE,"4-Corpo"}</definedName>
    <definedName name="X_1_1_2_1" localSheetId="4" hidden="1">{"français",#N/A,FALSE,"Intro";"français",#N/A,FALSE,"Index";#N/A,#N/A,FALSE,"3-Incor";#N/A,#N/A,FALSE,"4-Corpo"}</definedName>
    <definedName name="X_1_1_2_1" hidden="1">{"français",#N/A,FALSE,"Intro";"français",#N/A,FALSE,"Index";#N/A,#N/A,FALSE,"3-Incor";#N/A,#N/A,FALSE,"4-Corpo"}</definedName>
    <definedName name="X_1_1_3" localSheetId="4" hidden="1">{"français",#N/A,FALSE,"Intro";"français",#N/A,FALSE,"Index";#N/A,#N/A,FALSE,"3-Incor";#N/A,#N/A,FALSE,"4-Corpo"}</definedName>
    <definedName name="X_1_1_3" hidden="1">{"français",#N/A,FALSE,"Intro";"français",#N/A,FALSE,"Index";#N/A,#N/A,FALSE,"3-Incor";#N/A,#N/A,FALSE,"4-Corpo"}</definedName>
    <definedName name="X_1_1_3_1" localSheetId="4" hidden="1">{"français",#N/A,FALSE,"Intro";"français",#N/A,FALSE,"Index";#N/A,#N/A,FALSE,"3-Incor";#N/A,#N/A,FALSE,"4-Corpo"}</definedName>
    <definedName name="X_1_1_3_1" hidden="1">{"français",#N/A,FALSE,"Intro";"français",#N/A,FALSE,"Index";#N/A,#N/A,FALSE,"3-Incor";#N/A,#N/A,FALSE,"4-Corpo"}</definedName>
    <definedName name="X_1_1_4" localSheetId="4" hidden="1">{"français",#N/A,FALSE,"Intro";"français",#N/A,FALSE,"Index";#N/A,#N/A,FALSE,"3-Incor";#N/A,#N/A,FALSE,"4-Corpo"}</definedName>
    <definedName name="X_1_1_4" hidden="1">{"français",#N/A,FALSE,"Intro";"français",#N/A,FALSE,"Index";#N/A,#N/A,FALSE,"3-Incor";#N/A,#N/A,FALSE,"4-Corpo"}</definedName>
    <definedName name="X_1_2" localSheetId="4" hidden="1">{"français",#N/A,FALSE,"Intro";"français",#N/A,FALSE,"Index";#N/A,#N/A,FALSE,"3-Incor";#N/A,#N/A,FALSE,"4-Corpo"}</definedName>
    <definedName name="X_1_2" hidden="1">{"français",#N/A,FALSE,"Intro";"français",#N/A,FALSE,"Index";#N/A,#N/A,FALSE,"3-Incor";#N/A,#N/A,FALSE,"4-Corpo"}</definedName>
    <definedName name="X_1_2_1" localSheetId="4" hidden="1">{"français",#N/A,FALSE,"Intro";"français",#N/A,FALSE,"Index";#N/A,#N/A,FALSE,"3-Incor";#N/A,#N/A,FALSE,"4-Corpo"}</definedName>
    <definedName name="X_1_2_1" hidden="1">{"français",#N/A,FALSE,"Intro";"français",#N/A,FALSE,"Index";#N/A,#N/A,FALSE,"3-Incor";#N/A,#N/A,FALSE,"4-Corpo"}</definedName>
    <definedName name="X_1_3" localSheetId="4" hidden="1">{"français",#N/A,FALSE,"Intro";"français",#N/A,FALSE,"Index";#N/A,#N/A,FALSE,"3-Incor";#N/A,#N/A,FALSE,"4-Corpo"}</definedName>
    <definedName name="X_1_3" hidden="1">{"français",#N/A,FALSE,"Intro";"français",#N/A,FALSE,"Index";#N/A,#N/A,FALSE,"3-Incor";#N/A,#N/A,FALSE,"4-Corpo"}</definedName>
    <definedName name="X_1_3_1" localSheetId="4" hidden="1">{"français",#N/A,FALSE,"Intro";"français",#N/A,FALSE,"Index";#N/A,#N/A,FALSE,"3-Incor";#N/A,#N/A,FALSE,"4-Corpo"}</definedName>
    <definedName name="X_1_3_1" hidden="1">{"français",#N/A,FALSE,"Intro";"français",#N/A,FALSE,"Index";#N/A,#N/A,FALSE,"3-Incor";#N/A,#N/A,FALSE,"4-Corpo"}</definedName>
    <definedName name="X_1_4" localSheetId="4" hidden="1">{"français",#N/A,FALSE,"Intro";"français",#N/A,FALSE,"Index";#N/A,#N/A,FALSE,"3-Incor";#N/A,#N/A,FALSE,"4-Corpo"}</definedName>
    <definedName name="X_1_4" hidden="1">{"français",#N/A,FALSE,"Intro";"français",#N/A,FALSE,"Index";#N/A,#N/A,FALSE,"3-Incor";#N/A,#N/A,FALSE,"4-Corpo"}</definedName>
    <definedName name="X_1_4_1" localSheetId="4" hidden="1">{"français",#N/A,FALSE,"Intro";"français",#N/A,FALSE,"Index";#N/A,#N/A,FALSE,"3-Incor";#N/A,#N/A,FALSE,"4-Corpo"}</definedName>
    <definedName name="X_1_4_1" hidden="1">{"français",#N/A,FALSE,"Intro";"français",#N/A,FALSE,"Index";#N/A,#N/A,FALSE,"3-Incor";#N/A,#N/A,FALSE,"4-Corpo"}</definedName>
    <definedName name="X_1_5" localSheetId="4" hidden="1">{"français",#N/A,FALSE,"Intro";"français",#N/A,FALSE,"Index";#N/A,#N/A,FALSE,"3-Incor";#N/A,#N/A,FALSE,"4-Corpo"}</definedName>
    <definedName name="X_1_5" hidden="1">{"français",#N/A,FALSE,"Intro";"français",#N/A,FALSE,"Index";#N/A,#N/A,FALSE,"3-Incor";#N/A,#N/A,FALSE,"4-Corpo"}</definedName>
    <definedName name="X_2" localSheetId="4" hidden="1">{"français",#N/A,FALSE,"Intro";"français",#N/A,FALSE,"Index";#N/A,#N/A,FALSE,"3-Incor";#N/A,#N/A,FALSE,"4-Corpo"}</definedName>
    <definedName name="X_2" hidden="1">{"français",#N/A,FALSE,"Intro";"français",#N/A,FALSE,"Index";#N/A,#N/A,FALSE,"3-Incor";#N/A,#N/A,FALSE,"4-Corpo"}</definedName>
    <definedName name="X_2_1" localSheetId="4" hidden="1">{"français",#N/A,FALSE,"Intro";"français",#N/A,FALSE,"Index";#N/A,#N/A,FALSE,"3-Incor";#N/A,#N/A,FALSE,"4-Corpo"}</definedName>
    <definedName name="X_2_1" hidden="1">{"français",#N/A,FALSE,"Intro";"français",#N/A,FALSE,"Index";#N/A,#N/A,FALSE,"3-Incor";#N/A,#N/A,FALSE,"4-Corpo"}</definedName>
    <definedName name="X_2_1_1" localSheetId="4" hidden="1">{"français",#N/A,FALSE,"Intro";"français",#N/A,FALSE,"Index";#N/A,#N/A,FALSE,"3-Incor";#N/A,#N/A,FALSE,"4-Corpo"}</definedName>
    <definedName name="X_2_1_1" hidden="1">{"français",#N/A,FALSE,"Intro";"français",#N/A,FALSE,"Index";#N/A,#N/A,FALSE,"3-Incor";#N/A,#N/A,FALSE,"4-Corpo"}</definedName>
    <definedName name="X_2_2" localSheetId="4" hidden="1">{"français",#N/A,FALSE,"Intro";"français",#N/A,FALSE,"Index";#N/A,#N/A,FALSE,"3-Incor";#N/A,#N/A,FALSE,"4-Corpo"}</definedName>
    <definedName name="X_2_2" hidden="1">{"français",#N/A,FALSE,"Intro";"français",#N/A,FALSE,"Index";#N/A,#N/A,FALSE,"3-Incor";#N/A,#N/A,FALSE,"4-Corpo"}</definedName>
    <definedName name="X_2_2_1" localSheetId="4" hidden="1">{"français",#N/A,FALSE,"Intro";"français",#N/A,FALSE,"Index";#N/A,#N/A,FALSE,"3-Incor";#N/A,#N/A,FALSE,"4-Corpo"}</definedName>
    <definedName name="X_2_2_1" hidden="1">{"français",#N/A,FALSE,"Intro";"français",#N/A,FALSE,"Index";#N/A,#N/A,FALSE,"3-Incor";#N/A,#N/A,FALSE,"4-Corpo"}</definedName>
    <definedName name="X_2_3" localSheetId="4" hidden="1">{"français",#N/A,FALSE,"Intro";"français",#N/A,FALSE,"Index";#N/A,#N/A,FALSE,"3-Incor";#N/A,#N/A,FALSE,"4-Corpo"}</definedName>
    <definedName name="X_2_3" hidden="1">{"français",#N/A,FALSE,"Intro";"français",#N/A,FALSE,"Index";#N/A,#N/A,FALSE,"3-Incor";#N/A,#N/A,FALSE,"4-Corpo"}</definedName>
    <definedName name="X_2_3_1" localSheetId="4" hidden="1">{"français",#N/A,FALSE,"Intro";"français",#N/A,FALSE,"Index";#N/A,#N/A,FALSE,"3-Incor";#N/A,#N/A,FALSE,"4-Corpo"}</definedName>
    <definedName name="X_2_3_1" hidden="1">{"français",#N/A,FALSE,"Intro";"français",#N/A,FALSE,"Index";#N/A,#N/A,FALSE,"3-Incor";#N/A,#N/A,FALSE,"4-Corpo"}</definedName>
    <definedName name="X_2_4" localSheetId="4" hidden="1">{"français",#N/A,FALSE,"Intro";"français",#N/A,FALSE,"Index";#N/A,#N/A,FALSE,"3-Incor";#N/A,#N/A,FALSE,"4-Corpo"}</definedName>
    <definedName name="X_2_4" hidden="1">{"français",#N/A,FALSE,"Intro";"français",#N/A,FALSE,"Index";#N/A,#N/A,FALSE,"3-Incor";#N/A,#N/A,FALSE,"4-Corpo"}</definedName>
    <definedName name="X_3" localSheetId="4" hidden="1">{"français",#N/A,FALSE,"Intro";"français",#N/A,FALSE,"Index";#N/A,#N/A,FALSE,"3-Incor";#N/A,#N/A,FALSE,"4-Corpo"}</definedName>
    <definedName name="X_3" hidden="1">{"français",#N/A,FALSE,"Intro";"français",#N/A,FALSE,"Index";#N/A,#N/A,FALSE,"3-Incor";#N/A,#N/A,FALSE,"4-Corpo"}</definedName>
    <definedName name="X_3_1" localSheetId="4" hidden="1">{"français",#N/A,FALSE,"Intro";"français",#N/A,FALSE,"Index";#N/A,#N/A,FALSE,"3-Incor";#N/A,#N/A,FALSE,"4-Corpo"}</definedName>
    <definedName name="X_3_1" hidden="1">{"français",#N/A,FALSE,"Intro";"français",#N/A,FALSE,"Index";#N/A,#N/A,FALSE,"3-Incor";#N/A,#N/A,FALSE,"4-Corpo"}</definedName>
    <definedName name="X_4" localSheetId="4" hidden="1">{"français",#N/A,FALSE,"Intro";"français",#N/A,FALSE,"Index";#N/A,#N/A,FALSE,"3-Incor";#N/A,#N/A,FALSE,"4-Corpo"}</definedName>
    <definedName name="X_4" hidden="1">{"français",#N/A,FALSE,"Intro";"français",#N/A,FALSE,"Index";#N/A,#N/A,FALSE,"3-Incor";#N/A,#N/A,FALSE,"4-Corpo"}</definedName>
    <definedName name="X_4_1" localSheetId="4" hidden="1">{"français",#N/A,FALSE,"Intro";"français",#N/A,FALSE,"Index";#N/A,#N/A,FALSE,"3-Incor";#N/A,#N/A,FALSE,"4-Corpo"}</definedName>
    <definedName name="X_4_1" hidden="1">{"français",#N/A,FALSE,"Intro";"français",#N/A,FALSE,"Index";#N/A,#N/A,FALSE,"3-Incor";#N/A,#N/A,FALSE,"4-Corpo"}</definedName>
    <definedName name="X_5" localSheetId="4" hidden="1">{"français",#N/A,FALSE,"Intro";"français",#N/A,FALSE,"Index";#N/A,#N/A,FALSE,"3-Incor";#N/A,#N/A,FALSE,"4-Corpo"}</definedName>
    <definedName name="X_5" hidden="1">{"français",#N/A,FALSE,"Intro";"français",#N/A,FALSE,"Index";#N/A,#N/A,FALSE,"3-Incor";#N/A,#N/A,FALSE,"4-Corpo"}</definedName>
    <definedName name="X_5_1" localSheetId="4" hidden="1">{"français",#N/A,FALSE,"Intro";"français",#N/A,FALSE,"Index";#N/A,#N/A,FALSE,"3-Incor";#N/A,#N/A,FALSE,"4-Corpo"}</definedName>
    <definedName name="X_5_1" hidden="1">{"français",#N/A,FALSE,"Intro";"français",#N/A,FALSE,"Index";#N/A,#N/A,FALSE,"3-Incor";#N/A,#N/A,FALSE,"4-Corpo"}</definedName>
    <definedName name="X_PR_AA_PT_PROG">#REF!</definedName>
    <definedName name="X_PR_AAA_PROG">#REF!</definedName>
    <definedName name="X_PR_AFTERNOON">#REF!</definedName>
    <definedName name="X_PR_BREAKFAST">#REF!</definedName>
    <definedName name="X_PR_DRIVE">#REF!</definedName>
    <definedName name="X_PR_FOOTBALL">#REF!</definedName>
    <definedName name="X_PR_INDIRECT">#REF!</definedName>
    <definedName name="X_PR_MIDDAWN">#REF!</definedName>
    <definedName name="X_PR_MORNINGS">#REF!</definedName>
    <definedName name="X_PR_NIGHTS">#REF!</definedName>
    <definedName name="X_PR_SATURDAY">#REF!</definedName>
    <definedName name="X_PR_SPORTS">#REF!</definedName>
    <definedName name="X_PR_SUNDAY">#REF!</definedName>
    <definedName name="xcvxcvxvxf" localSheetId="4" hidden="1">{"Complaint Graphs",#N/A,FALSE,"Complaint Graphs"}</definedName>
    <definedName name="xcvxcvxvxf" hidden="1">{"Complaint Graphs",#N/A,FALSE,"Complaint Graphs"}</definedName>
    <definedName name="xcvxcvxvxf_1" localSheetId="4" hidden="1">{"Complaint Graphs",#N/A,FALSE,"Complaint Graphs"}</definedName>
    <definedName name="xcvxcvxvxf_1" hidden="1">{"Complaint Graphs",#N/A,FALSE,"Complaint Graphs"}</definedName>
    <definedName name="xcvxcvxvxf_1_1" localSheetId="4" hidden="1">{"Complaint Graphs",#N/A,FALSE,"Complaint Graphs"}</definedName>
    <definedName name="xcvxcvxvxf_1_1" hidden="1">{"Complaint Graphs",#N/A,FALSE,"Complaint Graphs"}</definedName>
    <definedName name="xcvxcvxvxf_1_1_1" localSheetId="4" hidden="1">{"Complaint Graphs",#N/A,FALSE,"Complaint Graphs"}</definedName>
    <definedName name="xcvxcvxvxf_1_1_1" hidden="1">{"Complaint Graphs",#N/A,FALSE,"Complaint Graphs"}</definedName>
    <definedName name="xcvxcvxvxf_1_1_1_1" localSheetId="4" hidden="1">{"Complaint Graphs",#N/A,FALSE,"Complaint Graphs"}</definedName>
    <definedName name="xcvxcvxvxf_1_1_1_1" hidden="1">{"Complaint Graphs",#N/A,FALSE,"Complaint Graphs"}</definedName>
    <definedName name="xcvxcvxvxf_1_1_2" localSheetId="4" hidden="1">{"Complaint Graphs",#N/A,FALSE,"Complaint Graphs"}</definedName>
    <definedName name="xcvxcvxvxf_1_1_2" hidden="1">{"Complaint Graphs",#N/A,FALSE,"Complaint Graphs"}</definedName>
    <definedName name="xcvxcvxvxf_1_1_2_1" localSheetId="4" hidden="1">{"Complaint Graphs",#N/A,FALSE,"Complaint Graphs"}</definedName>
    <definedName name="xcvxcvxvxf_1_1_2_1" hidden="1">{"Complaint Graphs",#N/A,FALSE,"Complaint Graphs"}</definedName>
    <definedName name="xcvxcvxvxf_1_1_3" localSheetId="4" hidden="1">{"Complaint Graphs",#N/A,FALSE,"Complaint Graphs"}</definedName>
    <definedName name="xcvxcvxvxf_1_1_3" hidden="1">{"Complaint Graphs",#N/A,FALSE,"Complaint Graphs"}</definedName>
    <definedName name="xcvxcvxvxf_1_1_3_1" localSheetId="4" hidden="1">{"Complaint Graphs",#N/A,FALSE,"Complaint Graphs"}</definedName>
    <definedName name="xcvxcvxvxf_1_1_3_1" hidden="1">{"Complaint Graphs",#N/A,FALSE,"Complaint Graphs"}</definedName>
    <definedName name="xcvxcvxvxf_1_1_4" localSheetId="4" hidden="1">{"Complaint Graphs",#N/A,FALSE,"Complaint Graphs"}</definedName>
    <definedName name="xcvxcvxvxf_1_1_4" hidden="1">{"Complaint Graphs",#N/A,FALSE,"Complaint Graphs"}</definedName>
    <definedName name="xcvxcvxvxf_1_2" localSheetId="4" hidden="1">{"Complaint Graphs",#N/A,FALSE,"Complaint Graphs"}</definedName>
    <definedName name="xcvxcvxvxf_1_2" hidden="1">{"Complaint Graphs",#N/A,FALSE,"Complaint Graphs"}</definedName>
    <definedName name="xcvxcvxvxf_1_2_1" localSheetId="4" hidden="1">{"Complaint Graphs",#N/A,FALSE,"Complaint Graphs"}</definedName>
    <definedName name="xcvxcvxvxf_1_2_1" hidden="1">{"Complaint Graphs",#N/A,FALSE,"Complaint Graphs"}</definedName>
    <definedName name="xcvxcvxvxf_1_3" localSheetId="4" hidden="1">{"Complaint Graphs",#N/A,FALSE,"Complaint Graphs"}</definedName>
    <definedName name="xcvxcvxvxf_1_3" hidden="1">{"Complaint Graphs",#N/A,FALSE,"Complaint Graphs"}</definedName>
    <definedName name="xcvxcvxvxf_1_3_1" localSheetId="4" hidden="1">{"Complaint Graphs",#N/A,FALSE,"Complaint Graphs"}</definedName>
    <definedName name="xcvxcvxvxf_1_3_1" hidden="1">{"Complaint Graphs",#N/A,FALSE,"Complaint Graphs"}</definedName>
    <definedName name="xcvxcvxvxf_1_4" localSheetId="4" hidden="1">{"Complaint Graphs",#N/A,FALSE,"Complaint Graphs"}</definedName>
    <definedName name="xcvxcvxvxf_1_4" hidden="1">{"Complaint Graphs",#N/A,FALSE,"Complaint Graphs"}</definedName>
    <definedName name="xcvxcvxvxf_1_4_1" localSheetId="4" hidden="1">{"Complaint Graphs",#N/A,FALSE,"Complaint Graphs"}</definedName>
    <definedName name="xcvxcvxvxf_1_4_1" hidden="1">{"Complaint Graphs",#N/A,FALSE,"Complaint Graphs"}</definedName>
    <definedName name="xcvxcvxvxf_1_5" localSheetId="4" hidden="1">{"Complaint Graphs",#N/A,FALSE,"Complaint Graphs"}</definedName>
    <definedName name="xcvxcvxvxf_1_5" hidden="1">{"Complaint Graphs",#N/A,FALSE,"Complaint Graphs"}</definedName>
    <definedName name="xcvxcvxvxf_2" localSheetId="4" hidden="1">{"Complaint Graphs",#N/A,FALSE,"Complaint Graphs"}</definedName>
    <definedName name="xcvxcvxvxf_2" hidden="1">{"Complaint Graphs",#N/A,FALSE,"Complaint Graphs"}</definedName>
    <definedName name="xcvxcvxvxf_2_1" localSheetId="4" hidden="1">{"Complaint Graphs",#N/A,FALSE,"Complaint Graphs"}</definedName>
    <definedName name="xcvxcvxvxf_2_1" hidden="1">{"Complaint Graphs",#N/A,FALSE,"Complaint Graphs"}</definedName>
    <definedName name="xcvxcvxvxf_2_1_1" localSheetId="4" hidden="1">{"Complaint Graphs",#N/A,FALSE,"Complaint Graphs"}</definedName>
    <definedName name="xcvxcvxvxf_2_1_1" hidden="1">{"Complaint Graphs",#N/A,FALSE,"Complaint Graphs"}</definedName>
    <definedName name="xcvxcvxvxf_2_2" localSheetId="4" hidden="1">{"Complaint Graphs",#N/A,FALSE,"Complaint Graphs"}</definedName>
    <definedName name="xcvxcvxvxf_2_2" hidden="1">{"Complaint Graphs",#N/A,FALSE,"Complaint Graphs"}</definedName>
    <definedName name="xcvxcvxvxf_2_2_1" localSheetId="4" hidden="1">{"Complaint Graphs",#N/A,FALSE,"Complaint Graphs"}</definedName>
    <definedName name="xcvxcvxvxf_2_2_1" hidden="1">{"Complaint Graphs",#N/A,FALSE,"Complaint Graphs"}</definedName>
    <definedName name="xcvxcvxvxf_2_3" localSheetId="4" hidden="1">{"Complaint Graphs",#N/A,FALSE,"Complaint Graphs"}</definedName>
    <definedName name="xcvxcvxvxf_2_3" hidden="1">{"Complaint Graphs",#N/A,FALSE,"Complaint Graphs"}</definedName>
    <definedName name="xcvxcvxvxf_2_3_1" localSheetId="4" hidden="1">{"Complaint Graphs",#N/A,FALSE,"Complaint Graphs"}</definedName>
    <definedName name="xcvxcvxvxf_2_3_1" hidden="1">{"Complaint Graphs",#N/A,FALSE,"Complaint Graphs"}</definedName>
    <definedName name="xcvxcvxvxf_2_4" localSheetId="4" hidden="1">{"Complaint Graphs",#N/A,FALSE,"Complaint Graphs"}</definedName>
    <definedName name="xcvxcvxvxf_2_4" hidden="1">{"Complaint Graphs",#N/A,FALSE,"Complaint Graphs"}</definedName>
    <definedName name="xcvxcvxvxf_3" localSheetId="4" hidden="1">{"Complaint Graphs",#N/A,FALSE,"Complaint Graphs"}</definedName>
    <definedName name="xcvxcvxvxf_3" hidden="1">{"Complaint Graphs",#N/A,FALSE,"Complaint Graphs"}</definedName>
    <definedName name="xcvxcvxvxf_3_1" localSheetId="4" hidden="1">{"Complaint Graphs",#N/A,FALSE,"Complaint Graphs"}</definedName>
    <definedName name="xcvxcvxvxf_3_1" hidden="1">{"Complaint Graphs",#N/A,FALSE,"Complaint Graphs"}</definedName>
    <definedName name="xcvxcvxvxf_4" localSheetId="4" hidden="1">{"Complaint Graphs",#N/A,FALSE,"Complaint Graphs"}</definedName>
    <definedName name="xcvxcvxvxf_4" hidden="1">{"Complaint Graphs",#N/A,FALSE,"Complaint Graphs"}</definedName>
    <definedName name="xcvxcvxvxf_4_1" localSheetId="4" hidden="1">{"Complaint Graphs",#N/A,FALSE,"Complaint Graphs"}</definedName>
    <definedName name="xcvxcvxvxf_4_1" hidden="1">{"Complaint Graphs",#N/A,FALSE,"Complaint Graphs"}</definedName>
    <definedName name="xcvxcvxvxf_5" localSheetId="4" hidden="1">{"Complaint Graphs",#N/A,FALSE,"Complaint Graphs"}</definedName>
    <definedName name="xcvxcvxvxf_5" hidden="1">{"Complaint Graphs",#N/A,FALSE,"Complaint Graphs"}</definedName>
    <definedName name="xcvxcvxvxf_5_1" localSheetId="4" hidden="1">{"Complaint Graphs",#N/A,FALSE,"Complaint Graphs"}</definedName>
    <definedName name="xcvxcvxvxf_5_1" hidden="1">{"Complaint Graphs",#N/A,FALSE,"Complaint Graphs"}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13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'[58]Disposal Details (to obtain)'!#REF!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36</definedName>
    <definedName name="XX09671a03161d403dbe3874127adc676c" hidden="1">[59]Documentation!#REF!</definedName>
    <definedName name="XX8da22f8568cb4e78a9733b62ef111071" hidden="1">#REF!</definedName>
    <definedName name="xzc" localSheetId="4" hidden="1">{"Complaint Graphs",#N/A,FALSE,"Complaint Graphs"}</definedName>
    <definedName name="xzc" hidden="1">{"Complaint Graphs",#N/A,FALSE,"Complaint Graphs"}</definedName>
    <definedName name="xzc_1" localSheetId="4" hidden="1">{"Complaint Graphs",#N/A,FALSE,"Complaint Graphs"}</definedName>
    <definedName name="xzc_1" hidden="1">{"Complaint Graphs",#N/A,FALSE,"Complaint Graphs"}</definedName>
    <definedName name="xzc_1_1" localSheetId="4" hidden="1">{"Complaint Graphs",#N/A,FALSE,"Complaint Graphs"}</definedName>
    <definedName name="xzc_1_1" hidden="1">{"Complaint Graphs",#N/A,FALSE,"Complaint Graphs"}</definedName>
    <definedName name="xzc_1_1_1" localSheetId="4" hidden="1">{"Complaint Graphs",#N/A,FALSE,"Complaint Graphs"}</definedName>
    <definedName name="xzc_1_1_1" hidden="1">{"Complaint Graphs",#N/A,FALSE,"Complaint Graphs"}</definedName>
    <definedName name="xzc_1_1_1_1" localSheetId="4" hidden="1">{"Complaint Graphs",#N/A,FALSE,"Complaint Graphs"}</definedName>
    <definedName name="xzc_1_1_1_1" hidden="1">{"Complaint Graphs",#N/A,FALSE,"Complaint Graphs"}</definedName>
    <definedName name="xzc_1_1_2" localSheetId="4" hidden="1">{"Complaint Graphs",#N/A,FALSE,"Complaint Graphs"}</definedName>
    <definedName name="xzc_1_1_2" hidden="1">{"Complaint Graphs",#N/A,FALSE,"Complaint Graphs"}</definedName>
    <definedName name="xzc_1_1_2_1" localSheetId="4" hidden="1">{"Complaint Graphs",#N/A,FALSE,"Complaint Graphs"}</definedName>
    <definedName name="xzc_1_1_2_1" hidden="1">{"Complaint Graphs",#N/A,FALSE,"Complaint Graphs"}</definedName>
    <definedName name="xzc_1_1_3" localSheetId="4" hidden="1">{"Complaint Graphs",#N/A,FALSE,"Complaint Graphs"}</definedName>
    <definedName name="xzc_1_1_3" hidden="1">{"Complaint Graphs",#N/A,FALSE,"Complaint Graphs"}</definedName>
    <definedName name="xzc_1_1_3_1" localSheetId="4" hidden="1">{"Complaint Graphs",#N/A,FALSE,"Complaint Graphs"}</definedName>
    <definedName name="xzc_1_1_3_1" hidden="1">{"Complaint Graphs",#N/A,FALSE,"Complaint Graphs"}</definedName>
    <definedName name="xzc_1_1_4" localSheetId="4" hidden="1">{"Complaint Graphs",#N/A,FALSE,"Complaint Graphs"}</definedName>
    <definedName name="xzc_1_1_4" hidden="1">{"Complaint Graphs",#N/A,FALSE,"Complaint Graphs"}</definedName>
    <definedName name="xzc_1_2" localSheetId="4" hidden="1">{"Complaint Graphs",#N/A,FALSE,"Complaint Graphs"}</definedName>
    <definedName name="xzc_1_2" hidden="1">{"Complaint Graphs",#N/A,FALSE,"Complaint Graphs"}</definedName>
    <definedName name="xzc_1_2_1" localSheetId="4" hidden="1">{"Complaint Graphs",#N/A,FALSE,"Complaint Graphs"}</definedName>
    <definedName name="xzc_1_2_1" hidden="1">{"Complaint Graphs",#N/A,FALSE,"Complaint Graphs"}</definedName>
    <definedName name="xzc_1_3" localSheetId="4" hidden="1">{"Complaint Graphs",#N/A,FALSE,"Complaint Graphs"}</definedName>
    <definedName name="xzc_1_3" hidden="1">{"Complaint Graphs",#N/A,FALSE,"Complaint Graphs"}</definedName>
    <definedName name="xzc_1_3_1" localSheetId="4" hidden="1">{"Complaint Graphs",#N/A,FALSE,"Complaint Graphs"}</definedName>
    <definedName name="xzc_1_3_1" hidden="1">{"Complaint Graphs",#N/A,FALSE,"Complaint Graphs"}</definedName>
    <definedName name="xzc_1_4" localSheetId="4" hidden="1">{"Complaint Graphs",#N/A,FALSE,"Complaint Graphs"}</definedName>
    <definedName name="xzc_1_4" hidden="1">{"Complaint Graphs",#N/A,FALSE,"Complaint Graphs"}</definedName>
    <definedName name="xzc_1_4_1" localSheetId="4" hidden="1">{"Complaint Graphs",#N/A,FALSE,"Complaint Graphs"}</definedName>
    <definedName name="xzc_1_4_1" hidden="1">{"Complaint Graphs",#N/A,FALSE,"Complaint Graphs"}</definedName>
    <definedName name="xzc_1_5" localSheetId="4" hidden="1">{"Complaint Graphs",#N/A,FALSE,"Complaint Graphs"}</definedName>
    <definedName name="xzc_1_5" hidden="1">{"Complaint Graphs",#N/A,FALSE,"Complaint Graphs"}</definedName>
    <definedName name="xzc_2" localSheetId="4" hidden="1">{"Complaint Graphs",#N/A,FALSE,"Complaint Graphs"}</definedName>
    <definedName name="xzc_2" hidden="1">{"Complaint Graphs",#N/A,FALSE,"Complaint Graphs"}</definedName>
    <definedName name="xzc_2_1" localSheetId="4" hidden="1">{"Complaint Graphs",#N/A,FALSE,"Complaint Graphs"}</definedName>
    <definedName name="xzc_2_1" hidden="1">{"Complaint Graphs",#N/A,FALSE,"Complaint Graphs"}</definedName>
    <definedName name="xzc_2_1_1" localSheetId="4" hidden="1">{"Complaint Graphs",#N/A,FALSE,"Complaint Graphs"}</definedName>
    <definedName name="xzc_2_1_1" hidden="1">{"Complaint Graphs",#N/A,FALSE,"Complaint Graphs"}</definedName>
    <definedName name="xzc_2_2" localSheetId="4" hidden="1">{"Complaint Graphs",#N/A,FALSE,"Complaint Graphs"}</definedName>
    <definedName name="xzc_2_2" hidden="1">{"Complaint Graphs",#N/A,FALSE,"Complaint Graphs"}</definedName>
    <definedName name="xzc_2_2_1" localSheetId="4" hidden="1">{"Complaint Graphs",#N/A,FALSE,"Complaint Graphs"}</definedName>
    <definedName name="xzc_2_2_1" hidden="1">{"Complaint Graphs",#N/A,FALSE,"Complaint Graphs"}</definedName>
    <definedName name="xzc_2_3" localSheetId="4" hidden="1">{"Complaint Graphs",#N/A,FALSE,"Complaint Graphs"}</definedName>
    <definedName name="xzc_2_3" hidden="1">{"Complaint Graphs",#N/A,FALSE,"Complaint Graphs"}</definedName>
    <definedName name="xzc_2_3_1" localSheetId="4" hidden="1">{"Complaint Graphs",#N/A,FALSE,"Complaint Graphs"}</definedName>
    <definedName name="xzc_2_3_1" hidden="1">{"Complaint Graphs",#N/A,FALSE,"Complaint Graphs"}</definedName>
    <definedName name="xzc_2_4" localSheetId="4" hidden="1">{"Complaint Graphs",#N/A,FALSE,"Complaint Graphs"}</definedName>
    <definedName name="xzc_2_4" hidden="1">{"Complaint Graphs",#N/A,FALSE,"Complaint Graphs"}</definedName>
    <definedName name="xzc_3" localSheetId="4" hidden="1">{"Complaint Graphs",#N/A,FALSE,"Complaint Graphs"}</definedName>
    <definedName name="xzc_3" hidden="1">{"Complaint Graphs",#N/A,FALSE,"Complaint Graphs"}</definedName>
    <definedName name="xzc_3_1" localSheetId="4" hidden="1">{"Complaint Graphs",#N/A,FALSE,"Complaint Graphs"}</definedName>
    <definedName name="xzc_3_1" hidden="1">{"Complaint Graphs",#N/A,FALSE,"Complaint Graphs"}</definedName>
    <definedName name="xzc_4" localSheetId="4" hidden="1">{"Complaint Graphs",#N/A,FALSE,"Complaint Graphs"}</definedName>
    <definedName name="xzc_4" hidden="1">{"Complaint Graphs",#N/A,FALSE,"Complaint Graphs"}</definedName>
    <definedName name="xzc_4_1" localSheetId="4" hidden="1">{"Complaint Graphs",#N/A,FALSE,"Complaint Graphs"}</definedName>
    <definedName name="xzc_4_1" hidden="1">{"Complaint Graphs",#N/A,FALSE,"Complaint Graphs"}</definedName>
    <definedName name="xzc_5" localSheetId="4" hidden="1">{"Complaint Graphs",#N/A,FALSE,"Complaint Graphs"}</definedName>
    <definedName name="xzc_5" hidden="1">{"Complaint Graphs",#N/A,FALSE,"Complaint Graphs"}</definedName>
    <definedName name="xzc_5_1" localSheetId="4" hidden="1">{"Complaint Graphs",#N/A,FALSE,"Complaint Graphs"}</definedName>
    <definedName name="xzc_5_1" hidden="1">{"Complaint Graphs",#N/A,FALSE,"Complaint Graphs"}</definedName>
    <definedName name="Year">#REF!</definedName>
    <definedName name="Yellow">[8]Data!$H$60:$I$68</definedName>
    <definedName name="YTD">#REF!</definedName>
    <definedName name="YTD2">#REF!</definedName>
    <definedName name="yui" hidden="1">[11]CFS_TO!$B$53</definedName>
    <definedName name="zxcvxzc" localSheetId="4" hidden="1">{"Complaint Graphs",#N/A,FALSE,"Complaint Graphs"}</definedName>
    <definedName name="zxcvxzc" hidden="1">{"Complaint Graphs",#N/A,FALSE,"Complaint Graphs"}</definedName>
    <definedName name="zxcvxzc_1" localSheetId="4" hidden="1">{"Complaint Graphs",#N/A,FALSE,"Complaint Graphs"}</definedName>
    <definedName name="zxcvxzc_1" hidden="1">{"Complaint Graphs",#N/A,FALSE,"Complaint Graphs"}</definedName>
    <definedName name="zxcvxzc_1_1" localSheetId="4" hidden="1">{"Complaint Graphs",#N/A,FALSE,"Complaint Graphs"}</definedName>
    <definedName name="zxcvxzc_1_1" hidden="1">{"Complaint Graphs",#N/A,FALSE,"Complaint Graphs"}</definedName>
    <definedName name="zxcvxzc_1_1_1" localSheetId="4" hidden="1">{"Complaint Graphs",#N/A,FALSE,"Complaint Graphs"}</definedName>
    <definedName name="zxcvxzc_1_1_1" hidden="1">{"Complaint Graphs",#N/A,FALSE,"Complaint Graphs"}</definedName>
    <definedName name="zxcvxzc_1_1_1_1" localSheetId="4" hidden="1">{"Complaint Graphs",#N/A,FALSE,"Complaint Graphs"}</definedName>
    <definedName name="zxcvxzc_1_1_1_1" hidden="1">{"Complaint Graphs",#N/A,FALSE,"Complaint Graphs"}</definedName>
    <definedName name="zxcvxzc_1_1_2" localSheetId="4" hidden="1">{"Complaint Graphs",#N/A,FALSE,"Complaint Graphs"}</definedName>
    <definedName name="zxcvxzc_1_1_2" hidden="1">{"Complaint Graphs",#N/A,FALSE,"Complaint Graphs"}</definedName>
    <definedName name="zxcvxzc_1_1_2_1" localSheetId="4" hidden="1">{"Complaint Graphs",#N/A,FALSE,"Complaint Graphs"}</definedName>
    <definedName name="zxcvxzc_1_1_2_1" hidden="1">{"Complaint Graphs",#N/A,FALSE,"Complaint Graphs"}</definedName>
    <definedName name="zxcvxzc_1_1_3" localSheetId="4" hidden="1">{"Complaint Graphs",#N/A,FALSE,"Complaint Graphs"}</definedName>
    <definedName name="zxcvxzc_1_1_3" hidden="1">{"Complaint Graphs",#N/A,FALSE,"Complaint Graphs"}</definedName>
    <definedName name="zxcvxzc_1_1_3_1" localSheetId="4" hidden="1">{"Complaint Graphs",#N/A,FALSE,"Complaint Graphs"}</definedName>
    <definedName name="zxcvxzc_1_1_3_1" hidden="1">{"Complaint Graphs",#N/A,FALSE,"Complaint Graphs"}</definedName>
    <definedName name="zxcvxzc_1_1_4" localSheetId="4" hidden="1">{"Complaint Graphs",#N/A,FALSE,"Complaint Graphs"}</definedName>
    <definedName name="zxcvxzc_1_1_4" hidden="1">{"Complaint Graphs",#N/A,FALSE,"Complaint Graphs"}</definedName>
    <definedName name="zxcvxzc_1_2" localSheetId="4" hidden="1">{"Complaint Graphs",#N/A,FALSE,"Complaint Graphs"}</definedName>
    <definedName name="zxcvxzc_1_2" hidden="1">{"Complaint Graphs",#N/A,FALSE,"Complaint Graphs"}</definedName>
    <definedName name="zxcvxzc_1_2_1" localSheetId="4" hidden="1">{"Complaint Graphs",#N/A,FALSE,"Complaint Graphs"}</definedName>
    <definedName name="zxcvxzc_1_2_1" hidden="1">{"Complaint Graphs",#N/A,FALSE,"Complaint Graphs"}</definedName>
    <definedName name="zxcvxzc_1_3" localSheetId="4" hidden="1">{"Complaint Graphs",#N/A,FALSE,"Complaint Graphs"}</definedName>
    <definedName name="zxcvxzc_1_3" hidden="1">{"Complaint Graphs",#N/A,FALSE,"Complaint Graphs"}</definedName>
    <definedName name="zxcvxzc_1_3_1" localSheetId="4" hidden="1">{"Complaint Graphs",#N/A,FALSE,"Complaint Graphs"}</definedName>
    <definedName name="zxcvxzc_1_3_1" hidden="1">{"Complaint Graphs",#N/A,FALSE,"Complaint Graphs"}</definedName>
    <definedName name="zxcvxzc_1_4" localSheetId="4" hidden="1">{"Complaint Graphs",#N/A,FALSE,"Complaint Graphs"}</definedName>
    <definedName name="zxcvxzc_1_4" hidden="1">{"Complaint Graphs",#N/A,FALSE,"Complaint Graphs"}</definedName>
    <definedName name="zxcvxzc_1_4_1" localSheetId="4" hidden="1">{"Complaint Graphs",#N/A,FALSE,"Complaint Graphs"}</definedName>
    <definedName name="zxcvxzc_1_4_1" hidden="1">{"Complaint Graphs",#N/A,FALSE,"Complaint Graphs"}</definedName>
    <definedName name="zxcvxzc_1_5" localSheetId="4" hidden="1">{"Complaint Graphs",#N/A,FALSE,"Complaint Graphs"}</definedName>
    <definedName name="zxcvxzc_1_5" hidden="1">{"Complaint Graphs",#N/A,FALSE,"Complaint Graphs"}</definedName>
    <definedName name="zxcvxzc_2" localSheetId="4" hidden="1">{"Complaint Graphs",#N/A,FALSE,"Complaint Graphs"}</definedName>
    <definedName name="zxcvxzc_2" hidden="1">{"Complaint Graphs",#N/A,FALSE,"Complaint Graphs"}</definedName>
    <definedName name="zxcvxzc_2_1" localSheetId="4" hidden="1">{"Complaint Graphs",#N/A,FALSE,"Complaint Graphs"}</definedName>
    <definedName name="zxcvxzc_2_1" hidden="1">{"Complaint Graphs",#N/A,FALSE,"Complaint Graphs"}</definedName>
    <definedName name="zxcvxzc_2_1_1" localSheetId="4" hidden="1">{"Complaint Graphs",#N/A,FALSE,"Complaint Graphs"}</definedName>
    <definedName name="zxcvxzc_2_1_1" hidden="1">{"Complaint Graphs",#N/A,FALSE,"Complaint Graphs"}</definedName>
    <definedName name="zxcvxzc_2_2" localSheetId="4" hidden="1">{"Complaint Graphs",#N/A,FALSE,"Complaint Graphs"}</definedName>
    <definedName name="zxcvxzc_2_2" hidden="1">{"Complaint Graphs",#N/A,FALSE,"Complaint Graphs"}</definedName>
    <definedName name="zxcvxzc_2_2_1" localSheetId="4" hidden="1">{"Complaint Graphs",#N/A,FALSE,"Complaint Graphs"}</definedName>
    <definedName name="zxcvxzc_2_2_1" hidden="1">{"Complaint Graphs",#N/A,FALSE,"Complaint Graphs"}</definedName>
    <definedName name="zxcvxzc_2_3" localSheetId="4" hidden="1">{"Complaint Graphs",#N/A,FALSE,"Complaint Graphs"}</definedName>
    <definedName name="zxcvxzc_2_3" hidden="1">{"Complaint Graphs",#N/A,FALSE,"Complaint Graphs"}</definedName>
    <definedName name="zxcvxzc_2_3_1" localSheetId="4" hidden="1">{"Complaint Graphs",#N/A,FALSE,"Complaint Graphs"}</definedName>
    <definedName name="zxcvxzc_2_3_1" hidden="1">{"Complaint Graphs",#N/A,FALSE,"Complaint Graphs"}</definedName>
    <definedName name="zxcvxzc_2_4" localSheetId="4" hidden="1">{"Complaint Graphs",#N/A,FALSE,"Complaint Graphs"}</definedName>
    <definedName name="zxcvxzc_2_4" hidden="1">{"Complaint Graphs",#N/A,FALSE,"Complaint Graphs"}</definedName>
    <definedName name="zxcvxzc_3" localSheetId="4" hidden="1">{"Complaint Graphs",#N/A,FALSE,"Complaint Graphs"}</definedName>
    <definedName name="zxcvxzc_3" hidden="1">{"Complaint Graphs",#N/A,FALSE,"Complaint Graphs"}</definedName>
    <definedName name="zxcvxzc_3_1" localSheetId="4" hidden="1">{"Complaint Graphs",#N/A,FALSE,"Complaint Graphs"}</definedName>
    <definedName name="zxcvxzc_3_1" hidden="1">{"Complaint Graphs",#N/A,FALSE,"Complaint Graphs"}</definedName>
    <definedName name="zxcvxzc_4" localSheetId="4" hidden="1">{"Complaint Graphs",#N/A,FALSE,"Complaint Graphs"}</definedName>
    <definedName name="zxcvxzc_4" hidden="1">{"Complaint Graphs",#N/A,FALSE,"Complaint Graphs"}</definedName>
    <definedName name="zxcvxzc_4_1" localSheetId="4" hidden="1">{"Complaint Graphs",#N/A,FALSE,"Complaint Graphs"}</definedName>
    <definedName name="zxcvxzc_4_1" hidden="1">{"Complaint Graphs",#N/A,FALSE,"Complaint Graphs"}</definedName>
    <definedName name="zxcvxzc_5" localSheetId="4" hidden="1">{"Complaint Graphs",#N/A,FALSE,"Complaint Graphs"}</definedName>
    <definedName name="zxcvxzc_5" hidden="1">{"Complaint Graphs",#N/A,FALSE,"Complaint Graphs"}</definedName>
    <definedName name="zxcvxzc_5_1" localSheetId="4" hidden="1">{"Complaint Graphs",#N/A,FALSE,"Complaint Graphs"}</definedName>
    <definedName name="zxcvxzc_5_1" hidden="1">{"Complaint Graphs",#N/A,FALSE,"Complaint Graphs"}</definedName>
    <definedName name="zxdfasdfz" localSheetId="4" hidden="1">{"Complaint Graphs",#N/A,FALSE,"Complaint Graphs"}</definedName>
    <definedName name="zxdfasdfz" hidden="1">{"Complaint Graphs",#N/A,FALSE,"Complaint Graphs"}</definedName>
    <definedName name="zxdfasdfz_1" localSheetId="4" hidden="1">{"Complaint Graphs",#N/A,FALSE,"Complaint Graphs"}</definedName>
    <definedName name="zxdfasdfz_1" hidden="1">{"Complaint Graphs",#N/A,FALSE,"Complaint Graphs"}</definedName>
    <definedName name="zxdfasdfz_1_1" localSheetId="4" hidden="1">{"Complaint Graphs",#N/A,FALSE,"Complaint Graphs"}</definedName>
    <definedName name="zxdfasdfz_1_1" hidden="1">{"Complaint Graphs",#N/A,FALSE,"Complaint Graphs"}</definedName>
    <definedName name="zxdfasdfz_1_1_1" localSheetId="4" hidden="1">{"Complaint Graphs",#N/A,FALSE,"Complaint Graphs"}</definedName>
    <definedName name="zxdfasdfz_1_1_1" hidden="1">{"Complaint Graphs",#N/A,FALSE,"Complaint Graphs"}</definedName>
    <definedName name="zxdfasdfz_1_1_1_1" localSheetId="4" hidden="1">{"Complaint Graphs",#N/A,FALSE,"Complaint Graphs"}</definedName>
    <definedName name="zxdfasdfz_1_1_1_1" hidden="1">{"Complaint Graphs",#N/A,FALSE,"Complaint Graphs"}</definedName>
    <definedName name="zxdfasdfz_1_1_2" localSheetId="4" hidden="1">{"Complaint Graphs",#N/A,FALSE,"Complaint Graphs"}</definedName>
    <definedName name="zxdfasdfz_1_1_2" hidden="1">{"Complaint Graphs",#N/A,FALSE,"Complaint Graphs"}</definedName>
    <definedName name="zxdfasdfz_1_1_2_1" localSheetId="4" hidden="1">{"Complaint Graphs",#N/A,FALSE,"Complaint Graphs"}</definedName>
    <definedName name="zxdfasdfz_1_1_2_1" hidden="1">{"Complaint Graphs",#N/A,FALSE,"Complaint Graphs"}</definedName>
    <definedName name="zxdfasdfz_1_1_3" localSheetId="4" hidden="1">{"Complaint Graphs",#N/A,FALSE,"Complaint Graphs"}</definedName>
    <definedName name="zxdfasdfz_1_1_3" hidden="1">{"Complaint Graphs",#N/A,FALSE,"Complaint Graphs"}</definedName>
    <definedName name="zxdfasdfz_1_1_3_1" localSheetId="4" hidden="1">{"Complaint Graphs",#N/A,FALSE,"Complaint Graphs"}</definedName>
    <definedName name="zxdfasdfz_1_1_3_1" hidden="1">{"Complaint Graphs",#N/A,FALSE,"Complaint Graphs"}</definedName>
    <definedName name="zxdfasdfz_1_1_4" localSheetId="4" hidden="1">{"Complaint Graphs",#N/A,FALSE,"Complaint Graphs"}</definedName>
    <definedName name="zxdfasdfz_1_1_4" hidden="1">{"Complaint Graphs",#N/A,FALSE,"Complaint Graphs"}</definedName>
    <definedName name="zxdfasdfz_1_2" localSheetId="4" hidden="1">{"Complaint Graphs",#N/A,FALSE,"Complaint Graphs"}</definedName>
    <definedName name="zxdfasdfz_1_2" hidden="1">{"Complaint Graphs",#N/A,FALSE,"Complaint Graphs"}</definedName>
    <definedName name="zxdfasdfz_1_2_1" localSheetId="4" hidden="1">{"Complaint Graphs",#N/A,FALSE,"Complaint Graphs"}</definedName>
    <definedName name="zxdfasdfz_1_2_1" hidden="1">{"Complaint Graphs",#N/A,FALSE,"Complaint Graphs"}</definedName>
    <definedName name="zxdfasdfz_1_3" localSheetId="4" hidden="1">{"Complaint Graphs",#N/A,FALSE,"Complaint Graphs"}</definedName>
    <definedName name="zxdfasdfz_1_3" hidden="1">{"Complaint Graphs",#N/A,FALSE,"Complaint Graphs"}</definedName>
    <definedName name="zxdfasdfz_1_3_1" localSheetId="4" hidden="1">{"Complaint Graphs",#N/A,FALSE,"Complaint Graphs"}</definedName>
    <definedName name="zxdfasdfz_1_3_1" hidden="1">{"Complaint Graphs",#N/A,FALSE,"Complaint Graphs"}</definedName>
    <definedName name="zxdfasdfz_1_4" localSheetId="4" hidden="1">{"Complaint Graphs",#N/A,FALSE,"Complaint Graphs"}</definedName>
    <definedName name="zxdfasdfz_1_4" hidden="1">{"Complaint Graphs",#N/A,FALSE,"Complaint Graphs"}</definedName>
    <definedName name="zxdfasdfz_1_4_1" localSheetId="4" hidden="1">{"Complaint Graphs",#N/A,FALSE,"Complaint Graphs"}</definedName>
    <definedName name="zxdfasdfz_1_4_1" hidden="1">{"Complaint Graphs",#N/A,FALSE,"Complaint Graphs"}</definedName>
    <definedName name="zxdfasdfz_1_5" localSheetId="4" hidden="1">{"Complaint Graphs",#N/A,FALSE,"Complaint Graphs"}</definedName>
    <definedName name="zxdfasdfz_1_5" hidden="1">{"Complaint Graphs",#N/A,FALSE,"Complaint Graphs"}</definedName>
    <definedName name="zxdfasdfz_2" localSheetId="4" hidden="1">{"Complaint Graphs",#N/A,FALSE,"Complaint Graphs"}</definedName>
    <definedName name="zxdfasdfz_2" hidden="1">{"Complaint Graphs",#N/A,FALSE,"Complaint Graphs"}</definedName>
    <definedName name="zxdfasdfz_2_1" localSheetId="4" hidden="1">{"Complaint Graphs",#N/A,FALSE,"Complaint Graphs"}</definedName>
    <definedName name="zxdfasdfz_2_1" hidden="1">{"Complaint Graphs",#N/A,FALSE,"Complaint Graphs"}</definedName>
    <definedName name="zxdfasdfz_2_1_1" localSheetId="4" hidden="1">{"Complaint Graphs",#N/A,FALSE,"Complaint Graphs"}</definedName>
    <definedName name="zxdfasdfz_2_1_1" hidden="1">{"Complaint Graphs",#N/A,FALSE,"Complaint Graphs"}</definedName>
    <definedName name="zxdfasdfz_2_2" localSheetId="4" hidden="1">{"Complaint Graphs",#N/A,FALSE,"Complaint Graphs"}</definedName>
    <definedName name="zxdfasdfz_2_2" hidden="1">{"Complaint Graphs",#N/A,FALSE,"Complaint Graphs"}</definedName>
    <definedName name="zxdfasdfz_2_2_1" localSheetId="4" hidden="1">{"Complaint Graphs",#N/A,FALSE,"Complaint Graphs"}</definedName>
    <definedName name="zxdfasdfz_2_2_1" hidden="1">{"Complaint Graphs",#N/A,FALSE,"Complaint Graphs"}</definedName>
    <definedName name="zxdfasdfz_2_3" localSheetId="4" hidden="1">{"Complaint Graphs",#N/A,FALSE,"Complaint Graphs"}</definedName>
    <definedName name="zxdfasdfz_2_3" hidden="1">{"Complaint Graphs",#N/A,FALSE,"Complaint Graphs"}</definedName>
    <definedName name="zxdfasdfz_2_3_1" localSheetId="4" hidden="1">{"Complaint Graphs",#N/A,FALSE,"Complaint Graphs"}</definedName>
    <definedName name="zxdfasdfz_2_3_1" hidden="1">{"Complaint Graphs",#N/A,FALSE,"Complaint Graphs"}</definedName>
    <definedName name="zxdfasdfz_2_4" localSheetId="4" hidden="1">{"Complaint Graphs",#N/A,FALSE,"Complaint Graphs"}</definedName>
    <definedName name="zxdfasdfz_2_4" hidden="1">{"Complaint Graphs",#N/A,FALSE,"Complaint Graphs"}</definedName>
    <definedName name="zxdfasdfz_3" localSheetId="4" hidden="1">{"Complaint Graphs",#N/A,FALSE,"Complaint Graphs"}</definedName>
    <definedName name="zxdfasdfz_3" hidden="1">{"Complaint Graphs",#N/A,FALSE,"Complaint Graphs"}</definedName>
    <definedName name="zxdfasdfz_3_1" localSheetId="4" hidden="1">{"Complaint Graphs",#N/A,FALSE,"Complaint Graphs"}</definedName>
    <definedName name="zxdfasdfz_3_1" hidden="1">{"Complaint Graphs",#N/A,FALSE,"Complaint Graphs"}</definedName>
    <definedName name="zxdfasdfz_4" localSheetId="4" hidden="1">{"Complaint Graphs",#N/A,FALSE,"Complaint Graphs"}</definedName>
    <definedName name="zxdfasdfz_4" hidden="1">{"Complaint Graphs",#N/A,FALSE,"Complaint Graphs"}</definedName>
    <definedName name="zxdfasdfz_4_1" localSheetId="4" hidden="1">{"Complaint Graphs",#N/A,FALSE,"Complaint Graphs"}</definedName>
    <definedName name="zxdfasdfz_4_1" hidden="1">{"Complaint Graphs",#N/A,FALSE,"Complaint Graphs"}</definedName>
    <definedName name="zxdfasdfz_5" localSheetId="4" hidden="1">{"Complaint Graphs",#N/A,FALSE,"Complaint Graphs"}</definedName>
    <definedName name="zxdfasdfz_5" hidden="1">{"Complaint Graphs",#N/A,FALSE,"Complaint Graphs"}</definedName>
    <definedName name="zxdfasdfz_5_1" localSheetId="4" hidden="1">{"Complaint Graphs",#N/A,FALSE,"Complaint Graphs"}</definedName>
    <definedName name="zxdfasdfz_5_1" hidden="1">{"Complaint Graphs",#N/A,FALSE,"Complaint Graphs"}</definedName>
    <definedName name="zz" localSheetId="4" hidden="1">{"français",#N/A,FALSE,"Intro";"français",#N/A,FALSE,"Index";#N/A,#N/A,FALSE,"3-Incor";#N/A,#N/A,FALSE,"4-Corpo"}</definedName>
    <definedName name="zz" hidden="1">{"français",#N/A,FALSE,"Intro";"français",#N/A,FALSE,"Index";#N/A,#N/A,FALSE,"3-Incor";#N/A,#N/A,FALSE,"4-Corpo"}</definedName>
    <definedName name="zz_1" localSheetId="4" hidden="1">{"français",#N/A,FALSE,"Intro";"français",#N/A,FALSE,"Index";#N/A,#N/A,FALSE,"3-Incor";#N/A,#N/A,FALSE,"4-Corpo"}</definedName>
    <definedName name="zz_1" hidden="1">{"français",#N/A,FALSE,"Intro";"français",#N/A,FALSE,"Index";#N/A,#N/A,FALSE,"3-Incor";#N/A,#N/A,FALSE,"4-Corpo"}</definedName>
    <definedName name="zz_1_1" localSheetId="4" hidden="1">{"français",#N/A,FALSE,"Intro";"français",#N/A,FALSE,"Index";#N/A,#N/A,FALSE,"3-Incor";#N/A,#N/A,FALSE,"4-Corpo"}</definedName>
    <definedName name="zz_1_1" hidden="1">{"français",#N/A,FALSE,"Intro";"français",#N/A,FALSE,"Index";#N/A,#N/A,FALSE,"3-Incor";#N/A,#N/A,FALSE,"4-Corpo"}</definedName>
    <definedName name="zz_1_1_1" localSheetId="4" hidden="1">{"français",#N/A,FALSE,"Intro";"français",#N/A,FALSE,"Index";#N/A,#N/A,FALSE,"3-Incor";#N/A,#N/A,FALSE,"4-Corpo"}</definedName>
    <definedName name="zz_1_1_1" hidden="1">{"français",#N/A,FALSE,"Intro";"français",#N/A,FALSE,"Index";#N/A,#N/A,FALSE,"3-Incor";#N/A,#N/A,FALSE,"4-Corpo"}</definedName>
    <definedName name="zz_1_1_1_1" localSheetId="4" hidden="1">{"français",#N/A,FALSE,"Intro";"français",#N/A,FALSE,"Index";#N/A,#N/A,FALSE,"3-Incor";#N/A,#N/A,FALSE,"4-Corpo"}</definedName>
    <definedName name="zz_1_1_1_1" hidden="1">{"français",#N/A,FALSE,"Intro";"français",#N/A,FALSE,"Index";#N/A,#N/A,FALSE,"3-Incor";#N/A,#N/A,FALSE,"4-Corpo"}</definedName>
    <definedName name="zz_1_1_2" localSheetId="4" hidden="1">{"français",#N/A,FALSE,"Intro";"français",#N/A,FALSE,"Index";#N/A,#N/A,FALSE,"3-Incor";#N/A,#N/A,FALSE,"4-Corpo"}</definedName>
    <definedName name="zz_1_1_2" hidden="1">{"français",#N/A,FALSE,"Intro";"français",#N/A,FALSE,"Index";#N/A,#N/A,FALSE,"3-Incor";#N/A,#N/A,FALSE,"4-Corpo"}</definedName>
    <definedName name="zz_1_1_2_1" localSheetId="4" hidden="1">{"français",#N/A,FALSE,"Intro";"français",#N/A,FALSE,"Index";#N/A,#N/A,FALSE,"3-Incor";#N/A,#N/A,FALSE,"4-Corpo"}</definedName>
    <definedName name="zz_1_1_2_1" hidden="1">{"français",#N/A,FALSE,"Intro";"français",#N/A,FALSE,"Index";#N/A,#N/A,FALSE,"3-Incor";#N/A,#N/A,FALSE,"4-Corpo"}</definedName>
    <definedName name="zz_1_1_3" localSheetId="4" hidden="1">{"français",#N/A,FALSE,"Intro";"français",#N/A,FALSE,"Index";#N/A,#N/A,FALSE,"3-Incor";#N/A,#N/A,FALSE,"4-Corpo"}</definedName>
    <definedName name="zz_1_1_3" hidden="1">{"français",#N/A,FALSE,"Intro";"français",#N/A,FALSE,"Index";#N/A,#N/A,FALSE,"3-Incor";#N/A,#N/A,FALSE,"4-Corpo"}</definedName>
    <definedName name="zz_1_1_3_1" localSheetId="4" hidden="1">{"français",#N/A,FALSE,"Intro";"français",#N/A,FALSE,"Index";#N/A,#N/A,FALSE,"3-Incor";#N/A,#N/A,FALSE,"4-Corpo"}</definedName>
    <definedName name="zz_1_1_3_1" hidden="1">{"français",#N/A,FALSE,"Intro";"français",#N/A,FALSE,"Index";#N/A,#N/A,FALSE,"3-Incor";#N/A,#N/A,FALSE,"4-Corpo"}</definedName>
    <definedName name="zz_1_1_4" localSheetId="4" hidden="1">{"français",#N/A,FALSE,"Intro";"français",#N/A,FALSE,"Index";#N/A,#N/A,FALSE,"3-Incor";#N/A,#N/A,FALSE,"4-Corpo"}</definedName>
    <definedName name="zz_1_1_4" hidden="1">{"français",#N/A,FALSE,"Intro";"français",#N/A,FALSE,"Index";#N/A,#N/A,FALSE,"3-Incor";#N/A,#N/A,FALSE,"4-Corpo"}</definedName>
    <definedName name="zz_1_2" localSheetId="4" hidden="1">{"français",#N/A,FALSE,"Intro";"français",#N/A,FALSE,"Index";#N/A,#N/A,FALSE,"3-Incor";#N/A,#N/A,FALSE,"4-Corpo"}</definedName>
    <definedName name="zz_1_2" hidden="1">{"français",#N/A,FALSE,"Intro";"français",#N/A,FALSE,"Index";#N/A,#N/A,FALSE,"3-Incor";#N/A,#N/A,FALSE,"4-Corpo"}</definedName>
    <definedName name="zz_1_2_1" localSheetId="4" hidden="1">{"français",#N/A,FALSE,"Intro";"français",#N/A,FALSE,"Index";#N/A,#N/A,FALSE,"3-Incor";#N/A,#N/A,FALSE,"4-Corpo"}</definedName>
    <definedName name="zz_1_2_1" hidden="1">{"français",#N/A,FALSE,"Intro";"français",#N/A,FALSE,"Index";#N/A,#N/A,FALSE,"3-Incor";#N/A,#N/A,FALSE,"4-Corpo"}</definedName>
    <definedName name="zz_1_3" localSheetId="4" hidden="1">{"français",#N/A,FALSE,"Intro";"français",#N/A,FALSE,"Index";#N/A,#N/A,FALSE,"3-Incor";#N/A,#N/A,FALSE,"4-Corpo"}</definedName>
    <definedName name="zz_1_3" hidden="1">{"français",#N/A,FALSE,"Intro";"français",#N/A,FALSE,"Index";#N/A,#N/A,FALSE,"3-Incor";#N/A,#N/A,FALSE,"4-Corpo"}</definedName>
    <definedName name="zz_1_3_1" localSheetId="4" hidden="1">{"français",#N/A,FALSE,"Intro";"français",#N/A,FALSE,"Index";#N/A,#N/A,FALSE,"3-Incor";#N/A,#N/A,FALSE,"4-Corpo"}</definedName>
    <definedName name="zz_1_3_1" hidden="1">{"français",#N/A,FALSE,"Intro";"français",#N/A,FALSE,"Index";#N/A,#N/A,FALSE,"3-Incor";#N/A,#N/A,FALSE,"4-Corpo"}</definedName>
    <definedName name="zz_1_4" localSheetId="4" hidden="1">{"français",#N/A,FALSE,"Intro";"français",#N/A,FALSE,"Index";#N/A,#N/A,FALSE,"3-Incor";#N/A,#N/A,FALSE,"4-Corpo"}</definedName>
    <definedName name="zz_1_4" hidden="1">{"français",#N/A,FALSE,"Intro";"français",#N/A,FALSE,"Index";#N/A,#N/A,FALSE,"3-Incor";#N/A,#N/A,FALSE,"4-Corpo"}</definedName>
    <definedName name="zz_1_4_1" localSheetId="4" hidden="1">{"français",#N/A,FALSE,"Intro";"français",#N/A,FALSE,"Index";#N/A,#N/A,FALSE,"3-Incor";#N/A,#N/A,FALSE,"4-Corpo"}</definedName>
    <definedName name="zz_1_4_1" hidden="1">{"français",#N/A,FALSE,"Intro";"français",#N/A,FALSE,"Index";#N/A,#N/A,FALSE,"3-Incor";#N/A,#N/A,FALSE,"4-Corpo"}</definedName>
    <definedName name="zz_1_5" localSheetId="4" hidden="1">{"français",#N/A,FALSE,"Intro";"français",#N/A,FALSE,"Index";#N/A,#N/A,FALSE,"3-Incor";#N/A,#N/A,FALSE,"4-Corpo"}</definedName>
    <definedName name="zz_1_5" hidden="1">{"français",#N/A,FALSE,"Intro";"français",#N/A,FALSE,"Index";#N/A,#N/A,FALSE,"3-Incor";#N/A,#N/A,FALSE,"4-Corpo"}</definedName>
    <definedName name="zz_2" localSheetId="4" hidden="1">{"français",#N/A,FALSE,"Intro";"français",#N/A,FALSE,"Index";#N/A,#N/A,FALSE,"3-Incor";#N/A,#N/A,FALSE,"4-Corpo"}</definedName>
    <definedName name="zz_2" hidden="1">{"français",#N/A,FALSE,"Intro";"français",#N/A,FALSE,"Index";#N/A,#N/A,FALSE,"3-Incor";#N/A,#N/A,FALSE,"4-Corpo"}</definedName>
    <definedName name="zz_2_1" localSheetId="4" hidden="1">{"français",#N/A,FALSE,"Intro";"français",#N/A,FALSE,"Index";#N/A,#N/A,FALSE,"3-Incor";#N/A,#N/A,FALSE,"4-Corpo"}</definedName>
    <definedName name="zz_2_1" hidden="1">{"français",#N/A,FALSE,"Intro";"français",#N/A,FALSE,"Index";#N/A,#N/A,FALSE,"3-Incor";#N/A,#N/A,FALSE,"4-Corpo"}</definedName>
    <definedName name="zz_2_1_1" localSheetId="4" hidden="1">{"français",#N/A,FALSE,"Intro";"français",#N/A,FALSE,"Index";#N/A,#N/A,FALSE,"3-Incor";#N/A,#N/A,FALSE,"4-Corpo"}</definedName>
    <definedName name="zz_2_1_1" hidden="1">{"français",#N/A,FALSE,"Intro";"français",#N/A,FALSE,"Index";#N/A,#N/A,FALSE,"3-Incor";#N/A,#N/A,FALSE,"4-Corpo"}</definedName>
    <definedName name="zz_2_2" localSheetId="4" hidden="1">{"français",#N/A,FALSE,"Intro";"français",#N/A,FALSE,"Index";#N/A,#N/A,FALSE,"3-Incor";#N/A,#N/A,FALSE,"4-Corpo"}</definedName>
    <definedName name="zz_2_2" hidden="1">{"français",#N/A,FALSE,"Intro";"français",#N/A,FALSE,"Index";#N/A,#N/A,FALSE,"3-Incor";#N/A,#N/A,FALSE,"4-Corpo"}</definedName>
    <definedName name="zz_2_2_1" localSheetId="4" hidden="1">{"français",#N/A,FALSE,"Intro";"français",#N/A,FALSE,"Index";#N/A,#N/A,FALSE,"3-Incor";#N/A,#N/A,FALSE,"4-Corpo"}</definedName>
    <definedName name="zz_2_2_1" hidden="1">{"français",#N/A,FALSE,"Intro";"français",#N/A,FALSE,"Index";#N/A,#N/A,FALSE,"3-Incor";#N/A,#N/A,FALSE,"4-Corpo"}</definedName>
    <definedName name="zz_2_3" localSheetId="4" hidden="1">{"français",#N/A,FALSE,"Intro";"français",#N/A,FALSE,"Index";#N/A,#N/A,FALSE,"3-Incor";#N/A,#N/A,FALSE,"4-Corpo"}</definedName>
    <definedName name="zz_2_3" hidden="1">{"français",#N/A,FALSE,"Intro";"français",#N/A,FALSE,"Index";#N/A,#N/A,FALSE,"3-Incor";#N/A,#N/A,FALSE,"4-Corpo"}</definedName>
    <definedName name="zz_2_3_1" localSheetId="4" hidden="1">{"français",#N/A,FALSE,"Intro";"français",#N/A,FALSE,"Index";#N/A,#N/A,FALSE,"3-Incor";#N/A,#N/A,FALSE,"4-Corpo"}</definedName>
    <definedName name="zz_2_3_1" hidden="1">{"français",#N/A,FALSE,"Intro";"français",#N/A,FALSE,"Index";#N/A,#N/A,FALSE,"3-Incor";#N/A,#N/A,FALSE,"4-Corpo"}</definedName>
    <definedName name="zz_2_4" localSheetId="4" hidden="1">{"français",#N/A,FALSE,"Intro";"français",#N/A,FALSE,"Index";#N/A,#N/A,FALSE,"3-Incor";#N/A,#N/A,FALSE,"4-Corpo"}</definedName>
    <definedName name="zz_2_4" hidden="1">{"français",#N/A,FALSE,"Intro";"français",#N/A,FALSE,"Index";#N/A,#N/A,FALSE,"3-Incor";#N/A,#N/A,FALSE,"4-Corpo"}</definedName>
    <definedName name="zz_3" localSheetId="4" hidden="1">{"français",#N/A,FALSE,"Intro";"français",#N/A,FALSE,"Index";#N/A,#N/A,FALSE,"3-Incor";#N/A,#N/A,FALSE,"4-Corpo"}</definedName>
    <definedName name="zz_3" hidden="1">{"français",#N/A,FALSE,"Intro";"français",#N/A,FALSE,"Index";#N/A,#N/A,FALSE,"3-Incor";#N/A,#N/A,FALSE,"4-Corpo"}</definedName>
    <definedName name="zz_3_1" localSheetId="4" hidden="1">{"français",#N/A,FALSE,"Intro";"français",#N/A,FALSE,"Index";#N/A,#N/A,FALSE,"3-Incor";#N/A,#N/A,FALSE,"4-Corpo"}</definedName>
    <definedName name="zz_3_1" hidden="1">{"français",#N/A,FALSE,"Intro";"français",#N/A,FALSE,"Index";#N/A,#N/A,FALSE,"3-Incor";#N/A,#N/A,FALSE,"4-Corpo"}</definedName>
    <definedName name="zz_4" localSheetId="4" hidden="1">{"français",#N/A,FALSE,"Intro";"français",#N/A,FALSE,"Index";#N/A,#N/A,FALSE,"3-Incor";#N/A,#N/A,FALSE,"4-Corpo"}</definedName>
    <definedName name="zz_4" hidden="1">{"français",#N/A,FALSE,"Intro";"français",#N/A,FALSE,"Index";#N/A,#N/A,FALSE,"3-Incor";#N/A,#N/A,FALSE,"4-Corpo"}</definedName>
    <definedName name="zz_4_1" localSheetId="4" hidden="1">{"français",#N/A,FALSE,"Intro";"français",#N/A,FALSE,"Index";#N/A,#N/A,FALSE,"3-Incor";#N/A,#N/A,FALSE,"4-Corpo"}</definedName>
    <definedName name="zz_4_1" hidden="1">{"français",#N/A,FALSE,"Intro";"français",#N/A,FALSE,"Index";#N/A,#N/A,FALSE,"3-Incor";#N/A,#N/A,FALSE,"4-Corpo"}</definedName>
    <definedName name="zz_5" localSheetId="4" hidden="1">{"français",#N/A,FALSE,"Intro";"français",#N/A,FALSE,"Index";#N/A,#N/A,FALSE,"3-Incor";#N/A,#N/A,FALSE,"4-Corpo"}</definedName>
    <definedName name="zz_5" hidden="1">{"français",#N/A,FALSE,"Intro";"français",#N/A,FALSE,"Index";#N/A,#N/A,FALSE,"3-Incor";#N/A,#N/A,FALSE,"4-Corpo"}</definedName>
    <definedName name="zz_5_1" localSheetId="4" hidden="1">{"français",#N/A,FALSE,"Intro";"français",#N/A,FALSE,"Index";#N/A,#N/A,FALSE,"3-Incor";#N/A,#N/A,FALSE,"4-Corpo"}</definedName>
    <definedName name="zz_5_1" hidden="1">{"français",#N/A,FALSE,"Intro";"français",#N/A,FALSE,"Index";#N/A,#N/A,FALSE,"3-Incor";#N/A,#N/A,FALSE,"4-Corpo"}</definedName>
    <definedName name="zzz" localSheetId="4" hidden="1">{"français",#N/A,FALSE,"Intro";"français",#N/A,FALSE,"Index";#N/A,#N/A,FALSE,"3-Incor";#N/A,#N/A,FALSE,"4-Corpo"}</definedName>
    <definedName name="zzz" hidden="1">{"français",#N/A,FALSE,"Intro";"français",#N/A,FALSE,"Index";#N/A,#N/A,FALSE,"3-Incor";#N/A,#N/A,FALSE,"4-Corpo"}</definedName>
    <definedName name="zzz_1" localSheetId="4" hidden="1">{"français",#N/A,FALSE,"Intro";"français",#N/A,FALSE,"Index";#N/A,#N/A,FALSE,"3-Incor";#N/A,#N/A,FALSE,"4-Corpo"}</definedName>
    <definedName name="zzz_1" hidden="1">{"français",#N/A,FALSE,"Intro";"français",#N/A,FALSE,"Index";#N/A,#N/A,FALSE,"3-Incor";#N/A,#N/A,FALSE,"4-Corpo"}</definedName>
    <definedName name="zzz_1_1" localSheetId="4" hidden="1">{"français",#N/A,FALSE,"Intro";"français",#N/A,FALSE,"Index";#N/A,#N/A,FALSE,"3-Incor";#N/A,#N/A,FALSE,"4-Corpo"}</definedName>
    <definedName name="zzz_1_1" hidden="1">{"français",#N/A,FALSE,"Intro";"français",#N/A,FALSE,"Index";#N/A,#N/A,FALSE,"3-Incor";#N/A,#N/A,FALSE,"4-Corpo"}</definedName>
    <definedName name="zzz_1_1_1" localSheetId="4" hidden="1">{"français",#N/A,FALSE,"Intro";"français",#N/A,FALSE,"Index";#N/A,#N/A,FALSE,"3-Incor";#N/A,#N/A,FALSE,"4-Corpo"}</definedName>
    <definedName name="zzz_1_1_1" hidden="1">{"français",#N/A,FALSE,"Intro";"français",#N/A,FALSE,"Index";#N/A,#N/A,FALSE,"3-Incor";#N/A,#N/A,FALSE,"4-Corpo"}</definedName>
    <definedName name="zzz_1_1_1_1" localSheetId="4" hidden="1">{"français",#N/A,FALSE,"Intro";"français",#N/A,FALSE,"Index";#N/A,#N/A,FALSE,"3-Incor";#N/A,#N/A,FALSE,"4-Corpo"}</definedName>
    <definedName name="zzz_1_1_1_1" hidden="1">{"français",#N/A,FALSE,"Intro";"français",#N/A,FALSE,"Index";#N/A,#N/A,FALSE,"3-Incor";#N/A,#N/A,FALSE,"4-Corpo"}</definedName>
    <definedName name="zzz_1_1_2" localSheetId="4" hidden="1">{"français",#N/A,FALSE,"Intro";"français",#N/A,FALSE,"Index";#N/A,#N/A,FALSE,"3-Incor";#N/A,#N/A,FALSE,"4-Corpo"}</definedName>
    <definedName name="zzz_1_1_2" hidden="1">{"français",#N/A,FALSE,"Intro";"français",#N/A,FALSE,"Index";#N/A,#N/A,FALSE,"3-Incor";#N/A,#N/A,FALSE,"4-Corpo"}</definedName>
    <definedName name="zzz_1_1_2_1" localSheetId="4" hidden="1">{"français",#N/A,FALSE,"Intro";"français",#N/A,FALSE,"Index";#N/A,#N/A,FALSE,"3-Incor";#N/A,#N/A,FALSE,"4-Corpo"}</definedName>
    <definedName name="zzz_1_1_2_1" hidden="1">{"français",#N/A,FALSE,"Intro";"français",#N/A,FALSE,"Index";#N/A,#N/A,FALSE,"3-Incor";#N/A,#N/A,FALSE,"4-Corpo"}</definedName>
    <definedName name="zzz_1_1_3" localSheetId="4" hidden="1">{"français",#N/A,FALSE,"Intro";"français",#N/A,FALSE,"Index";#N/A,#N/A,FALSE,"3-Incor";#N/A,#N/A,FALSE,"4-Corpo"}</definedName>
    <definedName name="zzz_1_1_3" hidden="1">{"français",#N/A,FALSE,"Intro";"français",#N/A,FALSE,"Index";#N/A,#N/A,FALSE,"3-Incor";#N/A,#N/A,FALSE,"4-Corpo"}</definedName>
    <definedName name="zzz_1_1_3_1" localSheetId="4" hidden="1">{"français",#N/A,FALSE,"Intro";"français",#N/A,FALSE,"Index";#N/A,#N/A,FALSE,"3-Incor";#N/A,#N/A,FALSE,"4-Corpo"}</definedName>
    <definedName name="zzz_1_1_3_1" hidden="1">{"français",#N/A,FALSE,"Intro";"français",#N/A,FALSE,"Index";#N/A,#N/A,FALSE,"3-Incor";#N/A,#N/A,FALSE,"4-Corpo"}</definedName>
    <definedName name="zzz_1_1_4" localSheetId="4" hidden="1">{"français",#N/A,FALSE,"Intro";"français",#N/A,FALSE,"Index";#N/A,#N/A,FALSE,"3-Incor";#N/A,#N/A,FALSE,"4-Corpo"}</definedName>
    <definedName name="zzz_1_1_4" hidden="1">{"français",#N/A,FALSE,"Intro";"français",#N/A,FALSE,"Index";#N/A,#N/A,FALSE,"3-Incor";#N/A,#N/A,FALSE,"4-Corpo"}</definedName>
    <definedName name="zzz_1_2" localSheetId="4" hidden="1">{"français",#N/A,FALSE,"Intro";"français",#N/A,FALSE,"Index";#N/A,#N/A,FALSE,"3-Incor";#N/A,#N/A,FALSE,"4-Corpo"}</definedName>
    <definedName name="zzz_1_2" hidden="1">{"français",#N/A,FALSE,"Intro";"français",#N/A,FALSE,"Index";#N/A,#N/A,FALSE,"3-Incor";#N/A,#N/A,FALSE,"4-Corpo"}</definedName>
    <definedName name="zzz_1_2_1" localSheetId="4" hidden="1">{"français",#N/A,FALSE,"Intro";"français",#N/A,FALSE,"Index";#N/A,#N/A,FALSE,"3-Incor";#N/A,#N/A,FALSE,"4-Corpo"}</definedName>
    <definedName name="zzz_1_2_1" hidden="1">{"français",#N/A,FALSE,"Intro";"français",#N/A,FALSE,"Index";#N/A,#N/A,FALSE,"3-Incor";#N/A,#N/A,FALSE,"4-Corpo"}</definedName>
    <definedName name="zzz_1_3" localSheetId="4" hidden="1">{"français",#N/A,FALSE,"Intro";"français",#N/A,FALSE,"Index";#N/A,#N/A,FALSE,"3-Incor";#N/A,#N/A,FALSE,"4-Corpo"}</definedName>
    <definedName name="zzz_1_3" hidden="1">{"français",#N/A,FALSE,"Intro";"français",#N/A,FALSE,"Index";#N/A,#N/A,FALSE,"3-Incor";#N/A,#N/A,FALSE,"4-Corpo"}</definedName>
    <definedName name="zzz_1_3_1" localSheetId="4" hidden="1">{"français",#N/A,FALSE,"Intro";"français",#N/A,FALSE,"Index";#N/A,#N/A,FALSE,"3-Incor";#N/A,#N/A,FALSE,"4-Corpo"}</definedName>
    <definedName name="zzz_1_3_1" hidden="1">{"français",#N/A,FALSE,"Intro";"français",#N/A,FALSE,"Index";#N/A,#N/A,FALSE,"3-Incor";#N/A,#N/A,FALSE,"4-Corpo"}</definedName>
    <definedName name="zzz_1_4" localSheetId="4" hidden="1">{"français",#N/A,FALSE,"Intro";"français",#N/A,FALSE,"Index";#N/A,#N/A,FALSE,"3-Incor";#N/A,#N/A,FALSE,"4-Corpo"}</definedName>
    <definedName name="zzz_1_4" hidden="1">{"français",#N/A,FALSE,"Intro";"français",#N/A,FALSE,"Index";#N/A,#N/A,FALSE,"3-Incor";#N/A,#N/A,FALSE,"4-Corpo"}</definedName>
    <definedName name="zzz_1_4_1" localSheetId="4" hidden="1">{"français",#N/A,FALSE,"Intro";"français",#N/A,FALSE,"Index";#N/A,#N/A,FALSE,"3-Incor";#N/A,#N/A,FALSE,"4-Corpo"}</definedName>
    <definedName name="zzz_1_4_1" hidden="1">{"français",#N/A,FALSE,"Intro";"français",#N/A,FALSE,"Index";#N/A,#N/A,FALSE,"3-Incor";#N/A,#N/A,FALSE,"4-Corpo"}</definedName>
    <definedName name="zzz_1_5" localSheetId="4" hidden="1">{"français",#N/A,FALSE,"Intro";"français",#N/A,FALSE,"Index";#N/A,#N/A,FALSE,"3-Incor";#N/A,#N/A,FALSE,"4-Corpo"}</definedName>
    <definedName name="zzz_1_5" hidden="1">{"français",#N/A,FALSE,"Intro";"français",#N/A,FALSE,"Index";#N/A,#N/A,FALSE,"3-Incor";#N/A,#N/A,FALSE,"4-Corpo"}</definedName>
    <definedName name="zzz_2" localSheetId="4" hidden="1">{"français",#N/A,FALSE,"Intro";"français",#N/A,FALSE,"Index";#N/A,#N/A,FALSE,"3-Incor";#N/A,#N/A,FALSE,"4-Corpo"}</definedName>
    <definedName name="zzz_2" hidden="1">{"français",#N/A,FALSE,"Intro";"français",#N/A,FALSE,"Index";#N/A,#N/A,FALSE,"3-Incor";#N/A,#N/A,FALSE,"4-Corpo"}</definedName>
    <definedName name="zzz_2_1" localSheetId="4" hidden="1">{"français",#N/A,FALSE,"Intro";"français",#N/A,FALSE,"Index";#N/A,#N/A,FALSE,"3-Incor";#N/A,#N/A,FALSE,"4-Corpo"}</definedName>
    <definedName name="zzz_2_1" hidden="1">{"français",#N/A,FALSE,"Intro";"français",#N/A,FALSE,"Index";#N/A,#N/A,FALSE,"3-Incor";#N/A,#N/A,FALSE,"4-Corpo"}</definedName>
    <definedName name="zzz_2_1_1" localSheetId="4" hidden="1">{"français",#N/A,FALSE,"Intro";"français",#N/A,FALSE,"Index";#N/A,#N/A,FALSE,"3-Incor";#N/A,#N/A,FALSE,"4-Corpo"}</definedName>
    <definedName name="zzz_2_1_1" hidden="1">{"français",#N/A,FALSE,"Intro";"français",#N/A,FALSE,"Index";#N/A,#N/A,FALSE,"3-Incor";#N/A,#N/A,FALSE,"4-Corpo"}</definedName>
    <definedName name="zzz_2_2" localSheetId="4" hidden="1">{"français",#N/A,FALSE,"Intro";"français",#N/A,FALSE,"Index";#N/A,#N/A,FALSE,"3-Incor";#N/A,#N/A,FALSE,"4-Corpo"}</definedName>
    <definedName name="zzz_2_2" hidden="1">{"français",#N/A,FALSE,"Intro";"français",#N/A,FALSE,"Index";#N/A,#N/A,FALSE,"3-Incor";#N/A,#N/A,FALSE,"4-Corpo"}</definedName>
    <definedName name="zzz_2_2_1" localSheetId="4" hidden="1">{"français",#N/A,FALSE,"Intro";"français",#N/A,FALSE,"Index";#N/A,#N/A,FALSE,"3-Incor";#N/A,#N/A,FALSE,"4-Corpo"}</definedName>
    <definedName name="zzz_2_2_1" hidden="1">{"français",#N/A,FALSE,"Intro";"français",#N/A,FALSE,"Index";#N/A,#N/A,FALSE,"3-Incor";#N/A,#N/A,FALSE,"4-Corpo"}</definedName>
    <definedName name="zzz_2_3" localSheetId="4" hidden="1">{"français",#N/A,FALSE,"Intro";"français",#N/A,FALSE,"Index";#N/A,#N/A,FALSE,"3-Incor";#N/A,#N/A,FALSE,"4-Corpo"}</definedName>
    <definedName name="zzz_2_3" hidden="1">{"français",#N/A,FALSE,"Intro";"français",#N/A,FALSE,"Index";#N/A,#N/A,FALSE,"3-Incor";#N/A,#N/A,FALSE,"4-Corpo"}</definedName>
    <definedName name="zzz_2_3_1" localSheetId="4" hidden="1">{"français",#N/A,FALSE,"Intro";"français",#N/A,FALSE,"Index";#N/A,#N/A,FALSE,"3-Incor";#N/A,#N/A,FALSE,"4-Corpo"}</definedName>
    <definedName name="zzz_2_3_1" hidden="1">{"français",#N/A,FALSE,"Intro";"français",#N/A,FALSE,"Index";#N/A,#N/A,FALSE,"3-Incor";#N/A,#N/A,FALSE,"4-Corpo"}</definedName>
    <definedName name="zzz_2_4" localSheetId="4" hidden="1">{"français",#N/A,FALSE,"Intro";"français",#N/A,FALSE,"Index";#N/A,#N/A,FALSE,"3-Incor";#N/A,#N/A,FALSE,"4-Corpo"}</definedName>
    <definedName name="zzz_2_4" hidden="1">{"français",#N/A,FALSE,"Intro";"français",#N/A,FALSE,"Index";#N/A,#N/A,FALSE,"3-Incor";#N/A,#N/A,FALSE,"4-Corpo"}</definedName>
    <definedName name="zzz_3" localSheetId="4" hidden="1">{"français",#N/A,FALSE,"Intro";"français",#N/A,FALSE,"Index";#N/A,#N/A,FALSE,"3-Incor";#N/A,#N/A,FALSE,"4-Corpo"}</definedName>
    <definedName name="zzz_3" hidden="1">{"français",#N/A,FALSE,"Intro";"français",#N/A,FALSE,"Index";#N/A,#N/A,FALSE,"3-Incor";#N/A,#N/A,FALSE,"4-Corpo"}</definedName>
    <definedName name="zzz_3_1" localSheetId="4" hidden="1">{"français",#N/A,FALSE,"Intro";"français",#N/A,FALSE,"Index";#N/A,#N/A,FALSE,"3-Incor";#N/A,#N/A,FALSE,"4-Corpo"}</definedName>
    <definedName name="zzz_3_1" hidden="1">{"français",#N/A,FALSE,"Intro";"français",#N/A,FALSE,"Index";#N/A,#N/A,FALSE,"3-Incor";#N/A,#N/A,FALSE,"4-Corpo"}</definedName>
    <definedName name="zzz_4" localSheetId="4" hidden="1">{"français",#N/A,FALSE,"Intro";"français",#N/A,FALSE,"Index";#N/A,#N/A,FALSE,"3-Incor";#N/A,#N/A,FALSE,"4-Corpo"}</definedName>
    <definedName name="zzz_4" hidden="1">{"français",#N/A,FALSE,"Intro";"français",#N/A,FALSE,"Index";#N/A,#N/A,FALSE,"3-Incor";#N/A,#N/A,FALSE,"4-Corpo"}</definedName>
    <definedName name="zzz_4_1" localSheetId="4" hidden="1">{"français",#N/A,FALSE,"Intro";"français",#N/A,FALSE,"Index";#N/A,#N/A,FALSE,"3-Incor";#N/A,#N/A,FALSE,"4-Corpo"}</definedName>
    <definedName name="zzz_4_1" hidden="1">{"français",#N/A,FALSE,"Intro";"français",#N/A,FALSE,"Index";#N/A,#N/A,FALSE,"3-Incor";#N/A,#N/A,FALSE,"4-Corpo"}</definedName>
    <definedName name="zzz_5" localSheetId="4" hidden="1">{"français",#N/A,FALSE,"Intro";"français",#N/A,FALSE,"Index";#N/A,#N/A,FALSE,"3-Incor";#N/A,#N/A,FALSE,"4-Corpo"}</definedName>
    <definedName name="zzz_5" hidden="1">{"français",#N/A,FALSE,"Intro";"français",#N/A,FALSE,"Index";#N/A,#N/A,FALSE,"3-Incor";#N/A,#N/A,FALSE,"4-Corpo"}</definedName>
    <definedName name="zzz_5_1" localSheetId="4" hidden="1">{"français",#N/A,FALSE,"Intro";"français",#N/A,FALSE,"Index";#N/A,#N/A,FALSE,"3-Incor";#N/A,#N/A,FALSE,"4-Corpo"}</definedName>
    <definedName name="zzz_5_1" hidden="1">{"français",#N/A,FALSE,"Intro";"français",#N/A,FALSE,"Index";#N/A,#N/A,FALSE,"3-Incor";#N/A,#N/A,FALSE,"4-Corpo"}</definedName>
    <definedName name="zzzzz" localSheetId="4" hidden="1">{"français",#N/A,FALSE,"Intro";"français",#N/A,FALSE,"Index";#N/A,#N/A,FALSE,"3-Incor";#N/A,#N/A,FALSE,"4-Corpo"}</definedName>
    <definedName name="zzzzz" hidden="1">{"français",#N/A,FALSE,"Intro";"français",#N/A,FALSE,"Index";#N/A,#N/A,FALSE,"3-Incor";#N/A,#N/A,FALSE,"4-Corpo"}</definedName>
    <definedName name="zzzzz_1" localSheetId="4" hidden="1">{"français",#N/A,FALSE,"Intro";"français",#N/A,FALSE,"Index";#N/A,#N/A,FALSE,"3-Incor";#N/A,#N/A,FALSE,"4-Corpo"}</definedName>
    <definedName name="zzzzz_1" hidden="1">{"français",#N/A,FALSE,"Intro";"français",#N/A,FALSE,"Index";#N/A,#N/A,FALSE,"3-Incor";#N/A,#N/A,FALSE,"4-Corpo"}</definedName>
    <definedName name="zzzzz_1_1" localSheetId="4" hidden="1">{"français",#N/A,FALSE,"Intro";"français",#N/A,FALSE,"Index";#N/A,#N/A,FALSE,"3-Incor";#N/A,#N/A,FALSE,"4-Corpo"}</definedName>
    <definedName name="zzzzz_1_1" hidden="1">{"français",#N/A,FALSE,"Intro";"français",#N/A,FALSE,"Index";#N/A,#N/A,FALSE,"3-Incor";#N/A,#N/A,FALSE,"4-Corpo"}</definedName>
    <definedName name="zzzzz_1_1_1" localSheetId="4" hidden="1">{"français",#N/A,FALSE,"Intro";"français",#N/A,FALSE,"Index";#N/A,#N/A,FALSE,"3-Incor";#N/A,#N/A,FALSE,"4-Corpo"}</definedName>
    <definedName name="zzzzz_1_1_1" hidden="1">{"français",#N/A,FALSE,"Intro";"français",#N/A,FALSE,"Index";#N/A,#N/A,FALSE,"3-Incor";#N/A,#N/A,FALSE,"4-Corpo"}</definedName>
    <definedName name="zzzzz_1_1_1_1" localSheetId="4" hidden="1">{"français",#N/A,FALSE,"Intro";"français",#N/A,FALSE,"Index";#N/A,#N/A,FALSE,"3-Incor";#N/A,#N/A,FALSE,"4-Corpo"}</definedName>
    <definedName name="zzzzz_1_1_1_1" hidden="1">{"français",#N/A,FALSE,"Intro";"français",#N/A,FALSE,"Index";#N/A,#N/A,FALSE,"3-Incor";#N/A,#N/A,FALSE,"4-Corpo"}</definedName>
    <definedName name="zzzzz_1_1_2" localSheetId="4" hidden="1">{"français",#N/A,FALSE,"Intro";"français",#N/A,FALSE,"Index";#N/A,#N/A,FALSE,"3-Incor";#N/A,#N/A,FALSE,"4-Corpo"}</definedName>
    <definedName name="zzzzz_1_1_2" hidden="1">{"français",#N/A,FALSE,"Intro";"français",#N/A,FALSE,"Index";#N/A,#N/A,FALSE,"3-Incor";#N/A,#N/A,FALSE,"4-Corpo"}</definedName>
    <definedName name="zzzzz_1_1_2_1" localSheetId="4" hidden="1">{"français",#N/A,FALSE,"Intro";"français",#N/A,FALSE,"Index";#N/A,#N/A,FALSE,"3-Incor";#N/A,#N/A,FALSE,"4-Corpo"}</definedName>
    <definedName name="zzzzz_1_1_2_1" hidden="1">{"français",#N/A,FALSE,"Intro";"français",#N/A,FALSE,"Index";#N/A,#N/A,FALSE,"3-Incor";#N/A,#N/A,FALSE,"4-Corpo"}</definedName>
    <definedName name="zzzzz_1_1_3" localSheetId="4" hidden="1">{"français",#N/A,FALSE,"Intro";"français",#N/A,FALSE,"Index";#N/A,#N/A,FALSE,"3-Incor";#N/A,#N/A,FALSE,"4-Corpo"}</definedName>
    <definedName name="zzzzz_1_1_3" hidden="1">{"français",#N/A,FALSE,"Intro";"français",#N/A,FALSE,"Index";#N/A,#N/A,FALSE,"3-Incor";#N/A,#N/A,FALSE,"4-Corpo"}</definedName>
    <definedName name="zzzzz_1_1_3_1" localSheetId="4" hidden="1">{"français",#N/A,FALSE,"Intro";"français",#N/A,FALSE,"Index";#N/A,#N/A,FALSE,"3-Incor";#N/A,#N/A,FALSE,"4-Corpo"}</definedName>
    <definedName name="zzzzz_1_1_3_1" hidden="1">{"français",#N/A,FALSE,"Intro";"français",#N/A,FALSE,"Index";#N/A,#N/A,FALSE,"3-Incor";#N/A,#N/A,FALSE,"4-Corpo"}</definedName>
    <definedName name="zzzzz_1_1_4" localSheetId="4" hidden="1">{"français",#N/A,FALSE,"Intro";"français",#N/A,FALSE,"Index";#N/A,#N/A,FALSE,"3-Incor";#N/A,#N/A,FALSE,"4-Corpo"}</definedName>
    <definedName name="zzzzz_1_1_4" hidden="1">{"français",#N/A,FALSE,"Intro";"français",#N/A,FALSE,"Index";#N/A,#N/A,FALSE,"3-Incor";#N/A,#N/A,FALSE,"4-Corpo"}</definedName>
    <definedName name="zzzzz_1_2" localSheetId="4" hidden="1">{"français",#N/A,FALSE,"Intro";"français",#N/A,FALSE,"Index";#N/A,#N/A,FALSE,"3-Incor";#N/A,#N/A,FALSE,"4-Corpo"}</definedName>
    <definedName name="zzzzz_1_2" hidden="1">{"français",#N/A,FALSE,"Intro";"français",#N/A,FALSE,"Index";#N/A,#N/A,FALSE,"3-Incor";#N/A,#N/A,FALSE,"4-Corpo"}</definedName>
    <definedName name="zzzzz_1_2_1" localSheetId="4" hidden="1">{"français",#N/A,FALSE,"Intro";"français",#N/A,FALSE,"Index";#N/A,#N/A,FALSE,"3-Incor";#N/A,#N/A,FALSE,"4-Corpo"}</definedName>
    <definedName name="zzzzz_1_2_1" hidden="1">{"français",#N/A,FALSE,"Intro";"français",#N/A,FALSE,"Index";#N/A,#N/A,FALSE,"3-Incor";#N/A,#N/A,FALSE,"4-Corpo"}</definedName>
    <definedName name="zzzzz_1_3" localSheetId="4" hidden="1">{"français",#N/A,FALSE,"Intro";"français",#N/A,FALSE,"Index";#N/A,#N/A,FALSE,"3-Incor";#N/A,#N/A,FALSE,"4-Corpo"}</definedName>
    <definedName name="zzzzz_1_3" hidden="1">{"français",#N/A,FALSE,"Intro";"français",#N/A,FALSE,"Index";#N/A,#N/A,FALSE,"3-Incor";#N/A,#N/A,FALSE,"4-Corpo"}</definedName>
    <definedName name="zzzzz_1_3_1" localSheetId="4" hidden="1">{"français",#N/A,FALSE,"Intro";"français",#N/A,FALSE,"Index";#N/A,#N/A,FALSE,"3-Incor";#N/A,#N/A,FALSE,"4-Corpo"}</definedName>
    <definedName name="zzzzz_1_3_1" hidden="1">{"français",#N/A,FALSE,"Intro";"français",#N/A,FALSE,"Index";#N/A,#N/A,FALSE,"3-Incor";#N/A,#N/A,FALSE,"4-Corpo"}</definedName>
    <definedName name="zzzzz_1_4" localSheetId="4" hidden="1">{"français",#N/A,FALSE,"Intro";"français",#N/A,FALSE,"Index";#N/A,#N/A,FALSE,"3-Incor";#N/A,#N/A,FALSE,"4-Corpo"}</definedName>
    <definedName name="zzzzz_1_4" hidden="1">{"français",#N/A,FALSE,"Intro";"français",#N/A,FALSE,"Index";#N/A,#N/A,FALSE,"3-Incor";#N/A,#N/A,FALSE,"4-Corpo"}</definedName>
    <definedName name="zzzzz_1_4_1" localSheetId="4" hidden="1">{"français",#N/A,FALSE,"Intro";"français",#N/A,FALSE,"Index";#N/A,#N/A,FALSE,"3-Incor";#N/A,#N/A,FALSE,"4-Corpo"}</definedName>
    <definedName name="zzzzz_1_4_1" hidden="1">{"français",#N/A,FALSE,"Intro";"français",#N/A,FALSE,"Index";#N/A,#N/A,FALSE,"3-Incor";#N/A,#N/A,FALSE,"4-Corpo"}</definedName>
    <definedName name="zzzzz_1_5" localSheetId="4" hidden="1">{"français",#N/A,FALSE,"Intro";"français",#N/A,FALSE,"Index";#N/A,#N/A,FALSE,"3-Incor";#N/A,#N/A,FALSE,"4-Corpo"}</definedName>
    <definedName name="zzzzz_1_5" hidden="1">{"français",#N/A,FALSE,"Intro";"français",#N/A,FALSE,"Index";#N/A,#N/A,FALSE,"3-Incor";#N/A,#N/A,FALSE,"4-Corpo"}</definedName>
    <definedName name="zzzzz_2" localSheetId="4" hidden="1">{"français",#N/A,FALSE,"Intro";"français",#N/A,FALSE,"Index";#N/A,#N/A,FALSE,"3-Incor";#N/A,#N/A,FALSE,"4-Corpo"}</definedName>
    <definedName name="zzzzz_2" hidden="1">{"français",#N/A,FALSE,"Intro";"français",#N/A,FALSE,"Index";#N/A,#N/A,FALSE,"3-Incor";#N/A,#N/A,FALSE,"4-Corpo"}</definedName>
    <definedName name="zzzzz_2_1" localSheetId="4" hidden="1">{"français",#N/A,FALSE,"Intro";"français",#N/A,FALSE,"Index";#N/A,#N/A,FALSE,"3-Incor";#N/A,#N/A,FALSE,"4-Corpo"}</definedName>
    <definedName name="zzzzz_2_1" hidden="1">{"français",#N/A,FALSE,"Intro";"français",#N/A,FALSE,"Index";#N/A,#N/A,FALSE,"3-Incor";#N/A,#N/A,FALSE,"4-Corpo"}</definedName>
    <definedName name="zzzzz_2_1_1" localSheetId="4" hidden="1">{"français",#N/A,FALSE,"Intro";"français",#N/A,FALSE,"Index";#N/A,#N/A,FALSE,"3-Incor";#N/A,#N/A,FALSE,"4-Corpo"}</definedName>
    <definedName name="zzzzz_2_1_1" hidden="1">{"français",#N/A,FALSE,"Intro";"français",#N/A,FALSE,"Index";#N/A,#N/A,FALSE,"3-Incor";#N/A,#N/A,FALSE,"4-Corpo"}</definedName>
    <definedName name="zzzzz_2_2" localSheetId="4" hidden="1">{"français",#N/A,FALSE,"Intro";"français",#N/A,FALSE,"Index";#N/A,#N/A,FALSE,"3-Incor";#N/A,#N/A,FALSE,"4-Corpo"}</definedName>
    <definedName name="zzzzz_2_2" hidden="1">{"français",#N/A,FALSE,"Intro";"français",#N/A,FALSE,"Index";#N/A,#N/A,FALSE,"3-Incor";#N/A,#N/A,FALSE,"4-Corpo"}</definedName>
    <definedName name="zzzzz_2_2_1" localSheetId="4" hidden="1">{"français",#N/A,FALSE,"Intro";"français",#N/A,FALSE,"Index";#N/A,#N/A,FALSE,"3-Incor";#N/A,#N/A,FALSE,"4-Corpo"}</definedName>
    <definedName name="zzzzz_2_2_1" hidden="1">{"français",#N/A,FALSE,"Intro";"français",#N/A,FALSE,"Index";#N/A,#N/A,FALSE,"3-Incor";#N/A,#N/A,FALSE,"4-Corpo"}</definedName>
    <definedName name="zzzzz_2_3" localSheetId="4" hidden="1">{"français",#N/A,FALSE,"Intro";"français",#N/A,FALSE,"Index";#N/A,#N/A,FALSE,"3-Incor";#N/A,#N/A,FALSE,"4-Corpo"}</definedName>
    <definedName name="zzzzz_2_3" hidden="1">{"français",#N/A,FALSE,"Intro";"français",#N/A,FALSE,"Index";#N/A,#N/A,FALSE,"3-Incor";#N/A,#N/A,FALSE,"4-Corpo"}</definedName>
    <definedName name="zzzzz_2_3_1" localSheetId="4" hidden="1">{"français",#N/A,FALSE,"Intro";"français",#N/A,FALSE,"Index";#N/A,#N/A,FALSE,"3-Incor";#N/A,#N/A,FALSE,"4-Corpo"}</definedName>
    <definedName name="zzzzz_2_3_1" hidden="1">{"français",#N/A,FALSE,"Intro";"français",#N/A,FALSE,"Index";#N/A,#N/A,FALSE,"3-Incor";#N/A,#N/A,FALSE,"4-Corpo"}</definedName>
    <definedName name="zzzzz_2_4" localSheetId="4" hidden="1">{"français",#N/A,FALSE,"Intro";"français",#N/A,FALSE,"Index";#N/A,#N/A,FALSE,"3-Incor";#N/A,#N/A,FALSE,"4-Corpo"}</definedName>
    <definedName name="zzzzz_2_4" hidden="1">{"français",#N/A,FALSE,"Intro";"français",#N/A,FALSE,"Index";#N/A,#N/A,FALSE,"3-Incor";#N/A,#N/A,FALSE,"4-Corpo"}</definedName>
    <definedName name="zzzzz_3" localSheetId="4" hidden="1">{"français",#N/A,FALSE,"Intro";"français",#N/A,FALSE,"Index";#N/A,#N/A,FALSE,"3-Incor";#N/A,#N/A,FALSE,"4-Corpo"}</definedName>
    <definedName name="zzzzz_3" hidden="1">{"français",#N/A,FALSE,"Intro";"français",#N/A,FALSE,"Index";#N/A,#N/A,FALSE,"3-Incor";#N/A,#N/A,FALSE,"4-Corpo"}</definedName>
    <definedName name="zzzzz_3_1" localSheetId="4" hidden="1">{"français",#N/A,FALSE,"Intro";"français",#N/A,FALSE,"Index";#N/A,#N/A,FALSE,"3-Incor";#N/A,#N/A,FALSE,"4-Corpo"}</definedName>
    <definedName name="zzzzz_3_1" hidden="1">{"français",#N/A,FALSE,"Intro";"français",#N/A,FALSE,"Index";#N/A,#N/A,FALSE,"3-Incor";#N/A,#N/A,FALSE,"4-Corpo"}</definedName>
    <definedName name="zzzzz_4" localSheetId="4" hidden="1">{"français",#N/A,FALSE,"Intro";"français",#N/A,FALSE,"Index";#N/A,#N/A,FALSE,"3-Incor";#N/A,#N/A,FALSE,"4-Corpo"}</definedName>
    <definedName name="zzzzz_4" hidden="1">{"français",#N/A,FALSE,"Intro";"français",#N/A,FALSE,"Index";#N/A,#N/A,FALSE,"3-Incor";#N/A,#N/A,FALSE,"4-Corpo"}</definedName>
    <definedName name="zzzzz_4_1" localSheetId="4" hidden="1">{"français",#N/A,FALSE,"Intro";"français",#N/A,FALSE,"Index";#N/A,#N/A,FALSE,"3-Incor";#N/A,#N/A,FALSE,"4-Corpo"}</definedName>
    <definedName name="zzzzz_4_1" hidden="1">{"français",#N/A,FALSE,"Intro";"français",#N/A,FALSE,"Index";#N/A,#N/A,FALSE,"3-Incor";#N/A,#N/A,FALSE,"4-Corpo"}</definedName>
    <definedName name="zzzzz_5" localSheetId="4" hidden="1">{"français",#N/A,FALSE,"Intro";"français",#N/A,FALSE,"Index";#N/A,#N/A,FALSE,"3-Incor";#N/A,#N/A,FALSE,"4-Corpo"}</definedName>
    <definedName name="zzzzz_5" hidden="1">{"français",#N/A,FALSE,"Intro";"français",#N/A,FALSE,"Index";#N/A,#N/A,FALSE,"3-Incor";#N/A,#N/A,FALSE,"4-Corpo"}</definedName>
    <definedName name="zzzzz_5_1" localSheetId="4" hidden="1">{"français",#N/A,FALSE,"Intro";"français",#N/A,FALSE,"Index";#N/A,#N/A,FALSE,"3-Incor";#N/A,#N/A,FALSE,"4-Corpo"}</definedName>
    <definedName name="zzzzz_5_1" hidden="1">{"français",#N/A,FALSE,"Intro";"français",#N/A,FALSE,"Index";#N/A,#N/A,FALSE,"3-Incor";#N/A,#N/A,FALSE,"4-Corpo"}</definedName>
  </definedNames>
  <calcPr calcId="191029"/>
  <pivotCaches>
    <pivotCache cacheId="36" r:id="rId74"/>
    <pivotCache cacheId="37" r:id="rId75"/>
    <pivotCache cacheId="38" r:id="rId76"/>
    <pivotCache cacheId="39" r:id="rId77"/>
    <pivotCache cacheId="40" r:id="rId78"/>
    <pivotCache cacheId="41" r:id="rId79"/>
    <pivotCache cacheId="42" r:id="rId80"/>
    <pivotCache cacheId="43" r:id="rId81"/>
    <pivotCache cacheId="44" r:id="rId82"/>
    <pivotCache cacheId="45" r:id="rId83"/>
    <pivotCache cacheId="46" r:id="rId84"/>
    <pivotCache cacheId="47" r:id="rId85"/>
    <pivotCache cacheId="48" r:id="rId86"/>
    <pivotCache cacheId="49" r:id="rId87"/>
    <pivotCache cacheId="50" r:id="rId88"/>
    <pivotCache cacheId="51" r:id="rId89"/>
    <pivotCache cacheId="52" r:id="rId90"/>
    <pivotCache cacheId="53" r:id="rId9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4" l="1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10" i="14"/>
  <c r="Q141" i="1"/>
  <c r="Q142" i="1"/>
  <c r="Q143" i="1"/>
  <c r="Q144" i="1"/>
  <c r="Q145" i="1"/>
  <c r="Q146" i="1"/>
  <c r="Q147" i="1"/>
  <c r="Q148" i="1"/>
  <c r="Q140" i="1"/>
  <c r="M15" i="11"/>
  <c r="M16" i="11" s="1"/>
  <c r="L21" i="8" l="1"/>
  <c r="F3" i="7"/>
  <c r="G3" i="7" s="1"/>
  <c r="F4" i="7"/>
  <c r="G4" i="7" s="1"/>
  <c r="F5" i="7"/>
  <c r="G5" i="7" s="1"/>
  <c r="F6" i="7"/>
  <c r="G6" i="7" s="1"/>
  <c r="F7" i="7"/>
  <c r="G7" i="7" s="1"/>
  <c r="F8" i="7"/>
  <c r="G8" i="7" s="1"/>
  <c r="F9" i="7"/>
  <c r="G9" i="7" s="1"/>
  <c r="F10" i="7"/>
  <c r="G10" i="7" s="1"/>
  <c r="F11" i="7"/>
  <c r="G11" i="7" s="1"/>
  <c r="F12" i="7"/>
  <c r="G12" i="7" s="1"/>
  <c r="F13" i="7"/>
  <c r="G13" i="7" s="1"/>
  <c r="F14" i="7"/>
  <c r="G14" i="7" s="1"/>
  <c r="F15" i="7"/>
  <c r="G15" i="7" s="1"/>
  <c r="F16" i="7"/>
  <c r="G16" i="7" s="1"/>
  <c r="F17" i="7"/>
  <c r="G17" i="7" s="1"/>
  <c r="F18" i="7"/>
  <c r="G18" i="7" s="1"/>
  <c r="F19" i="7"/>
  <c r="G19" i="7" s="1"/>
  <c r="F20" i="7"/>
  <c r="G20" i="7" s="1"/>
  <c r="F21" i="7"/>
  <c r="G21" i="7" s="1"/>
  <c r="F22" i="7"/>
  <c r="G22" i="7" s="1"/>
  <c r="F23" i="7"/>
  <c r="G23" i="7" s="1"/>
  <c r="F24" i="7"/>
  <c r="G24" i="7" s="1"/>
  <c r="F25" i="7"/>
  <c r="G25" i="7" s="1"/>
  <c r="F26" i="7"/>
  <c r="G26" i="7" s="1"/>
  <c r="F27" i="7"/>
  <c r="G27" i="7" s="1"/>
  <c r="F28" i="7"/>
  <c r="G28" i="7" s="1"/>
  <c r="F29" i="7"/>
  <c r="G29" i="7" s="1"/>
  <c r="F30" i="7"/>
  <c r="G30" i="7" s="1"/>
  <c r="F31" i="7"/>
  <c r="G31" i="7" s="1"/>
  <c r="F32" i="7"/>
  <c r="G32" i="7" s="1"/>
  <c r="F33" i="7"/>
  <c r="G33" i="7" s="1"/>
  <c r="F34" i="7"/>
  <c r="G34" i="7" s="1"/>
  <c r="F35" i="7"/>
  <c r="G35" i="7" s="1"/>
  <c r="F36" i="7"/>
  <c r="G36" i="7" s="1"/>
  <c r="F37" i="7"/>
  <c r="G37" i="7" s="1"/>
  <c r="F38" i="7"/>
  <c r="G38" i="7" s="1"/>
  <c r="F39" i="7"/>
  <c r="G39" i="7" s="1"/>
  <c r="F40" i="7"/>
  <c r="G40" i="7" s="1"/>
  <c r="F41" i="7"/>
  <c r="G41" i="7" s="1"/>
  <c r="F42" i="7"/>
  <c r="G42" i="7" s="1"/>
  <c r="F43" i="7"/>
  <c r="G43" i="7" s="1"/>
  <c r="F44" i="7"/>
  <c r="G44" i="7" s="1"/>
  <c r="F45" i="7"/>
  <c r="G45" i="7" s="1"/>
  <c r="F46" i="7"/>
  <c r="G46" i="7" s="1"/>
  <c r="F47" i="7"/>
  <c r="G47" i="7" s="1"/>
  <c r="F48" i="7"/>
  <c r="G48" i="7" s="1"/>
  <c r="F49" i="7"/>
  <c r="G49" i="7" s="1"/>
  <c r="F50" i="7"/>
  <c r="G50" i="7" s="1"/>
  <c r="F51" i="7"/>
  <c r="G51" i="7" s="1"/>
  <c r="F52" i="7"/>
  <c r="G52" i="7" s="1"/>
  <c r="F53" i="7"/>
  <c r="G53" i="7" s="1"/>
  <c r="F54" i="7"/>
  <c r="G54" i="7" s="1"/>
  <c r="F55" i="7"/>
  <c r="G55" i="7" s="1"/>
  <c r="F56" i="7"/>
  <c r="G56" i="7" s="1"/>
  <c r="F57" i="7"/>
  <c r="G57" i="7" s="1"/>
  <c r="F58" i="7"/>
  <c r="G58" i="7" s="1"/>
  <c r="F59" i="7"/>
  <c r="G59" i="7" s="1"/>
  <c r="F60" i="7"/>
  <c r="G60" i="7" s="1"/>
  <c r="F61" i="7"/>
  <c r="G61" i="7" s="1"/>
  <c r="F62" i="7"/>
  <c r="G62" i="7" s="1"/>
  <c r="F63" i="7"/>
  <c r="G63" i="7" s="1"/>
  <c r="F64" i="7"/>
  <c r="G64" i="7" s="1"/>
  <c r="F65" i="7"/>
  <c r="G65" i="7" s="1"/>
  <c r="F66" i="7"/>
  <c r="G66" i="7" s="1"/>
  <c r="F67" i="7"/>
  <c r="G67" i="7" s="1"/>
  <c r="F68" i="7"/>
  <c r="G68" i="7" s="1"/>
  <c r="F69" i="7"/>
  <c r="G69" i="7" s="1"/>
  <c r="F70" i="7"/>
  <c r="G70" i="7" s="1"/>
  <c r="F71" i="7"/>
  <c r="G71" i="7" s="1"/>
  <c r="F72" i="7"/>
  <c r="G72" i="7" s="1"/>
  <c r="F73" i="7"/>
  <c r="G73" i="7" s="1"/>
  <c r="F74" i="7"/>
  <c r="G74" i="7" s="1"/>
  <c r="F75" i="7"/>
  <c r="G75" i="7" s="1"/>
  <c r="F76" i="7"/>
  <c r="G76" i="7" s="1"/>
  <c r="F77" i="7"/>
  <c r="G77" i="7" s="1"/>
  <c r="F78" i="7"/>
  <c r="G78" i="7" s="1"/>
  <c r="F79" i="7"/>
  <c r="G79" i="7" s="1"/>
  <c r="F80" i="7"/>
  <c r="G80" i="7" s="1"/>
  <c r="F81" i="7"/>
  <c r="G81" i="7" s="1"/>
  <c r="F82" i="7"/>
  <c r="G82" i="7" s="1"/>
  <c r="F83" i="7"/>
  <c r="G83" i="7" s="1"/>
  <c r="F84" i="7"/>
  <c r="G84" i="7" s="1"/>
  <c r="F85" i="7"/>
  <c r="G85" i="7" s="1"/>
  <c r="F86" i="7"/>
  <c r="G86" i="7" s="1"/>
  <c r="F87" i="7"/>
  <c r="G87" i="7" s="1"/>
  <c r="F88" i="7"/>
  <c r="G88" i="7" s="1"/>
  <c r="F89" i="7"/>
  <c r="G89" i="7" s="1"/>
  <c r="F90" i="7"/>
  <c r="G90" i="7" s="1"/>
  <c r="F91" i="7"/>
  <c r="G91" i="7" s="1"/>
  <c r="F92" i="7"/>
  <c r="G92" i="7" s="1"/>
  <c r="F93" i="7"/>
  <c r="G93" i="7" s="1"/>
  <c r="F94" i="7"/>
  <c r="G94" i="7" s="1"/>
  <c r="F95" i="7"/>
  <c r="G95" i="7" s="1"/>
  <c r="F96" i="7"/>
  <c r="G96" i="7" s="1"/>
  <c r="F97" i="7"/>
  <c r="G97" i="7" s="1"/>
  <c r="F98" i="7"/>
  <c r="G98" i="7" s="1"/>
  <c r="F99" i="7"/>
  <c r="G99" i="7" s="1"/>
  <c r="F100" i="7"/>
  <c r="G100" i="7" s="1"/>
  <c r="F101" i="7"/>
  <c r="G101" i="7" s="1"/>
  <c r="F102" i="7"/>
  <c r="G102" i="7" s="1"/>
  <c r="F103" i="7"/>
  <c r="G103" i="7" s="1"/>
  <c r="F104" i="7"/>
  <c r="G104" i="7" s="1"/>
  <c r="F105" i="7"/>
  <c r="G105" i="7" s="1"/>
  <c r="F106" i="7"/>
  <c r="G106" i="7" s="1"/>
  <c r="F107" i="7"/>
  <c r="G107" i="7" s="1"/>
  <c r="F108" i="7"/>
  <c r="G108" i="7" s="1"/>
  <c r="F109" i="7"/>
  <c r="G109" i="7" s="1"/>
  <c r="F110" i="7"/>
  <c r="G110" i="7" s="1"/>
  <c r="F111" i="7"/>
  <c r="G111" i="7" s="1"/>
  <c r="F112" i="7"/>
  <c r="G112" i="7" s="1"/>
  <c r="F113" i="7"/>
  <c r="G113" i="7" s="1"/>
  <c r="F114" i="7"/>
  <c r="G114" i="7" s="1"/>
  <c r="F115" i="7"/>
  <c r="G115" i="7" s="1"/>
  <c r="F116" i="7"/>
  <c r="G116" i="7" s="1"/>
  <c r="F117" i="7"/>
  <c r="G117" i="7" s="1"/>
  <c r="F118" i="7"/>
  <c r="G118" i="7" s="1"/>
  <c r="F119" i="7"/>
  <c r="G119" i="7" s="1"/>
  <c r="F120" i="7"/>
  <c r="G120" i="7" s="1"/>
  <c r="F121" i="7"/>
  <c r="G121" i="7" s="1"/>
  <c r="F122" i="7"/>
  <c r="G122" i="7" s="1"/>
  <c r="F123" i="7"/>
  <c r="G123" i="7" s="1"/>
  <c r="F124" i="7"/>
  <c r="G124" i="7" s="1"/>
  <c r="F125" i="7"/>
  <c r="G125" i="7" s="1"/>
  <c r="F126" i="7"/>
  <c r="G126" i="7" s="1"/>
  <c r="F127" i="7"/>
  <c r="G127" i="7" s="1"/>
  <c r="F128" i="7"/>
  <c r="G128" i="7" s="1"/>
  <c r="F129" i="7"/>
  <c r="G129" i="7" s="1"/>
  <c r="F130" i="7"/>
  <c r="G130" i="7" s="1"/>
  <c r="F131" i="7"/>
  <c r="G131" i="7" s="1"/>
  <c r="F132" i="7"/>
  <c r="G132" i="7" s="1"/>
  <c r="F133" i="7"/>
  <c r="G133" i="7" s="1"/>
  <c r="F134" i="7"/>
  <c r="G134" i="7" s="1"/>
  <c r="F135" i="7"/>
  <c r="G135" i="7" s="1"/>
  <c r="F136" i="7"/>
  <c r="G136" i="7" s="1"/>
  <c r="F137" i="7"/>
  <c r="G137" i="7" s="1"/>
  <c r="F138" i="7"/>
  <c r="G138" i="7" s="1"/>
  <c r="F139" i="7"/>
  <c r="G139" i="7" s="1"/>
  <c r="F140" i="7"/>
  <c r="G140" i="7" s="1"/>
  <c r="F141" i="7"/>
  <c r="G141" i="7" s="1"/>
  <c r="F142" i="7"/>
  <c r="G142" i="7" s="1"/>
  <c r="F143" i="7"/>
  <c r="G143" i="7" s="1"/>
  <c r="F144" i="7"/>
  <c r="G144" i="7" s="1"/>
  <c r="F145" i="7"/>
  <c r="G145" i="7" s="1"/>
  <c r="F146" i="7"/>
  <c r="G146" i="7" s="1"/>
  <c r="F147" i="7"/>
  <c r="G147" i="7" s="1"/>
  <c r="F148" i="7"/>
  <c r="G148" i="7" s="1"/>
  <c r="F149" i="7"/>
  <c r="G149" i="7" s="1"/>
  <c r="F150" i="7"/>
  <c r="G150" i="7" s="1"/>
  <c r="F151" i="7"/>
  <c r="G151" i="7" s="1"/>
  <c r="F2" i="7"/>
  <c r="G2" i="7" s="1"/>
  <c r="AB39" i="5"/>
  <c r="AB40" i="5"/>
  <c r="AB38" i="5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F11" i="6"/>
  <c r="F12" i="6" s="1"/>
  <c r="G12" i="6" s="1"/>
  <c r="H12" i="6" s="1"/>
  <c r="G10" i="6"/>
  <c r="H10" i="6" s="1"/>
  <c r="S9" i="6"/>
  <c r="S8" i="6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9" i="1"/>
  <c r="S8" i="1"/>
  <c r="F11" i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10" i="9"/>
  <c r="F11" i="9" l="1"/>
  <c r="H80" i="7"/>
  <c r="H32" i="7"/>
  <c r="H79" i="7"/>
  <c r="H31" i="7"/>
  <c r="H133" i="7"/>
  <c r="H85" i="7"/>
  <c r="H37" i="7"/>
  <c r="H139" i="7"/>
  <c r="H127" i="7"/>
  <c r="H42" i="7"/>
  <c r="H138" i="7"/>
  <c r="H90" i="7"/>
  <c r="H142" i="7"/>
  <c r="H106" i="7"/>
  <c r="H141" i="7"/>
  <c r="H93" i="7"/>
  <c r="H45" i="7"/>
  <c r="H144" i="7"/>
  <c r="H96" i="7"/>
  <c r="H48" i="7"/>
  <c r="H118" i="7"/>
  <c r="H14" i="7"/>
  <c r="H130" i="7"/>
  <c r="H151" i="7"/>
  <c r="H115" i="7"/>
  <c r="H103" i="7"/>
  <c r="H91" i="7"/>
  <c r="H67" i="7"/>
  <c r="H55" i="7"/>
  <c r="H43" i="7"/>
  <c r="H19" i="7"/>
  <c r="H126" i="7"/>
  <c r="H114" i="7"/>
  <c r="H102" i="7"/>
  <c r="H78" i="7"/>
  <c r="H66" i="7"/>
  <c r="H54" i="7"/>
  <c r="H30" i="7"/>
  <c r="H18" i="7"/>
  <c r="H124" i="7"/>
  <c r="H76" i="7"/>
  <c r="H28" i="7"/>
  <c r="H150" i="7"/>
  <c r="H123" i="7"/>
  <c r="H75" i="7"/>
  <c r="H27" i="7"/>
  <c r="H44" i="7"/>
  <c r="H92" i="7"/>
  <c r="H149" i="7"/>
  <c r="H137" i="7"/>
  <c r="H125" i="7"/>
  <c r="H113" i="7"/>
  <c r="H101" i="7"/>
  <c r="H89" i="7"/>
  <c r="H77" i="7"/>
  <c r="H65" i="7"/>
  <c r="H53" i="7"/>
  <c r="H41" i="7"/>
  <c r="H29" i="7"/>
  <c r="H17" i="7"/>
  <c r="H122" i="7"/>
  <c r="H74" i="7"/>
  <c r="H26" i="7"/>
  <c r="H136" i="7"/>
  <c r="H112" i="7"/>
  <c r="H88" i="7"/>
  <c r="H64" i="7"/>
  <c r="H40" i="7"/>
  <c r="H16" i="7"/>
  <c r="H117" i="7"/>
  <c r="H69" i="7"/>
  <c r="H21" i="7"/>
  <c r="H135" i="7"/>
  <c r="H111" i="7"/>
  <c r="H87" i="7"/>
  <c r="H63" i="7"/>
  <c r="H39" i="7"/>
  <c r="H15" i="7"/>
  <c r="H120" i="7"/>
  <c r="H72" i="7"/>
  <c r="H24" i="7"/>
  <c r="H56" i="7"/>
  <c r="H104" i="7"/>
  <c r="H134" i="7"/>
  <c r="H110" i="7"/>
  <c r="H86" i="7"/>
  <c r="H62" i="7"/>
  <c r="H38" i="7"/>
  <c r="H109" i="7"/>
  <c r="H61" i="7"/>
  <c r="H148" i="7"/>
  <c r="H100" i="7"/>
  <c r="H52" i="7"/>
  <c r="H129" i="7"/>
  <c r="H132" i="7"/>
  <c r="H131" i="7"/>
  <c r="H128" i="7"/>
  <c r="H105" i="7"/>
  <c r="H108" i="7"/>
  <c r="H107" i="7"/>
  <c r="H81" i="7"/>
  <c r="H84" i="7"/>
  <c r="H83" i="7"/>
  <c r="H82" i="7"/>
  <c r="H57" i="7"/>
  <c r="H60" i="7"/>
  <c r="H59" i="7"/>
  <c r="H58" i="7"/>
  <c r="H33" i="7"/>
  <c r="H36" i="7"/>
  <c r="H35" i="7"/>
  <c r="H34" i="7"/>
  <c r="H147" i="7"/>
  <c r="H99" i="7"/>
  <c r="H51" i="7"/>
  <c r="H20" i="7"/>
  <c r="H68" i="7"/>
  <c r="H116" i="7"/>
  <c r="H146" i="7"/>
  <c r="H140" i="7"/>
  <c r="H98" i="7"/>
  <c r="H50" i="7"/>
  <c r="H22" i="7"/>
  <c r="H46" i="7"/>
  <c r="H70" i="7"/>
  <c r="H94" i="7"/>
  <c r="H23" i="7"/>
  <c r="H47" i="7"/>
  <c r="H71" i="7"/>
  <c r="H95" i="7"/>
  <c r="H119" i="7"/>
  <c r="H143" i="7"/>
  <c r="H25" i="7"/>
  <c r="H49" i="7"/>
  <c r="H73" i="7"/>
  <c r="H97" i="7"/>
  <c r="H121" i="7"/>
  <c r="H145" i="7"/>
  <c r="F13" i="6"/>
  <c r="F14" i="6" s="1"/>
  <c r="F63" i="1"/>
  <c r="G62" i="1"/>
  <c r="I10" i="6"/>
  <c r="J10" i="6"/>
  <c r="S10" i="6" s="1"/>
  <c r="G11" i="6"/>
  <c r="I12" i="6"/>
  <c r="J12" i="6"/>
  <c r="S12" i="6" s="1"/>
  <c r="G13" i="6" l="1"/>
  <c r="J13" i="6" s="1"/>
  <c r="S13" i="6" s="1"/>
  <c r="J62" i="1"/>
  <c r="S62" i="1" s="1"/>
  <c r="H62" i="1"/>
  <c r="I62" i="1"/>
  <c r="F64" i="1"/>
  <c r="G63" i="1"/>
  <c r="J11" i="6"/>
  <c r="S11" i="6" s="1"/>
  <c r="I11" i="6"/>
  <c r="H11" i="6"/>
  <c r="G14" i="6"/>
  <c r="F15" i="6"/>
  <c r="I13" i="6" l="1"/>
  <c r="H13" i="6"/>
  <c r="I63" i="1"/>
  <c r="H63" i="1"/>
  <c r="J63" i="1"/>
  <c r="S63" i="1" s="1"/>
  <c r="F65" i="1"/>
  <c r="G64" i="1"/>
  <c r="F16" i="6"/>
  <c r="G15" i="6"/>
  <c r="H14" i="6"/>
  <c r="J14" i="6"/>
  <c r="S14" i="6" s="1"/>
  <c r="I14" i="6"/>
  <c r="J64" i="1" l="1"/>
  <c r="S64" i="1" s="1"/>
  <c r="H64" i="1"/>
  <c r="I64" i="1"/>
  <c r="F66" i="1"/>
  <c r="G65" i="1"/>
  <c r="J15" i="6"/>
  <c r="S15" i="6" s="1"/>
  <c r="I15" i="6"/>
  <c r="H15" i="6"/>
  <c r="G16" i="6"/>
  <c r="F17" i="6"/>
  <c r="H65" i="1" l="1"/>
  <c r="I65" i="1"/>
  <c r="J65" i="1"/>
  <c r="S65" i="1" s="1"/>
  <c r="F67" i="1"/>
  <c r="G66" i="1"/>
  <c r="H16" i="6"/>
  <c r="I16" i="6"/>
  <c r="J16" i="6"/>
  <c r="S16" i="6" s="1"/>
  <c r="F18" i="6"/>
  <c r="G17" i="6"/>
  <c r="J66" i="1" l="1"/>
  <c r="S66" i="1" s="1"/>
  <c r="H66" i="1"/>
  <c r="I66" i="1"/>
  <c r="F68" i="1"/>
  <c r="G67" i="1"/>
  <c r="J17" i="6"/>
  <c r="S17" i="6" s="1"/>
  <c r="I17" i="6"/>
  <c r="H17" i="6"/>
  <c r="G18" i="6"/>
  <c r="F19" i="6"/>
  <c r="H67" i="1" l="1"/>
  <c r="I67" i="1"/>
  <c r="J67" i="1"/>
  <c r="S67" i="1" s="1"/>
  <c r="F69" i="1"/>
  <c r="G68" i="1"/>
  <c r="F20" i="6"/>
  <c r="G19" i="6"/>
  <c r="H18" i="6"/>
  <c r="I18" i="6"/>
  <c r="J18" i="6"/>
  <c r="S18" i="6" s="1"/>
  <c r="H68" i="1" l="1"/>
  <c r="J68" i="1"/>
  <c r="S68" i="1" s="1"/>
  <c r="I68" i="1"/>
  <c r="F70" i="1"/>
  <c r="G69" i="1"/>
  <c r="J19" i="6"/>
  <c r="S19" i="6" s="1"/>
  <c r="H19" i="6"/>
  <c r="I19" i="6"/>
  <c r="G20" i="6"/>
  <c r="F21" i="6"/>
  <c r="H69" i="1" l="1"/>
  <c r="I69" i="1"/>
  <c r="J69" i="1"/>
  <c r="S69" i="1" s="1"/>
  <c r="F71" i="1"/>
  <c r="G70" i="1"/>
  <c r="F22" i="6"/>
  <c r="G21" i="6"/>
  <c r="H20" i="6"/>
  <c r="I20" i="6"/>
  <c r="J20" i="6"/>
  <c r="S20" i="6" s="1"/>
  <c r="F72" i="1" l="1"/>
  <c r="G71" i="1"/>
  <c r="J70" i="1"/>
  <c r="S70" i="1" s="1"/>
  <c r="H70" i="1"/>
  <c r="I70" i="1"/>
  <c r="J21" i="6"/>
  <c r="S21" i="6" s="1"/>
  <c r="H21" i="6"/>
  <c r="I21" i="6"/>
  <c r="G22" i="6"/>
  <c r="F23" i="6"/>
  <c r="I71" i="1" l="1"/>
  <c r="H71" i="1"/>
  <c r="J71" i="1"/>
  <c r="S71" i="1" s="1"/>
  <c r="F73" i="1"/>
  <c r="G72" i="1"/>
  <c r="H22" i="6"/>
  <c r="J22" i="6"/>
  <c r="S22" i="6" s="1"/>
  <c r="I22" i="6"/>
  <c r="F24" i="6"/>
  <c r="G23" i="6"/>
  <c r="F74" i="1" l="1"/>
  <c r="G73" i="1"/>
  <c r="H72" i="1"/>
  <c r="J72" i="1"/>
  <c r="S72" i="1" s="1"/>
  <c r="I72" i="1"/>
  <c r="J23" i="6"/>
  <c r="S23" i="6" s="1"/>
  <c r="H23" i="6"/>
  <c r="I23" i="6"/>
  <c r="G24" i="6"/>
  <c r="F25" i="6"/>
  <c r="I73" i="1" l="1"/>
  <c r="J73" i="1"/>
  <c r="S73" i="1" s="1"/>
  <c r="H73" i="1"/>
  <c r="F75" i="1"/>
  <c r="G74" i="1"/>
  <c r="F26" i="6"/>
  <c r="G25" i="6"/>
  <c r="H24" i="6"/>
  <c r="J24" i="6"/>
  <c r="S24" i="6" s="1"/>
  <c r="I24" i="6"/>
  <c r="H74" i="1" l="1"/>
  <c r="I74" i="1"/>
  <c r="J74" i="1"/>
  <c r="S74" i="1" s="1"/>
  <c r="F76" i="1"/>
  <c r="G75" i="1"/>
  <c r="J25" i="6"/>
  <c r="S25" i="6" s="1"/>
  <c r="I25" i="6"/>
  <c r="H25" i="6"/>
  <c r="G26" i="6"/>
  <c r="F27" i="6"/>
  <c r="H75" i="1" l="1"/>
  <c r="I75" i="1"/>
  <c r="J75" i="1"/>
  <c r="S75" i="1" s="1"/>
  <c r="F77" i="1"/>
  <c r="G76" i="1"/>
  <c r="F28" i="6"/>
  <c r="G27" i="6"/>
  <c r="H26" i="6"/>
  <c r="J26" i="6"/>
  <c r="S26" i="6" s="1"/>
  <c r="I26" i="6"/>
  <c r="J76" i="1" l="1"/>
  <c r="S76" i="1" s="1"/>
  <c r="H76" i="1"/>
  <c r="I76" i="1"/>
  <c r="F78" i="1"/>
  <c r="G77" i="1"/>
  <c r="J27" i="6"/>
  <c r="S27" i="6" s="1"/>
  <c r="I27" i="6"/>
  <c r="H27" i="6"/>
  <c r="G28" i="6"/>
  <c r="F29" i="6"/>
  <c r="F165" i="5"/>
  <c r="G165" i="5" s="1"/>
  <c r="I165" i="5" s="1"/>
  <c r="G164" i="5"/>
  <c r="I164" i="5" s="1"/>
  <c r="G163" i="5"/>
  <c r="I163" i="5" s="1"/>
  <c r="G162" i="5"/>
  <c r="H162" i="5" s="1"/>
  <c r="G161" i="5"/>
  <c r="H161" i="5" s="1"/>
  <c r="G160" i="5"/>
  <c r="I160" i="5" s="1"/>
  <c r="G159" i="5"/>
  <c r="H159" i="5" s="1"/>
  <c r="G158" i="5"/>
  <c r="H158" i="5" s="1"/>
  <c r="G157" i="5"/>
  <c r="I157" i="5" s="1"/>
  <c r="G156" i="5"/>
  <c r="H156" i="5" s="1"/>
  <c r="G155" i="5"/>
  <c r="I155" i="5" s="1"/>
  <c r="G154" i="5"/>
  <c r="H154" i="5" s="1"/>
  <c r="G153" i="5"/>
  <c r="H153" i="5" s="1"/>
  <c r="G152" i="5"/>
  <c r="I152" i="5" s="1"/>
  <c r="G151" i="5"/>
  <c r="I151" i="5" s="1"/>
  <c r="F9" i="5"/>
  <c r="F10" i="5" s="1"/>
  <c r="G8" i="5"/>
  <c r="F165" i="3"/>
  <c r="F166" i="3" s="1"/>
  <c r="F167" i="3" s="1"/>
  <c r="F168" i="3" s="1"/>
  <c r="F169" i="3" s="1"/>
  <c r="F170" i="3" s="1"/>
  <c r="H163" i="5" l="1"/>
  <c r="J163" i="5" s="1"/>
  <c r="S163" i="5" s="1"/>
  <c r="H8" i="5"/>
  <c r="I8" i="5"/>
  <c r="F11" i="5"/>
  <c r="G10" i="5"/>
  <c r="H10" i="5" s="1"/>
  <c r="F166" i="5"/>
  <c r="G9" i="5"/>
  <c r="I9" i="5" s="1"/>
  <c r="H77" i="1"/>
  <c r="I77" i="1"/>
  <c r="J77" i="1"/>
  <c r="S77" i="1" s="1"/>
  <c r="F79" i="1"/>
  <c r="G78" i="1"/>
  <c r="I159" i="5"/>
  <c r="J159" i="5" s="1"/>
  <c r="S159" i="5" s="1"/>
  <c r="I161" i="5"/>
  <c r="J161" i="5" s="1"/>
  <c r="S161" i="5" s="1"/>
  <c r="F30" i="6"/>
  <c r="G29" i="6"/>
  <c r="H28" i="6"/>
  <c r="J28" i="6"/>
  <c r="S28" i="6" s="1"/>
  <c r="I28" i="6"/>
  <c r="H151" i="5"/>
  <c r="J151" i="5" s="1"/>
  <c r="S151" i="5" s="1"/>
  <c r="I158" i="5"/>
  <c r="J158" i="5" s="1"/>
  <c r="S158" i="5" s="1"/>
  <c r="I154" i="5"/>
  <c r="J154" i="5" s="1"/>
  <c r="S154" i="5" s="1"/>
  <c r="I162" i="5"/>
  <c r="J162" i="5" s="1"/>
  <c r="S162" i="5" s="1"/>
  <c r="H155" i="5"/>
  <c r="J155" i="5" s="1"/>
  <c r="S155" i="5" s="1"/>
  <c r="H160" i="5"/>
  <c r="J160" i="5" s="1"/>
  <c r="S160" i="5" s="1"/>
  <c r="H152" i="5"/>
  <c r="J152" i="5" s="1"/>
  <c r="S152" i="5" s="1"/>
  <c r="I156" i="5"/>
  <c r="J156" i="5" s="1"/>
  <c r="S156" i="5" s="1"/>
  <c r="H164" i="5"/>
  <c r="J164" i="5" s="1"/>
  <c r="S164" i="5" s="1"/>
  <c r="H157" i="5"/>
  <c r="J157" i="5" s="1"/>
  <c r="S157" i="5" s="1"/>
  <c r="I153" i="5"/>
  <c r="J153" i="5" s="1"/>
  <c r="S153" i="5" s="1"/>
  <c r="H165" i="5"/>
  <c r="J165" i="5" s="1"/>
  <c r="S165" i="5" s="1"/>
  <c r="J8" i="5" l="1"/>
  <c r="S8" i="5" s="1"/>
  <c r="G11" i="5"/>
  <c r="F12" i="5"/>
  <c r="H78" i="1"/>
  <c r="J78" i="1"/>
  <c r="S78" i="1" s="1"/>
  <c r="I78" i="1"/>
  <c r="F80" i="1"/>
  <c r="G79" i="1"/>
  <c r="I10" i="5"/>
  <c r="J10" i="5" s="1"/>
  <c r="S10" i="5" s="1"/>
  <c r="H9" i="5"/>
  <c r="J9" i="5" s="1"/>
  <c r="S9" i="5" s="1"/>
  <c r="F167" i="5"/>
  <c r="G166" i="5"/>
  <c r="J29" i="6"/>
  <c r="S29" i="6" s="1"/>
  <c r="I29" i="6"/>
  <c r="H29" i="6"/>
  <c r="G30" i="6"/>
  <c r="F31" i="6"/>
  <c r="I166" i="5" l="1"/>
  <c r="H166" i="5"/>
  <c r="F168" i="5"/>
  <c r="G167" i="5"/>
  <c r="F81" i="1"/>
  <c r="G80" i="1"/>
  <c r="H79" i="1"/>
  <c r="J79" i="1"/>
  <c r="S79" i="1" s="1"/>
  <c r="I79" i="1"/>
  <c r="F13" i="5"/>
  <c r="G12" i="5"/>
  <c r="I11" i="5"/>
  <c r="H11" i="5"/>
  <c r="F32" i="6"/>
  <c r="G31" i="6"/>
  <c r="H30" i="6"/>
  <c r="J30" i="6"/>
  <c r="S30" i="6" s="1"/>
  <c r="I30" i="6"/>
  <c r="J166" i="5" l="1"/>
  <c r="S166" i="5" s="1"/>
  <c r="H12" i="5"/>
  <c r="I12" i="5"/>
  <c r="G13" i="5"/>
  <c r="F14" i="5"/>
  <c r="I167" i="5"/>
  <c r="H167" i="5"/>
  <c r="G168" i="5"/>
  <c r="F169" i="5"/>
  <c r="H80" i="1"/>
  <c r="I80" i="1"/>
  <c r="J80" i="1"/>
  <c r="S80" i="1" s="1"/>
  <c r="F82" i="1"/>
  <c r="G81" i="1"/>
  <c r="J11" i="5"/>
  <c r="S11" i="5" s="1"/>
  <c r="J31" i="6"/>
  <c r="S31" i="6" s="1"/>
  <c r="I31" i="6"/>
  <c r="H31" i="6"/>
  <c r="G32" i="6"/>
  <c r="F33" i="6"/>
  <c r="J167" i="5" l="1"/>
  <c r="S167" i="5" s="1"/>
  <c r="G169" i="5"/>
  <c r="F170" i="5"/>
  <c r="H168" i="5"/>
  <c r="I168" i="5"/>
  <c r="G14" i="5"/>
  <c r="F15" i="5"/>
  <c r="I13" i="5"/>
  <c r="H13" i="5"/>
  <c r="F83" i="1"/>
  <c r="G82" i="1"/>
  <c r="J81" i="1"/>
  <c r="S81" i="1" s="1"/>
  <c r="I81" i="1"/>
  <c r="H81" i="1"/>
  <c r="J12" i="5"/>
  <c r="S12" i="5" s="1"/>
  <c r="F34" i="6"/>
  <c r="G33" i="6"/>
  <c r="H32" i="6"/>
  <c r="J32" i="6"/>
  <c r="S32" i="6" s="1"/>
  <c r="I32" i="6"/>
  <c r="H82" i="1" l="1"/>
  <c r="I82" i="1"/>
  <c r="J82" i="1"/>
  <c r="S82" i="1" s="1"/>
  <c r="J13" i="5"/>
  <c r="S13" i="5" s="1"/>
  <c r="F84" i="1"/>
  <c r="G83" i="1"/>
  <c r="G15" i="5"/>
  <c r="F16" i="5"/>
  <c r="J168" i="5"/>
  <c r="S168" i="5" s="1"/>
  <c r="I14" i="5"/>
  <c r="H14" i="5"/>
  <c r="G170" i="5"/>
  <c r="F171" i="5"/>
  <c r="I169" i="5"/>
  <c r="H169" i="5"/>
  <c r="J33" i="6"/>
  <c r="S33" i="6" s="1"/>
  <c r="I33" i="6"/>
  <c r="H33" i="6"/>
  <c r="G34" i="6"/>
  <c r="F35" i="6"/>
  <c r="J169" i="5" l="1"/>
  <c r="S169" i="5" s="1"/>
  <c r="J14" i="5"/>
  <c r="S14" i="5" s="1"/>
  <c r="F17" i="5"/>
  <c r="G16" i="5"/>
  <c r="I15" i="5"/>
  <c r="H15" i="5"/>
  <c r="F85" i="1"/>
  <c r="G84" i="1"/>
  <c r="I170" i="5"/>
  <c r="H170" i="5"/>
  <c r="I83" i="1"/>
  <c r="H83" i="1"/>
  <c r="J83" i="1"/>
  <c r="S83" i="1" s="1"/>
  <c r="F172" i="5"/>
  <c r="G171" i="5"/>
  <c r="F36" i="6"/>
  <c r="G35" i="6"/>
  <c r="H34" i="6"/>
  <c r="J34" i="6"/>
  <c r="S34" i="6" s="1"/>
  <c r="I34" i="6"/>
  <c r="J15" i="5" l="1"/>
  <c r="S15" i="5" s="1"/>
  <c r="G172" i="5"/>
  <c r="F173" i="5"/>
  <c r="J170" i="5"/>
  <c r="S170" i="5" s="1"/>
  <c r="H84" i="1"/>
  <c r="I84" i="1"/>
  <c r="J84" i="1"/>
  <c r="S84" i="1" s="1"/>
  <c r="F86" i="1"/>
  <c r="G85" i="1"/>
  <c r="H16" i="5"/>
  <c r="I16" i="5"/>
  <c r="H171" i="5"/>
  <c r="I171" i="5"/>
  <c r="G17" i="5"/>
  <c r="F18" i="5"/>
  <c r="J35" i="6"/>
  <c r="S35" i="6" s="1"/>
  <c r="I35" i="6"/>
  <c r="H35" i="6"/>
  <c r="G36" i="6"/>
  <c r="F37" i="6"/>
  <c r="I85" i="1" l="1"/>
  <c r="H85" i="1"/>
  <c r="J85" i="1"/>
  <c r="S85" i="1" s="1"/>
  <c r="J171" i="5"/>
  <c r="J16" i="5"/>
  <c r="S16" i="5" s="1"/>
  <c r="F87" i="1"/>
  <c r="G86" i="1"/>
  <c r="I17" i="5"/>
  <c r="H17" i="5"/>
  <c r="F19" i="5"/>
  <c r="G18" i="5"/>
  <c r="F174" i="5"/>
  <c r="G173" i="5"/>
  <c r="F38" i="6"/>
  <c r="G37" i="6"/>
  <c r="H36" i="6"/>
  <c r="J36" i="6"/>
  <c r="S36" i="6" s="1"/>
  <c r="I36" i="6"/>
  <c r="J17" i="5" l="1"/>
  <c r="S17" i="5" s="1"/>
  <c r="G174" i="5"/>
  <c r="F175" i="5"/>
  <c r="H86" i="1"/>
  <c r="J86" i="1"/>
  <c r="S86" i="1" s="1"/>
  <c r="I86" i="1"/>
  <c r="F88" i="1"/>
  <c r="G87" i="1"/>
  <c r="H18" i="5"/>
  <c r="I18" i="5"/>
  <c r="F20" i="5"/>
  <c r="G19" i="5"/>
  <c r="I173" i="5"/>
  <c r="H173" i="5"/>
  <c r="G38" i="6"/>
  <c r="F39" i="6"/>
  <c r="J37" i="6"/>
  <c r="S37" i="6" s="1"/>
  <c r="I37" i="6"/>
  <c r="H37" i="6"/>
  <c r="J173" i="5" l="1"/>
  <c r="J18" i="5"/>
  <c r="S18" i="5" s="1"/>
  <c r="H87" i="1"/>
  <c r="I87" i="1"/>
  <c r="J87" i="1"/>
  <c r="S87" i="1" s="1"/>
  <c r="F89" i="1"/>
  <c r="G88" i="1"/>
  <c r="H19" i="5"/>
  <c r="I19" i="5"/>
  <c r="G20" i="5"/>
  <c r="F21" i="5"/>
  <c r="G175" i="5"/>
  <c r="F176" i="5"/>
  <c r="F40" i="6"/>
  <c r="G39" i="6"/>
  <c r="H38" i="6"/>
  <c r="J38" i="6"/>
  <c r="S38" i="6" s="1"/>
  <c r="I38" i="6"/>
  <c r="F177" i="5" l="1"/>
  <c r="G176" i="5"/>
  <c r="H175" i="5"/>
  <c r="I175" i="5"/>
  <c r="F22" i="5"/>
  <c r="G21" i="5"/>
  <c r="J88" i="1"/>
  <c r="S88" i="1" s="1"/>
  <c r="H88" i="1"/>
  <c r="I88" i="1"/>
  <c r="F90" i="1"/>
  <c r="G89" i="1"/>
  <c r="H20" i="5"/>
  <c r="I20" i="5"/>
  <c r="J19" i="5"/>
  <c r="S19" i="5" s="1"/>
  <c r="J39" i="6"/>
  <c r="S39" i="6" s="1"/>
  <c r="I39" i="6"/>
  <c r="H39" i="6"/>
  <c r="G40" i="6"/>
  <c r="F41" i="6"/>
  <c r="J20" i="5" l="1"/>
  <c r="S20" i="5" s="1"/>
  <c r="J175" i="5"/>
  <c r="J89" i="1"/>
  <c r="S89" i="1" s="1"/>
  <c r="H89" i="1"/>
  <c r="I89" i="1"/>
  <c r="F91" i="1"/>
  <c r="G90" i="1"/>
  <c r="I21" i="5"/>
  <c r="H21" i="5"/>
  <c r="G22" i="5"/>
  <c r="F23" i="5"/>
  <c r="G177" i="5"/>
  <c r="F178" i="5"/>
  <c r="F42" i="6"/>
  <c r="G41" i="6"/>
  <c r="H40" i="6"/>
  <c r="J40" i="6"/>
  <c r="S40" i="6" s="1"/>
  <c r="I40" i="6"/>
  <c r="J21" i="5" l="1"/>
  <c r="S21" i="5" s="1"/>
  <c r="I177" i="5"/>
  <c r="H177" i="5"/>
  <c r="F179" i="5"/>
  <c r="G178" i="5"/>
  <c r="G23" i="5"/>
  <c r="F24" i="5"/>
  <c r="H90" i="1"/>
  <c r="J90" i="1"/>
  <c r="S90" i="1" s="1"/>
  <c r="I90" i="1"/>
  <c r="F92" i="1"/>
  <c r="G91" i="1"/>
  <c r="I22" i="5"/>
  <c r="H22" i="5"/>
  <c r="J41" i="6"/>
  <c r="S41" i="6" s="1"/>
  <c r="I41" i="6"/>
  <c r="H41" i="6"/>
  <c r="G42" i="6"/>
  <c r="F43" i="6"/>
  <c r="H91" i="1" l="1"/>
  <c r="I91" i="1"/>
  <c r="J91" i="1"/>
  <c r="S91" i="1" s="1"/>
  <c r="F93" i="1"/>
  <c r="G92" i="1"/>
  <c r="G24" i="5"/>
  <c r="F25" i="5"/>
  <c r="F180" i="5"/>
  <c r="G179" i="5"/>
  <c r="J177" i="5"/>
  <c r="H23" i="5"/>
  <c r="I23" i="5"/>
  <c r="J22" i="5"/>
  <c r="S22" i="5" s="1"/>
  <c r="F44" i="6"/>
  <c r="G43" i="6"/>
  <c r="H42" i="6"/>
  <c r="J42" i="6"/>
  <c r="S42" i="6" s="1"/>
  <c r="I42" i="6"/>
  <c r="I179" i="5" l="1"/>
  <c r="H179" i="5"/>
  <c r="G180" i="5"/>
  <c r="F181" i="5"/>
  <c r="G25" i="5"/>
  <c r="F26" i="5"/>
  <c r="I92" i="1"/>
  <c r="J92" i="1"/>
  <c r="S92" i="1" s="1"/>
  <c r="H92" i="1"/>
  <c r="F94" i="1"/>
  <c r="G93" i="1"/>
  <c r="I24" i="5"/>
  <c r="H24" i="5"/>
  <c r="J23" i="5"/>
  <c r="S23" i="5" s="1"/>
  <c r="J43" i="6"/>
  <c r="S43" i="6" s="1"/>
  <c r="I43" i="6"/>
  <c r="H43" i="6"/>
  <c r="G44" i="6"/>
  <c r="F45" i="6"/>
  <c r="I25" i="5" l="1"/>
  <c r="H25" i="5"/>
  <c r="G181" i="5"/>
  <c r="F182" i="5"/>
  <c r="J93" i="1"/>
  <c r="S93" i="1" s="1"/>
  <c r="H93" i="1"/>
  <c r="I93" i="1"/>
  <c r="F95" i="1"/>
  <c r="G94" i="1"/>
  <c r="G26" i="5"/>
  <c r="F27" i="5"/>
  <c r="J179" i="5"/>
  <c r="J24" i="5"/>
  <c r="S24" i="5" s="1"/>
  <c r="H44" i="6"/>
  <c r="J44" i="6"/>
  <c r="S44" i="6" s="1"/>
  <c r="I44" i="6"/>
  <c r="F46" i="6"/>
  <c r="G45" i="6"/>
  <c r="J25" i="5" l="1"/>
  <c r="S25" i="5" s="1"/>
  <c r="H26" i="5"/>
  <c r="I26" i="5"/>
  <c r="F28" i="5"/>
  <c r="G27" i="5"/>
  <c r="G182" i="5"/>
  <c r="F183" i="5"/>
  <c r="I181" i="5"/>
  <c r="H181" i="5"/>
  <c r="H94" i="1"/>
  <c r="J94" i="1"/>
  <c r="S94" i="1" s="1"/>
  <c r="I94" i="1"/>
  <c r="F96" i="1"/>
  <c r="G95" i="1"/>
  <c r="G46" i="6"/>
  <c r="F47" i="6"/>
  <c r="J45" i="6"/>
  <c r="S45" i="6" s="1"/>
  <c r="I45" i="6"/>
  <c r="H45" i="6"/>
  <c r="AA59" i="4"/>
  <c r="Z59" i="4"/>
  <c r="AA58" i="4"/>
  <c r="Z58" i="4"/>
  <c r="AA57" i="4"/>
  <c r="Z57" i="4"/>
  <c r="AA56" i="4"/>
  <c r="Z56" i="4"/>
  <c r="AA55" i="4"/>
  <c r="Z55" i="4"/>
  <c r="AA54" i="4"/>
  <c r="Z54" i="4"/>
  <c r="AA53" i="4"/>
  <c r="Z53" i="4"/>
  <c r="AA52" i="4"/>
  <c r="Z52" i="4"/>
  <c r="AA51" i="4"/>
  <c r="Z51" i="4"/>
  <c r="AA50" i="4"/>
  <c r="Z50" i="4"/>
  <c r="AA49" i="4"/>
  <c r="Z49" i="4"/>
  <c r="AA48" i="4"/>
  <c r="Z48" i="4"/>
  <c r="AA47" i="4"/>
  <c r="Z47" i="4"/>
  <c r="AA46" i="4"/>
  <c r="Z46" i="4"/>
  <c r="AA45" i="4"/>
  <c r="Z45" i="4"/>
  <c r="AA44" i="4"/>
  <c r="Z44" i="4"/>
  <c r="AA43" i="4"/>
  <c r="Z43" i="4"/>
  <c r="AA42" i="4"/>
  <c r="Z42" i="4"/>
  <c r="AA41" i="4"/>
  <c r="Z41" i="4"/>
  <c r="AA40" i="4"/>
  <c r="Z40" i="4"/>
  <c r="AA39" i="4"/>
  <c r="Z39" i="4"/>
  <c r="AA38" i="4"/>
  <c r="Z38" i="4"/>
  <c r="AA37" i="4"/>
  <c r="Z37" i="4"/>
  <c r="AA36" i="4"/>
  <c r="Z36" i="4"/>
  <c r="AA35" i="4"/>
  <c r="Z35" i="4"/>
  <c r="AA34" i="4"/>
  <c r="Z34" i="4"/>
  <c r="AA33" i="4"/>
  <c r="Z33" i="4"/>
  <c r="AA32" i="4"/>
  <c r="Z32" i="4"/>
  <c r="AA31" i="4"/>
  <c r="Z31" i="4"/>
  <c r="AA30" i="4"/>
  <c r="Z30" i="4"/>
  <c r="AA29" i="4"/>
  <c r="Z29" i="4"/>
  <c r="AA28" i="4"/>
  <c r="Z28" i="4"/>
  <c r="AA27" i="4"/>
  <c r="Z27" i="4"/>
  <c r="AA26" i="4"/>
  <c r="Z26" i="4"/>
  <c r="AA25" i="4"/>
  <c r="Z25" i="4"/>
  <c r="AA24" i="4"/>
  <c r="Z24" i="4"/>
  <c r="AA23" i="4"/>
  <c r="Z23" i="4"/>
  <c r="AA22" i="4"/>
  <c r="Z22" i="4"/>
  <c r="AA21" i="4"/>
  <c r="Z21" i="4"/>
  <c r="AA20" i="4"/>
  <c r="Z20" i="4"/>
  <c r="AA19" i="4"/>
  <c r="Z19" i="4"/>
  <c r="AA18" i="4"/>
  <c r="Z18" i="4"/>
  <c r="AA17" i="4"/>
  <c r="Z17" i="4"/>
  <c r="AA16" i="4"/>
  <c r="Z16" i="4"/>
  <c r="AA15" i="4"/>
  <c r="Z15" i="4"/>
  <c r="AA14" i="4"/>
  <c r="Z14" i="4"/>
  <c r="AA13" i="4"/>
  <c r="Z13" i="4"/>
  <c r="AA12" i="4"/>
  <c r="Z12" i="4"/>
  <c r="AA11" i="4"/>
  <c r="Z11" i="4"/>
  <c r="AA10" i="4"/>
  <c r="Z10" i="4"/>
  <c r="AA9" i="4"/>
  <c r="Z9" i="4"/>
  <c r="AA8" i="4"/>
  <c r="Z8" i="4"/>
  <c r="A104" i="4"/>
  <c r="B104" i="4" s="1"/>
  <c r="A103" i="4"/>
  <c r="K103" i="4" s="1"/>
  <c r="A102" i="4"/>
  <c r="C102" i="4" s="1"/>
  <c r="A101" i="4"/>
  <c r="K101" i="4" s="1"/>
  <c r="A100" i="4"/>
  <c r="B100" i="4" s="1"/>
  <c r="A99" i="4"/>
  <c r="K99" i="4" s="1"/>
  <c r="A98" i="4"/>
  <c r="C98" i="4" s="1"/>
  <c r="A97" i="4"/>
  <c r="K97" i="4" s="1"/>
  <c r="A96" i="4"/>
  <c r="K96" i="4" s="1"/>
  <c r="A95" i="4"/>
  <c r="K95" i="4" s="1"/>
  <c r="A94" i="4"/>
  <c r="C94" i="4" s="1"/>
  <c r="A93" i="4"/>
  <c r="K93" i="4" s="1"/>
  <c r="A92" i="4"/>
  <c r="K92" i="4" s="1"/>
  <c r="A91" i="4"/>
  <c r="K91" i="4" s="1"/>
  <c r="A90" i="4"/>
  <c r="C90" i="4" s="1"/>
  <c r="A89" i="4"/>
  <c r="B89" i="4" s="1"/>
  <c r="A88" i="4"/>
  <c r="B88" i="4" s="1"/>
  <c r="A87" i="4"/>
  <c r="K87" i="4" s="1"/>
  <c r="A86" i="4"/>
  <c r="C86" i="4" s="1"/>
  <c r="A85" i="4"/>
  <c r="F85" i="4" s="1"/>
  <c r="A84" i="4"/>
  <c r="K84" i="4" s="1"/>
  <c r="A83" i="4"/>
  <c r="G83" i="4" s="1"/>
  <c r="A82" i="4"/>
  <c r="C82" i="4" s="1"/>
  <c r="A81" i="4"/>
  <c r="K81" i="4" s="1"/>
  <c r="A80" i="4"/>
  <c r="K80" i="4" s="1"/>
  <c r="A79" i="4"/>
  <c r="B79" i="4" s="1"/>
  <c r="A78" i="4"/>
  <c r="C78" i="4" s="1"/>
  <c r="A77" i="4"/>
  <c r="B77" i="4" s="1"/>
  <c r="A76" i="4"/>
  <c r="K76" i="4" s="1"/>
  <c r="A75" i="4"/>
  <c r="G75" i="4" s="1"/>
  <c r="A74" i="4"/>
  <c r="C74" i="4" s="1"/>
  <c r="A73" i="4"/>
  <c r="F73" i="4" s="1"/>
  <c r="A72" i="4"/>
  <c r="K72" i="4" s="1"/>
  <c r="A71" i="4"/>
  <c r="K71" i="4" s="1"/>
  <c r="A70" i="4"/>
  <c r="C70" i="4" s="1"/>
  <c r="A69" i="4"/>
  <c r="K69" i="4" s="1"/>
  <c r="A68" i="4"/>
  <c r="K68" i="4" s="1"/>
  <c r="A67" i="4"/>
  <c r="B67" i="4" s="1"/>
  <c r="A66" i="4"/>
  <c r="C66" i="4" s="1"/>
  <c r="A65" i="4"/>
  <c r="B65" i="4" s="1"/>
  <c r="A64" i="4"/>
  <c r="K64" i="4" s="1"/>
  <c r="A63" i="4"/>
  <c r="B63" i="4" s="1"/>
  <c r="A62" i="4"/>
  <c r="K62" i="4" s="1"/>
  <c r="A61" i="4"/>
  <c r="G61" i="4" s="1"/>
  <c r="A60" i="4"/>
  <c r="F60" i="4" s="1"/>
  <c r="A59" i="4"/>
  <c r="K59" i="4" s="1"/>
  <c r="A58" i="4"/>
  <c r="C58" i="4" s="1"/>
  <c r="A57" i="4"/>
  <c r="B57" i="4" s="1"/>
  <c r="A56" i="4"/>
  <c r="K56" i="4" s="1"/>
  <c r="A55" i="4"/>
  <c r="K55" i="4" s="1"/>
  <c r="A54" i="4"/>
  <c r="B54" i="4" s="1"/>
  <c r="A53" i="4"/>
  <c r="G53" i="4" s="1"/>
  <c r="A52" i="4"/>
  <c r="F52" i="4" s="1"/>
  <c r="A51" i="4"/>
  <c r="K51" i="4" s="1"/>
  <c r="A50" i="4"/>
  <c r="C50" i="4" s="1"/>
  <c r="A49" i="4"/>
  <c r="B49" i="4" s="1"/>
  <c r="A48" i="4"/>
  <c r="K48" i="4" s="1"/>
  <c r="A47" i="4"/>
  <c r="B47" i="4" s="1"/>
  <c r="A46" i="4"/>
  <c r="K46" i="4" s="1"/>
  <c r="A45" i="4"/>
  <c r="G45" i="4" s="1"/>
  <c r="A44" i="4"/>
  <c r="F44" i="4" s="1"/>
  <c r="A43" i="4"/>
  <c r="K43" i="4" s="1"/>
  <c r="A42" i="4"/>
  <c r="C42" i="4" s="1"/>
  <c r="A41" i="4"/>
  <c r="B41" i="4" s="1"/>
  <c r="A40" i="4"/>
  <c r="K40" i="4" s="1"/>
  <c r="A39" i="4"/>
  <c r="B39" i="4" s="1"/>
  <c r="A38" i="4"/>
  <c r="B38" i="4" s="1"/>
  <c r="A37" i="4"/>
  <c r="G37" i="4" s="1"/>
  <c r="A36" i="4"/>
  <c r="F36" i="4" s="1"/>
  <c r="A35" i="4"/>
  <c r="K35" i="4" s="1"/>
  <c r="A34" i="4"/>
  <c r="C34" i="4" s="1"/>
  <c r="A33" i="4"/>
  <c r="B33" i="4" s="1"/>
  <c r="A32" i="4"/>
  <c r="K32" i="4" s="1"/>
  <c r="A31" i="4"/>
  <c r="K31" i="4" s="1"/>
  <c r="A30" i="4"/>
  <c r="B30" i="4" s="1"/>
  <c r="A29" i="4"/>
  <c r="G29" i="4" s="1"/>
  <c r="A28" i="4"/>
  <c r="F28" i="4" s="1"/>
  <c r="A27" i="4"/>
  <c r="B27" i="4" s="1"/>
  <c r="A26" i="4"/>
  <c r="C26" i="4" s="1"/>
  <c r="A25" i="4"/>
  <c r="B25" i="4" s="1"/>
  <c r="A24" i="4"/>
  <c r="K24" i="4" s="1"/>
  <c r="A23" i="4"/>
  <c r="B23" i="4" s="1"/>
  <c r="A22" i="4"/>
  <c r="K22" i="4" s="1"/>
  <c r="A21" i="4"/>
  <c r="G21" i="4" s="1"/>
  <c r="A20" i="4"/>
  <c r="F20" i="4" s="1"/>
  <c r="A19" i="4"/>
  <c r="K19" i="4" s="1"/>
  <c r="A18" i="4"/>
  <c r="C18" i="4" s="1"/>
  <c r="A17" i="4"/>
  <c r="B17" i="4" s="1"/>
  <c r="A16" i="4"/>
  <c r="K16" i="4" s="1"/>
  <c r="A15" i="4"/>
  <c r="K15" i="4" s="1"/>
  <c r="A14" i="4"/>
  <c r="K14" i="4" s="1"/>
  <c r="A13" i="4"/>
  <c r="G13" i="4" s="1"/>
  <c r="A12" i="4"/>
  <c r="F12" i="4" s="1"/>
  <c r="A11" i="4"/>
  <c r="B11" i="4" s="1"/>
  <c r="A10" i="4"/>
  <c r="C10" i="4" s="1"/>
  <c r="A9" i="4"/>
  <c r="B9" i="4" s="1"/>
  <c r="A8" i="4"/>
  <c r="K8" i="4" s="1"/>
  <c r="A7" i="4"/>
  <c r="G7" i="4" s="1"/>
  <c r="F9" i="3"/>
  <c r="F10" i="3" s="1"/>
  <c r="F11" i="3" s="1"/>
  <c r="F12" i="3" s="1"/>
  <c r="G8" i="3"/>
  <c r="I8" i="3" s="1"/>
  <c r="G10" i="1"/>
  <c r="J10" i="1" s="1"/>
  <c r="S10" i="1" s="1"/>
  <c r="F29" i="4" l="1"/>
  <c r="B51" i="4"/>
  <c r="B45" i="4"/>
  <c r="G87" i="4"/>
  <c r="F13" i="4"/>
  <c r="I13" i="4" s="1"/>
  <c r="B53" i="4"/>
  <c r="B98" i="4"/>
  <c r="E98" i="4" s="1"/>
  <c r="K58" i="4"/>
  <c r="K34" i="4"/>
  <c r="K82" i="4"/>
  <c r="J181" i="5"/>
  <c r="K83" i="4"/>
  <c r="K94" i="4"/>
  <c r="K98" i="4"/>
  <c r="J26" i="5"/>
  <c r="S26" i="5" s="1"/>
  <c r="C65" i="4"/>
  <c r="D65" i="4" s="1"/>
  <c r="G71" i="4"/>
  <c r="C77" i="4"/>
  <c r="D77" i="4" s="1"/>
  <c r="C25" i="4"/>
  <c r="E25" i="4" s="1"/>
  <c r="F41" i="4"/>
  <c r="C57" i="4"/>
  <c r="D57" i="4" s="1"/>
  <c r="F65" i="4"/>
  <c r="F77" i="4"/>
  <c r="G93" i="4"/>
  <c r="G63" i="4"/>
  <c r="C100" i="4"/>
  <c r="E100" i="4" s="1"/>
  <c r="K70" i="4"/>
  <c r="G49" i="4"/>
  <c r="F57" i="4"/>
  <c r="G65" i="4"/>
  <c r="B86" i="4"/>
  <c r="E86" i="4" s="1"/>
  <c r="K74" i="4"/>
  <c r="G39" i="4"/>
  <c r="K38" i="4"/>
  <c r="F97" i="1"/>
  <c r="G96" i="1"/>
  <c r="B15" i="4"/>
  <c r="G23" i="4"/>
  <c r="G47" i="4"/>
  <c r="G55" i="4"/>
  <c r="B70" i="4"/>
  <c r="E70" i="4" s="1"/>
  <c r="B76" i="4"/>
  <c r="G15" i="4"/>
  <c r="B93" i="4"/>
  <c r="C41" i="4"/>
  <c r="D41" i="4" s="1"/>
  <c r="C93" i="4"/>
  <c r="F9" i="4"/>
  <c r="B102" i="4"/>
  <c r="D102" i="4" s="1"/>
  <c r="G17" i="4"/>
  <c r="F25" i="4"/>
  <c r="G36" i="4"/>
  <c r="H36" i="4" s="1"/>
  <c r="G73" i="4"/>
  <c r="H73" i="4" s="1"/>
  <c r="B78" i="4"/>
  <c r="D78" i="4" s="1"/>
  <c r="G103" i="4"/>
  <c r="K75" i="4"/>
  <c r="F184" i="5"/>
  <c r="G183" i="5"/>
  <c r="G12" i="4"/>
  <c r="I12" i="4" s="1"/>
  <c r="B19" i="4"/>
  <c r="B37" i="4"/>
  <c r="C104" i="4"/>
  <c r="E104" i="4" s="1"/>
  <c r="G44" i="4"/>
  <c r="H44" i="4" s="1"/>
  <c r="B74" i="4"/>
  <c r="E74" i="4" s="1"/>
  <c r="I27" i="5"/>
  <c r="H27" i="5"/>
  <c r="F37" i="4"/>
  <c r="H37" i="4" s="1"/>
  <c r="B68" i="4"/>
  <c r="F74" i="4"/>
  <c r="B80" i="4"/>
  <c r="K10" i="4"/>
  <c r="K86" i="4"/>
  <c r="F29" i="5"/>
  <c r="G28" i="5"/>
  <c r="C68" i="4"/>
  <c r="G74" i="4"/>
  <c r="C80" i="4"/>
  <c r="H95" i="1"/>
  <c r="I95" i="1"/>
  <c r="J95" i="1"/>
  <c r="S95" i="1" s="1"/>
  <c r="F48" i="6"/>
  <c r="G47" i="6"/>
  <c r="H46" i="6"/>
  <c r="J46" i="6"/>
  <c r="S46" i="6" s="1"/>
  <c r="I46" i="6"/>
  <c r="C96" i="4"/>
  <c r="K11" i="4"/>
  <c r="K23" i="4"/>
  <c r="K47" i="4"/>
  <c r="B31" i="4"/>
  <c r="B69" i="4"/>
  <c r="C89" i="4"/>
  <c r="D89" i="4" s="1"/>
  <c r="C9" i="4"/>
  <c r="E9" i="4" s="1"/>
  <c r="G20" i="4"/>
  <c r="H20" i="4" s="1"/>
  <c r="G25" i="4"/>
  <c r="G31" i="4"/>
  <c r="G41" i="4"/>
  <c r="G52" i="4"/>
  <c r="H52" i="4" s="1"/>
  <c r="G57" i="4"/>
  <c r="G77" i="4"/>
  <c r="G85" i="4"/>
  <c r="H85" i="4" s="1"/>
  <c r="F89" i="4"/>
  <c r="F93" i="4"/>
  <c r="B101" i="4"/>
  <c r="K12" i="4"/>
  <c r="K36" i="4"/>
  <c r="K60" i="4"/>
  <c r="G89" i="4"/>
  <c r="K13" i="4"/>
  <c r="K25" i="4"/>
  <c r="K37" i="4"/>
  <c r="K49" i="4"/>
  <c r="K61" i="4"/>
  <c r="K73" i="4"/>
  <c r="K85" i="4"/>
  <c r="K26" i="4"/>
  <c r="K50" i="4"/>
  <c r="B82" i="4"/>
  <c r="F86" i="4"/>
  <c r="B90" i="4"/>
  <c r="E90" i="4" s="1"/>
  <c r="B94" i="4"/>
  <c r="K27" i="4"/>
  <c r="K39" i="4"/>
  <c r="K63" i="4"/>
  <c r="B43" i="4"/>
  <c r="G28" i="4"/>
  <c r="H28" i="4" s="1"/>
  <c r="C49" i="4"/>
  <c r="D49" i="4" s="1"/>
  <c r="G60" i="4"/>
  <c r="H60" i="4" s="1"/>
  <c r="F70" i="4"/>
  <c r="F78" i="4"/>
  <c r="G86" i="4"/>
  <c r="F90" i="4"/>
  <c r="F102" i="4"/>
  <c r="K28" i="4"/>
  <c r="K52" i="4"/>
  <c r="K88" i="4"/>
  <c r="K100" i="4"/>
  <c r="C7" i="4"/>
  <c r="F21" i="4"/>
  <c r="I21" i="4" s="1"/>
  <c r="C33" i="4"/>
  <c r="E33" i="4" s="1"/>
  <c r="F53" i="4"/>
  <c r="H53" i="4" s="1"/>
  <c r="G70" i="4"/>
  <c r="G78" i="4"/>
  <c r="G90" i="4"/>
  <c r="F94" i="4"/>
  <c r="F98" i="4"/>
  <c r="G102" i="4"/>
  <c r="K17" i="4"/>
  <c r="K29" i="4"/>
  <c r="K41" i="4"/>
  <c r="K53" i="4"/>
  <c r="K65" i="4"/>
  <c r="K77" i="4"/>
  <c r="K89" i="4"/>
  <c r="C17" i="4"/>
  <c r="E17" i="4" s="1"/>
  <c r="F33" i="4"/>
  <c r="F7" i="4"/>
  <c r="F17" i="4"/>
  <c r="B29" i="4"/>
  <c r="G33" i="4"/>
  <c r="F49" i="4"/>
  <c r="B55" i="4"/>
  <c r="B61" i="4"/>
  <c r="F82" i="4"/>
  <c r="G94" i="4"/>
  <c r="G98" i="4"/>
  <c r="K18" i="4"/>
  <c r="K30" i="4"/>
  <c r="K42" i="4"/>
  <c r="K54" i="4"/>
  <c r="K66" i="4"/>
  <c r="K78" i="4"/>
  <c r="K90" i="4"/>
  <c r="K102" i="4"/>
  <c r="G82" i="4"/>
  <c r="K7" i="4"/>
  <c r="K67" i="4"/>
  <c r="K79" i="4"/>
  <c r="B7" i="4"/>
  <c r="G9" i="4"/>
  <c r="B21" i="4"/>
  <c r="K20" i="4"/>
  <c r="K44" i="4"/>
  <c r="K104" i="4"/>
  <c r="B13" i="4"/>
  <c r="F45" i="4"/>
  <c r="I45" i="4" s="1"/>
  <c r="K9" i="4"/>
  <c r="K21" i="4"/>
  <c r="K33" i="4"/>
  <c r="K45" i="4"/>
  <c r="K57" i="4"/>
  <c r="F8" i="4"/>
  <c r="G8" i="4"/>
  <c r="B8" i="4"/>
  <c r="F24" i="4"/>
  <c r="C24" i="4"/>
  <c r="G24" i="4"/>
  <c r="B24" i="4"/>
  <c r="F64" i="4"/>
  <c r="G64" i="4"/>
  <c r="C64" i="4"/>
  <c r="B64" i="4"/>
  <c r="C38" i="4"/>
  <c r="D38" i="4" s="1"/>
  <c r="G38" i="4"/>
  <c r="F38" i="4"/>
  <c r="F51" i="4"/>
  <c r="C51" i="4"/>
  <c r="G51" i="4"/>
  <c r="F95" i="4"/>
  <c r="C95" i="4"/>
  <c r="B95" i="4"/>
  <c r="G95" i="4"/>
  <c r="C14" i="4"/>
  <c r="F14" i="4"/>
  <c r="F91" i="4"/>
  <c r="C91" i="4"/>
  <c r="B91" i="4"/>
  <c r="G91" i="4"/>
  <c r="F11" i="4"/>
  <c r="C11" i="4"/>
  <c r="D11" i="4" s="1"/>
  <c r="G11" i="4"/>
  <c r="C54" i="4"/>
  <c r="E54" i="4" s="1"/>
  <c r="G54" i="4"/>
  <c r="F54" i="4"/>
  <c r="G14" i="4"/>
  <c r="C22" i="4"/>
  <c r="G22" i="4"/>
  <c r="F22" i="4"/>
  <c r="F35" i="4"/>
  <c r="C35" i="4"/>
  <c r="G35" i="4"/>
  <c r="F48" i="4"/>
  <c r="G48" i="4"/>
  <c r="C48" i="4"/>
  <c r="B48" i="4"/>
  <c r="C62" i="4"/>
  <c r="G62" i="4"/>
  <c r="F62" i="4"/>
  <c r="G72" i="4"/>
  <c r="F72" i="4"/>
  <c r="B22" i="4"/>
  <c r="B35" i="4"/>
  <c r="B62" i="4"/>
  <c r="B72" i="4"/>
  <c r="G84" i="4"/>
  <c r="F84" i="4"/>
  <c r="G97" i="4"/>
  <c r="F97" i="4"/>
  <c r="F19" i="4"/>
  <c r="C19" i="4"/>
  <c r="G19" i="4"/>
  <c r="F32" i="4"/>
  <c r="C32" i="4"/>
  <c r="G32" i="4"/>
  <c r="B32" i="4"/>
  <c r="G69" i="4"/>
  <c r="F69" i="4"/>
  <c r="C69" i="4"/>
  <c r="C72" i="4"/>
  <c r="B84" i="4"/>
  <c r="B97" i="4"/>
  <c r="F27" i="4"/>
  <c r="C27" i="4"/>
  <c r="E27" i="4" s="1"/>
  <c r="G27" i="4"/>
  <c r="F40" i="4"/>
  <c r="C40" i="4"/>
  <c r="G40" i="4"/>
  <c r="B40" i="4"/>
  <c r="F67" i="4"/>
  <c r="C67" i="4"/>
  <c r="D67" i="4" s="1"/>
  <c r="G67" i="4"/>
  <c r="C8" i="4"/>
  <c r="F59" i="4"/>
  <c r="C59" i="4"/>
  <c r="G59" i="4"/>
  <c r="G81" i="4"/>
  <c r="F81" i="4"/>
  <c r="C81" i="4"/>
  <c r="C84" i="4"/>
  <c r="C97" i="4"/>
  <c r="F79" i="4"/>
  <c r="C79" i="4"/>
  <c r="E79" i="4" s="1"/>
  <c r="G79" i="4"/>
  <c r="C46" i="4"/>
  <c r="G46" i="4"/>
  <c r="F46" i="4"/>
  <c r="F16" i="4"/>
  <c r="C16" i="4"/>
  <c r="G16" i="4"/>
  <c r="B16" i="4"/>
  <c r="B46" i="4"/>
  <c r="B59" i="4"/>
  <c r="B81" i="4"/>
  <c r="B14" i="4"/>
  <c r="C30" i="4"/>
  <c r="D30" i="4" s="1"/>
  <c r="G30" i="4"/>
  <c r="F30" i="4"/>
  <c r="F43" i="4"/>
  <c r="C43" i="4"/>
  <c r="G43" i="4"/>
  <c r="F56" i="4"/>
  <c r="G56" i="4"/>
  <c r="C56" i="4"/>
  <c r="B56" i="4"/>
  <c r="G101" i="4"/>
  <c r="F101" i="4"/>
  <c r="C101" i="4"/>
  <c r="F99" i="4"/>
  <c r="C99" i="4"/>
  <c r="B99" i="4"/>
  <c r="G76" i="4"/>
  <c r="F76" i="4"/>
  <c r="G88" i="4"/>
  <c r="F88" i="4"/>
  <c r="F103" i="4"/>
  <c r="C103" i="4"/>
  <c r="B103" i="4"/>
  <c r="G99" i="4"/>
  <c r="C13" i="4"/>
  <c r="C21" i="4"/>
  <c r="C29" i="4"/>
  <c r="C37" i="4"/>
  <c r="C45" i="4"/>
  <c r="C53" i="4"/>
  <c r="C61" i="4"/>
  <c r="F71" i="4"/>
  <c r="C71" i="4"/>
  <c r="C76" i="4"/>
  <c r="F83" i="4"/>
  <c r="C83" i="4"/>
  <c r="C88" i="4"/>
  <c r="E88" i="4" s="1"/>
  <c r="G92" i="4"/>
  <c r="F92" i="4"/>
  <c r="B10" i="4"/>
  <c r="B18" i="4"/>
  <c r="B26" i="4"/>
  <c r="B34" i="4"/>
  <c r="B42" i="4"/>
  <c r="B50" i="4"/>
  <c r="B58" i="4"/>
  <c r="B66" i="4"/>
  <c r="B71" i="4"/>
  <c r="B73" i="4"/>
  <c r="B83" i="4"/>
  <c r="B85" i="4"/>
  <c r="B92" i="4"/>
  <c r="G96" i="4"/>
  <c r="F96" i="4"/>
  <c r="F15" i="4"/>
  <c r="C15" i="4"/>
  <c r="F23" i="4"/>
  <c r="C23" i="4"/>
  <c r="E23" i="4" s="1"/>
  <c r="F31" i="4"/>
  <c r="C31" i="4"/>
  <c r="F39" i="4"/>
  <c r="C39" i="4"/>
  <c r="E39" i="4" s="1"/>
  <c r="F47" i="4"/>
  <c r="C47" i="4"/>
  <c r="D47" i="4" s="1"/>
  <c r="F55" i="4"/>
  <c r="C55" i="4"/>
  <c r="F63" i="4"/>
  <c r="C63" i="4"/>
  <c r="E63" i="4" s="1"/>
  <c r="G68" i="4"/>
  <c r="F68" i="4"/>
  <c r="C73" i="4"/>
  <c r="G80" i="4"/>
  <c r="F80" i="4"/>
  <c r="C85" i="4"/>
  <c r="C92" i="4"/>
  <c r="B96" i="4"/>
  <c r="G100" i="4"/>
  <c r="F100" i="4"/>
  <c r="G104" i="4"/>
  <c r="F104" i="4"/>
  <c r="F61" i="4"/>
  <c r="I29" i="4"/>
  <c r="B12" i="4"/>
  <c r="B20" i="4"/>
  <c r="F26" i="4"/>
  <c r="F34" i="4"/>
  <c r="B44" i="4"/>
  <c r="B52" i="4"/>
  <c r="F58" i="4"/>
  <c r="B60" i="4"/>
  <c r="F66" i="4"/>
  <c r="F75" i="4"/>
  <c r="C75" i="4"/>
  <c r="F87" i="4"/>
  <c r="C87" i="4"/>
  <c r="F10" i="4"/>
  <c r="F18" i="4"/>
  <c r="B28" i="4"/>
  <c r="B36" i="4"/>
  <c r="F42" i="4"/>
  <c r="F50" i="4"/>
  <c r="G10" i="4"/>
  <c r="C12" i="4"/>
  <c r="G18" i="4"/>
  <c r="C20" i="4"/>
  <c r="G26" i="4"/>
  <c r="C28" i="4"/>
  <c r="H29" i="4"/>
  <c r="G34" i="4"/>
  <c r="C36" i="4"/>
  <c r="G42" i="4"/>
  <c r="C44" i="4"/>
  <c r="G50" i="4"/>
  <c r="C52" i="4"/>
  <c r="G58" i="4"/>
  <c r="C60" i="4"/>
  <c r="G66" i="4"/>
  <c r="B75" i="4"/>
  <c r="B87" i="4"/>
  <c r="H8" i="3"/>
  <c r="J8" i="3" s="1"/>
  <c r="S8" i="3" s="1"/>
  <c r="G9" i="3"/>
  <c r="G10" i="3"/>
  <c r="G11" i="3"/>
  <c r="G12" i="3"/>
  <c r="F13" i="3"/>
  <c r="G12" i="1"/>
  <c r="G11" i="1"/>
  <c r="I10" i="1"/>
  <c r="H10" i="1"/>
  <c r="D45" i="4" l="1"/>
  <c r="E80" i="4"/>
  <c r="D104" i="4"/>
  <c r="I52" i="4"/>
  <c r="H13" i="4"/>
  <c r="E65" i="4"/>
  <c r="I37" i="4"/>
  <c r="E41" i="4"/>
  <c r="E53" i="4"/>
  <c r="I41" i="4"/>
  <c r="D93" i="4"/>
  <c r="E68" i="4"/>
  <c r="V30" i="4" s="1"/>
  <c r="AB30" i="4" s="1"/>
  <c r="E51" i="4"/>
  <c r="V13" i="4" s="1"/>
  <c r="AB13" i="4" s="1"/>
  <c r="D25" i="4"/>
  <c r="D86" i="4"/>
  <c r="U48" i="4" s="1"/>
  <c r="D21" i="4"/>
  <c r="E19" i="4"/>
  <c r="D98" i="4"/>
  <c r="I73" i="4"/>
  <c r="X35" i="4" s="1"/>
  <c r="AC35" i="4" s="1"/>
  <c r="H41" i="4"/>
  <c r="D70" i="4"/>
  <c r="U32" i="4" s="1"/>
  <c r="I93" i="4"/>
  <c r="X55" i="4" s="1"/>
  <c r="AC55" i="4" s="1"/>
  <c r="D68" i="4"/>
  <c r="U30" i="4" s="1"/>
  <c r="I25" i="4"/>
  <c r="D51" i="4"/>
  <c r="I17" i="4"/>
  <c r="D100" i="4"/>
  <c r="I44" i="4"/>
  <c r="I36" i="4"/>
  <c r="H25" i="4"/>
  <c r="I28" i="4"/>
  <c r="E93" i="4"/>
  <c r="V55" i="4" s="1"/>
  <c r="AB55" i="4" s="1"/>
  <c r="E57" i="4"/>
  <c r="I33" i="4"/>
  <c r="I65" i="4"/>
  <c r="I102" i="4"/>
  <c r="I57" i="4"/>
  <c r="H12" i="4"/>
  <c r="D74" i="4"/>
  <c r="U36" i="4" s="1"/>
  <c r="E77" i="4"/>
  <c r="I49" i="4"/>
  <c r="D33" i="4"/>
  <c r="H57" i="4"/>
  <c r="E78" i="4"/>
  <c r="V40" i="4" s="1"/>
  <c r="AB40" i="4" s="1"/>
  <c r="E76" i="4"/>
  <c r="V38" i="4" s="1"/>
  <c r="AB38" i="4" s="1"/>
  <c r="I60" i="4"/>
  <c r="H65" i="4"/>
  <c r="E43" i="4"/>
  <c r="I9" i="4"/>
  <c r="D80" i="4"/>
  <c r="U42" i="4" s="1"/>
  <c r="I77" i="4"/>
  <c r="X39" i="4" s="1"/>
  <c r="AC39" i="4" s="1"/>
  <c r="H74" i="4"/>
  <c r="W36" i="4" s="1"/>
  <c r="D17" i="4"/>
  <c r="E49" i="4"/>
  <c r="V11" i="4" s="1"/>
  <c r="AB11" i="4" s="1"/>
  <c r="U51" i="4"/>
  <c r="E89" i="4"/>
  <c r="V51" i="4" s="1"/>
  <c r="AB51" i="4" s="1"/>
  <c r="D79" i="4"/>
  <c r="U41" i="4" s="1"/>
  <c r="H82" i="4"/>
  <c r="W44" i="4" s="1"/>
  <c r="I183" i="5"/>
  <c r="H183" i="5"/>
  <c r="H33" i="4"/>
  <c r="G105" i="4"/>
  <c r="I20" i="4"/>
  <c r="V39" i="4"/>
  <c r="AB39" i="4" s="1"/>
  <c r="F185" i="5"/>
  <c r="G184" i="5"/>
  <c r="H96" i="1"/>
  <c r="I96" i="1"/>
  <c r="J96" i="1"/>
  <c r="S96" i="1" s="1"/>
  <c r="H17" i="4"/>
  <c r="I74" i="4"/>
  <c r="X36" i="4" s="1"/>
  <c r="AC36" i="4" s="1"/>
  <c r="E102" i="4"/>
  <c r="V25" i="4" s="1"/>
  <c r="AB25" i="4" s="1"/>
  <c r="F98" i="1"/>
  <c r="G97" i="1"/>
  <c r="E15" i="4"/>
  <c r="H93" i="4"/>
  <c r="W55" i="4" s="1"/>
  <c r="I85" i="4"/>
  <c r="X47" i="4" s="1"/>
  <c r="AC47" i="4" s="1"/>
  <c r="D9" i="4"/>
  <c r="H9" i="4"/>
  <c r="I70" i="4"/>
  <c r="X32" i="4" s="1"/>
  <c r="AC32" i="4" s="1"/>
  <c r="H89" i="4"/>
  <c r="W51" i="4" s="1"/>
  <c r="J27" i="5"/>
  <c r="S27" i="5" s="1"/>
  <c r="D39" i="4"/>
  <c r="H77" i="4"/>
  <c r="W39" i="4" s="1"/>
  <c r="E38" i="4"/>
  <c r="D29" i="4"/>
  <c r="D37" i="4"/>
  <c r="E21" i="4"/>
  <c r="F30" i="5"/>
  <c r="G29" i="5"/>
  <c r="I28" i="5"/>
  <c r="H28" i="5"/>
  <c r="J47" i="6"/>
  <c r="S47" i="6" s="1"/>
  <c r="I47" i="6"/>
  <c r="H47" i="6"/>
  <c r="G48" i="6"/>
  <c r="F49" i="6"/>
  <c r="D61" i="4"/>
  <c r="D55" i="4"/>
  <c r="D101" i="4"/>
  <c r="I82" i="4"/>
  <c r="X44" i="4" s="1"/>
  <c r="AC44" i="4" s="1"/>
  <c r="E13" i="4"/>
  <c r="H21" i="4"/>
  <c r="I53" i="4"/>
  <c r="D90" i="4"/>
  <c r="U52" i="4" s="1"/>
  <c r="E31" i="4"/>
  <c r="I98" i="4"/>
  <c r="V36" i="4"/>
  <c r="AB36" i="4" s="1"/>
  <c r="H49" i="4"/>
  <c r="D76" i="4"/>
  <c r="U38" i="4" s="1"/>
  <c r="V41" i="4"/>
  <c r="AB41" i="4" s="1"/>
  <c r="U40" i="4"/>
  <c r="W35" i="4"/>
  <c r="W47" i="4"/>
  <c r="V42" i="4"/>
  <c r="AB42" i="4" s="1"/>
  <c r="U55" i="4"/>
  <c r="V16" i="4"/>
  <c r="AB16" i="4" s="1"/>
  <c r="V50" i="4"/>
  <c r="AB50" i="4" s="1"/>
  <c r="H90" i="4"/>
  <c r="W52" i="4" s="1"/>
  <c r="I90" i="4"/>
  <c r="X52" i="4" s="1"/>
  <c r="AC52" i="4" s="1"/>
  <c r="H45" i="4"/>
  <c r="E29" i="4"/>
  <c r="D13" i="4"/>
  <c r="D69" i="4"/>
  <c r="U31" i="4" s="1"/>
  <c r="D94" i="4"/>
  <c r="U56" i="4" s="1"/>
  <c r="E94" i="4"/>
  <c r="V56" i="4" s="1"/>
  <c r="AB56" i="4" s="1"/>
  <c r="D31" i="4"/>
  <c r="H70" i="4"/>
  <c r="W32" i="4" s="1"/>
  <c r="E30" i="4"/>
  <c r="U39" i="4"/>
  <c r="I78" i="4"/>
  <c r="X40" i="4" s="1"/>
  <c r="AC40" i="4" s="1"/>
  <c r="H78" i="4"/>
  <c r="W40" i="4" s="1"/>
  <c r="H86" i="4"/>
  <c r="W48" i="4" s="1"/>
  <c r="I86" i="4"/>
  <c r="X48" i="4" s="1"/>
  <c r="AC48" i="4" s="1"/>
  <c r="E82" i="4"/>
  <c r="V44" i="4" s="1"/>
  <c r="AB44" i="4" s="1"/>
  <c r="D82" i="4"/>
  <c r="U44" i="4" s="1"/>
  <c r="D54" i="4"/>
  <c r="C105" i="4"/>
  <c r="U27" i="4"/>
  <c r="I89" i="4"/>
  <c r="X51" i="4" s="1"/>
  <c r="AC51" i="4" s="1"/>
  <c r="E47" i="4"/>
  <c r="V9" i="4" s="1"/>
  <c r="AB9" i="4" s="1"/>
  <c r="V27" i="4"/>
  <c r="AB27" i="4" s="1"/>
  <c r="V48" i="4"/>
  <c r="AB48" i="4" s="1"/>
  <c r="H102" i="4"/>
  <c r="E61" i="4"/>
  <c r="V23" i="4" s="1"/>
  <c r="AB23" i="4" s="1"/>
  <c r="H98" i="4"/>
  <c r="V52" i="4"/>
  <c r="AB52" i="4" s="1"/>
  <c r="V32" i="4"/>
  <c r="AB32" i="4" s="1"/>
  <c r="I7" i="4"/>
  <c r="H7" i="4"/>
  <c r="F105" i="4"/>
  <c r="D88" i="4"/>
  <c r="U50" i="4" s="1"/>
  <c r="E37" i="4"/>
  <c r="E55" i="4"/>
  <c r="E7" i="4"/>
  <c r="D7" i="4"/>
  <c r="B105" i="4"/>
  <c r="I94" i="4"/>
  <c r="X56" i="4" s="1"/>
  <c r="AC56" i="4" s="1"/>
  <c r="H94" i="4"/>
  <c r="W56" i="4" s="1"/>
  <c r="E45" i="4"/>
  <c r="U29" i="4"/>
  <c r="I14" i="4"/>
  <c r="H14" i="4"/>
  <c r="I68" i="4"/>
  <c r="X30" i="4" s="1"/>
  <c r="AC30" i="4" s="1"/>
  <c r="H68" i="4"/>
  <c r="W30" i="4" s="1"/>
  <c r="I43" i="4"/>
  <c r="H43" i="4"/>
  <c r="D44" i="4"/>
  <c r="E44" i="4"/>
  <c r="I71" i="4"/>
  <c r="X33" i="4" s="1"/>
  <c r="AC33" i="4" s="1"/>
  <c r="H71" i="4"/>
  <c r="W33" i="4" s="1"/>
  <c r="I64" i="4"/>
  <c r="H64" i="4"/>
  <c r="D75" i="4"/>
  <c r="U37" i="4" s="1"/>
  <c r="E75" i="4"/>
  <c r="V37" i="4" s="1"/>
  <c r="AB37" i="4" s="1"/>
  <c r="D73" i="4"/>
  <c r="U35" i="4" s="1"/>
  <c r="E73" i="4"/>
  <c r="V35" i="4" s="1"/>
  <c r="AB35" i="4" s="1"/>
  <c r="I101" i="4"/>
  <c r="H101" i="4"/>
  <c r="I87" i="4"/>
  <c r="X49" i="4" s="1"/>
  <c r="AC49" i="4" s="1"/>
  <c r="H87" i="4"/>
  <c r="W49" i="4" s="1"/>
  <c r="I30" i="4"/>
  <c r="H30" i="4"/>
  <c r="I48" i="4"/>
  <c r="H48" i="4"/>
  <c r="E24" i="4"/>
  <c r="D24" i="4"/>
  <c r="I104" i="4"/>
  <c r="H104" i="4"/>
  <c r="E59" i="4"/>
  <c r="V21" i="4" s="1"/>
  <c r="AB21" i="4" s="1"/>
  <c r="D59" i="4"/>
  <c r="U21" i="4" s="1"/>
  <c r="I51" i="4"/>
  <c r="H51" i="4"/>
  <c r="E67" i="4"/>
  <c r="V29" i="4" s="1"/>
  <c r="AB29" i="4" s="1"/>
  <c r="D23" i="4"/>
  <c r="D20" i="4"/>
  <c r="E20" i="4"/>
  <c r="E10" i="4"/>
  <c r="D10" i="4"/>
  <c r="I67" i="4"/>
  <c r="X29" i="4" s="1"/>
  <c r="AC29" i="4" s="1"/>
  <c r="H67" i="4"/>
  <c r="W29" i="4" s="1"/>
  <c r="I100" i="4"/>
  <c r="H100" i="4"/>
  <c r="I96" i="4"/>
  <c r="X58" i="4" s="1"/>
  <c r="AC58" i="4" s="1"/>
  <c r="H96" i="4"/>
  <c r="W58" i="4" s="1"/>
  <c r="I76" i="4"/>
  <c r="X38" i="4" s="1"/>
  <c r="AC38" i="4" s="1"/>
  <c r="H76" i="4"/>
  <c r="W38" i="4" s="1"/>
  <c r="E16" i="4"/>
  <c r="D16" i="4"/>
  <c r="I69" i="4"/>
  <c r="X31" i="4" s="1"/>
  <c r="AC31" i="4" s="1"/>
  <c r="H69" i="4"/>
  <c r="W31" i="4" s="1"/>
  <c r="E22" i="4"/>
  <c r="D22" i="4"/>
  <c r="I11" i="4"/>
  <c r="H11" i="4"/>
  <c r="I24" i="4"/>
  <c r="H24" i="4"/>
  <c r="D15" i="4"/>
  <c r="D63" i="4"/>
  <c r="U25" i="4" s="1"/>
  <c r="D53" i="4"/>
  <c r="I72" i="4"/>
  <c r="X34" i="4" s="1"/>
  <c r="AC34" i="4" s="1"/>
  <c r="H72" i="4"/>
  <c r="W34" i="4" s="1"/>
  <c r="E60" i="4"/>
  <c r="D60" i="4"/>
  <c r="E96" i="4"/>
  <c r="V58" i="4" s="1"/>
  <c r="AB58" i="4" s="1"/>
  <c r="D96" i="4"/>
  <c r="U58" i="4" s="1"/>
  <c r="E92" i="4"/>
  <c r="V54" i="4" s="1"/>
  <c r="AB54" i="4" s="1"/>
  <c r="D92" i="4"/>
  <c r="U54" i="4" s="1"/>
  <c r="E50" i="4"/>
  <c r="V12" i="4" s="1"/>
  <c r="AB12" i="4" s="1"/>
  <c r="D50" i="4"/>
  <c r="U12" i="4" s="1"/>
  <c r="D99" i="4"/>
  <c r="E99" i="4"/>
  <c r="I79" i="4"/>
  <c r="X41" i="4" s="1"/>
  <c r="AC41" i="4" s="1"/>
  <c r="H79" i="4"/>
  <c r="W41" i="4" s="1"/>
  <c r="I35" i="4"/>
  <c r="H35" i="4"/>
  <c r="D91" i="4"/>
  <c r="U53" i="4" s="1"/>
  <c r="E91" i="4"/>
  <c r="V53" i="4" s="1"/>
  <c r="AB53" i="4" s="1"/>
  <c r="I95" i="4"/>
  <c r="X57" i="4" s="1"/>
  <c r="AC57" i="4" s="1"/>
  <c r="H95" i="4"/>
  <c r="W57" i="4" s="1"/>
  <c r="E11" i="4"/>
  <c r="I58" i="4"/>
  <c r="H58" i="4"/>
  <c r="I47" i="4"/>
  <c r="H47" i="4"/>
  <c r="I56" i="4"/>
  <c r="H56" i="4"/>
  <c r="I16" i="4"/>
  <c r="H16" i="4"/>
  <c r="I59" i="4"/>
  <c r="H59" i="4"/>
  <c r="I40" i="4"/>
  <c r="H40" i="4"/>
  <c r="I84" i="4"/>
  <c r="X46" i="4" s="1"/>
  <c r="AC46" i="4" s="1"/>
  <c r="H84" i="4"/>
  <c r="W46" i="4" s="1"/>
  <c r="I62" i="4"/>
  <c r="H62" i="4"/>
  <c r="I22" i="4"/>
  <c r="H22" i="4"/>
  <c r="E8" i="4"/>
  <c r="D8" i="4"/>
  <c r="D87" i="4"/>
  <c r="U49" i="4" s="1"/>
  <c r="E87" i="4"/>
  <c r="V49" i="4" s="1"/>
  <c r="AB49" i="4" s="1"/>
  <c r="E97" i="4"/>
  <c r="V59" i="4" s="1"/>
  <c r="AB59" i="4" s="1"/>
  <c r="D97" i="4"/>
  <c r="U59" i="4" s="1"/>
  <c r="E36" i="4"/>
  <c r="D36" i="4"/>
  <c r="I88" i="4"/>
  <c r="X50" i="4" s="1"/>
  <c r="AC50" i="4" s="1"/>
  <c r="H88" i="4"/>
  <c r="W50" i="4" s="1"/>
  <c r="H26" i="4"/>
  <c r="I26" i="4"/>
  <c r="E18" i="4"/>
  <c r="D18" i="4"/>
  <c r="I75" i="4"/>
  <c r="X37" i="4" s="1"/>
  <c r="AC37" i="4" s="1"/>
  <c r="H75" i="4"/>
  <c r="W37" i="4" s="1"/>
  <c r="I15" i="4"/>
  <c r="H15" i="4"/>
  <c r="I18" i="4"/>
  <c r="H18" i="4"/>
  <c r="I92" i="4"/>
  <c r="X54" i="4" s="1"/>
  <c r="AC54" i="4" s="1"/>
  <c r="H92" i="4"/>
  <c r="W54" i="4" s="1"/>
  <c r="E69" i="4"/>
  <c r="V31" i="4" s="1"/>
  <c r="AB31" i="4" s="1"/>
  <c r="I19" i="4"/>
  <c r="H19" i="4"/>
  <c r="H10" i="4"/>
  <c r="I10" i="4"/>
  <c r="E103" i="4"/>
  <c r="D103" i="4"/>
  <c r="I54" i="4"/>
  <c r="H54" i="4"/>
  <c r="I91" i="4"/>
  <c r="X53" i="4" s="1"/>
  <c r="AC53" i="4" s="1"/>
  <c r="H91" i="4"/>
  <c r="W53" i="4" s="1"/>
  <c r="E64" i="4"/>
  <c r="D64" i="4"/>
  <c r="I61" i="4"/>
  <c r="H61" i="4"/>
  <c r="E101" i="4"/>
  <c r="E26" i="4"/>
  <c r="D26" i="4"/>
  <c r="H23" i="4"/>
  <c r="I23" i="4"/>
  <c r="E84" i="4"/>
  <c r="V46" i="4" s="1"/>
  <c r="AB46" i="4" s="1"/>
  <c r="D84" i="4"/>
  <c r="U46" i="4" s="1"/>
  <c r="E28" i="4"/>
  <c r="D28" i="4"/>
  <c r="E66" i="4"/>
  <c r="V28" i="4" s="1"/>
  <c r="AB28" i="4" s="1"/>
  <c r="D66" i="4"/>
  <c r="U28" i="4" s="1"/>
  <c r="E35" i="4"/>
  <c r="D35" i="4"/>
  <c r="D46" i="4"/>
  <c r="E46" i="4"/>
  <c r="H66" i="4"/>
  <c r="W28" i="4" s="1"/>
  <c r="I66" i="4"/>
  <c r="X28" i="4" s="1"/>
  <c r="AC28" i="4" s="1"/>
  <c r="E56" i="4"/>
  <c r="D56" i="4"/>
  <c r="D95" i="4"/>
  <c r="U57" i="4" s="1"/>
  <c r="E95" i="4"/>
  <c r="V57" i="4" s="1"/>
  <c r="AB57" i="4" s="1"/>
  <c r="I99" i="4"/>
  <c r="H99" i="4"/>
  <c r="W22" i="4" s="1"/>
  <c r="E32" i="4"/>
  <c r="D32" i="4"/>
  <c r="E52" i="4"/>
  <c r="V14" i="4" s="1"/>
  <c r="AB14" i="4" s="1"/>
  <c r="D52" i="4"/>
  <c r="I80" i="4"/>
  <c r="X42" i="4" s="1"/>
  <c r="AC42" i="4" s="1"/>
  <c r="H80" i="4"/>
  <c r="W42" i="4" s="1"/>
  <c r="H39" i="4"/>
  <c r="I39" i="4"/>
  <c r="E85" i="4"/>
  <c r="V47" i="4" s="1"/>
  <c r="AB47" i="4" s="1"/>
  <c r="D85" i="4"/>
  <c r="U47" i="4" s="1"/>
  <c r="D14" i="4"/>
  <c r="E14" i="4"/>
  <c r="D19" i="4"/>
  <c r="E72" i="4"/>
  <c r="V34" i="4" s="1"/>
  <c r="AB34" i="4" s="1"/>
  <c r="D72" i="4"/>
  <c r="U34" i="4" s="1"/>
  <c r="D43" i="4"/>
  <c r="I8" i="4"/>
  <c r="H8" i="4"/>
  <c r="D27" i="4"/>
  <c r="I42" i="4"/>
  <c r="H42" i="4"/>
  <c r="I31" i="4"/>
  <c r="H31" i="4"/>
  <c r="I32" i="4"/>
  <c r="H32" i="4"/>
  <c r="I34" i="4"/>
  <c r="H34" i="4"/>
  <c r="E81" i="4"/>
  <c r="V43" i="4" s="1"/>
  <c r="AB43" i="4" s="1"/>
  <c r="D81" i="4"/>
  <c r="U43" i="4" s="1"/>
  <c r="D71" i="4"/>
  <c r="U33" i="4" s="1"/>
  <c r="E71" i="4"/>
  <c r="V33" i="4" s="1"/>
  <c r="AB33" i="4" s="1"/>
  <c r="I81" i="4"/>
  <c r="X43" i="4" s="1"/>
  <c r="AC43" i="4" s="1"/>
  <c r="H81" i="4"/>
  <c r="W43" i="4" s="1"/>
  <c r="H63" i="4"/>
  <c r="I63" i="4"/>
  <c r="E12" i="4"/>
  <c r="D12" i="4"/>
  <c r="E58" i="4"/>
  <c r="D58" i="4"/>
  <c r="E40" i="4"/>
  <c r="D40" i="4"/>
  <c r="I38" i="4"/>
  <c r="H38" i="4"/>
  <c r="I55" i="4"/>
  <c r="X17" i="4" s="1"/>
  <c r="AC17" i="4" s="1"/>
  <c r="H55" i="4"/>
  <c r="I97" i="4"/>
  <c r="X59" i="4" s="1"/>
  <c r="AC59" i="4" s="1"/>
  <c r="H97" i="4"/>
  <c r="W59" i="4" s="1"/>
  <c r="E42" i="4"/>
  <c r="D42" i="4"/>
  <c r="I83" i="4"/>
  <c r="X45" i="4" s="1"/>
  <c r="AC45" i="4" s="1"/>
  <c r="H83" i="4"/>
  <c r="W45" i="4" s="1"/>
  <c r="I50" i="4"/>
  <c r="H50" i="4"/>
  <c r="D83" i="4"/>
  <c r="U45" i="4" s="1"/>
  <c r="E83" i="4"/>
  <c r="V45" i="4" s="1"/>
  <c r="AB45" i="4" s="1"/>
  <c r="E34" i="4"/>
  <c r="D34" i="4"/>
  <c r="I103" i="4"/>
  <c r="H103" i="4"/>
  <c r="I46" i="4"/>
  <c r="H46" i="4"/>
  <c r="W8" i="4" s="1"/>
  <c r="I27" i="4"/>
  <c r="H27" i="4"/>
  <c r="E62" i="4"/>
  <c r="D62" i="4"/>
  <c r="E48" i="4"/>
  <c r="D48" i="4"/>
  <c r="U10" i="4" s="1"/>
  <c r="I12" i="3"/>
  <c r="H12" i="3"/>
  <c r="I11" i="3"/>
  <c r="H11" i="3"/>
  <c r="H10" i="3"/>
  <c r="I10" i="3"/>
  <c r="H9" i="3"/>
  <c r="I9" i="3"/>
  <c r="F14" i="3"/>
  <c r="G13" i="3"/>
  <c r="G13" i="1"/>
  <c r="J11" i="1"/>
  <c r="S11" i="1" s="1"/>
  <c r="I11" i="1"/>
  <c r="H11" i="1"/>
  <c r="H12" i="1"/>
  <c r="I12" i="1"/>
  <c r="J12" i="1"/>
  <c r="S12" i="1" s="1"/>
  <c r="W13" i="4" l="1"/>
  <c r="U13" i="4"/>
  <c r="V24" i="4"/>
  <c r="AB24" i="4" s="1"/>
  <c r="U14" i="4"/>
  <c r="X25" i="4"/>
  <c r="AC25" i="4" s="1"/>
  <c r="V26" i="4"/>
  <c r="AB26" i="4" s="1"/>
  <c r="W24" i="4"/>
  <c r="W9" i="4"/>
  <c r="W10" i="4"/>
  <c r="U16" i="4"/>
  <c r="W25" i="4"/>
  <c r="W17" i="4"/>
  <c r="X24" i="4"/>
  <c r="AC24" i="4" s="1"/>
  <c r="U15" i="4"/>
  <c r="X10" i="4"/>
  <c r="AC10" i="4" s="1"/>
  <c r="U17" i="4"/>
  <c r="V20" i="4"/>
  <c r="AB20" i="4" s="1"/>
  <c r="X23" i="4"/>
  <c r="AC23" i="4" s="1"/>
  <c r="W18" i="4"/>
  <c r="U19" i="4"/>
  <c r="X9" i="4"/>
  <c r="AC9" i="4" s="1"/>
  <c r="X19" i="4"/>
  <c r="AC19" i="4" s="1"/>
  <c r="W21" i="4"/>
  <c r="W27" i="4"/>
  <c r="W23" i="4"/>
  <c r="U22" i="4"/>
  <c r="V19" i="4"/>
  <c r="AB19" i="4" s="1"/>
  <c r="V22" i="4"/>
  <c r="AB22" i="4" s="1"/>
  <c r="X8" i="4"/>
  <c r="AC8" i="4" s="1"/>
  <c r="U26" i="4"/>
  <c r="X18" i="4"/>
  <c r="AC18" i="4" s="1"/>
  <c r="U23" i="4"/>
  <c r="W26" i="4"/>
  <c r="W15" i="4"/>
  <c r="V18" i="4"/>
  <c r="AB18" i="4" s="1"/>
  <c r="W16" i="4"/>
  <c r="X20" i="4"/>
  <c r="AC20" i="4" s="1"/>
  <c r="U9" i="4"/>
  <c r="X22" i="4"/>
  <c r="AC22" i="4" s="1"/>
  <c r="V10" i="4"/>
  <c r="AB10" i="4" s="1"/>
  <c r="X16" i="4"/>
  <c r="AC16" i="4" s="1"/>
  <c r="X14" i="4"/>
  <c r="AC14" i="4" s="1"/>
  <c r="V15" i="4"/>
  <c r="AB15" i="4" s="1"/>
  <c r="U24" i="4"/>
  <c r="W12" i="4"/>
  <c r="X13" i="4"/>
  <c r="AC13" i="4" s="1"/>
  <c r="X15" i="4"/>
  <c r="AC15" i="4" s="1"/>
  <c r="W11" i="4"/>
  <c r="X26" i="4"/>
  <c r="AC26" i="4" s="1"/>
  <c r="U18" i="4"/>
  <c r="W20" i="4"/>
  <c r="X27" i="4"/>
  <c r="AC27" i="4" s="1"/>
  <c r="X12" i="4"/>
  <c r="AC12" i="4" s="1"/>
  <c r="V8" i="4"/>
  <c r="AB8" i="4" s="1"/>
  <c r="W14" i="4"/>
  <c r="W19" i="4"/>
  <c r="U20" i="4"/>
  <c r="U8" i="4"/>
  <c r="X21" i="4"/>
  <c r="AC21" i="4" s="1"/>
  <c r="V17" i="4"/>
  <c r="AB17" i="4" s="1"/>
  <c r="U11" i="4"/>
  <c r="X11" i="4"/>
  <c r="AC11" i="4" s="1"/>
  <c r="E105" i="4"/>
  <c r="I29" i="5"/>
  <c r="H29" i="5"/>
  <c r="I97" i="1"/>
  <c r="H97" i="1"/>
  <c r="J97" i="1"/>
  <c r="S97" i="1" s="1"/>
  <c r="I105" i="4"/>
  <c r="F99" i="1"/>
  <c r="G98" i="1"/>
  <c r="F186" i="5"/>
  <c r="G185" i="5"/>
  <c r="J183" i="5"/>
  <c r="F31" i="5"/>
  <c r="G30" i="5"/>
  <c r="J28" i="5"/>
  <c r="S28" i="5" s="1"/>
  <c r="F50" i="6"/>
  <c r="G49" i="6"/>
  <c r="H48" i="6"/>
  <c r="J48" i="6"/>
  <c r="S48" i="6" s="1"/>
  <c r="I48" i="6"/>
  <c r="H105" i="4"/>
  <c r="D105" i="4"/>
  <c r="J9" i="3"/>
  <c r="S9" i="3" s="1"/>
  <c r="J10" i="3"/>
  <c r="S10" i="3" s="1"/>
  <c r="H13" i="3"/>
  <c r="I13" i="3"/>
  <c r="J11" i="3"/>
  <c r="S11" i="3" s="1"/>
  <c r="J12" i="3"/>
  <c r="S12" i="3" s="1"/>
  <c r="G14" i="3"/>
  <c r="F15" i="3"/>
  <c r="I13" i="1"/>
  <c r="J13" i="1"/>
  <c r="S13" i="1" s="1"/>
  <c r="H13" i="1"/>
  <c r="G14" i="1"/>
  <c r="J29" i="5" l="1"/>
  <c r="S29" i="5" s="1"/>
  <c r="I185" i="5"/>
  <c r="H185" i="5"/>
  <c r="F187" i="5"/>
  <c r="G186" i="5"/>
  <c r="H98" i="1"/>
  <c r="J98" i="1"/>
  <c r="S98" i="1" s="1"/>
  <c r="I98" i="1"/>
  <c r="F100" i="1"/>
  <c r="G99" i="1"/>
  <c r="G31" i="5"/>
  <c r="F32" i="5"/>
  <c r="H30" i="5"/>
  <c r="I30" i="5"/>
  <c r="J49" i="6"/>
  <c r="S49" i="6" s="1"/>
  <c r="I49" i="6"/>
  <c r="H49" i="6"/>
  <c r="G50" i="6"/>
  <c r="F51" i="6"/>
  <c r="H14" i="3"/>
  <c r="I14" i="3"/>
  <c r="J13" i="3"/>
  <c r="S13" i="3" s="1"/>
  <c r="G15" i="3"/>
  <c r="F16" i="3"/>
  <c r="G15" i="1"/>
  <c r="I14" i="1"/>
  <c r="J14" i="1"/>
  <c r="S14" i="1" s="1"/>
  <c r="H14" i="1"/>
  <c r="J185" i="5" l="1"/>
  <c r="J30" i="5"/>
  <c r="S30" i="5" s="1"/>
  <c r="H99" i="1"/>
  <c r="I99" i="1"/>
  <c r="J99" i="1"/>
  <c r="S99" i="1" s="1"/>
  <c r="F101" i="1"/>
  <c r="G100" i="1"/>
  <c r="F33" i="5"/>
  <c r="G32" i="5"/>
  <c r="I31" i="5"/>
  <c r="H31" i="5"/>
  <c r="G187" i="5"/>
  <c r="F188" i="5"/>
  <c r="F52" i="6"/>
  <c r="G51" i="6"/>
  <c r="H50" i="6"/>
  <c r="J50" i="6"/>
  <c r="S50" i="6" s="1"/>
  <c r="I50" i="6"/>
  <c r="J14" i="3"/>
  <c r="S14" i="3" s="1"/>
  <c r="H15" i="3"/>
  <c r="I15" i="3"/>
  <c r="F17" i="3"/>
  <c r="G16" i="3"/>
  <c r="J15" i="1"/>
  <c r="S15" i="1" s="1"/>
  <c r="I15" i="1"/>
  <c r="H15" i="1"/>
  <c r="G16" i="1"/>
  <c r="J31" i="5" l="1"/>
  <c r="S31" i="5" s="1"/>
  <c r="H187" i="5"/>
  <c r="I187" i="5"/>
  <c r="F189" i="5"/>
  <c r="G189" i="5" s="1"/>
  <c r="G188" i="5"/>
  <c r="H32" i="5"/>
  <c r="I32" i="5"/>
  <c r="F34" i="5"/>
  <c r="G33" i="5"/>
  <c r="H100" i="1"/>
  <c r="J100" i="1"/>
  <c r="S100" i="1" s="1"/>
  <c r="I100" i="1"/>
  <c r="F102" i="1"/>
  <c r="G101" i="1"/>
  <c r="G52" i="6"/>
  <c r="F53" i="6"/>
  <c r="J51" i="6"/>
  <c r="S51" i="6" s="1"/>
  <c r="I51" i="6"/>
  <c r="H51" i="6"/>
  <c r="J15" i="3"/>
  <c r="S15" i="3" s="1"/>
  <c r="I16" i="3"/>
  <c r="H16" i="3"/>
  <c r="G17" i="3"/>
  <c r="F18" i="3"/>
  <c r="G17" i="1"/>
  <c r="I16" i="1"/>
  <c r="H16" i="1"/>
  <c r="J16" i="1"/>
  <c r="S16" i="1" s="1"/>
  <c r="I189" i="5" l="1"/>
  <c r="H189" i="5"/>
  <c r="F103" i="1"/>
  <c r="G102" i="1"/>
  <c r="I33" i="5"/>
  <c r="H33" i="5"/>
  <c r="F35" i="5"/>
  <c r="G34" i="5"/>
  <c r="J32" i="5"/>
  <c r="S32" i="5" s="1"/>
  <c r="H101" i="1"/>
  <c r="I101" i="1"/>
  <c r="J101" i="1"/>
  <c r="S101" i="1" s="1"/>
  <c r="J187" i="5"/>
  <c r="H52" i="6"/>
  <c r="J52" i="6"/>
  <c r="S52" i="6" s="1"/>
  <c r="I52" i="6"/>
  <c r="F54" i="6"/>
  <c r="G53" i="6"/>
  <c r="H17" i="3"/>
  <c r="I17" i="3"/>
  <c r="J16" i="3"/>
  <c r="S16" i="3" s="1"/>
  <c r="F19" i="3"/>
  <c r="G18" i="3"/>
  <c r="I17" i="1"/>
  <c r="H17" i="1"/>
  <c r="J17" i="1"/>
  <c r="S17" i="1" s="1"/>
  <c r="G18" i="1"/>
  <c r="J33" i="5" l="1"/>
  <c r="S33" i="5" s="1"/>
  <c r="H34" i="5"/>
  <c r="I34" i="5"/>
  <c r="H102" i="1"/>
  <c r="I102" i="1"/>
  <c r="J102" i="1"/>
  <c r="S102" i="1" s="1"/>
  <c r="F104" i="1"/>
  <c r="G103" i="1"/>
  <c r="J189" i="5"/>
  <c r="G35" i="5"/>
  <c r="F36" i="5"/>
  <c r="J53" i="6"/>
  <c r="S53" i="6" s="1"/>
  <c r="I53" i="6"/>
  <c r="H53" i="6"/>
  <c r="G54" i="6"/>
  <c r="F55" i="6"/>
  <c r="I18" i="3"/>
  <c r="H18" i="3"/>
  <c r="J17" i="3"/>
  <c r="S17" i="3" s="1"/>
  <c r="G19" i="3"/>
  <c r="F20" i="3"/>
  <c r="J18" i="1"/>
  <c r="S18" i="1" s="1"/>
  <c r="H18" i="1"/>
  <c r="I18" i="1"/>
  <c r="G19" i="1"/>
  <c r="H35" i="5" l="1"/>
  <c r="I35" i="5"/>
  <c r="F37" i="5"/>
  <c r="G36" i="5"/>
  <c r="F105" i="1"/>
  <c r="G104" i="1"/>
  <c r="H103" i="1"/>
  <c r="I103" i="1"/>
  <c r="J103" i="1"/>
  <c r="S103" i="1" s="1"/>
  <c r="J34" i="5"/>
  <c r="S34" i="5" s="1"/>
  <c r="F56" i="6"/>
  <c r="G55" i="6"/>
  <c r="H54" i="6"/>
  <c r="J54" i="6"/>
  <c r="S54" i="6" s="1"/>
  <c r="I54" i="6"/>
  <c r="J18" i="3"/>
  <c r="S18" i="3" s="1"/>
  <c r="H19" i="3"/>
  <c r="I19" i="3"/>
  <c r="G20" i="3"/>
  <c r="F21" i="3"/>
  <c r="J19" i="1"/>
  <c r="S19" i="1" s="1"/>
  <c r="I19" i="1"/>
  <c r="H19" i="1"/>
  <c r="G20" i="1"/>
  <c r="H104" i="1" l="1"/>
  <c r="I104" i="1"/>
  <c r="J104" i="1"/>
  <c r="S104" i="1" s="1"/>
  <c r="G37" i="5"/>
  <c r="F38" i="5"/>
  <c r="F106" i="1"/>
  <c r="G105" i="1"/>
  <c r="I36" i="5"/>
  <c r="H36" i="5"/>
  <c r="J35" i="5"/>
  <c r="S35" i="5" s="1"/>
  <c r="G56" i="6"/>
  <c r="F57" i="6"/>
  <c r="J55" i="6"/>
  <c r="S55" i="6" s="1"/>
  <c r="I55" i="6"/>
  <c r="H55" i="6"/>
  <c r="I20" i="3"/>
  <c r="H20" i="3"/>
  <c r="J19" i="3"/>
  <c r="S19" i="3" s="1"/>
  <c r="F22" i="3"/>
  <c r="G21" i="3"/>
  <c r="G21" i="1"/>
  <c r="J20" i="1"/>
  <c r="S20" i="1" s="1"/>
  <c r="I20" i="1"/>
  <c r="H20" i="1"/>
  <c r="J36" i="5" l="1"/>
  <c r="S36" i="5" s="1"/>
  <c r="F107" i="1"/>
  <c r="G107" i="1" s="1"/>
  <c r="G106" i="1"/>
  <c r="J105" i="1"/>
  <c r="S105" i="1" s="1"/>
  <c r="I105" i="1"/>
  <c r="H105" i="1"/>
  <c r="F39" i="5"/>
  <c r="G38" i="5"/>
  <c r="I37" i="5"/>
  <c r="H37" i="5"/>
  <c r="F58" i="6"/>
  <c r="G57" i="6"/>
  <c r="H56" i="6"/>
  <c r="J56" i="6"/>
  <c r="S56" i="6" s="1"/>
  <c r="I56" i="6"/>
  <c r="J20" i="3"/>
  <c r="S20" i="3" s="1"/>
  <c r="H21" i="3"/>
  <c r="I21" i="3"/>
  <c r="F23" i="3"/>
  <c r="G22" i="3"/>
  <c r="I21" i="1"/>
  <c r="J21" i="1"/>
  <c r="S21" i="1" s="1"/>
  <c r="H21" i="1"/>
  <c r="G22" i="1"/>
  <c r="J37" i="5" l="1"/>
  <c r="S37" i="5" s="1"/>
  <c r="I38" i="5"/>
  <c r="H38" i="5"/>
  <c r="F40" i="5"/>
  <c r="G39" i="5"/>
  <c r="H107" i="1"/>
  <c r="J107" i="1"/>
  <c r="S107" i="1" s="1"/>
  <c r="I107" i="1"/>
  <c r="H106" i="1"/>
  <c r="J106" i="1"/>
  <c r="S106" i="1" s="1"/>
  <c r="I106" i="1"/>
  <c r="J57" i="6"/>
  <c r="S57" i="6" s="1"/>
  <c r="I57" i="6"/>
  <c r="H57" i="6"/>
  <c r="G58" i="6"/>
  <c r="F59" i="6"/>
  <c r="H22" i="3"/>
  <c r="I22" i="3"/>
  <c r="J21" i="3"/>
  <c r="S21" i="3" s="1"/>
  <c r="F24" i="3"/>
  <c r="G23" i="3"/>
  <c r="I22" i="1"/>
  <c r="J22" i="1"/>
  <c r="S22" i="1" s="1"/>
  <c r="H22" i="1"/>
  <c r="G23" i="1"/>
  <c r="H39" i="5" l="1"/>
  <c r="I39" i="5"/>
  <c r="G40" i="5"/>
  <c r="F41" i="5"/>
  <c r="J38" i="5"/>
  <c r="S38" i="5" s="1"/>
  <c r="F60" i="6"/>
  <c r="G59" i="6"/>
  <c r="H58" i="6"/>
  <c r="J58" i="6"/>
  <c r="S58" i="6" s="1"/>
  <c r="I58" i="6"/>
  <c r="H23" i="3"/>
  <c r="I23" i="3"/>
  <c r="J22" i="3"/>
  <c r="S22" i="3" s="1"/>
  <c r="G24" i="3"/>
  <c r="F25" i="3"/>
  <c r="J23" i="1"/>
  <c r="S23" i="1" s="1"/>
  <c r="H23" i="1"/>
  <c r="I23" i="1"/>
  <c r="G24" i="1"/>
  <c r="F42" i="5" l="1"/>
  <c r="G41" i="5"/>
  <c r="I40" i="5"/>
  <c r="H40" i="5"/>
  <c r="J39" i="5"/>
  <c r="S39" i="5" s="1"/>
  <c r="G60" i="6"/>
  <c r="F61" i="6"/>
  <c r="J59" i="6"/>
  <c r="S59" i="6" s="1"/>
  <c r="I59" i="6"/>
  <c r="H59" i="6"/>
  <c r="I24" i="3"/>
  <c r="H24" i="3"/>
  <c r="J23" i="3"/>
  <c r="S23" i="3" s="1"/>
  <c r="F26" i="3"/>
  <c r="G25" i="3"/>
  <c r="I24" i="1"/>
  <c r="H24" i="1"/>
  <c r="J24" i="1"/>
  <c r="S24" i="1" s="1"/>
  <c r="G25" i="1"/>
  <c r="J40" i="5" l="1"/>
  <c r="S40" i="5" s="1"/>
  <c r="I41" i="5"/>
  <c r="H41" i="5"/>
  <c r="F43" i="5"/>
  <c r="G42" i="5"/>
  <c r="F62" i="6"/>
  <c r="G61" i="6"/>
  <c r="H60" i="6"/>
  <c r="J60" i="6"/>
  <c r="S60" i="6" s="1"/>
  <c r="I60" i="6"/>
  <c r="J24" i="3"/>
  <c r="S24" i="3" s="1"/>
  <c r="I25" i="3"/>
  <c r="H25" i="3"/>
  <c r="G26" i="3"/>
  <c r="F27" i="3"/>
  <c r="I25" i="1"/>
  <c r="H25" i="1"/>
  <c r="J25" i="1"/>
  <c r="S25" i="1" s="1"/>
  <c r="G26" i="1"/>
  <c r="J41" i="5" l="1"/>
  <c r="S41" i="5" s="1"/>
  <c r="H42" i="5"/>
  <c r="I42" i="5"/>
  <c r="F44" i="5"/>
  <c r="G43" i="5"/>
  <c r="G62" i="6"/>
  <c r="F63" i="6"/>
  <c r="J61" i="6"/>
  <c r="S61" i="6" s="1"/>
  <c r="I61" i="6"/>
  <c r="H61" i="6"/>
  <c r="J25" i="3"/>
  <c r="S25" i="3" s="1"/>
  <c r="H26" i="3"/>
  <c r="I26" i="3"/>
  <c r="G27" i="3"/>
  <c r="F28" i="3"/>
  <c r="G27" i="1"/>
  <c r="J26" i="1"/>
  <c r="S26" i="1" s="1"/>
  <c r="H26" i="1"/>
  <c r="I26" i="1"/>
  <c r="H43" i="5" l="1"/>
  <c r="I43" i="5"/>
  <c r="F45" i="5"/>
  <c r="G44" i="5"/>
  <c r="J42" i="5"/>
  <c r="S42" i="5" s="1"/>
  <c r="H62" i="6"/>
  <c r="J62" i="6"/>
  <c r="S62" i="6" s="1"/>
  <c r="I62" i="6"/>
  <c r="F64" i="6"/>
  <c r="G63" i="6"/>
  <c r="H27" i="3"/>
  <c r="I27" i="3"/>
  <c r="J26" i="3"/>
  <c r="S26" i="3" s="1"/>
  <c r="F29" i="3"/>
  <c r="G28" i="3"/>
  <c r="I27" i="1"/>
  <c r="J27" i="1"/>
  <c r="S27" i="1" s="1"/>
  <c r="H27" i="1"/>
  <c r="G28" i="1"/>
  <c r="H44" i="5" l="1"/>
  <c r="I44" i="5"/>
  <c r="G45" i="5"/>
  <c r="F46" i="5"/>
  <c r="J43" i="5"/>
  <c r="S43" i="5" s="1"/>
  <c r="J63" i="6"/>
  <c r="S63" i="6" s="1"/>
  <c r="I63" i="6"/>
  <c r="H63" i="6"/>
  <c r="G64" i="6"/>
  <c r="F65" i="6"/>
  <c r="H28" i="3"/>
  <c r="I28" i="3"/>
  <c r="J27" i="3"/>
  <c r="S27" i="3" s="1"/>
  <c r="G29" i="3"/>
  <c r="F30" i="3"/>
  <c r="I28" i="1"/>
  <c r="H28" i="1"/>
  <c r="J28" i="1"/>
  <c r="S28" i="1" s="1"/>
  <c r="G29" i="1"/>
  <c r="G46" i="5" l="1"/>
  <c r="F47" i="5"/>
  <c r="H45" i="5"/>
  <c r="I45" i="5"/>
  <c r="J44" i="5"/>
  <c r="S44" i="5" s="1"/>
  <c r="F66" i="6"/>
  <c r="G65" i="6"/>
  <c r="H64" i="6"/>
  <c r="J64" i="6"/>
  <c r="S64" i="6" s="1"/>
  <c r="I64" i="6"/>
  <c r="H29" i="3"/>
  <c r="I29" i="3"/>
  <c r="J28" i="3"/>
  <c r="S28" i="3" s="1"/>
  <c r="F31" i="3"/>
  <c r="G30" i="3"/>
  <c r="G30" i="1"/>
  <c r="I29" i="1"/>
  <c r="J29" i="1"/>
  <c r="S29" i="1" s="1"/>
  <c r="H29" i="1"/>
  <c r="J45" i="5" l="1"/>
  <c r="S45" i="5" s="1"/>
  <c r="G47" i="5"/>
  <c r="F48" i="5"/>
  <c r="H46" i="5"/>
  <c r="I46" i="5"/>
  <c r="J65" i="6"/>
  <c r="S65" i="6" s="1"/>
  <c r="I65" i="6"/>
  <c r="H65" i="6"/>
  <c r="G66" i="6"/>
  <c r="F67" i="6"/>
  <c r="H30" i="3"/>
  <c r="I30" i="3"/>
  <c r="J29" i="3"/>
  <c r="S29" i="3" s="1"/>
  <c r="G31" i="3"/>
  <c r="F32" i="3"/>
  <c r="I30" i="1"/>
  <c r="J30" i="1"/>
  <c r="S30" i="1" s="1"/>
  <c r="H30" i="1"/>
  <c r="G31" i="1"/>
  <c r="I47" i="5" l="1"/>
  <c r="H47" i="5"/>
  <c r="J46" i="5"/>
  <c r="S46" i="5" s="1"/>
  <c r="G48" i="5"/>
  <c r="F49" i="5"/>
  <c r="F68" i="6"/>
  <c r="G67" i="6"/>
  <c r="H66" i="6"/>
  <c r="J66" i="6"/>
  <c r="S66" i="6" s="1"/>
  <c r="I66" i="6"/>
  <c r="I31" i="3"/>
  <c r="H31" i="3"/>
  <c r="J30" i="3"/>
  <c r="S30" i="3" s="1"/>
  <c r="G32" i="3"/>
  <c r="F33" i="3"/>
  <c r="I31" i="1"/>
  <c r="H31" i="1"/>
  <c r="J31" i="1"/>
  <c r="S31" i="1" s="1"/>
  <c r="G32" i="1"/>
  <c r="J47" i="5" l="1"/>
  <c r="S47" i="5" s="1"/>
  <c r="G49" i="5"/>
  <c r="F50" i="5"/>
  <c r="H48" i="5"/>
  <c r="I48" i="5"/>
  <c r="J67" i="6"/>
  <c r="S67" i="6" s="1"/>
  <c r="I67" i="6"/>
  <c r="H67" i="6"/>
  <c r="G68" i="6"/>
  <c r="F69" i="6"/>
  <c r="J31" i="3"/>
  <c r="S31" i="3" s="1"/>
  <c r="H32" i="3"/>
  <c r="I32" i="3"/>
  <c r="F34" i="3"/>
  <c r="G33" i="3"/>
  <c r="I32" i="1"/>
  <c r="J32" i="1"/>
  <c r="S32" i="1" s="1"/>
  <c r="H32" i="1"/>
  <c r="G33" i="1"/>
  <c r="J48" i="5" l="1"/>
  <c r="S48" i="5" s="1"/>
  <c r="G50" i="5"/>
  <c r="F51" i="5"/>
  <c r="I49" i="5"/>
  <c r="H49" i="5"/>
  <c r="F70" i="6"/>
  <c r="G69" i="6"/>
  <c r="H68" i="6"/>
  <c r="J68" i="6"/>
  <c r="S68" i="6" s="1"/>
  <c r="I68" i="6"/>
  <c r="H33" i="3"/>
  <c r="I33" i="3"/>
  <c r="J32" i="3"/>
  <c r="S32" i="3" s="1"/>
  <c r="F35" i="3"/>
  <c r="G34" i="3"/>
  <c r="H33" i="1"/>
  <c r="J33" i="1"/>
  <c r="S33" i="1" s="1"/>
  <c r="I33" i="1"/>
  <c r="G34" i="1"/>
  <c r="J49" i="5" l="1"/>
  <c r="S49" i="5" s="1"/>
  <c r="F52" i="5"/>
  <c r="G51" i="5"/>
  <c r="I50" i="5"/>
  <c r="H50" i="5"/>
  <c r="J69" i="6"/>
  <c r="S69" i="6" s="1"/>
  <c r="I69" i="6"/>
  <c r="H69" i="6"/>
  <c r="G70" i="6"/>
  <c r="F71" i="6"/>
  <c r="H34" i="3"/>
  <c r="I34" i="3"/>
  <c r="J33" i="3"/>
  <c r="S33" i="3" s="1"/>
  <c r="F36" i="3"/>
  <c r="G35" i="3"/>
  <c r="J34" i="1"/>
  <c r="S34" i="1" s="1"/>
  <c r="I34" i="1"/>
  <c r="H34" i="1"/>
  <c r="G35" i="1"/>
  <c r="J50" i="5" l="1"/>
  <c r="S50" i="5" s="1"/>
  <c r="H51" i="5"/>
  <c r="I51" i="5"/>
  <c r="G52" i="5"/>
  <c r="F53" i="5"/>
  <c r="F72" i="6"/>
  <c r="G71" i="6"/>
  <c r="H70" i="6"/>
  <c r="J70" i="6"/>
  <c r="S70" i="6" s="1"/>
  <c r="I70" i="6"/>
  <c r="H35" i="3"/>
  <c r="I35" i="3"/>
  <c r="J34" i="3"/>
  <c r="S34" i="3" s="1"/>
  <c r="G36" i="3"/>
  <c r="F37" i="3"/>
  <c r="J35" i="1"/>
  <c r="S35" i="1" s="1"/>
  <c r="I35" i="1"/>
  <c r="H35" i="1"/>
  <c r="G36" i="1"/>
  <c r="G53" i="5" l="1"/>
  <c r="F54" i="5"/>
  <c r="H52" i="5"/>
  <c r="I52" i="5"/>
  <c r="J51" i="5"/>
  <c r="S51" i="5" s="1"/>
  <c r="J71" i="6"/>
  <c r="S71" i="6" s="1"/>
  <c r="I71" i="6"/>
  <c r="H71" i="6"/>
  <c r="G72" i="6"/>
  <c r="F73" i="6"/>
  <c r="H36" i="3"/>
  <c r="I36" i="3"/>
  <c r="J35" i="3"/>
  <c r="S35" i="3" s="1"/>
  <c r="F38" i="3"/>
  <c r="G37" i="3"/>
  <c r="H36" i="1"/>
  <c r="I36" i="1"/>
  <c r="J36" i="1"/>
  <c r="S36" i="1" s="1"/>
  <c r="G37" i="1"/>
  <c r="J52" i="5" l="1"/>
  <c r="S52" i="5" s="1"/>
  <c r="F55" i="5"/>
  <c r="G54" i="5"/>
  <c r="H53" i="5"/>
  <c r="I53" i="5"/>
  <c r="F74" i="6"/>
  <c r="G73" i="6"/>
  <c r="H72" i="6"/>
  <c r="J72" i="6"/>
  <c r="S72" i="6" s="1"/>
  <c r="I72" i="6"/>
  <c r="H37" i="3"/>
  <c r="I37" i="3"/>
  <c r="J36" i="3"/>
  <c r="S36" i="3" s="1"/>
  <c r="G38" i="3"/>
  <c r="F39" i="3"/>
  <c r="H37" i="1"/>
  <c r="J37" i="1"/>
  <c r="S37" i="1" s="1"/>
  <c r="I37" i="1"/>
  <c r="G38" i="1"/>
  <c r="J53" i="5" l="1"/>
  <c r="S53" i="5" s="1"/>
  <c r="I54" i="5"/>
  <c r="H54" i="5"/>
  <c r="F56" i="5"/>
  <c r="G55" i="5"/>
  <c r="J73" i="6"/>
  <c r="S73" i="6" s="1"/>
  <c r="I73" i="6"/>
  <c r="H73" i="6"/>
  <c r="G74" i="6"/>
  <c r="F75" i="6"/>
  <c r="H38" i="3"/>
  <c r="I38" i="3"/>
  <c r="J37" i="3"/>
  <c r="S37" i="3" s="1"/>
  <c r="G39" i="3"/>
  <c r="F40" i="3"/>
  <c r="J38" i="1"/>
  <c r="S38" i="1" s="1"/>
  <c r="I38" i="1"/>
  <c r="H38" i="1"/>
  <c r="G39" i="1"/>
  <c r="I55" i="5" l="1"/>
  <c r="H55" i="5"/>
  <c r="F57" i="5"/>
  <c r="G56" i="5"/>
  <c r="J54" i="5"/>
  <c r="S54" i="5" s="1"/>
  <c r="F76" i="6"/>
  <c r="G75" i="6"/>
  <c r="H74" i="6"/>
  <c r="J74" i="6"/>
  <c r="S74" i="6" s="1"/>
  <c r="I74" i="6"/>
  <c r="I39" i="3"/>
  <c r="H39" i="3"/>
  <c r="J38" i="3"/>
  <c r="S38" i="3" s="1"/>
  <c r="F41" i="3"/>
  <c r="G40" i="3"/>
  <c r="H39" i="1"/>
  <c r="J39" i="1"/>
  <c r="S39" i="1" s="1"/>
  <c r="I39" i="1"/>
  <c r="G40" i="1"/>
  <c r="J55" i="5" l="1"/>
  <c r="S55" i="5" s="1"/>
  <c r="F58" i="5"/>
  <c r="G57" i="5"/>
  <c r="I56" i="5"/>
  <c r="H56" i="5"/>
  <c r="J75" i="6"/>
  <c r="S75" i="6" s="1"/>
  <c r="I75" i="6"/>
  <c r="H75" i="6"/>
  <c r="G76" i="6"/>
  <c r="F77" i="6"/>
  <c r="J39" i="3"/>
  <c r="S39" i="3" s="1"/>
  <c r="H40" i="3"/>
  <c r="I40" i="3"/>
  <c r="G41" i="3"/>
  <c r="F42" i="3"/>
  <c r="J40" i="1"/>
  <c r="S40" i="1" s="1"/>
  <c r="H40" i="1"/>
  <c r="I40" i="1"/>
  <c r="G41" i="1"/>
  <c r="J56" i="5" l="1"/>
  <c r="S56" i="5" s="1"/>
  <c r="I57" i="5"/>
  <c r="H57" i="5"/>
  <c r="G58" i="5"/>
  <c r="F59" i="5"/>
  <c r="F78" i="6"/>
  <c r="G77" i="6"/>
  <c r="H76" i="6"/>
  <c r="J76" i="6"/>
  <c r="S76" i="6" s="1"/>
  <c r="I76" i="6"/>
  <c r="H41" i="3"/>
  <c r="I41" i="3"/>
  <c r="J40" i="3"/>
  <c r="S40" i="3" s="1"/>
  <c r="F43" i="3"/>
  <c r="G42" i="3"/>
  <c r="J41" i="1"/>
  <c r="S41" i="1" s="1"/>
  <c r="I41" i="1"/>
  <c r="H41" i="1"/>
  <c r="G42" i="1"/>
  <c r="J57" i="5" l="1"/>
  <c r="S57" i="5" s="1"/>
  <c r="G59" i="5"/>
  <c r="F60" i="5"/>
  <c r="H58" i="5"/>
  <c r="I58" i="5"/>
  <c r="J77" i="6"/>
  <c r="S77" i="6" s="1"/>
  <c r="I77" i="6"/>
  <c r="H77" i="6"/>
  <c r="G78" i="6"/>
  <c r="F79" i="6"/>
  <c r="H42" i="3"/>
  <c r="I42" i="3"/>
  <c r="J41" i="3"/>
  <c r="S41" i="3" s="1"/>
  <c r="G43" i="3"/>
  <c r="F44" i="3"/>
  <c r="J42" i="1"/>
  <c r="S42" i="1" s="1"/>
  <c r="I42" i="1"/>
  <c r="H42" i="1"/>
  <c r="G43" i="1"/>
  <c r="J58" i="5" l="1"/>
  <c r="S58" i="5" s="1"/>
  <c r="F61" i="5"/>
  <c r="G60" i="5"/>
  <c r="H59" i="5"/>
  <c r="I59" i="5"/>
  <c r="F80" i="6"/>
  <c r="G79" i="6"/>
  <c r="H78" i="6"/>
  <c r="J78" i="6"/>
  <c r="S78" i="6" s="1"/>
  <c r="I78" i="6"/>
  <c r="H43" i="3"/>
  <c r="I43" i="3"/>
  <c r="J42" i="3"/>
  <c r="S42" i="3" s="1"/>
  <c r="F45" i="3"/>
  <c r="G44" i="3"/>
  <c r="J43" i="1"/>
  <c r="S43" i="1" s="1"/>
  <c r="I43" i="1"/>
  <c r="H43" i="1"/>
  <c r="G44" i="1"/>
  <c r="J59" i="5" l="1"/>
  <c r="S59" i="5" s="1"/>
  <c r="F62" i="5"/>
  <c r="G61" i="5"/>
  <c r="I60" i="5"/>
  <c r="H60" i="5"/>
  <c r="J79" i="6"/>
  <c r="S79" i="6" s="1"/>
  <c r="I79" i="6"/>
  <c r="H79" i="6"/>
  <c r="G80" i="6"/>
  <c r="F81" i="6"/>
  <c r="I44" i="3"/>
  <c r="H44" i="3"/>
  <c r="J43" i="3"/>
  <c r="S43" i="3" s="1"/>
  <c r="F46" i="3"/>
  <c r="G45" i="3"/>
  <c r="I44" i="1"/>
  <c r="H44" i="1"/>
  <c r="J44" i="1"/>
  <c r="S44" i="1" s="1"/>
  <c r="G45" i="1"/>
  <c r="J60" i="5" l="1"/>
  <c r="S60" i="5" s="1"/>
  <c r="I61" i="5"/>
  <c r="H61" i="5"/>
  <c r="F63" i="5"/>
  <c r="G62" i="5"/>
  <c r="F82" i="6"/>
  <c r="G81" i="6"/>
  <c r="H80" i="6"/>
  <c r="J80" i="6"/>
  <c r="S80" i="6" s="1"/>
  <c r="I80" i="6"/>
  <c r="J44" i="3"/>
  <c r="S44" i="3" s="1"/>
  <c r="H45" i="3"/>
  <c r="I45" i="3"/>
  <c r="F47" i="3"/>
  <c r="G46" i="3"/>
  <c r="H45" i="1"/>
  <c r="J45" i="1"/>
  <c r="S45" i="1" s="1"/>
  <c r="I45" i="1"/>
  <c r="G46" i="1"/>
  <c r="J61" i="5" l="1"/>
  <c r="S61" i="5" s="1"/>
  <c r="I62" i="5"/>
  <c r="H62" i="5"/>
  <c r="F64" i="5"/>
  <c r="G63" i="5"/>
  <c r="J81" i="6"/>
  <c r="S81" i="6" s="1"/>
  <c r="I81" i="6"/>
  <c r="H81" i="6"/>
  <c r="G82" i="6"/>
  <c r="F83" i="6"/>
  <c r="H46" i="3"/>
  <c r="I46" i="3"/>
  <c r="J45" i="3"/>
  <c r="S45" i="3" s="1"/>
  <c r="F48" i="3"/>
  <c r="G47" i="3"/>
  <c r="J46" i="1"/>
  <c r="S46" i="1" s="1"/>
  <c r="I46" i="1"/>
  <c r="H46" i="1"/>
  <c r="G47" i="1"/>
  <c r="J62" i="5" l="1"/>
  <c r="S62" i="5" s="1"/>
  <c r="F65" i="5"/>
  <c r="G64" i="5"/>
  <c r="H63" i="5"/>
  <c r="I63" i="5"/>
  <c r="H82" i="6"/>
  <c r="J82" i="6"/>
  <c r="S82" i="6" s="1"/>
  <c r="I82" i="6"/>
  <c r="F84" i="6"/>
  <c r="G83" i="6"/>
  <c r="I47" i="3"/>
  <c r="H47" i="3"/>
  <c r="J46" i="3"/>
  <c r="S46" i="3" s="1"/>
  <c r="G48" i="3"/>
  <c r="F49" i="3"/>
  <c r="H47" i="1"/>
  <c r="J47" i="1"/>
  <c r="S47" i="1" s="1"/>
  <c r="I47" i="1"/>
  <c r="G48" i="1"/>
  <c r="J63" i="5" l="1"/>
  <c r="S63" i="5" s="1"/>
  <c r="H64" i="5"/>
  <c r="I64" i="5"/>
  <c r="F66" i="5"/>
  <c r="G65" i="5"/>
  <c r="J83" i="6"/>
  <c r="S83" i="6" s="1"/>
  <c r="I83" i="6"/>
  <c r="H83" i="6"/>
  <c r="G84" i="6"/>
  <c r="F85" i="6"/>
  <c r="J47" i="3"/>
  <c r="S47" i="3" s="1"/>
  <c r="I48" i="3"/>
  <c r="H48" i="3"/>
  <c r="F50" i="3"/>
  <c r="G49" i="3"/>
  <c r="J48" i="1"/>
  <c r="S48" i="1" s="1"/>
  <c r="I48" i="1"/>
  <c r="H48" i="1"/>
  <c r="G49" i="1"/>
  <c r="H65" i="5" l="1"/>
  <c r="I65" i="5"/>
  <c r="F67" i="5"/>
  <c r="G66" i="5"/>
  <c r="J64" i="5"/>
  <c r="S64" i="5" s="1"/>
  <c r="F86" i="6"/>
  <c r="G85" i="6"/>
  <c r="H84" i="6"/>
  <c r="J84" i="6"/>
  <c r="S84" i="6" s="1"/>
  <c r="I84" i="6"/>
  <c r="J48" i="3"/>
  <c r="S48" i="3" s="1"/>
  <c r="H49" i="3"/>
  <c r="I49" i="3"/>
  <c r="G50" i="3"/>
  <c r="F51" i="3"/>
  <c r="H49" i="1"/>
  <c r="I49" i="1"/>
  <c r="J49" i="1"/>
  <c r="S49" i="1" s="1"/>
  <c r="G50" i="1"/>
  <c r="G67" i="5" l="1"/>
  <c r="F68" i="5"/>
  <c r="I66" i="5"/>
  <c r="H66" i="5"/>
  <c r="J65" i="5"/>
  <c r="S65" i="5" s="1"/>
  <c r="J85" i="6"/>
  <c r="S85" i="6" s="1"/>
  <c r="I85" i="6"/>
  <c r="H85" i="6"/>
  <c r="G86" i="6"/>
  <c r="F87" i="6"/>
  <c r="H50" i="3"/>
  <c r="I50" i="3"/>
  <c r="J49" i="3"/>
  <c r="S49" i="3" s="1"/>
  <c r="G51" i="3"/>
  <c r="F52" i="3"/>
  <c r="J50" i="1"/>
  <c r="S50" i="1" s="1"/>
  <c r="I50" i="1"/>
  <c r="H50" i="1"/>
  <c r="G51" i="1"/>
  <c r="J66" i="5" l="1"/>
  <c r="S66" i="5" s="1"/>
  <c r="F69" i="5"/>
  <c r="G68" i="5"/>
  <c r="I67" i="5"/>
  <c r="H67" i="5"/>
  <c r="F88" i="6"/>
  <c r="G87" i="6"/>
  <c r="H86" i="6"/>
  <c r="J86" i="6"/>
  <c r="S86" i="6" s="1"/>
  <c r="I86" i="6"/>
  <c r="I51" i="3"/>
  <c r="H51" i="3"/>
  <c r="J50" i="3"/>
  <c r="S50" i="3" s="1"/>
  <c r="F53" i="3"/>
  <c r="G52" i="3"/>
  <c r="J51" i="1"/>
  <c r="S51" i="1" s="1"/>
  <c r="I51" i="1"/>
  <c r="H51" i="1"/>
  <c r="G52" i="1"/>
  <c r="J67" i="5" l="1"/>
  <c r="S67" i="5" s="1"/>
  <c r="I68" i="5"/>
  <c r="H68" i="5"/>
  <c r="G69" i="5"/>
  <c r="F70" i="5"/>
  <c r="J87" i="6"/>
  <c r="S87" i="6" s="1"/>
  <c r="I87" i="6"/>
  <c r="H87" i="6"/>
  <c r="G88" i="6"/>
  <c r="F89" i="6"/>
  <c r="J51" i="3"/>
  <c r="S51" i="3" s="1"/>
  <c r="H52" i="3"/>
  <c r="I52" i="3"/>
  <c r="G53" i="3"/>
  <c r="F54" i="3"/>
  <c r="H52" i="1"/>
  <c r="J52" i="1"/>
  <c r="S52" i="1" s="1"/>
  <c r="I52" i="1"/>
  <c r="G53" i="1"/>
  <c r="I69" i="5" l="1"/>
  <c r="H69" i="5"/>
  <c r="J68" i="5"/>
  <c r="S68" i="5" s="1"/>
  <c r="F71" i="5"/>
  <c r="G70" i="5"/>
  <c r="F90" i="6"/>
  <c r="G89" i="6"/>
  <c r="H88" i="6"/>
  <c r="J88" i="6"/>
  <c r="S88" i="6" s="1"/>
  <c r="I88" i="6"/>
  <c r="H53" i="3"/>
  <c r="I53" i="3"/>
  <c r="J52" i="3"/>
  <c r="S52" i="3" s="1"/>
  <c r="F55" i="3"/>
  <c r="G54" i="3"/>
  <c r="J53" i="1"/>
  <c r="S53" i="1" s="1"/>
  <c r="I53" i="1"/>
  <c r="H53" i="1"/>
  <c r="G54" i="1"/>
  <c r="J69" i="5" l="1"/>
  <c r="S69" i="5" s="1"/>
  <c r="I70" i="5"/>
  <c r="H70" i="5"/>
  <c r="G71" i="5"/>
  <c r="F72" i="5"/>
  <c r="J89" i="6"/>
  <c r="S89" i="6" s="1"/>
  <c r="I89" i="6"/>
  <c r="H89" i="6"/>
  <c r="G90" i="6"/>
  <c r="F91" i="6"/>
  <c r="H54" i="3"/>
  <c r="I54" i="3"/>
  <c r="J53" i="3"/>
  <c r="S53" i="3" s="1"/>
  <c r="G55" i="3"/>
  <c r="F56" i="3"/>
  <c r="G55" i="1"/>
  <c r="J54" i="1"/>
  <c r="S54" i="1" s="1"/>
  <c r="I54" i="1"/>
  <c r="H54" i="1"/>
  <c r="J70" i="5" l="1"/>
  <c r="S70" i="5" s="1"/>
  <c r="F73" i="5"/>
  <c r="G72" i="5"/>
  <c r="H71" i="5"/>
  <c r="I71" i="5"/>
  <c r="H90" i="6"/>
  <c r="J90" i="6"/>
  <c r="S90" i="6" s="1"/>
  <c r="I90" i="6"/>
  <c r="F92" i="6"/>
  <c r="G91" i="6"/>
  <c r="H55" i="3"/>
  <c r="I55" i="3"/>
  <c r="J54" i="3"/>
  <c r="S54" i="3" s="1"/>
  <c r="F57" i="3"/>
  <c r="G56" i="3"/>
  <c r="J55" i="1"/>
  <c r="S55" i="1" s="1"/>
  <c r="I55" i="1"/>
  <c r="H55" i="1"/>
  <c r="G56" i="1"/>
  <c r="J71" i="5" l="1"/>
  <c r="S71" i="5" s="1"/>
  <c r="H72" i="5"/>
  <c r="I72" i="5"/>
  <c r="F74" i="5"/>
  <c r="G73" i="5"/>
  <c r="J91" i="6"/>
  <c r="S91" i="6" s="1"/>
  <c r="I91" i="6"/>
  <c r="H91" i="6"/>
  <c r="G92" i="6"/>
  <c r="F93" i="6"/>
  <c r="H56" i="3"/>
  <c r="I56" i="3"/>
  <c r="J55" i="3"/>
  <c r="S55" i="3" s="1"/>
  <c r="F58" i="3"/>
  <c r="G57" i="3"/>
  <c r="I56" i="1"/>
  <c r="H56" i="1"/>
  <c r="J56" i="1"/>
  <c r="S56" i="1" s="1"/>
  <c r="G57" i="1"/>
  <c r="I73" i="5" l="1"/>
  <c r="H73" i="5"/>
  <c r="F75" i="5"/>
  <c r="G74" i="5"/>
  <c r="J72" i="5"/>
  <c r="S72" i="5" s="1"/>
  <c r="F94" i="6"/>
  <c r="G93" i="6"/>
  <c r="H92" i="6"/>
  <c r="J92" i="6"/>
  <c r="S92" i="6" s="1"/>
  <c r="I92" i="6"/>
  <c r="I57" i="3"/>
  <c r="H57" i="3"/>
  <c r="J56" i="3"/>
  <c r="S56" i="3" s="1"/>
  <c r="F59" i="3"/>
  <c r="G58" i="3"/>
  <c r="G58" i="1"/>
  <c r="I57" i="1"/>
  <c r="H57" i="1"/>
  <c r="J57" i="1"/>
  <c r="S57" i="1" s="1"/>
  <c r="J73" i="5" l="1"/>
  <c r="S73" i="5" s="1"/>
  <c r="I74" i="5"/>
  <c r="H74" i="5"/>
  <c r="G75" i="5"/>
  <c r="F76" i="5"/>
  <c r="J93" i="6"/>
  <c r="S93" i="6" s="1"/>
  <c r="I93" i="6"/>
  <c r="H93" i="6"/>
  <c r="G94" i="6"/>
  <c r="F95" i="6"/>
  <c r="G59" i="3"/>
  <c r="I59" i="3" s="1"/>
  <c r="F60" i="3"/>
  <c r="J57" i="3"/>
  <c r="S57" i="3" s="1"/>
  <c r="H58" i="3"/>
  <c r="I58" i="3"/>
  <c r="J58" i="1"/>
  <c r="S58" i="1" s="1"/>
  <c r="I58" i="1"/>
  <c r="H58" i="1"/>
  <c r="G59" i="1"/>
  <c r="F77" i="5" l="1"/>
  <c r="G76" i="5"/>
  <c r="H75" i="5"/>
  <c r="I75" i="5"/>
  <c r="J74" i="5"/>
  <c r="S74" i="5" s="1"/>
  <c r="H94" i="6"/>
  <c r="J94" i="6"/>
  <c r="S94" i="6" s="1"/>
  <c r="I94" i="6"/>
  <c r="F96" i="6"/>
  <c r="G95" i="6"/>
  <c r="H59" i="3"/>
  <c r="J59" i="3" s="1"/>
  <c r="S59" i="3" s="1"/>
  <c r="G60" i="3"/>
  <c r="F61" i="3"/>
  <c r="J58" i="3"/>
  <c r="S58" i="3" s="1"/>
  <c r="J59" i="1"/>
  <c r="S59" i="1" s="1"/>
  <c r="H59" i="1"/>
  <c r="I59" i="1"/>
  <c r="G60" i="1"/>
  <c r="J75" i="5" l="1"/>
  <c r="S75" i="5" s="1"/>
  <c r="I76" i="5"/>
  <c r="H76" i="5"/>
  <c r="F78" i="5"/>
  <c r="G77" i="5"/>
  <c r="J95" i="6"/>
  <c r="S95" i="6" s="1"/>
  <c r="I95" i="6"/>
  <c r="H95" i="6"/>
  <c r="G96" i="6"/>
  <c r="F97" i="6"/>
  <c r="F62" i="3"/>
  <c r="G61" i="3"/>
  <c r="H60" i="3"/>
  <c r="I60" i="3"/>
  <c r="G61" i="1"/>
  <c r="I61" i="1" s="1"/>
  <c r="J60" i="1"/>
  <c r="S60" i="1" s="1"/>
  <c r="H60" i="1"/>
  <c r="I60" i="1"/>
  <c r="J60" i="3" l="1"/>
  <c r="S60" i="3" s="1"/>
  <c r="I77" i="5"/>
  <c r="H77" i="5"/>
  <c r="F79" i="5"/>
  <c r="G78" i="5"/>
  <c r="J76" i="5"/>
  <c r="S76" i="5" s="1"/>
  <c r="H96" i="6"/>
  <c r="J96" i="6"/>
  <c r="S96" i="6" s="1"/>
  <c r="I96" i="6"/>
  <c r="F98" i="6"/>
  <c r="G97" i="6"/>
  <c r="H61" i="3"/>
  <c r="I61" i="3"/>
  <c r="F63" i="3"/>
  <c r="G62" i="3"/>
  <c r="H61" i="1"/>
  <c r="J61" i="1"/>
  <c r="S61" i="1" s="1"/>
  <c r="J77" i="5" l="1"/>
  <c r="S77" i="5" s="1"/>
  <c r="H78" i="5"/>
  <c r="I78" i="5"/>
  <c r="F80" i="5"/>
  <c r="G79" i="5"/>
  <c r="J97" i="6"/>
  <c r="S97" i="6" s="1"/>
  <c r="I97" i="6"/>
  <c r="H97" i="6"/>
  <c r="G98" i="6"/>
  <c r="F99" i="6"/>
  <c r="H62" i="3"/>
  <c r="I62" i="3"/>
  <c r="G63" i="3"/>
  <c r="F64" i="3"/>
  <c r="J61" i="3"/>
  <c r="S61" i="3" s="1"/>
  <c r="J78" i="5" l="1"/>
  <c r="S78" i="5" s="1"/>
  <c r="H79" i="5"/>
  <c r="I79" i="5"/>
  <c r="F81" i="5"/>
  <c r="G80" i="5"/>
  <c r="F100" i="6"/>
  <c r="G99" i="6"/>
  <c r="H98" i="6"/>
  <c r="J98" i="6"/>
  <c r="S98" i="6" s="1"/>
  <c r="I98" i="6"/>
  <c r="F65" i="3"/>
  <c r="G64" i="3"/>
  <c r="H63" i="3"/>
  <c r="I63" i="3"/>
  <c r="J62" i="3"/>
  <c r="S62" i="3" s="1"/>
  <c r="J79" i="5" l="1"/>
  <c r="S79" i="5" s="1"/>
  <c r="H80" i="5"/>
  <c r="I80" i="5"/>
  <c r="F82" i="5"/>
  <c r="G81" i="5"/>
  <c r="J99" i="6"/>
  <c r="S99" i="6" s="1"/>
  <c r="I99" i="6"/>
  <c r="H99" i="6"/>
  <c r="G100" i="6"/>
  <c r="F101" i="6"/>
  <c r="J63" i="3"/>
  <c r="S63" i="3" s="1"/>
  <c r="I64" i="3"/>
  <c r="H64" i="3"/>
  <c r="F66" i="3"/>
  <c r="G65" i="3"/>
  <c r="H81" i="5" l="1"/>
  <c r="I81" i="5"/>
  <c r="G82" i="5"/>
  <c r="F83" i="5"/>
  <c r="J80" i="5"/>
  <c r="S80" i="5" s="1"/>
  <c r="F102" i="6"/>
  <c r="G101" i="6"/>
  <c r="H100" i="6"/>
  <c r="J100" i="6"/>
  <c r="S100" i="6" s="1"/>
  <c r="I100" i="6"/>
  <c r="H65" i="3"/>
  <c r="I65" i="3"/>
  <c r="G66" i="3"/>
  <c r="F67" i="3"/>
  <c r="J64" i="3"/>
  <c r="S64" i="3" s="1"/>
  <c r="J81" i="5" l="1"/>
  <c r="S81" i="5" s="1"/>
  <c r="G83" i="5"/>
  <c r="F84" i="5"/>
  <c r="I82" i="5"/>
  <c r="H82" i="5"/>
  <c r="J101" i="6"/>
  <c r="S101" i="6" s="1"/>
  <c r="I101" i="6"/>
  <c r="H101" i="6"/>
  <c r="G102" i="6"/>
  <c r="F103" i="6"/>
  <c r="G67" i="3"/>
  <c r="F68" i="3"/>
  <c r="H66" i="3"/>
  <c r="I66" i="3"/>
  <c r="J65" i="3"/>
  <c r="S65" i="3" s="1"/>
  <c r="J82" i="5" l="1"/>
  <c r="S82" i="5" s="1"/>
  <c r="G84" i="5"/>
  <c r="F85" i="5"/>
  <c r="H83" i="5"/>
  <c r="I83" i="5"/>
  <c r="F104" i="6"/>
  <c r="G103" i="6"/>
  <c r="H102" i="6"/>
  <c r="J102" i="6"/>
  <c r="S102" i="6" s="1"/>
  <c r="I102" i="6"/>
  <c r="J66" i="3"/>
  <c r="S66" i="3" s="1"/>
  <c r="F69" i="3"/>
  <c r="G68" i="3"/>
  <c r="H67" i="3"/>
  <c r="I67" i="3"/>
  <c r="J83" i="5" l="1"/>
  <c r="S83" i="5" s="1"/>
  <c r="F86" i="5"/>
  <c r="G85" i="5"/>
  <c r="I84" i="5"/>
  <c r="H84" i="5"/>
  <c r="J103" i="6"/>
  <c r="S103" i="6" s="1"/>
  <c r="I103" i="6"/>
  <c r="H103" i="6"/>
  <c r="G104" i="6"/>
  <c r="F105" i="6"/>
  <c r="J67" i="3"/>
  <c r="S67" i="3" s="1"/>
  <c r="G69" i="3"/>
  <c r="F70" i="3"/>
  <c r="H68" i="3"/>
  <c r="I68" i="3"/>
  <c r="J84" i="5" l="1"/>
  <c r="S84" i="5" s="1"/>
  <c r="J68" i="3"/>
  <c r="S68" i="3" s="1"/>
  <c r="G86" i="5"/>
  <c r="F87" i="5"/>
  <c r="H85" i="5"/>
  <c r="I85" i="5"/>
  <c r="F106" i="6"/>
  <c r="G105" i="6"/>
  <c r="H104" i="6"/>
  <c r="J104" i="6"/>
  <c r="S104" i="6" s="1"/>
  <c r="I104" i="6"/>
  <c r="F71" i="3"/>
  <c r="G70" i="3"/>
  <c r="H69" i="3"/>
  <c r="I69" i="3"/>
  <c r="J85" i="5" l="1"/>
  <c r="S85" i="5" s="1"/>
  <c r="G87" i="5"/>
  <c r="F88" i="5"/>
  <c r="H86" i="5"/>
  <c r="I86" i="5"/>
  <c r="J105" i="6"/>
  <c r="S105" i="6" s="1"/>
  <c r="I105" i="6"/>
  <c r="H105" i="6"/>
  <c r="G106" i="6"/>
  <c r="F107" i="6"/>
  <c r="G107" i="6" s="1"/>
  <c r="J69" i="3"/>
  <c r="S69" i="3" s="1"/>
  <c r="H70" i="3"/>
  <c r="I70" i="3"/>
  <c r="F72" i="3"/>
  <c r="G71" i="3"/>
  <c r="J86" i="5" l="1"/>
  <c r="S86" i="5" s="1"/>
  <c r="F89" i="5"/>
  <c r="G88" i="5"/>
  <c r="H87" i="5"/>
  <c r="I87" i="5"/>
  <c r="J107" i="6"/>
  <c r="S107" i="6" s="1"/>
  <c r="I107" i="6"/>
  <c r="H107" i="6"/>
  <c r="H106" i="6"/>
  <c r="J106" i="6"/>
  <c r="S106" i="6" s="1"/>
  <c r="I106" i="6"/>
  <c r="I71" i="3"/>
  <c r="H71" i="3"/>
  <c r="G72" i="3"/>
  <c r="F73" i="3"/>
  <c r="J70" i="3"/>
  <c r="S70" i="3" s="1"/>
  <c r="J71" i="3" l="1"/>
  <c r="S71" i="3" s="1"/>
  <c r="J87" i="5"/>
  <c r="S87" i="5" s="1"/>
  <c r="H88" i="5"/>
  <c r="I88" i="5"/>
  <c r="G89" i="5"/>
  <c r="F90" i="5"/>
  <c r="G73" i="3"/>
  <c r="F74" i="3"/>
  <c r="I72" i="3"/>
  <c r="H72" i="3"/>
  <c r="J88" i="5" l="1"/>
  <c r="S88" i="5" s="1"/>
  <c r="G90" i="5"/>
  <c r="F91" i="5"/>
  <c r="H89" i="5"/>
  <c r="I89" i="5"/>
  <c r="J72" i="3"/>
  <c r="S72" i="3" s="1"/>
  <c r="G74" i="3"/>
  <c r="F75" i="3"/>
  <c r="I73" i="3"/>
  <c r="H73" i="3"/>
  <c r="J89" i="5" l="1"/>
  <c r="S89" i="5" s="1"/>
  <c r="J73" i="3"/>
  <c r="S73" i="3" s="1"/>
  <c r="F92" i="5"/>
  <c r="G91" i="5"/>
  <c r="I90" i="5"/>
  <c r="H90" i="5"/>
  <c r="G75" i="3"/>
  <c r="F76" i="3"/>
  <c r="H74" i="3"/>
  <c r="I74" i="3"/>
  <c r="I91" i="5" l="1"/>
  <c r="H91" i="5"/>
  <c r="J90" i="5"/>
  <c r="S90" i="5" s="1"/>
  <c r="F93" i="5"/>
  <c r="G92" i="5"/>
  <c r="J74" i="3"/>
  <c r="S74" i="3" s="1"/>
  <c r="G76" i="3"/>
  <c r="F77" i="3"/>
  <c r="H75" i="3"/>
  <c r="I75" i="3"/>
  <c r="J91" i="5" l="1"/>
  <c r="S91" i="5" s="1"/>
  <c r="H92" i="5"/>
  <c r="I92" i="5"/>
  <c r="F94" i="5"/>
  <c r="G93" i="5"/>
  <c r="H76" i="3"/>
  <c r="I76" i="3"/>
  <c r="J75" i="3"/>
  <c r="S75" i="3" s="1"/>
  <c r="F78" i="3"/>
  <c r="G77" i="3"/>
  <c r="J92" i="5" l="1"/>
  <c r="S92" i="5" s="1"/>
  <c r="J76" i="3"/>
  <c r="S76" i="3" s="1"/>
  <c r="F95" i="5"/>
  <c r="G94" i="5"/>
  <c r="I93" i="5"/>
  <c r="H93" i="5"/>
  <c r="H77" i="3"/>
  <c r="I77" i="3"/>
  <c r="G78" i="3"/>
  <c r="F79" i="3"/>
  <c r="J93" i="5" l="1"/>
  <c r="S93" i="5" s="1"/>
  <c r="I94" i="5"/>
  <c r="H94" i="5"/>
  <c r="G95" i="5"/>
  <c r="F96" i="5"/>
  <c r="G79" i="3"/>
  <c r="F80" i="3"/>
  <c r="H78" i="3"/>
  <c r="I78" i="3"/>
  <c r="J77" i="3"/>
  <c r="S77" i="3" s="1"/>
  <c r="F97" i="5" l="1"/>
  <c r="G96" i="5"/>
  <c r="J94" i="5"/>
  <c r="S94" i="5" s="1"/>
  <c r="I95" i="5"/>
  <c r="H95" i="5"/>
  <c r="J78" i="3"/>
  <c r="S78" i="3" s="1"/>
  <c r="G80" i="3"/>
  <c r="F81" i="3"/>
  <c r="H79" i="3"/>
  <c r="I79" i="3"/>
  <c r="J95" i="5" l="1"/>
  <c r="S95" i="5" s="1"/>
  <c r="I96" i="5"/>
  <c r="H96" i="5"/>
  <c r="G97" i="5"/>
  <c r="F98" i="5"/>
  <c r="G81" i="3"/>
  <c r="F82" i="3"/>
  <c r="I80" i="3"/>
  <c r="H80" i="3"/>
  <c r="J79" i="3"/>
  <c r="S79" i="3" s="1"/>
  <c r="J80" i="3" l="1"/>
  <c r="S80" i="3" s="1"/>
  <c r="I97" i="5"/>
  <c r="H97" i="5"/>
  <c r="F99" i="5"/>
  <c r="G98" i="5"/>
  <c r="J96" i="5"/>
  <c r="S96" i="5" s="1"/>
  <c r="F83" i="3"/>
  <c r="G82" i="3"/>
  <c r="I81" i="3"/>
  <c r="H81" i="3"/>
  <c r="J81" i="3" l="1"/>
  <c r="S81" i="3" s="1"/>
  <c r="I98" i="5"/>
  <c r="H98" i="5"/>
  <c r="J97" i="5"/>
  <c r="S97" i="5" s="1"/>
  <c r="F100" i="5"/>
  <c r="G99" i="5"/>
  <c r="H82" i="3"/>
  <c r="I82" i="3"/>
  <c r="F84" i="3"/>
  <c r="G83" i="3"/>
  <c r="J98" i="5" l="1"/>
  <c r="S98" i="5" s="1"/>
  <c r="I99" i="5"/>
  <c r="H99" i="5"/>
  <c r="F101" i="5"/>
  <c r="G100" i="5"/>
  <c r="H83" i="3"/>
  <c r="I83" i="3"/>
  <c r="G84" i="3"/>
  <c r="F85" i="3"/>
  <c r="J82" i="3"/>
  <c r="S82" i="3" s="1"/>
  <c r="J99" i="5" l="1"/>
  <c r="S99" i="5" s="1"/>
  <c r="H100" i="5"/>
  <c r="I100" i="5"/>
  <c r="F102" i="5"/>
  <c r="G101" i="5"/>
  <c r="G85" i="3"/>
  <c r="F86" i="3"/>
  <c r="H84" i="3"/>
  <c r="I84" i="3"/>
  <c r="J83" i="3"/>
  <c r="S83" i="3" s="1"/>
  <c r="H101" i="5" l="1"/>
  <c r="I101" i="5"/>
  <c r="F103" i="5"/>
  <c r="G102" i="5"/>
  <c r="J100" i="5"/>
  <c r="S100" i="5" s="1"/>
  <c r="J84" i="3"/>
  <c r="S84" i="3" s="1"/>
  <c r="F87" i="3"/>
  <c r="G86" i="3"/>
  <c r="H85" i="3"/>
  <c r="I85" i="3"/>
  <c r="I102" i="5" l="1"/>
  <c r="H102" i="5"/>
  <c r="F104" i="5"/>
  <c r="G103" i="5"/>
  <c r="J101" i="5"/>
  <c r="S101" i="5" s="1"/>
  <c r="J85" i="3"/>
  <c r="S85" i="3" s="1"/>
  <c r="I86" i="3"/>
  <c r="H86" i="3"/>
  <c r="G87" i="3"/>
  <c r="F88" i="3"/>
  <c r="J102" i="5" l="1"/>
  <c r="S102" i="5" s="1"/>
  <c r="I103" i="5"/>
  <c r="H103" i="5"/>
  <c r="F105" i="5"/>
  <c r="G104" i="5"/>
  <c r="J86" i="3"/>
  <c r="S86" i="3" s="1"/>
  <c r="F89" i="3"/>
  <c r="G88" i="3"/>
  <c r="H87" i="3"/>
  <c r="I87" i="3"/>
  <c r="J103" i="5" l="1"/>
  <c r="S103" i="5" s="1"/>
  <c r="H104" i="5"/>
  <c r="I104" i="5"/>
  <c r="F106" i="5"/>
  <c r="G105" i="5"/>
  <c r="H88" i="3"/>
  <c r="I88" i="3"/>
  <c r="J87" i="3"/>
  <c r="S87" i="3" s="1"/>
  <c r="F90" i="3"/>
  <c r="G89" i="3"/>
  <c r="J104" i="5" l="1"/>
  <c r="S104" i="5" s="1"/>
  <c r="H105" i="5"/>
  <c r="I105" i="5"/>
  <c r="G106" i="5"/>
  <c r="F107" i="5"/>
  <c r="G90" i="3"/>
  <c r="F91" i="3"/>
  <c r="H89" i="3"/>
  <c r="I89" i="3"/>
  <c r="J88" i="3"/>
  <c r="S88" i="3" s="1"/>
  <c r="J105" i="5" l="1"/>
  <c r="S105" i="5" s="1"/>
  <c r="F108" i="5"/>
  <c r="G107" i="5"/>
  <c r="I106" i="5"/>
  <c r="H106" i="5"/>
  <c r="J89" i="3"/>
  <c r="S89" i="3" s="1"/>
  <c r="G91" i="3"/>
  <c r="F92" i="3"/>
  <c r="H90" i="3"/>
  <c r="I90" i="3"/>
  <c r="J106" i="5" l="1"/>
  <c r="S106" i="5" s="1"/>
  <c r="I107" i="5"/>
  <c r="H107" i="5"/>
  <c r="G108" i="5"/>
  <c r="F109" i="5"/>
  <c r="J90" i="3"/>
  <c r="S90" i="3" s="1"/>
  <c r="F93" i="3"/>
  <c r="G92" i="3"/>
  <c r="H91" i="3"/>
  <c r="I91" i="3"/>
  <c r="F110" i="5" l="1"/>
  <c r="G109" i="5"/>
  <c r="I108" i="5"/>
  <c r="H108" i="5"/>
  <c r="J107" i="5"/>
  <c r="S107" i="5" s="1"/>
  <c r="H92" i="3"/>
  <c r="I92" i="3"/>
  <c r="J91" i="3"/>
  <c r="S91" i="3" s="1"/>
  <c r="G93" i="3"/>
  <c r="F94" i="3"/>
  <c r="G94" i="3" s="1"/>
  <c r="J108" i="5" l="1"/>
  <c r="S108" i="5" s="1"/>
  <c r="I109" i="5"/>
  <c r="H109" i="5"/>
  <c r="F111" i="5"/>
  <c r="G110" i="5"/>
  <c r="F95" i="3"/>
  <c r="H93" i="3"/>
  <c r="I93" i="3"/>
  <c r="J92" i="3"/>
  <c r="S92" i="3" s="1"/>
  <c r="J109" i="5" l="1"/>
  <c r="S109" i="5" s="1"/>
  <c r="I110" i="5"/>
  <c r="H110" i="5"/>
  <c r="F112" i="5"/>
  <c r="G111" i="5"/>
  <c r="J93" i="3"/>
  <c r="S93" i="3" s="1"/>
  <c r="F96" i="3"/>
  <c r="G95" i="3"/>
  <c r="H94" i="3"/>
  <c r="I94" i="3"/>
  <c r="J110" i="5" l="1"/>
  <c r="S110" i="5" s="1"/>
  <c r="I111" i="5"/>
  <c r="H111" i="5"/>
  <c r="F113" i="5"/>
  <c r="G112" i="5"/>
  <c r="J94" i="3"/>
  <c r="S94" i="3" s="1"/>
  <c r="H95" i="3"/>
  <c r="I95" i="3"/>
  <c r="G96" i="3"/>
  <c r="F97" i="3"/>
  <c r="H112" i="5" l="1"/>
  <c r="I112" i="5"/>
  <c r="G113" i="5"/>
  <c r="F114" i="5"/>
  <c r="J111" i="5"/>
  <c r="S111" i="5" s="1"/>
  <c r="J95" i="3"/>
  <c r="S95" i="3" s="1"/>
  <c r="G97" i="3"/>
  <c r="F98" i="3"/>
  <c r="H96" i="3"/>
  <c r="I96" i="3"/>
  <c r="G114" i="5" l="1"/>
  <c r="F115" i="5"/>
  <c r="I113" i="5"/>
  <c r="H113" i="5"/>
  <c r="J112" i="5"/>
  <c r="S112" i="5" s="1"/>
  <c r="J96" i="3"/>
  <c r="S96" i="3" s="1"/>
  <c r="F99" i="3"/>
  <c r="G98" i="3"/>
  <c r="H97" i="3"/>
  <c r="I97" i="3"/>
  <c r="J113" i="5" l="1"/>
  <c r="S113" i="5" s="1"/>
  <c r="I114" i="5"/>
  <c r="H114" i="5"/>
  <c r="G115" i="5"/>
  <c r="F116" i="5"/>
  <c r="J97" i="3"/>
  <c r="S97" i="3" s="1"/>
  <c r="H98" i="3"/>
  <c r="I98" i="3"/>
  <c r="G99" i="3"/>
  <c r="F100" i="3"/>
  <c r="F117" i="5" l="1"/>
  <c r="G116" i="5"/>
  <c r="I115" i="5"/>
  <c r="H115" i="5"/>
  <c r="J114" i="5"/>
  <c r="S114" i="5" s="1"/>
  <c r="F101" i="3"/>
  <c r="G100" i="3"/>
  <c r="I99" i="3"/>
  <c r="H99" i="3"/>
  <c r="J98" i="3"/>
  <c r="S98" i="3" s="1"/>
  <c r="J115" i="5" l="1"/>
  <c r="S115" i="5" s="1"/>
  <c r="H116" i="5"/>
  <c r="I116" i="5"/>
  <c r="J99" i="3"/>
  <c r="S99" i="3" s="1"/>
  <c r="G117" i="5"/>
  <c r="F118" i="5"/>
  <c r="H100" i="3"/>
  <c r="I100" i="3"/>
  <c r="F102" i="3"/>
  <c r="G101" i="3"/>
  <c r="J116" i="5" l="1"/>
  <c r="S116" i="5" s="1"/>
  <c r="H117" i="5"/>
  <c r="I117" i="5"/>
  <c r="F119" i="5"/>
  <c r="G118" i="5"/>
  <c r="H101" i="3"/>
  <c r="I101" i="3"/>
  <c r="G102" i="3"/>
  <c r="F103" i="3"/>
  <c r="J100" i="3"/>
  <c r="S100" i="3" s="1"/>
  <c r="I118" i="5" l="1"/>
  <c r="H118" i="5"/>
  <c r="G119" i="5"/>
  <c r="F120" i="5"/>
  <c r="J117" i="5"/>
  <c r="S117" i="5" s="1"/>
  <c r="G103" i="3"/>
  <c r="F104" i="3"/>
  <c r="H102" i="3"/>
  <c r="I102" i="3"/>
  <c r="J101" i="3"/>
  <c r="S101" i="3" s="1"/>
  <c r="J118" i="5" l="1"/>
  <c r="S118" i="5" s="1"/>
  <c r="G120" i="5"/>
  <c r="F121" i="5"/>
  <c r="I119" i="5"/>
  <c r="H119" i="5"/>
  <c r="J102" i="3"/>
  <c r="S102" i="3" s="1"/>
  <c r="F105" i="3"/>
  <c r="G104" i="3"/>
  <c r="H103" i="3"/>
  <c r="I103" i="3"/>
  <c r="J119" i="5" l="1"/>
  <c r="S119" i="5" s="1"/>
  <c r="F122" i="5"/>
  <c r="G121" i="5"/>
  <c r="I120" i="5"/>
  <c r="H120" i="5"/>
  <c r="J103" i="3"/>
  <c r="S103" i="3" s="1"/>
  <c r="H104" i="3"/>
  <c r="I104" i="3"/>
  <c r="G105" i="3"/>
  <c r="F106" i="3"/>
  <c r="J120" i="5" l="1"/>
  <c r="S120" i="5" s="1"/>
  <c r="I121" i="5"/>
  <c r="H121" i="5"/>
  <c r="F123" i="5"/>
  <c r="G122" i="5"/>
  <c r="F107" i="3"/>
  <c r="G106" i="3"/>
  <c r="H105" i="3"/>
  <c r="I105" i="3"/>
  <c r="J104" i="3"/>
  <c r="S104" i="3" s="1"/>
  <c r="H122" i="5" l="1"/>
  <c r="I122" i="5"/>
  <c r="F124" i="5"/>
  <c r="G123" i="5"/>
  <c r="J121" i="5"/>
  <c r="S121" i="5" s="1"/>
  <c r="J105" i="3"/>
  <c r="S105" i="3" s="1"/>
  <c r="H106" i="3"/>
  <c r="I106" i="3"/>
  <c r="F108" i="3"/>
  <c r="G107" i="3"/>
  <c r="J122" i="5" l="1"/>
  <c r="S122" i="5" s="1"/>
  <c r="G124" i="5"/>
  <c r="F125" i="5"/>
  <c r="I123" i="5"/>
  <c r="H123" i="5"/>
  <c r="H107" i="3"/>
  <c r="I107" i="3"/>
  <c r="G108" i="3"/>
  <c r="F109" i="3"/>
  <c r="J106" i="3"/>
  <c r="S106" i="3" s="1"/>
  <c r="J123" i="5" l="1"/>
  <c r="S123" i="5" s="1"/>
  <c r="F126" i="5"/>
  <c r="G125" i="5"/>
  <c r="H124" i="5"/>
  <c r="I124" i="5"/>
  <c r="G109" i="3"/>
  <c r="F110" i="3"/>
  <c r="H108" i="3"/>
  <c r="I108" i="3"/>
  <c r="J107" i="3"/>
  <c r="S107" i="3" s="1"/>
  <c r="J124" i="5" l="1"/>
  <c r="S124" i="5" s="1"/>
  <c r="I125" i="5"/>
  <c r="H125" i="5"/>
  <c r="F127" i="5"/>
  <c r="G126" i="5"/>
  <c r="J108" i="3"/>
  <c r="S108" i="3" s="1"/>
  <c r="F111" i="3"/>
  <c r="G110" i="3"/>
  <c r="H109" i="3"/>
  <c r="I109" i="3"/>
  <c r="J125" i="5" l="1"/>
  <c r="S125" i="5" s="1"/>
  <c r="G127" i="5"/>
  <c r="F128" i="5"/>
  <c r="H126" i="5"/>
  <c r="I126" i="5"/>
  <c r="J109" i="3"/>
  <c r="S109" i="3" s="1"/>
  <c r="H110" i="3"/>
  <c r="I110" i="3"/>
  <c r="G111" i="3"/>
  <c r="F112" i="3"/>
  <c r="J126" i="5" l="1"/>
  <c r="S126" i="5" s="1"/>
  <c r="G128" i="5"/>
  <c r="F129" i="5"/>
  <c r="H127" i="5"/>
  <c r="I127" i="5"/>
  <c r="F113" i="3"/>
  <c r="G112" i="3"/>
  <c r="H111" i="3"/>
  <c r="I111" i="3"/>
  <c r="J110" i="3"/>
  <c r="S110" i="3" s="1"/>
  <c r="J127" i="5" l="1"/>
  <c r="S127" i="5" s="1"/>
  <c r="H128" i="5"/>
  <c r="I128" i="5"/>
  <c r="G129" i="5"/>
  <c r="F130" i="5"/>
  <c r="J111" i="3"/>
  <c r="S111" i="3" s="1"/>
  <c r="I112" i="3"/>
  <c r="H112" i="3"/>
  <c r="F114" i="3"/>
  <c r="G113" i="3"/>
  <c r="J112" i="3" l="1"/>
  <c r="S112" i="3" s="1"/>
  <c r="F131" i="5"/>
  <c r="G130" i="5"/>
  <c r="I129" i="5"/>
  <c r="H129" i="5"/>
  <c r="J128" i="5"/>
  <c r="S128" i="5" s="1"/>
  <c r="H113" i="3"/>
  <c r="I113" i="3"/>
  <c r="G114" i="3"/>
  <c r="F115" i="3"/>
  <c r="J129" i="5" l="1"/>
  <c r="S129" i="5" s="1"/>
  <c r="H130" i="5"/>
  <c r="I130" i="5"/>
  <c r="G131" i="5"/>
  <c r="F132" i="5"/>
  <c r="G115" i="3"/>
  <c r="F116" i="3"/>
  <c r="H114" i="3"/>
  <c r="I114" i="3"/>
  <c r="J113" i="3"/>
  <c r="S113" i="3" s="1"/>
  <c r="J130" i="5" l="1"/>
  <c r="S130" i="5" s="1"/>
  <c r="I131" i="5"/>
  <c r="H131" i="5"/>
  <c r="F133" i="5"/>
  <c r="G132" i="5"/>
  <c r="J114" i="3"/>
  <c r="S114" i="3" s="1"/>
  <c r="F117" i="3"/>
  <c r="G116" i="3"/>
  <c r="I115" i="3"/>
  <c r="H115" i="3"/>
  <c r="J115" i="3" s="1"/>
  <c r="S115" i="3" s="1"/>
  <c r="I132" i="5" l="1"/>
  <c r="H132" i="5"/>
  <c r="F134" i="5"/>
  <c r="G133" i="5"/>
  <c r="J131" i="5"/>
  <c r="S131" i="5" s="1"/>
  <c r="H116" i="3"/>
  <c r="I116" i="3"/>
  <c r="G117" i="3"/>
  <c r="F118" i="3"/>
  <c r="J132" i="5" l="1"/>
  <c r="S132" i="5" s="1"/>
  <c r="H133" i="5"/>
  <c r="I133" i="5"/>
  <c r="F135" i="5"/>
  <c r="G134" i="5"/>
  <c r="G118" i="3"/>
  <c r="F119" i="3"/>
  <c r="H117" i="3"/>
  <c r="I117" i="3"/>
  <c r="J116" i="3"/>
  <c r="S116" i="3" s="1"/>
  <c r="I134" i="5" l="1"/>
  <c r="H134" i="5"/>
  <c r="F136" i="5"/>
  <c r="G135" i="5"/>
  <c r="J133" i="5"/>
  <c r="S133" i="5" s="1"/>
  <c r="J117" i="3"/>
  <c r="S117" i="3" s="1"/>
  <c r="F120" i="3"/>
  <c r="G119" i="3"/>
  <c r="H118" i="3"/>
  <c r="I118" i="3"/>
  <c r="H135" i="5" l="1"/>
  <c r="I135" i="5"/>
  <c r="G136" i="5"/>
  <c r="F137" i="5"/>
  <c r="J134" i="5"/>
  <c r="S134" i="5" s="1"/>
  <c r="J118" i="3"/>
  <c r="S118" i="3" s="1"/>
  <c r="G120" i="3"/>
  <c r="F121" i="3"/>
  <c r="I119" i="3"/>
  <c r="H119" i="3"/>
  <c r="F138" i="5" l="1"/>
  <c r="G137" i="5"/>
  <c r="H136" i="5"/>
  <c r="I136" i="5"/>
  <c r="J135" i="5"/>
  <c r="S135" i="5" s="1"/>
  <c r="H120" i="3"/>
  <c r="I120" i="3"/>
  <c r="J119" i="3"/>
  <c r="S119" i="3" s="1"/>
  <c r="G121" i="3"/>
  <c r="F122" i="3"/>
  <c r="J136" i="5" l="1"/>
  <c r="S136" i="5" s="1"/>
  <c r="I137" i="5"/>
  <c r="H137" i="5"/>
  <c r="F139" i="5"/>
  <c r="G138" i="5"/>
  <c r="F123" i="3"/>
  <c r="G122" i="3"/>
  <c r="I121" i="3"/>
  <c r="H121" i="3"/>
  <c r="J120" i="3"/>
  <c r="S120" i="3" s="1"/>
  <c r="J137" i="5" l="1"/>
  <c r="S137" i="5" s="1"/>
  <c r="H138" i="5"/>
  <c r="I138" i="5"/>
  <c r="F140" i="5"/>
  <c r="G139" i="5"/>
  <c r="J121" i="3"/>
  <c r="S121" i="3" s="1"/>
  <c r="H122" i="3"/>
  <c r="I122" i="3"/>
  <c r="G123" i="3"/>
  <c r="F124" i="3"/>
  <c r="I139" i="5" l="1"/>
  <c r="H139" i="5"/>
  <c r="F141" i="5"/>
  <c r="G140" i="5"/>
  <c r="J138" i="5"/>
  <c r="S138" i="5" s="1"/>
  <c r="G124" i="3"/>
  <c r="F125" i="3"/>
  <c r="H123" i="3"/>
  <c r="I123" i="3"/>
  <c r="J122" i="3"/>
  <c r="S122" i="3" s="1"/>
  <c r="J139" i="5" l="1"/>
  <c r="S139" i="5" s="1"/>
  <c r="H140" i="5"/>
  <c r="I140" i="5"/>
  <c r="F142" i="5"/>
  <c r="G141" i="5"/>
  <c r="J123" i="3"/>
  <c r="S123" i="3" s="1"/>
  <c r="F126" i="3"/>
  <c r="G125" i="3"/>
  <c r="H124" i="3"/>
  <c r="I124" i="3"/>
  <c r="I141" i="5" l="1"/>
  <c r="H141" i="5"/>
  <c r="G142" i="5"/>
  <c r="F143" i="5"/>
  <c r="J140" i="5"/>
  <c r="S140" i="5" s="1"/>
  <c r="J124" i="3"/>
  <c r="S124" i="3" s="1"/>
  <c r="H125" i="3"/>
  <c r="I125" i="3"/>
  <c r="G126" i="3"/>
  <c r="F127" i="3"/>
  <c r="G143" i="5" l="1"/>
  <c r="F144" i="5"/>
  <c r="I142" i="5"/>
  <c r="H142" i="5"/>
  <c r="J141" i="5"/>
  <c r="S141" i="5" s="1"/>
  <c r="H126" i="3"/>
  <c r="I126" i="3"/>
  <c r="J125" i="3"/>
  <c r="S125" i="3" s="1"/>
  <c r="G127" i="3"/>
  <c r="F128" i="3"/>
  <c r="J142" i="5" l="1"/>
  <c r="S142" i="5" s="1"/>
  <c r="F145" i="5"/>
  <c r="G144" i="5"/>
  <c r="I143" i="5"/>
  <c r="H143" i="5"/>
  <c r="H127" i="3"/>
  <c r="I127" i="3"/>
  <c r="G128" i="3"/>
  <c r="F129" i="3"/>
  <c r="J126" i="3"/>
  <c r="S126" i="3" s="1"/>
  <c r="J143" i="5" l="1"/>
  <c r="S143" i="5" s="1"/>
  <c r="I144" i="5"/>
  <c r="H144" i="5"/>
  <c r="F146" i="5"/>
  <c r="G145" i="5"/>
  <c r="G129" i="3"/>
  <c r="F130" i="3"/>
  <c r="I128" i="3"/>
  <c r="H128" i="3"/>
  <c r="J127" i="3"/>
  <c r="S127" i="3" s="1"/>
  <c r="J144" i="5" l="1"/>
  <c r="S144" i="5" s="1"/>
  <c r="I145" i="5"/>
  <c r="H145" i="5"/>
  <c r="F147" i="5"/>
  <c r="G146" i="5"/>
  <c r="J128" i="3"/>
  <c r="S128" i="3" s="1"/>
  <c r="G130" i="3"/>
  <c r="F131" i="3"/>
  <c r="H129" i="3"/>
  <c r="I129" i="3"/>
  <c r="I146" i="5" l="1"/>
  <c r="H146" i="5"/>
  <c r="F148" i="5"/>
  <c r="G147" i="5"/>
  <c r="J145" i="5"/>
  <c r="S145" i="5" s="1"/>
  <c r="J129" i="3"/>
  <c r="S129" i="3" s="1"/>
  <c r="F132" i="3"/>
  <c r="G131" i="3"/>
  <c r="H130" i="3"/>
  <c r="I130" i="3"/>
  <c r="J146" i="5" l="1"/>
  <c r="S146" i="5" s="1"/>
  <c r="I147" i="5"/>
  <c r="H147" i="5"/>
  <c r="F149" i="5"/>
  <c r="G148" i="5"/>
  <c r="H131" i="3"/>
  <c r="I131" i="3"/>
  <c r="J130" i="3"/>
  <c r="S130" i="3" s="1"/>
  <c r="G132" i="3"/>
  <c r="F133" i="3"/>
  <c r="J147" i="5" l="1"/>
  <c r="S147" i="5" s="1"/>
  <c r="F150" i="5"/>
  <c r="G150" i="5" s="1"/>
  <c r="G149" i="5"/>
  <c r="H148" i="5"/>
  <c r="I148" i="5"/>
  <c r="G133" i="3"/>
  <c r="F134" i="3"/>
  <c r="H132" i="3"/>
  <c r="I132" i="3"/>
  <c r="J131" i="3"/>
  <c r="S131" i="3" s="1"/>
  <c r="J148" i="5" l="1"/>
  <c r="S148" i="5" s="1"/>
  <c r="I149" i="5"/>
  <c r="H149" i="5"/>
  <c r="H150" i="5"/>
  <c r="I150" i="5"/>
  <c r="J132" i="3"/>
  <c r="S132" i="3" s="1"/>
  <c r="G134" i="3"/>
  <c r="F135" i="3"/>
  <c r="H133" i="3"/>
  <c r="I133" i="3"/>
  <c r="I172" i="5" l="1"/>
  <c r="I174" i="5" s="1"/>
  <c r="I176" i="5" s="1"/>
  <c r="I178" i="5" s="1"/>
  <c r="I180" i="5" s="1"/>
  <c r="I182" i="5" s="1"/>
  <c r="I184" i="5" s="1"/>
  <c r="I186" i="5" s="1"/>
  <c r="I188" i="5" s="1"/>
  <c r="H172" i="5"/>
  <c r="H174" i="5" s="1"/>
  <c r="H176" i="5" s="1"/>
  <c r="H178" i="5" s="1"/>
  <c r="H180" i="5" s="1"/>
  <c r="H182" i="5" s="1"/>
  <c r="H184" i="5" s="1"/>
  <c r="H186" i="5" s="1"/>
  <c r="H188" i="5" s="1"/>
  <c r="J149" i="5"/>
  <c r="S149" i="5" s="1"/>
  <c r="J150" i="5"/>
  <c r="F136" i="3"/>
  <c r="G135" i="3"/>
  <c r="I134" i="3"/>
  <c r="H134" i="3"/>
  <c r="J133" i="3"/>
  <c r="S133" i="3" s="1"/>
  <c r="J172" i="5" l="1"/>
  <c r="J174" i="5" s="1"/>
  <c r="J176" i="5" s="1"/>
  <c r="J178" i="5" s="1"/>
  <c r="J180" i="5" s="1"/>
  <c r="J182" i="5" s="1"/>
  <c r="J184" i="5" s="1"/>
  <c r="J186" i="5" s="1"/>
  <c r="J188" i="5" s="1"/>
  <c r="S150" i="5"/>
  <c r="J134" i="3"/>
  <c r="S134" i="3" s="1"/>
  <c r="H135" i="3"/>
  <c r="I135" i="3"/>
  <c r="G136" i="3"/>
  <c r="F137" i="3"/>
  <c r="H136" i="3" l="1"/>
  <c r="I136" i="3"/>
  <c r="J135" i="3"/>
  <c r="S135" i="3" s="1"/>
  <c r="F138" i="3"/>
  <c r="G137" i="3"/>
  <c r="H137" i="3" l="1"/>
  <c r="I137" i="3"/>
  <c r="G138" i="3"/>
  <c r="F139" i="3"/>
  <c r="J136" i="3"/>
  <c r="S136" i="3" s="1"/>
  <c r="H138" i="3" l="1"/>
  <c r="I138" i="3"/>
  <c r="G139" i="3"/>
  <c r="F140" i="3"/>
  <c r="J137" i="3"/>
  <c r="S137" i="3" s="1"/>
  <c r="G140" i="3" l="1"/>
  <c r="F141" i="3"/>
  <c r="H139" i="3"/>
  <c r="I139" i="3"/>
  <c r="J138" i="3"/>
  <c r="S138" i="3" s="1"/>
  <c r="J139" i="3" l="1"/>
  <c r="S139" i="3" s="1"/>
  <c r="G141" i="3"/>
  <c r="F142" i="3"/>
  <c r="H140" i="3"/>
  <c r="I140" i="3"/>
  <c r="J140" i="3" l="1"/>
  <c r="S140" i="3" s="1"/>
  <c r="G142" i="3"/>
  <c r="F143" i="3"/>
  <c r="I141" i="3"/>
  <c r="H141" i="3"/>
  <c r="J141" i="3" l="1"/>
  <c r="S141" i="3" s="1"/>
  <c r="F144" i="3"/>
  <c r="G143" i="3"/>
  <c r="I142" i="3"/>
  <c r="H142" i="3"/>
  <c r="J142" i="3" l="1"/>
  <c r="S142" i="3" s="1"/>
  <c r="H143" i="3"/>
  <c r="I143" i="3"/>
  <c r="G144" i="3"/>
  <c r="F145" i="3"/>
  <c r="G145" i="3" l="1"/>
  <c r="F146" i="3"/>
  <c r="H144" i="3"/>
  <c r="I144" i="3"/>
  <c r="J143" i="3"/>
  <c r="S143" i="3" s="1"/>
  <c r="J144" i="3" l="1"/>
  <c r="S144" i="3" s="1"/>
  <c r="G146" i="3"/>
  <c r="F147" i="3"/>
  <c r="H145" i="3"/>
  <c r="I145" i="3"/>
  <c r="J145" i="3" l="1"/>
  <c r="S145" i="3" s="1"/>
  <c r="G147" i="3"/>
  <c r="F148" i="3"/>
  <c r="H146" i="3"/>
  <c r="I146" i="3"/>
  <c r="J146" i="3" l="1"/>
  <c r="S146" i="3" s="1"/>
  <c r="G148" i="3"/>
  <c r="F149" i="3"/>
  <c r="I147" i="3"/>
  <c r="H147" i="3"/>
  <c r="J147" i="3" l="1"/>
  <c r="S147" i="3" s="1"/>
  <c r="H148" i="3"/>
  <c r="I148" i="3"/>
  <c r="F150" i="3"/>
  <c r="G149" i="3"/>
  <c r="H149" i="3" l="1"/>
  <c r="I149" i="3"/>
  <c r="G150" i="3"/>
  <c r="J148" i="3"/>
  <c r="S148" i="3" s="1"/>
  <c r="G151" i="3" l="1"/>
  <c r="H150" i="3"/>
  <c r="I150" i="3"/>
  <c r="J149" i="3"/>
  <c r="S149" i="3" s="1"/>
  <c r="J150" i="3" l="1"/>
  <c r="S150" i="3" s="1"/>
  <c r="G152" i="3"/>
  <c r="H151" i="3"/>
  <c r="I151" i="3"/>
  <c r="H152" i="3" l="1"/>
  <c r="I152" i="3"/>
  <c r="G153" i="3"/>
  <c r="J151" i="3"/>
  <c r="S151" i="3" s="1"/>
  <c r="H153" i="3" l="1"/>
  <c r="I153" i="3"/>
  <c r="G154" i="3"/>
  <c r="J152" i="3"/>
  <c r="S152" i="3" s="1"/>
  <c r="I154" i="3" l="1"/>
  <c r="H154" i="3"/>
  <c r="G155" i="3"/>
  <c r="J153" i="3"/>
  <c r="S153" i="3" s="1"/>
  <c r="J154" i="3" l="1"/>
  <c r="S154" i="3" s="1"/>
  <c r="H155" i="3"/>
  <c r="I155" i="3"/>
  <c r="G156" i="3"/>
  <c r="H156" i="3" l="1"/>
  <c r="I156" i="3"/>
  <c r="G157" i="3"/>
  <c r="J155" i="3"/>
  <c r="S155" i="3" s="1"/>
  <c r="G158" i="3" l="1"/>
  <c r="H157" i="3"/>
  <c r="I157" i="3"/>
  <c r="J156" i="3"/>
  <c r="S156" i="3" s="1"/>
  <c r="J157" i="3" l="1"/>
  <c r="S157" i="3" s="1"/>
  <c r="H158" i="3"/>
  <c r="I158" i="3"/>
  <c r="G159" i="3"/>
  <c r="H159" i="3" l="1"/>
  <c r="I159" i="3"/>
  <c r="G160" i="3"/>
  <c r="J158" i="3"/>
  <c r="S158" i="3" s="1"/>
  <c r="I160" i="3" l="1"/>
  <c r="H160" i="3"/>
  <c r="G161" i="3"/>
  <c r="J159" i="3"/>
  <c r="S159" i="3" s="1"/>
  <c r="J160" i="3" l="1"/>
  <c r="S160" i="3" s="1"/>
  <c r="H161" i="3"/>
  <c r="I161" i="3"/>
  <c r="G162" i="3"/>
  <c r="G163" i="3" l="1"/>
  <c r="H162" i="3"/>
  <c r="I162" i="3"/>
  <c r="J161" i="3"/>
  <c r="S161" i="3" s="1"/>
  <c r="J162" i="3" l="1"/>
  <c r="S162" i="3" s="1"/>
  <c r="G164" i="3"/>
  <c r="H163" i="3"/>
  <c r="I163" i="3"/>
  <c r="J163" i="3" l="1"/>
  <c r="S163" i="3" s="1"/>
  <c r="G165" i="3"/>
  <c r="H164" i="3"/>
  <c r="I164" i="3"/>
  <c r="J164" i="3" l="1"/>
  <c r="S164" i="3" s="1"/>
  <c r="G166" i="3"/>
  <c r="H165" i="3"/>
  <c r="I165" i="3"/>
  <c r="J165" i="3" l="1"/>
  <c r="S165" i="3" s="1"/>
  <c r="G167" i="3"/>
  <c r="H166" i="3"/>
  <c r="I166" i="3"/>
  <c r="J166" i="3" l="1"/>
  <c r="S166" i="3" s="1"/>
  <c r="I167" i="3"/>
  <c r="H167" i="3"/>
  <c r="G168" i="3"/>
  <c r="J167" i="3" l="1"/>
  <c r="S167" i="3" s="1"/>
  <c r="G169" i="3"/>
  <c r="I168" i="3"/>
  <c r="H168" i="3"/>
  <c r="J168" i="3" l="1"/>
  <c r="S168" i="3" s="1"/>
  <c r="G170" i="3"/>
  <c r="I169" i="3"/>
  <c r="H169" i="3"/>
  <c r="J169" i="3" l="1"/>
  <c r="S169" i="3" s="1"/>
  <c r="H170" i="3"/>
  <c r="I170" i="3"/>
  <c r="G171" i="3"/>
  <c r="H171" i="3" l="1"/>
  <c r="I171" i="3"/>
  <c r="I172" i="3" s="1"/>
  <c r="G172" i="3"/>
  <c r="J170" i="3"/>
  <c r="G173" i="3" l="1"/>
  <c r="J171" i="3"/>
  <c r="J172" i="3" s="1"/>
  <c r="H172" i="3"/>
  <c r="G174" i="3" l="1"/>
  <c r="I173" i="3"/>
  <c r="I174" i="3" s="1"/>
  <c r="H173" i="3"/>
  <c r="J173" i="3" l="1"/>
  <c r="J174" i="3" s="1"/>
  <c r="H174" i="3"/>
  <c r="G175" i="3"/>
  <c r="I175" i="3" l="1"/>
  <c r="I176" i="3" s="1"/>
  <c r="H175" i="3"/>
  <c r="G176" i="3"/>
  <c r="J175" i="3" l="1"/>
  <c r="J176" i="3" s="1"/>
  <c r="H176" i="3"/>
  <c r="G177" i="3"/>
  <c r="I177" i="3" l="1"/>
  <c r="I178" i="3" s="1"/>
  <c r="H177" i="3"/>
  <c r="G178" i="3"/>
  <c r="J177" i="3" l="1"/>
  <c r="J178" i="3" s="1"/>
  <c r="H178" i="3"/>
  <c r="G179" i="3"/>
  <c r="I179" i="3" l="1"/>
  <c r="I180" i="3" s="1"/>
  <c r="H179" i="3"/>
  <c r="G180" i="3"/>
  <c r="G181" i="3" l="1"/>
  <c r="J179" i="3"/>
  <c r="J180" i="3" s="1"/>
  <c r="H180" i="3"/>
  <c r="G182" i="3" l="1"/>
  <c r="H181" i="3"/>
  <c r="I181" i="3"/>
  <c r="I182" i="3" s="1"/>
  <c r="J181" i="3" l="1"/>
  <c r="J182" i="3" s="1"/>
  <c r="H182" i="3"/>
  <c r="G183" i="3"/>
  <c r="G184" i="3" l="1"/>
  <c r="H183" i="3"/>
  <c r="I183" i="3"/>
  <c r="I184" i="3" s="1"/>
  <c r="J183" i="3" l="1"/>
  <c r="J184" i="3" s="1"/>
  <c r="H184" i="3"/>
  <c r="G185" i="3"/>
  <c r="I185" i="3" l="1"/>
  <c r="I186" i="3" s="1"/>
  <c r="H185" i="3"/>
  <c r="G186" i="3"/>
  <c r="G187" i="3" l="1"/>
  <c r="J185" i="3"/>
  <c r="J186" i="3" s="1"/>
  <c r="H186" i="3"/>
  <c r="G189" i="3" l="1"/>
  <c r="G188" i="3"/>
  <c r="H187" i="3"/>
  <c r="I187" i="3"/>
  <c r="I188" i="3" s="1"/>
  <c r="J187" i="3" l="1"/>
  <c r="J188" i="3" s="1"/>
  <c r="H188" i="3"/>
  <c r="H189" i="3"/>
  <c r="I189" i="3"/>
  <c r="J189" i="3" l="1"/>
  <c r="D35" i="11" l="1"/>
  <c r="D37" i="11"/>
  <c r="I35" i="11"/>
  <c r="I37" i="11"/>
  <c r="O15" i="11"/>
  <c r="N15" i="11"/>
  <c r="E35" i="11"/>
  <c r="E37" i="11"/>
  <c r="N15" i="11" a="1"/>
  <c r="N16" i="11"/>
  <c r="O16" i="11"/>
  <c r="C35" i="11"/>
  <c r="C37" i="11"/>
  <c r="J35" i="11"/>
  <c r="J37" i="11"/>
  <c r="H35" i="11"/>
  <c r="H37" i="11"/>
  <c r="B35" i="11"/>
  <c r="B37" i="11"/>
  <c r="G3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0E2D75-2872-4E6B-A897-4EA0A63F9958}" keepAlive="1" name="DeliveredSalesDatamodelV11" type="5" refreshedVersion="8" background="1">
    <dbPr connection="Provider=MSOLAP.8;Integrated Security=ClaimsToken;Persist Security Info=True;Initial Catalog=sobe_wowvirtualserver-e8ca8615-72ad-4a24-8dfd-a91d741b55c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1DD0A0DC-25B6-4B15-B3C4-D7965965C04A}" keepAlive="1" name="WeeklyWrittenSalesbyStore" type="5" refreshedVersion="8" background="1">
    <dbPr connection="Provider=MSOLAP.8;Integrated Security=ClaimsToken;Persist Security Info=True;Initial Catalog=sobe_wowvirtualserver-14384498-7a4d-4b9f-9e38-15959219a467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19">
    <s v="DeliveredSalesDatamodelV11"/>
    <s v="{[BI metrics].[TimePeriod].&amp;[Week]}"/>
    <s v="{[BI vw_Store].[BranchType].&amp;[Company]}"/>
    <s v="{[BI vw_DynamicsDeliveredSales].[Sales Order Type].&amp;[Retail]}"/>
    <s v="{[BI vw_DynamicsDeliveredSales].[Division].&amp;[Furniture],[BI vw_DynamicsDeliveredSales].[Division].&amp;[Homewares]}"/>
    <s v="WeeklyWrittenSalesbyStore"/>
    <s v="{[TimePeriodSort].[TimePeriod].&amp;[WEEK]}"/>
    <s v="{[BI vw_WeeklyWrittenSalesMetrics].[Branch_Type].&amp;[Company]}"/>
    <s v="{[BI vw_WeeklyWrittenSalesMetrics].[Division].&amp;[Furniture],[BI vw_WeeklyWrittenSalesMetrics].[Division].&amp;[Homewares]}"/>
    <s v="{[BI vw_WeeklyWrittenSalesMetrics].[Country].&amp;[NZ]}"/>
    <s v="{[BI vw_WeeklyWrittenSalesMetrics].[Country].&amp;[AU]}"/>
    <s v="{[BI Store].[Store_Name].&amp;[VIC Nunawading]}"/>
    <s v="{[BI metrics].[Fin_Period].&amp;[202540],[BI metrics].[Fin_Period].&amp;[202541],[BI metrics].[Fin_Period].&amp;[202542],[BI metrics].[Fin_Period].&amp;[202543],[BI metrics].[Fin_Period].&amp;[202544],[BI metrics].[Fin_Period].&amp;[202545],[BI metrics].[Fin_Period].&amp;[202546],[BI metrics].[Fin_Period].&amp;[202547],[BI metrics].[Fin_Period].&amp;[202548],[BI metrics].[Fin_Period].&amp;[202549],[BI metrics].[Fin_Period].&amp;[202550],[BI metrics].[Fin_Period].&amp;[202551],[BI metrics].[Fin_Period].&amp;[202552],[BI metrics].[Fin_Period].&amp;[202601],[BI metrics].[Fin_Period].&amp;[202602],[BI metrics].[Fin_Period].&amp;[202603],[BI metrics].[Fin_Period].&amp;[202604],[BI metrics].[Fin_Period].&amp;[202605],[BI metrics].[Fin_Period].&amp;[202606],[BI metrics].[Fin_Period].&amp;[202607],[BI metrics].[Fin_Period].&amp;[202608],[BI metrics].[Fin_Period].&amp;[202609],[BI metrics].[Fin_Period].&amp;[202610],[BI metrics].[Fin_Period].&amp;[202611],[BI metrics].[Fin_Period].&amp;[202612],[BI metrics].[Fin_Period].&amp;[202613]}"/>
    <s v="{[BI vw_Store].[StoreName].&amp;,[BI vw_Store].[StoreName].&amp;[DC- Quality],[BI vw_Store].[StoreName].&amp;[Freedom Web],[BI vw_Store].[StoreName].&amp;[NZ Head Office],[BI vw_Store].[StoreName].&amp;[freedom NZ FCS],[BI vw_Store].[StoreName].&amp;[freedom SA FCS],[BI vw_Store].[StoreName].&amp;[freedom WA FCS],[BI vw_Store].[StoreName].&amp;[BLR Online - SA],[BI vw_Store].[StoreName].&amp;[BLR Online - WA],[BI vw_Store].[StoreName].&amp;[Freedom VIC FCS],[BI vw_Store].[StoreName].&amp;[freedom NSW FCS],[BI vw_Store].[StoreName].&amp;[freedom QLD FCS],[BI vw_Store].[StoreName].&amp;[BLR Online - NSW],[BI vw_Store].[StoreName].&amp;[BLR Online - QLD],[BI vw_Store].[StoreName].&amp;[BLR Online - VIC],[BI vw_Store].[StoreName].&amp;[BLR VIC HTV test],[BI vw_Store].[StoreName].&amp;[DC - Perth (PES)],[BI vw_Store].[StoreName].&amp;[Freedom Dropship],[BI vw_Store].[StoreName].&amp;[NZ Freedom Taupo],[BI vw_Store].[StoreName].&amp;[Imports KPS (F01)],[BI vw_Store].[StoreName].&amp;[NZ Freedom Albany],[BI vw_Store].[StoreName].&amp;[freedom NSW Dubbo],[BI vw_Store].[StoreName].&amp;[freedom QLD Logan],[BI vw_Store].[StoreName].&amp;[freedom SA Glynde],[BI vw_Store].[StoreName].&amp;[freedom SA Marion],[BI vw_Store].[StoreName].&amp;[freedom WA Myaree],[BI vw_Store].[StoreName].&amp;[DC - Pooraka (HNS)],[BI vw_Store].[StoreName].&amp;[NZ Freedom Waipapa],[BI vw_Store].[StoreName].&amp;[freedom NSW Albury],[BI vw_Store].[StoreName].&amp;[freedom NSW Auburn],[BI vw_Store].[StoreName].&amp;[freedom NSW Casula],[BI vw_Store].[StoreName].&amp;[freedom NSW Kotara],[BI vw_Store].[StoreName].&amp;[freedom QLD Aspley],[BI vw_Store].[StoreName].&amp;[freedom QLD Cairns],[BI vw_Store].[StoreName].&amp;[freedom TAS Hobart],[BI vw_Store].[StoreName].&amp;[freedom WA Midland],[BI vw_Store].[StoreName].&amp;[DC - Auckland (AKS)],[BI vw_Store].[StoreName].&amp;[NZ Freedom Hamilton],[BI vw_Store].[StoreName].&amp;[NZ Freedom Hastings],[BI vw_Store].[StoreName].&amp;[NZ Freedom Tauranga],[BI vw_Store].[StoreName].&amp;[NZ Freedom Westgate],[BI vw_Store].[StoreName].&amp;[freedom NSW Belrose],[BI vw_Store].[StoreName].&amp;[freedom NSW Penrith],[BI vw_Store].[StoreName].&amp;[freedom QLD Windsor],[BI vw_Store].[StoreName].&amp;[freedom SA Mile End],[BI vw_Store].[StoreName].&amp;[freedom VIC Geelong],[BI vw_Store].[StoreName].&amp;[freedom VIC Preston],[BI vw_Store].[StoreName].&amp;[freedom WA Cockburn],[BI vw_Store].[StoreName].&amp;[freedom WA Mandurah],[BI vw_Store].[StoreName].&amp;[CLOSED BLR QLD Logan],[BI vw_Store].[StoreName].&amp;[DC - Knoxfield (MUS)],[BI vw_Store].[StoreName].&amp;[DC - Richlands (GES)],[BI vw_Store].[StoreName].&amp;[NZ Freedom Marketing],[BI vw_Store].[StoreName].&amp;[NZ Freedom Moorhouse],[BI vw_Store].[StoreName].&amp;[NZ Freedom Newmarket],[BI vw_Store].[StoreName].&amp;[NZ Freedom Whangarei],[BI vw_Store].[StoreName].&amp;[NZ Freedom Wholesale],[BI vw_Store].[StoreName].&amp;[freedom ACT Fyshwick],[BI vw_Store].[StoreName].&amp;[freedom NSW Artarmon],[BI vw_Store].[StoreName].&amp;[freedom NSW Homebush],[BI vw_Store].[StoreName].&amp;[freedom QLD Capalaba],[BI vw_Store].[StoreName].&amp;[freedom QLD Jindalee],[BI vw_Store].[StoreName].&amp;[freedom VIC Ballarat],[BI vw_Store].[StoreName].&amp;[freedom VIC Essendon],[BI vw_Store].[StoreName].&amp;[freedom VIC HTS test],[BI vw_Store].[StoreName].&amp;[freedom VIC Richmond],[BI vw_Store].[StoreName].&amp;[freedom WA Joondalup],[BI vw_Store].[StoreName].&amp;[CLOSED BLR NSW Kotara],[BI vw_Store].[StoreName].&amp;[DC - Kings Park (LIS)],[BI vw_Store].[StoreName].&amp;[Freedom QLD Toowoomba],[BI vw_Store].[StoreName].&amp;[NZ Freedom Wellington],[BI vw_Store].[StoreName].&amp;[freedom NSW Balgowlah],[BI vw_Store].[StoreName].&amp;[freedom NSW Caringbah],[BI vw_Store].[StoreName].&amp;[freedom NSW Warrawong],[BI vw_Store].[StoreName].&amp;[freedom QLD Southport],[BI vw_Store].[StoreName].&amp;[freedom VIC Chadstone],[BI vw_Store].[StoreName].&amp;[freedom VIC Frankston],[BI vw_Store].[StoreName].&amp;[freedom VIC Moorabbin],[BI vw_Store].[StoreName].&amp;[freedom VIC Northland],[BI vw_Store].[StoreName].&amp;[freedom VIC Traralgon],[BI vw_Store].[StoreName].&amp;[freedom WA Cannington],[BI vw_Store].[StoreName].&amp;[Freedom NSW Alexandria],[BI vw_Store].[StoreName].&amp;[NZ Freedom Sylvia Park],[BI vw_Store].[StoreName].&amp;[NZ Freedom Wairau Park],[BI vw_Store].[StoreName].&amp;[freedom NSW Moore Park],[BI vw_Store].[StoreName].&amp;[freedom QLD Cairns (F)],[BI vw_Store].[StoreName].&amp;[freedom QLD Townsville],[BI vw_Store].[StoreName].&amp;[freedom VIC Nunawading],[BI vw_Store].[StoreName].&amp;[CLOSED BLR NSW Artarmon],[BI vw_Store].[StoreName].&amp;[NZ Freedom Hastings (F)],[BI vw_Store].[StoreName].&amp;[NZ Freedom New Plymouth],[BI vw_Store].[StoreName].&amp;[freedom NSW Castle Hill],[BI vw_Store].[StoreName].&amp;[freedom VIC Craigieburn],[BI vw_Store].[StoreName].&amp;[freedom VIC South Wharf],[BI vw_Store].[StoreName].&amp;[freedom WA Osborne Park],[BI vw_Store].[StoreName].&amp;[CLOSED BLR NSW Balgowlah],[BI vw_Store].[StoreName].&amp;[freedom NSW West Gosford],[BI vw_Store].[StoreName].&amp;[Big Brand Outlet - Aspley],[BI vw_Store].[StoreName].&amp;[CLOSED BLR NSW Moore Park],[BI vw_Store].[StoreName].&amp;[freedom NSW Coffs Harbour],[BI vw_Store].[StoreName].&amp;[freedom VIC Fountain Gate],[BI vw_Store].[StoreName].&amp;[CLOSED BLR NSW Castle Hill],[BI vw_Store].[StoreName].&amp;[CLOSED BLR WA Osborne Park],[BI vw_Store].[StoreName].&amp;[Freedom eCommerce Platform],[BI vw_Store].[StoreName].&amp;[Freedom VIC Marketing Store],[BI vw_Store].[StoreName].&amp;[MARKETING BLR NSW Marketing],[BI vw_Store].[StoreName].&amp;[NZ Freedom Palmerston North],[BI vw_Store].[StoreName].&amp;[CLOSED freedom NSW Bankstown],[BI vw_Store].[StoreName].&amp;[NZ Pop up Store 2 Coastlands],[BI vw_Store].[StoreName].&amp;[freedom QLD Fortitude Valley],[BI vw_Store].[StoreName].&amp;[NZ Freedom eCommerce Platform],[BI vw_Store].[StoreName].&amp;[CLOSED NZ Freedom Christchurch],[BI vw_Store].[StoreName].&amp;[freedom QLD Sunshine Coast (F)],[BI vw_Store].[StoreName].&amp;[Bay Leather Republic NSW Auburn],[BI vw_Store].[StoreName].&amp;[CLOSED BLR QLD Fortitude Valley],[BI vw_Store].[StoreName].&amp;[MARKETING freedom NSW Marketing],[BI vw_Store].[StoreName].&amp;[Bay Leather Republic VIC Essendon],[BI vw_Store].[StoreName].&amp;[Bay Leather Republic VIC Chadstone],[BI vw_Store].[StoreName].&amp;[Steinhoff Asia Pacific Head Office],[BI vw_Store].[StoreName].&amp;[Bay Leather Republic NSW Alexandria],[BI vw_Store].[StoreName].&amp;[Bay Leather Republic VIC Nunawading],[BI vw_Store].[StoreName].&amp;[Imports-Offshore Hub-Malaysia (H01)],[BI vw_Store].[StoreName].&amp;[Imports-Offshore Hub-Distribution (H02)]}"/>
    <s v="{[BI vw_Store].[StoreName].&amp;,[BI vw_Store].[StoreName].&amp;[DC- Quality],[BI vw_Store].[StoreName].&amp;[Freedom Web],[BI vw_Store].[StoreName].&amp;[NZ Head Office],[BI vw_Store].[StoreName].&amp;[freedom NZ FCS],[BI vw_Store].[StoreName].&amp;[freedom SA FCS],[BI vw_Store].[StoreName].&amp;[freedom WA FCS],[BI vw_Store].[StoreName].&amp;[BLR Online - SA],[BI vw_Store].[StoreName].&amp;[BLR Online - WA],[BI vw_Store].[StoreName].&amp;[Freedom VIC FCS],[BI vw_Store].[StoreName].&amp;[freedom NSW FCS],[BI vw_Store].[StoreName].&amp;[freedom QLD FCS],[BI vw_Store].[StoreName].&amp;[BLR Online - NSW],[BI vw_Store].[StoreName].&amp;[BLR Online - QLD],[BI vw_Store].[StoreName].&amp;[BLR Online - VIC],[BI vw_Store].[StoreName].&amp;[BLR VIC HTV test],[BI vw_Store].[StoreName].&amp;[DC - Perth (PES)],[BI vw_Store].[StoreName].&amp;[Freedom Dropship],[BI vw_Store].[StoreName].&amp;[NZ Freedom Taupo],[BI vw_Store].[StoreName].&amp;[Imports KPS (F01)],[BI vw_Store].[StoreName].&amp;[NZ Freedom Albany],[BI vw_Store].[StoreName].&amp;[freedom NSW Dubbo],[BI vw_Store].[StoreName].&amp;[freedom QLD Logan],[BI vw_Store].[StoreName].&amp;[freedom SA Glynde],[BI vw_Store].[StoreName].&amp;[freedom SA Marion],[BI vw_Store].[StoreName].&amp;[freedom WA Myaree],[BI vw_Store].[StoreName].&amp;[DC - Pooraka (HNS)],[BI vw_Store].[StoreName].&amp;[NZ Freedom Waipapa],[BI vw_Store].[StoreName].&amp;[freedom NSW Albury],[BI vw_Store].[StoreName].&amp;[freedom NSW Auburn],[BI vw_Store].[StoreName].&amp;[freedom NSW Casula],[BI vw_Store].[StoreName].&amp;[freedom NSW Kotara],[BI vw_Store].[StoreName].&amp;[freedom QLD Aspley],[BI vw_Store].[StoreName].&amp;[freedom QLD Cairns],[BI vw_Store].[StoreName].&amp;[freedom TAS Hobart],[BI vw_Store].[StoreName].&amp;[freedom WA Midland],[BI vw_Store].[StoreName].&amp;[DC - Auckland (AKS)],[BI vw_Store].[StoreName].&amp;[NZ Freedom Hamilton],[BI vw_Store].[StoreName].&amp;[NZ Freedom Hastings],[BI vw_Store].[StoreName].&amp;[NZ Freedom Tauranga],[BI vw_Store].[StoreName].&amp;[NZ Freedom Westgate],[BI vw_Store].[StoreName].&amp;[freedom NSW Belrose],[BI vw_Store].[StoreName].&amp;[freedom NSW Penrith],[BI vw_Store].[StoreName].&amp;[freedom QLD Windsor],[BI vw_Store].[StoreName].&amp;[freedom SA Mile End],[BI vw_Store].[StoreName].&amp;[freedom VIC Geelong],[BI vw_Store].[StoreName].&amp;[freedom VIC Preston],[BI vw_Store].[StoreName].&amp;[freedom WA Cockburn],[BI vw_Store].[StoreName].&amp;[freedom WA Mandurah],[BI vw_Store].[StoreName].&amp;[CLOSED BLR QLD Logan],[BI vw_Store].[StoreName].&amp;[DC - Knoxfield (MUS)],[BI vw_Store].[StoreName].&amp;[DC - Richlands (GES)],[BI vw_Store].[StoreName].&amp;[NZ Freedom Marketing],[BI vw_Store].[StoreName].&amp;[NZ Freedom Moorhouse],[BI vw_Store].[StoreName].&amp;[NZ Freedom Newmarket],[BI vw_Store].[StoreName].&amp;[NZ Freedom Whangarei],[BI vw_Store].[StoreName].&amp;[NZ Freedom Wholesale],[BI vw_Store].[StoreName].&amp;[freedom ACT Fyshwick],[BI vw_Store].[StoreName].&amp;[freedom NSW Artarmon],[BI vw_Store].[StoreName].&amp;[freedom NSW Homebush],[BI vw_Store].[StoreName].&amp;[freedom QLD Capalaba],[BI vw_Store].[StoreName].&amp;[freedom QLD Jindalee],[BI vw_Store].[StoreName].&amp;[freedom VIC Ballarat],[BI vw_Store].[StoreName].&amp;[freedom VIC Essendon],[BI vw_Store].[StoreName].&amp;[freedom VIC HTS test],[BI vw_Store].[StoreName].&amp;[freedom VIC Richmond],[BI vw_Store].[StoreName].&amp;[freedom WA Joondalup],[BI vw_Store].[StoreName].&amp;[CLOSED BLR NSW Kotara],[BI vw_Store].[StoreName].&amp;[DC - Kings Park (LIS)],[BI vw_Store].[StoreName].&amp;[Freedom QLD Toowoomba],[BI vw_Store].[StoreName].&amp;[NZ Freedom Wellington],[BI vw_Store].[StoreName].&amp;[freedom NSW Balgowlah],[BI vw_Store].[StoreName].&amp;[freedom NSW Caringbah],[BI vw_Store].[StoreName].&amp;[freedom NSW Warrawong],[BI vw_Store].[StoreName].&amp;[freedom QLD Southport],[BI vw_Store].[StoreName].&amp;[freedom VIC Chadstone],[BI vw_Store].[StoreName].&amp;[freedom VIC Frankston],[BI vw_Store].[StoreName].&amp;[freedom VIC Moorabbin],[BI vw_Store].[StoreName].&amp;[freedom VIC Northland],[BI vw_Store].[StoreName].&amp;[freedom VIC Traralgon],[BI vw_Store].[StoreName].&amp;[freedom WA Cannington],[BI vw_Store].[StoreName].&amp;[Freedom NSW Alexandria],[BI vw_Store].[StoreName].&amp;[NZ Freedom Sylvia Park],[BI vw_Store].[StoreName].&amp;[NZ Freedom Wairau Park],[BI vw_Store].[StoreName].&amp;[freedom NSW Moore Park],[BI vw_Store].[StoreName].&amp;[freedom QLD Cairns (F)],[BI vw_Store].[StoreName].&amp;[freedom QLD Townsville],[BI vw_Store].[StoreName].&amp;[freedom VIC Nunawading],[BI vw_Store].[StoreName].&amp;[CLOSED BLR NSW Artarmon],[BI vw_Store].[StoreName].&amp;[NZ Freedom Hastings (F)],[BI vw_Store].[StoreName].&amp;[freedom NSW Castle Hill],[BI vw_Store].[StoreName].&amp;[freedom VIC Craigieburn],[BI vw_Store].[StoreName].&amp;[freedom VIC South Wharf],[BI vw_Store].[StoreName].&amp;[freedom WA Osborne Park],[BI vw_Store].[StoreName].&amp;[CLOSED BLR NSW Balgowlah],[BI vw_Store].[StoreName].&amp;[freedom NSW West Gosford],[BI vw_Store].[StoreName].&amp;[Big Brand Outlet - Aspley],[BI vw_Store].[StoreName].&amp;[CLOSED BLR NSW Moore Park],[BI vw_Store].[StoreName].&amp;[freedom NSW Coffs Harbour],[BI vw_Store].[StoreName].&amp;[freedom VIC Fountain Gate],[BI vw_Store].[StoreName].&amp;[CLOSED BLR NSW Castle Hill],[BI vw_Store].[StoreName].&amp;[CLOSED BLR WA Osborne Park],[BI vw_Store].[StoreName].&amp;[Freedom eCommerce Platform],[BI vw_Store].[StoreName].&amp;[Freedom VIC Marketing Store],[BI vw_Store].[StoreName].&amp;[MARKETING BLR NSW Marketing],[BI vw_Store].[StoreName].&amp;[NZ Freedom Palmerston North],[BI vw_Store].[StoreName].&amp;[CLOSED freedom NSW Bankstown],[BI vw_Store].[StoreName].&amp;[NZ Pop up Store 2 Coastlands],[BI vw_Store].[StoreName].&amp;[freedom QLD Fortitude Valley],[BI vw_Store].[StoreName].&amp;[NZ Freedom eCommerce Platform],[BI vw_Store].[StoreName].&amp;[CLOSED NZ Freedom Christchurch],[BI vw_Store].[StoreName].&amp;[freedom QLD Sunshine Coast (C)],[BI vw_Store].[StoreName].&amp;[freedom QLD Sunshine Coast (F)],[BI vw_Store].[StoreName].&amp;[Bay Leather Republic NSW Auburn],[BI vw_Store].[StoreName].&amp;[CLOSED BLR QLD Fortitude Valley],[BI vw_Store].[StoreName].&amp;[MARKETING freedom NSW Marketing],[BI vw_Store].[StoreName].&amp;[Bay Leather Republic VIC Essendon],[BI vw_Store].[StoreName].&amp;[Bay Leather Republic VIC Chadstone],[BI vw_Store].[StoreName].&amp;[Steinhoff Asia Pacific Head Office],[BI vw_Store].[StoreName].&amp;[Bay Leather Republic NSW Alexandria],[BI vw_Store].[StoreName].&amp;[Bay Leather Republic VIC Nunawading],[BI vw_Store].[StoreName].&amp;[Imports-Offshore Hub-Malaysia (H01)],[BI vw_Store].[StoreName].&amp;[Imports-Offshore Hub-Distribution (H02)]}"/>
    <s v="{[BI vw_DynamicsDeliveredSales].[Division].&amp;[Furniture],[BI vw_DynamicsDeliveredSales].[Division].&amp;[Homewares],[BI vw_DynamicsDeliveredSales].[Division].&amp;}"/>
    <s v="{[BI vw_DynamicsDeliveredSales].[CHANNEL].&amp;[Dropship]}"/>
    <s v="{[BI metrics].[Fin_Period].&amp;[202540],[BI metrics].[Fin_Period].&amp;[202541],[BI metrics].[Fin_Period].&amp;[202542],[BI metrics].[Fin_Period].&amp;[202543],[BI metrics].[Fin_Period].&amp;[202544],[BI metrics].[Fin_Period].&amp;[202545],[BI metrics].[Fin_Period].&amp;[202546],[BI metrics].[Fin_Period].&amp;[202547],[BI metrics].[Fin_Period].&amp;[202548],[BI metrics].[Fin_Period].&amp;[202549],[BI metrics].[Fin_Period].&amp;[202550],[BI metrics].[Fin_Period].&amp;[202551],[BI metrics].[Fin_Period].&amp;[202552],[BI metrics].[Fin_Period].&amp;[202601],[BI metrics].[Fin_Period].&amp;[202602],[BI metrics].[Fin_Period].&amp;[202603],[BI metrics].[Fin_Period].&amp;[202604],[BI metrics].[Fin_Period].&amp;[202605],[BI metrics].[Fin_Period].&amp;[202606],[BI metrics].[Fin_Period].&amp;[202607],[BI metrics].[Fin_Period].&amp;[202608],[BI metrics].[Fin_Period].&amp;[202609],[BI metrics].[Fin_Period].&amp;[202610],[BI metrics].[Fin_Period].&amp;[202611],[BI metrics].[Fin_Period].&amp;[202612],[BI metrics].[Fin_Period].&amp;[202613],[BI metrics].[Fin_Period].&amp;[202614],[BI metrics].[Fin_Period].&amp;[202615],[BI metrics].[Fin_Period].&amp;[202616],[BI metrics].[Fin_Period].&amp;[202617],[BI metrics].[Fin_Period].&amp;[202618],[BI metrics].[Fin_Period].&amp;[202619],[BI metrics].[Fin_Period].&amp;[202620],[BI metrics].[Fin_Period].&amp;[202621],[BI metrics].[Fin_Period].&amp;[202622],[BI metrics].[Fin_Period].&amp;[202623],[BI metrics].[Fin_Period].&amp;[202624],[BI metrics].[Fin_Period].&amp;[202625],[BI metrics].[Fin_Period].&amp;[202626],[BI metrics].[Fin_Period].&amp;[202627],[BI metrics].[Fin_Period].&amp;[202628],[BI metrics].[Fin_Period].&amp;[202629],[BI metrics].[Fin_Period].&amp;[202630],[BI metrics].[Fin_Period].&amp;[202631],[BI metrics].[Fin_Period].&amp;[202632],[BI metrics].[Fin_Period].&amp;[202633],[BI metrics].[Fin_Period].&amp;[202634],[BI metrics].[Fin_Period].&amp;[202635],[BI metrics].[Fin_Period].&amp;[202636],[BI metrics].[Fin_Period].&amp;[202637],[BI metrics].[Fin_Period].&amp;[202638],[BI metrics].[Fin_Period].&amp;[202639]}"/>
    <s v="{[BI vw_WeeklyWrittenSalesMetrics].[Division].&amp;[Furniture]}"/>
  </metadataStrings>
  <mdxMetadata count="17">
    <mdx n="0" f="s">
      <ms ns="1" c="0"/>
    </mdx>
    <mdx n="0" f="s">
      <ms ns="2" c="0"/>
    </mdx>
    <mdx n="0" f="s">
      <ms ns="3" c="0"/>
    </mdx>
    <mdx n="0" f="s">
      <ms ns="4" c="0"/>
    </mdx>
    <mdx n="5" f="s">
      <ms ns="6" c="0"/>
    </mdx>
    <mdx n="5" f="s">
      <ms ns="7" c="0"/>
    </mdx>
    <mdx n="5" f="s">
      <ms ns="8" c="0"/>
    </mdx>
    <mdx n="5" f="s">
      <ms ns="9" c="0"/>
    </mdx>
    <mdx n="5" f="s">
      <ms ns="10" c="0"/>
    </mdx>
    <mdx n="5" f="s">
      <ms ns="11" c="0"/>
    </mdx>
    <mdx n="5" f="s">
      <ms ns="12" c="0"/>
    </mdx>
    <mdx n="0" f="s">
      <ms ns="13" c="0"/>
    </mdx>
    <mdx n="0" f="s">
      <ms ns="14" c="0"/>
    </mdx>
    <mdx n="0" f="s">
      <ms ns="15" c="0"/>
    </mdx>
    <mdx n="0" f="s">
      <ms ns="16" c="0"/>
    </mdx>
    <mdx n="5" f="s">
      <ms ns="17" c="0"/>
    </mdx>
    <mdx n="5" f="s">
      <ms ns="18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<sst xmlns="http://schemas.openxmlformats.org/spreadsheetml/2006/main" count="2340" uniqueCount="310">
  <si>
    <t>TimePeriod</t>
  </si>
  <si>
    <t>Week</t>
  </si>
  <si>
    <t>BranchType</t>
  </si>
  <si>
    <t>Company</t>
  </si>
  <si>
    <t>Sales Order Type</t>
  </si>
  <si>
    <t>Retail</t>
  </si>
  <si>
    <t>Division</t>
  </si>
  <si>
    <t>(Multiple Items)</t>
  </si>
  <si>
    <t>Delivered Sales Ex GST</t>
  </si>
  <si>
    <t>Column Labels</t>
  </si>
  <si>
    <t>NZ</t>
  </si>
  <si>
    <t>Grand Total</t>
  </si>
  <si>
    <t>NZ (AUD)</t>
  </si>
  <si>
    <t>AU</t>
  </si>
  <si>
    <t>Row Labels</t>
  </si>
  <si>
    <t>In Store</t>
  </si>
  <si>
    <t>Online</t>
  </si>
  <si>
    <t>Date week</t>
  </si>
  <si>
    <t>FX Rate (A$1=NZD)</t>
  </si>
  <si>
    <t>Instore</t>
  </si>
  <si>
    <t>Total</t>
  </si>
  <si>
    <t>Dropship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</si>
  <si>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</si>
  <si>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</si>
  <si>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</si>
  <si>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</si>
  <si>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</si>
  <si>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</si>
  <si>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</si>
  <si>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</si>
  <si>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</si>
  <si>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</si>
  <si>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</si>
  <si>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</si>
  <si>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202513</t>
  </si>
  <si>
    <t>202514</t>
  </si>
  <si>
    <t>202515</t>
  </si>
  <si>
    <t>202516</t>
  </si>
  <si>
    <t>202517</t>
  </si>
  <si>
    <t>202518</t>
  </si>
  <si>
    <t>202519</t>
  </si>
  <si>
    <t>202520</t>
  </si>
  <si>
    <t>202521</t>
  </si>
  <si>
    <t>202522</t>
  </si>
  <si>
    <t>202523</t>
  </si>
  <si>
    <t>202524</t>
  </si>
  <si>
    <t>202525</t>
  </si>
  <si>
    <t>202526</t>
  </si>
  <si>
    <t>202527</t>
  </si>
  <si>
    <t>202528</t>
  </si>
  <si>
    <t>202529</t>
  </si>
  <si>
    <t>202530</t>
  </si>
  <si>
    <t>202531</t>
  </si>
  <si>
    <t>202532</t>
  </si>
  <si>
    <t>202533</t>
  </si>
  <si>
    <t>202534</t>
  </si>
  <si>
    <t>202535</t>
  </si>
  <si>
    <t>202536</t>
  </si>
  <si>
    <t>202537</t>
  </si>
  <si>
    <t>202538</t>
  </si>
  <si>
    <t>202539</t>
  </si>
  <si>
    <t>202540</t>
  </si>
  <si>
    <t>202541</t>
  </si>
  <si>
    <t>202542</t>
  </si>
  <si>
    <t>202543</t>
  </si>
  <si>
    <t>202544</t>
  </si>
  <si>
    <t>202545</t>
  </si>
  <si>
    <t>202546</t>
  </si>
  <si>
    <t>202547</t>
  </si>
  <si>
    <t>202548</t>
  </si>
  <si>
    <t>202549</t>
  </si>
  <si>
    <t>202550</t>
  </si>
  <si>
    <t>202551</t>
  </si>
  <si>
    <t>202552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</si>
  <si>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</si>
  <si>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</si>
  <si>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</si>
  <si>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</si>
  <si>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</si>
  <si>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</si>
  <si>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</si>
  <si>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</si>
  <si>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</si>
  <si>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</si>
  <si>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</si>
  <si>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</si>
  <si>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202613</t>
  </si>
  <si>
    <t>202614</t>
  </si>
  <si>
    <t>202615</t>
  </si>
  <si>
    <t>202616</t>
  </si>
  <si>
    <t>202617</t>
  </si>
  <si>
    <t>202618</t>
  </si>
  <si>
    <t>202619</t>
  </si>
  <si>
    <t>202620</t>
  </si>
  <si>
    <t>202621</t>
  </si>
  <si>
    <t>202622</t>
  </si>
  <si>
    <t>202623</t>
  </si>
  <si>
    <t>202624</t>
  </si>
  <si>
    <t>202625</t>
  </si>
  <si>
    <t>202626</t>
  </si>
  <si>
    <t>202627</t>
  </si>
  <si>
    <t>202628</t>
  </si>
  <si>
    <t>202629</t>
  </si>
  <si>
    <t>202630</t>
  </si>
  <si>
    <t>202631</t>
  </si>
  <si>
    <t>202632</t>
  </si>
  <si>
    <t>202633</t>
  </si>
  <si>
    <t>202634</t>
  </si>
  <si>
    <t>202635</t>
  </si>
  <si>
    <t>202636</t>
  </si>
  <si>
    <t>202637</t>
  </si>
  <si>
    <t>202638</t>
  </si>
  <si>
    <t>202639</t>
  </si>
  <si>
    <t>202701</t>
  </si>
  <si>
    <t>202702</t>
  </si>
  <si>
    <t>202703</t>
  </si>
  <si>
    <t>202704</t>
  </si>
  <si>
    <t>202705</t>
  </si>
  <si>
    <t>202706</t>
  </si>
  <si>
    <t>202707</t>
  </si>
  <si>
    <t>R-Trading Margin TY $</t>
  </si>
  <si>
    <t>WEEK</t>
  </si>
  <si>
    <t>Branch_Type</t>
  </si>
  <si>
    <t>Country</t>
  </si>
  <si>
    <t>R-Sales TY $</t>
  </si>
  <si>
    <t>Channel</t>
  </si>
  <si>
    <t>Fin_Period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</si>
  <si>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</si>
  <si>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</si>
  <si>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</si>
  <si>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</si>
  <si>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</si>
  <si>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</si>
  <si>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</si>
  <si>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</si>
  <si>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</si>
  <si>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</si>
  <si>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</si>
  <si>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</si>
  <si>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202413</t>
  </si>
  <si>
    <t>202414</t>
  </si>
  <si>
    <t>202415</t>
  </si>
  <si>
    <t>202416</t>
  </si>
  <si>
    <t>202417</t>
  </si>
  <si>
    <t>202418</t>
  </si>
  <si>
    <t>202419</t>
  </si>
  <si>
    <t>202420</t>
  </si>
  <si>
    <t>202421</t>
  </si>
  <si>
    <t>202422</t>
  </si>
  <si>
    <t>202423</t>
  </si>
  <si>
    <t>202424</t>
  </si>
  <si>
    <t>202425</t>
  </si>
  <si>
    <t>202426</t>
  </si>
  <si>
    <t>202427</t>
  </si>
  <si>
    <t>202428</t>
  </si>
  <si>
    <t>202429</t>
  </si>
  <si>
    <t>202430</t>
  </si>
  <si>
    <t>202431</t>
  </si>
  <si>
    <t>202432</t>
  </si>
  <si>
    <t>202433</t>
  </si>
  <si>
    <t>202434</t>
  </si>
  <si>
    <t>202435</t>
  </si>
  <si>
    <t>202436</t>
  </si>
  <si>
    <t>202437</t>
  </si>
  <si>
    <t>202438</t>
  </si>
  <si>
    <t>202439</t>
  </si>
  <si>
    <t>202440</t>
  </si>
  <si>
    <t>202441</t>
  </si>
  <si>
    <t>202442</t>
  </si>
  <si>
    <t>202443</t>
  </si>
  <si>
    <t>202444</t>
  </si>
  <si>
    <t>202445</t>
  </si>
  <si>
    <t>202446</t>
  </si>
  <si>
    <t>202447</t>
  </si>
  <si>
    <t>202448</t>
  </si>
  <si>
    <t>202449</t>
  </si>
  <si>
    <t>202450</t>
  </si>
  <si>
    <t>202451</t>
  </si>
  <si>
    <t>202452</t>
  </si>
  <si>
    <t>202640</t>
  </si>
  <si>
    <t>202641</t>
  </si>
  <si>
    <t>202642</t>
  </si>
  <si>
    <t>202643</t>
  </si>
  <si>
    <t>202644</t>
  </si>
  <si>
    <t>202645</t>
  </si>
  <si>
    <t>202646</t>
  </si>
  <si>
    <t>202647</t>
  </si>
  <si>
    <t>202648</t>
  </si>
  <si>
    <t>202649</t>
  </si>
  <si>
    <t>202650</t>
  </si>
  <si>
    <t>202651</t>
  </si>
  <si>
    <t>202652</t>
  </si>
  <si>
    <t>202708</t>
  </si>
  <si>
    <t>202709</t>
  </si>
  <si>
    <t>202710</t>
  </si>
  <si>
    <t>202711</t>
  </si>
  <si>
    <t>202712</t>
  </si>
  <si>
    <t>202713</t>
  </si>
  <si>
    <t>202714</t>
  </si>
  <si>
    <t>202715</t>
  </si>
  <si>
    <t>202716</t>
  </si>
  <si>
    <t>202717</t>
  </si>
  <si>
    <t>202718</t>
  </si>
  <si>
    <t>202719</t>
  </si>
  <si>
    <t>202720</t>
  </si>
  <si>
    <t>202721</t>
  </si>
  <si>
    <t>202722</t>
  </si>
  <si>
    <t>202723</t>
  </si>
  <si>
    <t>202724</t>
  </si>
  <si>
    <t>202725</t>
  </si>
  <si>
    <t>202726</t>
  </si>
  <si>
    <t>202727</t>
  </si>
  <si>
    <t>202728</t>
  </si>
  <si>
    <t>202729</t>
  </si>
  <si>
    <t>202730</t>
  </si>
  <si>
    <t>202731</t>
  </si>
  <si>
    <t>202732</t>
  </si>
  <si>
    <t>202733</t>
  </si>
  <si>
    <t>202734</t>
  </si>
  <si>
    <t>202735</t>
  </si>
  <si>
    <t>202736</t>
  </si>
  <si>
    <t>202737</t>
  </si>
  <si>
    <t>202738</t>
  </si>
  <si>
    <t>202739</t>
  </si>
  <si>
    <t>202740</t>
  </si>
  <si>
    <t>202741</t>
  </si>
  <si>
    <t>202742</t>
  </si>
  <si>
    <t>202743</t>
  </si>
  <si>
    <t>202744</t>
  </si>
  <si>
    <t>202745</t>
  </si>
  <si>
    <t>202746</t>
  </si>
  <si>
    <t>202747</t>
  </si>
  <si>
    <t>202748</t>
  </si>
  <si>
    <t>202749</t>
  </si>
  <si>
    <t>202750</t>
  </si>
  <si>
    <t>202751</t>
  </si>
  <si>
    <t>202752</t>
  </si>
  <si>
    <t>R-GM$ TY</t>
  </si>
  <si>
    <t>DS GM</t>
  </si>
  <si>
    <t>April</t>
  </si>
  <si>
    <t>May</t>
  </si>
  <si>
    <t>June</t>
  </si>
  <si>
    <t>Orderbook Movement by Country by Week</t>
  </si>
  <si>
    <t>Movement = Written less Delivered. W/D Ratio = Written ÷ Delivered (&gt;1.00x = orderbook building, &lt;1.00x = unwinding).</t>
  </si>
  <si>
    <t>Native currency: NZ in NZD, AU in AUD. Weeks limited to 202501-202707, where both Written and Delivered have data.</t>
  </si>
  <si>
    <t>FY26</t>
  </si>
  <si>
    <t>Avg Ratio (FY25 &amp; FY26)</t>
  </si>
  <si>
    <t>NZ (NZD)</t>
  </si>
  <si>
    <t>AU (AUD)</t>
  </si>
  <si>
    <t>Code</t>
  </si>
  <si>
    <t>Written</t>
  </si>
  <si>
    <t>Delivered</t>
  </si>
  <si>
    <t>Movement</t>
  </si>
  <si>
    <t>W/D Ratio</t>
  </si>
  <si>
    <t>Wk Num</t>
  </si>
  <si>
    <t>NZD</t>
  </si>
  <si>
    <t>AUD</t>
  </si>
  <si>
    <t>NZD Ratio</t>
  </si>
  <si>
    <t>AUD Ratio</t>
  </si>
  <si>
    <t>FY26 Wk</t>
  </si>
  <si>
    <t>FY25 Wk</t>
  </si>
  <si>
    <t>NZD Avg Ratio</t>
  </si>
  <si>
    <t>AUD Avg Ratio</t>
  </si>
  <si>
    <t xml:space="preserve">F11.1  EXCHANGE RATES </t>
  </si>
  <si>
    <t>Title</t>
  </si>
  <si>
    <t>A$1=NZD</t>
  </si>
  <si>
    <t>Description</t>
  </si>
  <si>
    <t>AUD/NZD Exchange Rate</t>
  </si>
  <si>
    <t>Frequency</t>
  </si>
  <si>
    <t>Daily</t>
  </si>
  <si>
    <t>Type</t>
  </si>
  <si>
    <t>Indicative</t>
  </si>
  <si>
    <t>Units</t>
  </si>
  <si>
    <t>Source</t>
  </si>
  <si>
    <t>RBA</t>
  </si>
  <si>
    <t>Publication date</t>
  </si>
  <si>
    <t>Series ID</t>
  </si>
  <si>
    <t>FXRNZD</t>
  </si>
  <si>
    <t>DS Mix</t>
  </si>
  <si>
    <t>DS Mix (13wk avg)</t>
  </si>
  <si>
    <t>Store_Name</t>
  </si>
  <si>
    <t>VIC Nunawading</t>
  </si>
  <si>
    <t>Aug</t>
  </si>
  <si>
    <t>July</t>
  </si>
  <si>
    <t>March</t>
  </si>
  <si>
    <t>Feb</t>
  </si>
  <si>
    <t>Jan</t>
  </si>
  <si>
    <t>Dec</t>
  </si>
  <si>
    <t>Nov</t>
  </si>
  <si>
    <t>Oct</t>
  </si>
  <si>
    <t>Sep</t>
  </si>
  <si>
    <t>Total Sales</t>
  </si>
  <si>
    <t>Month</t>
  </si>
  <si>
    <t>Vic Nunawading</t>
  </si>
  <si>
    <t>R-Sales ExGST LY $</t>
  </si>
  <si>
    <t>StoreName</t>
  </si>
  <si>
    <t>TY</t>
  </si>
  <si>
    <t>LY</t>
  </si>
  <si>
    <t>1P</t>
  </si>
  <si>
    <t>INC DS</t>
  </si>
  <si>
    <t xml:space="preserve">FY27 LFL </t>
  </si>
  <si>
    <t>freedom QLD Sunshine Coast (C)</t>
  </si>
  <si>
    <t>Freedom QLD Toowoomba</t>
  </si>
  <si>
    <t>R-Sales ExGST TY $</t>
  </si>
  <si>
    <t>CHANNEL</t>
  </si>
  <si>
    <t>Gross Margin</t>
  </si>
  <si>
    <t>Values</t>
  </si>
  <si>
    <t>R-ASP TY</t>
  </si>
  <si>
    <t>R-ATV TY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</si>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</sst>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\$#,##0;\(\$#,##0\);\$#,##0"/>
    <numFmt numFmtId="165" formatCode="dd\-mmm\-yyyy"/>
    <numFmt numFmtId="166" formatCode="0.0000"/>
    <numFmt numFmtId="167" formatCode="&quot;$&quot;#,##0;\(&quot;$&quot;#,##0\);&quot;$&quot;#,##0"/>
    <numFmt numFmtId="168" formatCode="0.00&quot;x&quot;"/>
    <numFmt numFmtId="169" formatCode="_-* #,##0_-;\-* #,##0_-;_-* &quot;-&quot;??_-;_-@_-"/>
    <numFmt numFmtId="170" formatCode="0.0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1" applyFont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165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right"/>
    </xf>
    <xf numFmtId="166" fontId="5" fillId="0" borderId="0" xfId="0" applyNumberFormat="1" applyFont="1"/>
    <xf numFmtId="0" fontId="4" fillId="0" borderId="0" xfId="0" applyFont="1"/>
    <xf numFmtId="165" fontId="4" fillId="0" borderId="0" xfId="0" applyNumberFormat="1" applyFont="1"/>
    <xf numFmtId="166" fontId="4" fillId="0" borderId="0" xfId="0" applyNumberFormat="1" applyFont="1"/>
    <xf numFmtId="14" fontId="0" fillId="0" borderId="0" xfId="0" applyNumberFormat="1"/>
    <xf numFmtId="0" fontId="6" fillId="2" borderId="0" xfId="0" applyFont="1" applyFill="1"/>
    <xf numFmtId="166" fontId="0" fillId="0" borderId="0" xfId="0" applyNumberFormat="1"/>
    <xf numFmtId="17" fontId="0" fillId="0" borderId="0" xfId="0" applyNumberFormat="1" applyAlignment="1">
      <alignment horizontal="center"/>
    </xf>
    <xf numFmtId="0" fontId="0" fillId="0" borderId="0" xfId="0" pivotButton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0" fillId="3" borderId="1" xfId="0" applyFont="1" applyFill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167" fontId="9" fillId="0" borderId="1" xfId="0" applyNumberFormat="1" applyFont="1" applyBorder="1"/>
    <xf numFmtId="168" fontId="9" fillId="0" borderId="1" xfId="0" applyNumberFormat="1" applyFont="1" applyBorder="1" applyAlignment="1">
      <alignment horizontal="center"/>
    </xf>
    <xf numFmtId="49" fontId="10" fillId="3" borderId="1" xfId="0" applyNumberFormat="1" applyFont="1" applyFill="1" applyBorder="1" applyAlignment="1">
      <alignment horizontal="center"/>
    </xf>
    <xf numFmtId="167" fontId="10" fillId="3" borderId="1" xfId="0" applyNumberFormat="1" applyFont="1" applyFill="1" applyBorder="1"/>
    <xf numFmtId="168" fontId="10" fillId="3" borderId="1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9" fillId="0" borderId="1" xfId="0" applyFont="1" applyBorder="1"/>
    <xf numFmtId="49" fontId="10" fillId="4" borderId="1" xfId="0" applyNumberFormat="1" applyFont="1" applyFill="1" applyBorder="1" applyAlignment="1">
      <alignment horizontal="center"/>
    </xf>
    <xf numFmtId="168" fontId="10" fillId="4" borderId="1" xfId="0" applyNumberFormat="1" applyFont="1" applyFill="1" applyBorder="1" applyAlignment="1">
      <alignment horizontal="center"/>
    </xf>
    <xf numFmtId="0" fontId="10" fillId="0" borderId="0" xfId="0" applyFont="1"/>
    <xf numFmtId="169" fontId="0" fillId="0" borderId="0" xfId="2" applyNumberFormat="1" applyFont="1"/>
    <xf numFmtId="0" fontId="6" fillId="2" borderId="3" xfId="0" applyFont="1" applyFill="1" applyBorder="1"/>
    <xf numFmtId="9" fontId="6" fillId="2" borderId="0" xfId="3" applyFont="1" applyFill="1" applyBorder="1"/>
    <xf numFmtId="9" fontId="0" fillId="0" borderId="0" xfId="3" applyFont="1"/>
    <xf numFmtId="9" fontId="6" fillId="3" borderId="0" xfId="0" applyNumberFormat="1" applyFont="1" applyFill="1"/>
    <xf numFmtId="9" fontId="0" fillId="0" borderId="0" xfId="0" applyNumberFormat="1"/>
    <xf numFmtId="17" fontId="0" fillId="0" borderId="0" xfId="0" applyNumberFormat="1"/>
    <xf numFmtId="169" fontId="0" fillId="0" borderId="4" xfId="2" applyNumberFormat="1" applyFont="1" applyBorder="1"/>
    <xf numFmtId="43" fontId="0" fillId="0" borderId="0" xfId="2" applyFont="1"/>
    <xf numFmtId="164" fontId="6" fillId="0" borderId="0" xfId="0" applyNumberFormat="1" applyFont="1"/>
    <xf numFmtId="10" fontId="0" fillId="0" borderId="0" xfId="3" applyNumberFormat="1" applyFont="1"/>
    <xf numFmtId="10" fontId="0" fillId="0" borderId="0" xfId="3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4" fillId="0" borderId="0" xfId="0" applyFont="1"/>
    <xf numFmtId="170" fontId="0" fillId="0" borderId="0" xfId="0" applyNumberFormat="1"/>
    <xf numFmtId="0" fontId="6" fillId="2" borderId="0" xfId="0" applyFont="1" applyFill="1" applyAlignment="1">
      <alignment horizontal="center"/>
    </xf>
    <xf numFmtId="10" fontId="0" fillId="0" borderId="0" xfId="3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Normal 2" xfId="1" xr:uid="{90089796-5887-44BD-97C0-047A973F0A2A}"/>
    <cellStyle name="Percent" xfId="3" builtinId="5"/>
  </cellStyles>
  <dxfs count="2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84" Type="http://schemas.openxmlformats.org/officeDocument/2006/relationships/pivotCacheDefinition" Target="pivotCache/pivotCacheDefinition11.xml"/><Relationship Id="rId89" Type="http://schemas.openxmlformats.org/officeDocument/2006/relationships/pivotCacheDefinition" Target="pivotCache/pivotCacheDefinition16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74" Type="http://schemas.openxmlformats.org/officeDocument/2006/relationships/pivotCacheDefinition" Target="pivotCache/pivotCacheDefinition1.xml"/><Relationship Id="rId79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17.xml"/><Relationship Id="rId95" Type="http://schemas.openxmlformats.org/officeDocument/2006/relationships/sharedStrings" Target="sharedStrings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80" Type="http://schemas.openxmlformats.org/officeDocument/2006/relationships/pivotCacheDefinition" Target="pivotCache/pivotCacheDefinition7.xml"/><Relationship Id="rId85" Type="http://schemas.openxmlformats.org/officeDocument/2006/relationships/pivotCacheDefinition" Target="pivotCache/pivotCacheDefinition1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pivotCacheDefinition" Target="pivotCache/pivotCacheDefinition2.xml"/><Relationship Id="rId83" Type="http://schemas.openxmlformats.org/officeDocument/2006/relationships/pivotCacheDefinition" Target="pivotCache/pivotCacheDefinition10.xml"/><Relationship Id="rId88" Type="http://schemas.openxmlformats.org/officeDocument/2006/relationships/pivotCacheDefinition" Target="pivotCache/pivotCacheDefinition15.xml"/><Relationship Id="rId91" Type="http://schemas.openxmlformats.org/officeDocument/2006/relationships/pivotCacheDefinition" Target="pivotCache/pivotCacheDefinition18.xml"/><Relationship Id="rId9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pivotCacheDefinition" Target="pivotCache/pivotCacheDefinition5.xml"/><Relationship Id="rId81" Type="http://schemas.openxmlformats.org/officeDocument/2006/relationships/pivotCacheDefinition" Target="pivotCache/pivotCacheDefinition8.xml"/><Relationship Id="rId86" Type="http://schemas.openxmlformats.org/officeDocument/2006/relationships/pivotCacheDefinition" Target="pivotCache/pivotCacheDefinition13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pivotCacheDefinition" Target="pivotCache/pivotCacheDefinition3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Relationship Id="rId87" Type="http://schemas.openxmlformats.org/officeDocument/2006/relationships/pivotCacheDefinition" Target="pivotCache/pivotCacheDefinition14.xml"/><Relationship Id="rId61" Type="http://schemas.openxmlformats.org/officeDocument/2006/relationships/externalLink" Target="externalLinks/externalLink47.xml"/><Relationship Id="rId82" Type="http://schemas.openxmlformats.org/officeDocument/2006/relationships/pivotCacheDefinition" Target="pivotCache/pivotCacheDefinition9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42.xml"/><Relationship Id="rId77" Type="http://schemas.openxmlformats.org/officeDocument/2006/relationships/pivotCacheDefinition" Target="pivotCache/pivotCacheDefinition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93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Dropship Sales Mix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DS Mix</c:v>
                </c:pt>
              </c:strCache>
            </c:strRef>
          </c:tx>
          <c:spPr>
            <a:ln w="15875" cap="rnd">
              <a:solidFill>
                <a:srgbClr val="BBD9E8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Sheet3!$B$2:$B$151</c:f>
              <c:strCache>
                <c:ptCount val="150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202413</c:v>
                </c:pt>
                <c:pt idx="13">
                  <c:v>202414</c:v>
                </c:pt>
                <c:pt idx="14">
                  <c:v>202415</c:v>
                </c:pt>
                <c:pt idx="15">
                  <c:v>202416</c:v>
                </c:pt>
                <c:pt idx="16">
                  <c:v>202417</c:v>
                </c:pt>
                <c:pt idx="17">
                  <c:v>202418</c:v>
                </c:pt>
                <c:pt idx="18">
                  <c:v>202419</c:v>
                </c:pt>
                <c:pt idx="19">
                  <c:v>202420</c:v>
                </c:pt>
                <c:pt idx="20">
                  <c:v>202421</c:v>
                </c:pt>
                <c:pt idx="21">
                  <c:v>202422</c:v>
                </c:pt>
                <c:pt idx="22">
                  <c:v>202423</c:v>
                </c:pt>
                <c:pt idx="23">
                  <c:v>202424</c:v>
                </c:pt>
                <c:pt idx="24">
                  <c:v>202425</c:v>
                </c:pt>
                <c:pt idx="25">
                  <c:v>202426</c:v>
                </c:pt>
                <c:pt idx="26">
                  <c:v>202427</c:v>
                </c:pt>
                <c:pt idx="27">
                  <c:v>202428</c:v>
                </c:pt>
                <c:pt idx="28">
                  <c:v>202429</c:v>
                </c:pt>
                <c:pt idx="29">
                  <c:v>202430</c:v>
                </c:pt>
                <c:pt idx="30">
                  <c:v>202431</c:v>
                </c:pt>
                <c:pt idx="31">
                  <c:v>202432</c:v>
                </c:pt>
                <c:pt idx="32">
                  <c:v>202433</c:v>
                </c:pt>
                <c:pt idx="33">
                  <c:v>202434</c:v>
                </c:pt>
                <c:pt idx="34">
                  <c:v>202435</c:v>
                </c:pt>
                <c:pt idx="35">
                  <c:v>202436</c:v>
                </c:pt>
                <c:pt idx="36">
                  <c:v>202437</c:v>
                </c:pt>
                <c:pt idx="37">
                  <c:v>202438</c:v>
                </c:pt>
                <c:pt idx="38">
                  <c:v>202439</c:v>
                </c:pt>
                <c:pt idx="39">
                  <c:v>202440</c:v>
                </c:pt>
                <c:pt idx="40">
                  <c:v>202441</c:v>
                </c:pt>
                <c:pt idx="41">
                  <c:v>202442</c:v>
                </c:pt>
                <c:pt idx="42">
                  <c:v>202443</c:v>
                </c:pt>
                <c:pt idx="43">
                  <c:v>202444</c:v>
                </c:pt>
                <c:pt idx="44">
                  <c:v>202445</c:v>
                </c:pt>
                <c:pt idx="45">
                  <c:v>202446</c:v>
                </c:pt>
                <c:pt idx="46">
                  <c:v>202447</c:v>
                </c:pt>
                <c:pt idx="47">
                  <c:v>202448</c:v>
                </c:pt>
                <c:pt idx="48">
                  <c:v>202449</c:v>
                </c:pt>
                <c:pt idx="49">
                  <c:v>202450</c:v>
                </c:pt>
                <c:pt idx="50">
                  <c:v>202451</c:v>
                </c:pt>
                <c:pt idx="51">
                  <c:v>202452</c:v>
                </c:pt>
                <c:pt idx="52">
                  <c:v>202501</c:v>
                </c:pt>
                <c:pt idx="53">
                  <c:v>202502</c:v>
                </c:pt>
                <c:pt idx="54">
                  <c:v>202503</c:v>
                </c:pt>
                <c:pt idx="55">
                  <c:v>202504</c:v>
                </c:pt>
                <c:pt idx="56">
                  <c:v>202505</c:v>
                </c:pt>
                <c:pt idx="57">
                  <c:v>202506</c:v>
                </c:pt>
                <c:pt idx="58">
                  <c:v>202507</c:v>
                </c:pt>
                <c:pt idx="59">
                  <c:v>202508</c:v>
                </c:pt>
                <c:pt idx="60">
                  <c:v>202509</c:v>
                </c:pt>
                <c:pt idx="61">
                  <c:v>202510</c:v>
                </c:pt>
                <c:pt idx="62">
                  <c:v>202511</c:v>
                </c:pt>
                <c:pt idx="63">
                  <c:v>202512</c:v>
                </c:pt>
                <c:pt idx="64">
                  <c:v>202513</c:v>
                </c:pt>
                <c:pt idx="65">
                  <c:v>202514</c:v>
                </c:pt>
                <c:pt idx="66">
                  <c:v>202515</c:v>
                </c:pt>
                <c:pt idx="67">
                  <c:v>202516</c:v>
                </c:pt>
                <c:pt idx="68">
                  <c:v>202517</c:v>
                </c:pt>
                <c:pt idx="69">
                  <c:v>202518</c:v>
                </c:pt>
                <c:pt idx="70">
                  <c:v>202519</c:v>
                </c:pt>
                <c:pt idx="71">
                  <c:v>202520</c:v>
                </c:pt>
                <c:pt idx="72">
                  <c:v>202521</c:v>
                </c:pt>
                <c:pt idx="73">
                  <c:v>202522</c:v>
                </c:pt>
                <c:pt idx="74">
                  <c:v>202523</c:v>
                </c:pt>
                <c:pt idx="75">
                  <c:v>202524</c:v>
                </c:pt>
                <c:pt idx="76">
                  <c:v>202525</c:v>
                </c:pt>
                <c:pt idx="77">
                  <c:v>202526</c:v>
                </c:pt>
                <c:pt idx="78">
                  <c:v>202527</c:v>
                </c:pt>
                <c:pt idx="79">
                  <c:v>202528</c:v>
                </c:pt>
                <c:pt idx="80">
                  <c:v>202529</c:v>
                </c:pt>
                <c:pt idx="81">
                  <c:v>202530</c:v>
                </c:pt>
                <c:pt idx="82">
                  <c:v>202531</c:v>
                </c:pt>
                <c:pt idx="83">
                  <c:v>202532</c:v>
                </c:pt>
                <c:pt idx="84">
                  <c:v>202533</c:v>
                </c:pt>
                <c:pt idx="85">
                  <c:v>202534</c:v>
                </c:pt>
                <c:pt idx="86">
                  <c:v>202535</c:v>
                </c:pt>
                <c:pt idx="87">
                  <c:v>202536</c:v>
                </c:pt>
                <c:pt idx="88">
                  <c:v>202537</c:v>
                </c:pt>
                <c:pt idx="89">
                  <c:v>202538</c:v>
                </c:pt>
                <c:pt idx="90">
                  <c:v>202539</c:v>
                </c:pt>
                <c:pt idx="91">
                  <c:v>202540</c:v>
                </c:pt>
                <c:pt idx="92">
                  <c:v>202541</c:v>
                </c:pt>
                <c:pt idx="93">
                  <c:v>202542</c:v>
                </c:pt>
                <c:pt idx="94">
                  <c:v>202543</c:v>
                </c:pt>
                <c:pt idx="95">
                  <c:v>202544</c:v>
                </c:pt>
                <c:pt idx="96">
                  <c:v>202545</c:v>
                </c:pt>
                <c:pt idx="97">
                  <c:v>202546</c:v>
                </c:pt>
                <c:pt idx="98">
                  <c:v>202547</c:v>
                </c:pt>
                <c:pt idx="99">
                  <c:v>202548</c:v>
                </c:pt>
                <c:pt idx="100">
                  <c:v>202549</c:v>
                </c:pt>
                <c:pt idx="101">
                  <c:v>202550</c:v>
                </c:pt>
                <c:pt idx="102">
                  <c:v>202551</c:v>
                </c:pt>
                <c:pt idx="103">
                  <c:v>202552</c:v>
                </c:pt>
                <c:pt idx="104">
                  <c:v>202601</c:v>
                </c:pt>
                <c:pt idx="105">
                  <c:v>202602</c:v>
                </c:pt>
                <c:pt idx="106">
                  <c:v>202603</c:v>
                </c:pt>
                <c:pt idx="107">
                  <c:v>202604</c:v>
                </c:pt>
                <c:pt idx="108">
                  <c:v>202605</c:v>
                </c:pt>
                <c:pt idx="109">
                  <c:v>202606</c:v>
                </c:pt>
                <c:pt idx="110">
                  <c:v>202607</c:v>
                </c:pt>
                <c:pt idx="111">
                  <c:v>202608</c:v>
                </c:pt>
                <c:pt idx="112">
                  <c:v>202609</c:v>
                </c:pt>
                <c:pt idx="113">
                  <c:v>202610</c:v>
                </c:pt>
                <c:pt idx="114">
                  <c:v>202611</c:v>
                </c:pt>
                <c:pt idx="115">
                  <c:v>202612</c:v>
                </c:pt>
                <c:pt idx="116">
                  <c:v>202613</c:v>
                </c:pt>
                <c:pt idx="117">
                  <c:v>202614</c:v>
                </c:pt>
                <c:pt idx="118">
                  <c:v>202615</c:v>
                </c:pt>
                <c:pt idx="119">
                  <c:v>202616</c:v>
                </c:pt>
                <c:pt idx="120">
                  <c:v>202617</c:v>
                </c:pt>
                <c:pt idx="121">
                  <c:v>202618</c:v>
                </c:pt>
                <c:pt idx="122">
                  <c:v>202619</c:v>
                </c:pt>
                <c:pt idx="123">
                  <c:v>202620</c:v>
                </c:pt>
                <c:pt idx="124">
                  <c:v>202621</c:v>
                </c:pt>
                <c:pt idx="125">
                  <c:v>202622</c:v>
                </c:pt>
                <c:pt idx="126">
                  <c:v>202623</c:v>
                </c:pt>
                <c:pt idx="127">
                  <c:v>202624</c:v>
                </c:pt>
                <c:pt idx="128">
                  <c:v>202625</c:v>
                </c:pt>
                <c:pt idx="129">
                  <c:v>202626</c:v>
                </c:pt>
                <c:pt idx="130">
                  <c:v>202627</c:v>
                </c:pt>
                <c:pt idx="131">
                  <c:v>202628</c:v>
                </c:pt>
                <c:pt idx="132">
                  <c:v>202629</c:v>
                </c:pt>
                <c:pt idx="133">
                  <c:v>202630</c:v>
                </c:pt>
                <c:pt idx="134">
                  <c:v>202631</c:v>
                </c:pt>
                <c:pt idx="135">
                  <c:v>202632</c:v>
                </c:pt>
                <c:pt idx="136">
                  <c:v>202633</c:v>
                </c:pt>
                <c:pt idx="137">
                  <c:v>202634</c:v>
                </c:pt>
                <c:pt idx="138">
                  <c:v>202635</c:v>
                </c:pt>
                <c:pt idx="139">
                  <c:v>202636</c:v>
                </c:pt>
                <c:pt idx="140">
                  <c:v>202637</c:v>
                </c:pt>
                <c:pt idx="141">
                  <c:v>202638</c:v>
                </c:pt>
                <c:pt idx="142">
                  <c:v>202639</c:v>
                </c:pt>
                <c:pt idx="143">
                  <c:v>202701</c:v>
                </c:pt>
                <c:pt idx="144">
                  <c:v>202702</c:v>
                </c:pt>
                <c:pt idx="145">
                  <c:v>202703</c:v>
                </c:pt>
                <c:pt idx="146">
                  <c:v>202704</c:v>
                </c:pt>
                <c:pt idx="147">
                  <c:v>202705</c:v>
                </c:pt>
                <c:pt idx="148">
                  <c:v>202706</c:v>
                </c:pt>
                <c:pt idx="149">
                  <c:v>202707</c:v>
                </c:pt>
              </c:strCache>
            </c:strRef>
          </c:cat>
          <c:val>
            <c:numRef>
              <c:f>Sheet3!$G$2:$G$151</c:f>
              <c:numCache>
                <c:formatCode>0%</c:formatCode>
                <c:ptCount val="150"/>
                <c:pt idx="0">
                  <c:v>4.0164533559965396E-2</c:v>
                </c:pt>
                <c:pt idx="1">
                  <c:v>3.3309346002832113E-2</c:v>
                </c:pt>
                <c:pt idx="2">
                  <c:v>3.0395502384579793E-2</c:v>
                </c:pt>
                <c:pt idx="3">
                  <c:v>3.8059428631233669E-2</c:v>
                </c:pt>
                <c:pt idx="4">
                  <c:v>3.7404769179933656E-2</c:v>
                </c:pt>
                <c:pt idx="5">
                  <c:v>4.9116005365054095E-2</c:v>
                </c:pt>
                <c:pt idx="6">
                  <c:v>4.8678314169966014E-2</c:v>
                </c:pt>
                <c:pt idx="7">
                  <c:v>2.2288805545257334E-2</c:v>
                </c:pt>
                <c:pt idx="8">
                  <c:v>3.5492109287118871E-2</c:v>
                </c:pt>
                <c:pt idx="9">
                  <c:v>3.7995115325593312E-2</c:v>
                </c:pt>
                <c:pt idx="10">
                  <c:v>3.4357739454533569E-2</c:v>
                </c:pt>
                <c:pt idx="11">
                  <c:v>3.3191110307523343E-2</c:v>
                </c:pt>
                <c:pt idx="12">
                  <c:v>3.7889916065792381E-2</c:v>
                </c:pt>
                <c:pt idx="13">
                  <c:v>2.9860848195607352E-2</c:v>
                </c:pt>
                <c:pt idx="14">
                  <c:v>3.4216722185508433E-2</c:v>
                </c:pt>
                <c:pt idx="15">
                  <c:v>3.6272920180416938E-2</c:v>
                </c:pt>
                <c:pt idx="16">
                  <c:v>4.0207275847549635E-2</c:v>
                </c:pt>
                <c:pt idx="17">
                  <c:v>4.2028980160343218E-2</c:v>
                </c:pt>
                <c:pt idx="18">
                  <c:v>5.1252896056040616E-2</c:v>
                </c:pt>
                <c:pt idx="19">
                  <c:v>7.0701271320247047E-2</c:v>
                </c:pt>
                <c:pt idx="20">
                  <c:v>5.277571144506106E-2</c:v>
                </c:pt>
                <c:pt idx="21">
                  <c:v>5.1435143948762037E-2</c:v>
                </c:pt>
                <c:pt idx="22">
                  <c:v>4.1758861894878874E-2</c:v>
                </c:pt>
                <c:pt idx="23">
                  <c:v>3.2420271366678979E-2</c:v>
                </c:pt>
                <c:pt idx="24">
                  <c:v>4.4411702643479885E-2</c:v>
                </c:pt>
                <c:pt idx="25">
                  <c:v>4.427893660779738E-2</c:v>
                </c:pt>
                <c:pt idx="26">
                  <c:v>5.3185854627707647E-2</c:v>
                </c:pt>
                <c:pt idx="27">
                  <c:v>5.1179260404224054E-2</c:v>
                </c:pt>
                <c:pt idx="28">
                  <c:v>5.5605609899267314E-2</c:v>
                </c:pt>
                <c:pt idx="29">
                  <c:v>6.007042796123227E-2</c:v>
                </c:pt>
                <c:pt idx="30">
                  <c:v>3.9607953838696294E-2</c:v>
                </c:pt>
                <c:pt idx="31">
                  <c:v>6.1962695677594916E-2</c:v>
                </c:pt>
                <c:pt idx="32">
                  <c:v>4.958069730269276E-2</c:v>
                </c:pt>
                <c:pt idx="33">
                  <c:v>5.9967627349725119E-2</c:v>
                </c:pt>
                <c:pt idx="34">
                  <c:v>5.7830213959889992E-2</c:v>
                </c:pt>
                <c:pt idx="35">
                  <c:v>5.2903111862571309E-2</c:v>
                </c:pt>
                <c:pt idx="36">
                  <c:v>4.548092008242071E-2</c:v>
                </c:pt>
                <c:pt idx="37">
                  <c:v>4.6769984837885414E-2</c:v>
                </c:pt>
                <c:pt idx="38">
                  <c:v>5.1572187955816882E-2</c:v>
                </c:pt>
                <c:pt idx="39">
                  <c:v>8.2782953311397789E-2</c:v>
                </c:pt>
                <c:pt idx="40">
                  <c:v>0.10119670465531473</c:v>
                </c:pt>
                <c:pt idx="41">
                  <c:v>0.11702368397975739</c:v>
                </c:pt>
                <c:pt idx="42">
                  <c:v>0.11123552315816844</c:v>
                </c:pt>
                <c:pt idx="43">
                  <c:v>9.1141829916367198E-2</c:v>
                </c:pt>
                <c:pt idx="44">
                  <c:v>5.2251895845653658E-2</c:v>
                </c:pt>
                <c:pt idx="45">
                  <c:v>7.881646704058197E-2</c:v>
                </c:pt>
                <c:pt idx="46">
                  <c:v>6.9764063705913038E-2</c:v>
                </c:pt>
                <c:pt idx="47">
                  <c:v>6.0851964147486032E-2</c:v>
                </c:pt>
                <c:pt idx="48">
                  <c:v>4.8474084176271914E-2</c:v>
                </c:pt>
                <c:pt idx="49">
                  <c:v>5.1460475754026985E-2</c:v>
                </c:pt>
                <c:pt idx="50">
                  <c:v>6.4765377418269418E-2</c:v>
                </c:pt>
                <c:pt idx="51">
                  <c:v>8.2512575956412176E-2</c:v>
                </c:pt>
                <c:pt idx="52">
                  <c:v>7.8744198454429065E-2</c:v>
                </c:pt>
                <c:pt idx="53">
                  <c:v>8.3569428267804821E-2</c:v>
                </c:pt>
                <c:pt idx="54">
                  <c:v>7.544409059016853E-2</c:v>
                </c:pt>
                <c:pt idx="55">
                  <c:v>7.6714102548054497E-2</c:v>
                </c:pt>
                <c:pt idx="56">
                  <c:v>8.0540178421945288E-2</c:v>
                </c:pt>
                <c:pt idx="57">
                  <c:v>8.9033206138639354E-2</c:v>
                </c:pt>
                <c:pt idx="58">
                  <c:v>0.11716261461477394</c:v>
                </c:pt>
                <c:pt idx="59">
                  <c:v>0.11744009858538325</c:v>
                </c:pt>
                <c:pt idx="60">
                  <c:v>0.10140669812485725</c:v>
                </c:pt>
                <c:pt idx="61">
                  <c:v>0.15998354782434612</c:v>
                </c:pt>
                <c:pt idx="62">
                  <c:v>0.10925362145790457</c:v>
                </c:pt>
                <c:pt idx="63">
                  <c:v>5.5318780751292609E-2</c:v>
                </c:pt>
                <c:pt idx="64">
                  <c:v>6.1063537273198881E-2</c:v>
                </c:pt>
                <c:pt idx="65">
                  <c:v>7.173552767599857E-2</c:v>
                </c:pt>
                <c:pt idx="66">
                  <c:v>7.564282730039816E-2</c:v>
                </c:pt>
                <c:pt idx="67">
                  <c:v>8.8468513701903423E-2</c:v>
                </c:pt>
                <c:pt idx="68">
                  <c:v>8.9011263219032827E-2</c:v>
                </c:pt>
                <c:pt idx="69">
                  <c:v>9.3601576943735276E-2</c:v>
                </c:pt>
                <c:pt idx="70">
                  <c:v>0.10476214378227199</c:v>
                </c:pt>
                <c:pt idx="71">
                  <c:v>0.14725111524711879</c:v>
                </c:pt>
                <c:pt idx="72">
                  <c:v>0.13349055916626379</c:v>
                </c:pt>
                <c:pt idx="73">
                  <c:v>9.7314713172944656E-2</c:v>
                </c:pt>
                <c:pt idx="74">
                  <c:v>6.5608072664080919E-2</c:v>
                </c:pt>
                <c:pt idx="75">
                  <c:v>6.806676442743019E-2</c:v>
                </c:pt>
                <c:pt idx="76">
                  <c:v>0.11615409659263812</c:v>
                </c:pt>
                <c:pt idx="77">
                  <c:v>6.287436302076356E-2</c:v>
                </c:pt>
                <c:pt idx="78">
                  <c:v>6.7948080072354075E-2</c:v>
                </c:pt>
                <c:pt idx="79">
                  <c:v>0.10244619976728506</c:v>
                </c:pt>
                <c:pt idx="80">
                  <c:v>0.13817292941602166</c:v>
                </c:pt>
                <c:pt idx="81">
                  <c:v>9.9677285421641171E-2</c:v>
                </c:pt>
                <c:pt idx="82">
                  <c:v>8.2855884415690709E-2</c:v>
                </c:pt>
                <c:pt idx="83">
                  <c:v>0.1406175230228372</c:v>
                </c:pt>
                <c:pt idx="84">
                  <c:v>0.11774831316643691</c:v>
                </c:pt>
                <c:pt idx="85">
                  <c:v>0.10229623172592101</c:v>
                </c:pt>
                <c:pt idx="86">
                  <c:v>9.8591998663133479E-2</c:v>
                </c:pt>
                <c:pt idx="87">
                  <c:v>9.18610880930288E-2</c:v>
                </c:pt>
                <c:pt idx="88">
                  <c:v>9.180034504151606E-2</c:v>
                </c:pt>
                <c:pt idx="89">
                  <c:v>9.4735310979811263E-2</c:v>
                </c:pt>
                <c:pt idx="90">
                  <c:v>9.7703282845253231E-2</c:v>
                </c:pt>
                <c:pt idx="91">
                  <c:v>0.12669485734131852</c:v>
                </c:pt>
                <c:pt idx="92">
                  <c:v>0.12301763603316986</c:v>
                </c:pt>
                <c:pt idx="93">
                  <c:v>0.15651302750805232</c:v>
                </c:pt>
                <c:pt idx="94">
                  <c:v>0.14802582716696855</c:v>
                </c:pt>
                <c:pt idx="95">
                  <c:v>0.10945926764715526</c:v>
                </c:pt>
                <c:pt idx="96">
                  <c:v>6.6874571152022236E-2</c:v>
                </c:pt>
                <c:pt idx="97">
                  <c:v>9.1373589678155162E-2</c:v>
                </c:pt>
                <c:pt idx="98">
                  <c:v>0.17552122646450713</c:v>
                </c:pt>
                <c:pt idx="99">
                  <c:v>7.9974306563628861E-2</c:v>
                </c:pt>
                <c:pt idx="100">
                  <c:v>0.1358190239042005</c:v>
                </c:pt>
                <c:pt idx="101">
                  <c:v>0.11855933945513487</c:v>
                </c:pt>
                <c:pt idx="102">
                  <c:v>0.10739837200339448</c:v>
                </c:pt>
                <c:pt idx="103">
                  <c:v>0.10375861000888614</c:v>
                </c:pt>
                <c:pt idx="104">
                  <c:v>0.11350308076931299</c:v>
                </c:pt>
                <c:pt idx="105">
                  <c:v>0.10197184023275543</c:v>
                </c:pt>
                <c:pt idx="106">
                  <c:v>7.6901373899974451E-2</c:v>
                </c:pt>
                <c:pt idx="107">
                  <c:v>0.13335638571965358</c:v>
                </c:pt>
                <c:pt idx="108">
                  <c:v>0.10660913420152261</c:v>
                </c:pt>
                <c:pt idx="109">
                  <c:v>0.10430648753930905</c:v>
                </c:pt>
                <c:pt idx="110">
                  <c:v>0.14060279041262541</c:v>
                </c:pt>
                <c:pt idx="111">
                  <c:v>0.1384787505712928</c:v>
                </c:pt>
                <c:pt idx="112">
                  <c:v>0.1401947279108961</c:v>
                </c:pt>
                <c:pt idx="113">
                  <c:v>0.19873569946890332</c:v>
                </c:pt>
                <c:pt idx="114">
                  <c:v>0.1336437623200438</c:v>
                </c:pt>
                <c:pt idx="115">
                  <c:v>8.6800824361476694E-2</c:v>
                </c:pt>
                <c:pt idx="116">
                  <c:v>0.11012881012046567</c:v>
                </c:pt>
                <c:pt idx="117">
                  <c:v>0.110782656772551</c:v>
                </c:pt>
                <c:pt idx="118">
                  <c:v>0.1166461851501983</c:v>
                </c:pt>
                <c:pt idx="119">
                  <c:v>0.1296383551245161</c:v>
                </c:pt>
                <c:pt idx="120">
                  <c:v>0.12308629624728125</c:v>
                </c:pt>
                <c:pt idx="121">
                  <c:v>0.1405846912562006</c:v>
                </c:pt>
                <c:pt idx="122">
                  <c:v>0.11791260046462239</c:v>
                </c:pt>
                <c:pt idx="123">
                  <c:v>0.18772961322141468</c:v>
                </c:pt>
                <c:pt idx="124">
                  <c:v>0.17696144064117961</c:v>
                </c:pt>
                <c:pt idx="125">
                  <c:v>0.1189615296020588</c:v>
                </c:pt>
                <c:pt idx="126">
                  <c:v>0.10809617256251038</c:v>
                </c:pt>
                <c:pt idx="127">
                  <c:v>0.10999774485109741</c:v>
                </c:pt>
                <c:pt idx="128">
                  <c:v>0.22565722770572225</c:v>
                </c:pt>
                <c:pt idx="129">
                  <c:v>0.13249770040872769</c:v>
                </c:pt>
                <c:pt idx="130">
                  <c:v>0.15541838795358315</c:v>
                </c:pt>
                <c:pt idx="131">
                  <c:v>0.11395060434617579</c:v>
                </c:pt>
                <c:pt idx="132">
                  <c:v>0.13023620597385713</c:v>
                </c:pt>
                <c:pt idx="133">
                  <c:v>0.15727765029888216</c:v>
                </c:pt>
                <c:pt idx="134">
                  <c:v>0.18888319611393467</c:v>
                </c:pt>
                <c:pt idx="135">
                  <c:v>0.17824991372722634</c:v>
                </c:pt>
                <c:pt idx="136">
                  <c:v>8.5191162841370585E-2</c:v>
                </c:pt>
                <c:pt idx="137">
                  <c:v>0.12563052359121782</c:v>
                </c:pt>
                <c:pt idx="138">
                  <c:v>0.12460887989360864</c:v>
                </c:pt>
                <c:pt idx="139">
                  <c:v>0.11287076214811262</c:v>
                </c:pt>
                <c:pt idx="140">
                  <c:v>0.11291669222500768</c:v>
                </c:pt>
                <c:pt idx="141">
                  <c:v>8.958026264519181E-2</c:v>
                </c:pt>
                <c:pt idx="142">
                  <c:v>0.11777922294568186</c:v>
                </c:pt>
                <c:pt idx="143">
                  <c:v>0.14244474217046382</c:v>
                </c:pt>
                <c:pt idx="144">
                  <c:v>0.13356536138944533</c:v>
                </c:pt>
                <c:pt idx="145">
                  <c:v>0.24649169174998761</c:v>
                </c:pt>
                <c:pt idx="146">
                  <c:v>0.19728038200600193</c:v>
                </c:pt>
                <c:pt idx="147">
                  <c:v>0.18427805117713331</c:v>
                </c:pt>
                <c:pt idx="148">
                  <c:v>0.13593831525849726</c:v>
                </c:pt>
                <c:pt idx="149">
                  <c:v>0.1682755611669394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6-46E7-9ABB-92990BF51A41}"/>
            </c:ext>
          </c:extLst>
        </c:ser>
        <c:ser>
          <c:idx val="1"/>
          <c:order val="1"/>
          <c:tx>
            <c:strRef>
              <c:f>Sheet3!$H$1</c:f>
              <c:strCache>
                <c:ptCount val="1"/>
                <c:pt idx="0">
                  <c:v>DS Mix (13wk avg)</c:v>
                </c:pt>
              </c:strCache>
            </c:strRef>
          </c:tx>
          <c:spPr>
            <a:ln w="34925" cap="rnd">
              <a:solidFill>
                <a:srgbClr val="1F6FA8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Sheet3!$B$2:$B$151</c:f>
              <c:strCache>
                <c:ptCount val="150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202413</c:v>
                </c:pt>
                <c:pt idx="13">
                  <c:v>202414</c:v>
                </c:pt>
                <c:pt idx="14">
                  <c:v>202415</c:v>
                </c:pt>
                <c:pt idx="15">
                  <c:v>202416</c:v>
                </c:pt>
                <c:pt idx="16">
                  <c:v>202417</c:v>
                </c:pt>
                <c:pt idx="17">
                  <c:v>202418</c:v>
                </c:pt>
                <c:pt idx="18">
                  <c:v>202419</c:v>
                </c:pt>
                <c:pt idx="19">
                  <c:v>202420</c:v>
                </c:pt>
                <c:pt idx="20">
                  <c:v>202421</c:v>
                </c:pt>
                <c:pt idx="21">
                  <c:v>202422</c:v>
                </c:pt>
                <c:pt idx="22">
                  <c:v>202423</c:v>
                </c:pt>
                <c:pt idx="23">
                  <c:v>202424</c:v>
                </c:pt>
                <c:pt idx="24">
                  <c:v>202425</c:v>
                </c:pt>
                <c:pt idx="25">
                  <c:v>202426</c:v>
                </c:pt>
                <c:pt idx="26">
                  <c:v>202427</c:v>
                </c:pt>
                <c:pt idx="27">
                  <c:v>202428</c:v>
                </c:pt>
                <c:pt idx="28">
                  <c:v>202429</c:v>
                </c:pt>
                <c:pt idx="29">
                  <c:v>202430</c:v>
                </c:pt>
                <c:pt idx="30">
                  <c:v>202431</c:v>
                </c:pt>
                <c:pt idx="31">
                  <c:v>202432</c:v>
                </c:pt>
                <c:pt idx="32">
                  <c:v>202433</c:v>
                </c:pt>
                <c:pt idx="33">
                  <c:v>202434</c:v>
                </c:pt>
                <c:pt idx="34">
                  <c:v>202435</c:v>
                </c:pt>
                <c:pt idx="35">
                  <c:v>202436</c:v>
                </c:pt>
                <c:pt idx="36">
                  <c:v>202437</c:v>
                </c:pt>
                <c:pt idx="37">
                  <c:v>202438</c:v>
                </c:pt>
                <c:pt idx="38">
                  <c:v>202439</c:v>
                </c:pt>
                <c:pt idx="39">
                  <c:v>202440</c:v>
                </c:pt>
                <c:pt idx="40">
                  <c:v>202441</c:v>
                </c:pt>
                <c:pt idx="41">
                  <c:v>202442</c:v>
                </c:pt>
                <c:pt idx="42">
                  <c:v>202443</c:v>
                </c:pt>
                <c:pt idx="43">
                  <c:v>202444</c:v>
                </c:pt>
                <c:pt idx="44">
                  <c:v>202445</c:v>
                </c:pt>
                <c:pt idx="45">
                  <c:v>202446</c:v>
                </c:pt>
                <c:pt idx="46">
                  <c:v>202447</c:v>
                </c:pt>
                <c:pt idx="47">
                  <c:v>202448</c:v>
                </c:pt>
                <c:pt idx="48">
                  <c:v>202449</c:v>
                </c:pt>
                <c:pt idx="49">
                  <c:v>202450</c:v>
                </c:pt>
                <c:pt idx="50">
                  <c:v>202451</c:v>
                </c:pt>
                <c:pt idx="51">
                  <c:v>202452</c:v>
                </c:pt>
                <c:pt idx="52">
                  <c:v>202501</c:v>
                </c:pt>
                <c:pt idx="53">
                  <c:v>202502</c:v>
                </c:pt>
                <c:pt idx="54">
                  <c:v>202503</c:v>
                </c:pt>
                <c:pt idx="55">
                  <c:v>202504</c:v>
                </c:pt>
                <c:pt idx="56">
                  <c:v>202505</c:v>
                </c:pt>
                <c:pt idx="57">
                  <c:v>202506</c:v>
                </c:pt>
                <c:pt idx="58">
                  <c:v>202507</c:v>
                </c:pt>
                <c:pt idx="59">
                  <c:v>202508</c:v>
                </c:pt>
                <c:pt idx="60">
                  <c:v>202509</c:v>
                </c:pt>
                <c:pt idx="61">
                  <c:v>202510</c:v>
                </c:pt>
                <c:pt idx="62">
                  <c:v>202511</c:v>
                </c:pt>
                <c:pt idx="63">
                  <c:v>202512</c:v>
                </c:pt>
                <c:pt idx="64">
                  <c:v>202513</c:v>
                </c:pt>
                <c:pt idx="65">
                  <c:v>202514</c:v>
                </c:pt>
                <c:pt idx="66">
                  <c:v>202515</c:v>
                </c:pt>
                <c:pt idx="67">
                  <c:v>202516</c:v>
                </c:pt>
                <c:pt idx="68">
                  <c:v>202517</c:v>
                </c:pt>
                <c:pt idx="69">
                  <c:v>202518</c:v>
                </c:pt>
                <c:pt idx="70">
                  <c:v>202519</c:v>
                </c:pt>
                <c:pt idx="71">
                  <c:v>202520</c:v>
                </c:pt>
                <c:pt idx="72">
                  <c:v>202521</c:v>
                </c:pt>
                <c:pt idx="73">
                  <c:v>202522</c:v>
                </c:pt>
                <c:pt idx="74">
                  <c:v>202523</c:v>
                </c:pt>
                <c:pt idx="75">
                  <c:v>202524</c:v>
                </c:pt>
                <c:pt idx="76">
                  <c:v>202525</c:v>
                </c:pt>
                <c:pt idx="77">
                  <c:v>202526</c:v>
                </c:pt>
                <c:pt idx="78">
                  <c:v>202527</c:v>
                </c:pt>
                <c:pt idx="79">
                  <c:v>202528</c:v>
                </c:pt>
                <c:pt idx="80">
                  <c:v>202529</c:v>
                </c:pt>
                <c:pt idx="81">
                  <c:v>202530</c:v>
                </c:pt>
                <c:pt idx="82">
                  <c:v>202531</c:v>
                </c:pt>
                <c:pt idx="83">
                  <c:v>202532</c:v>
                </c:pt>
                <c:pt idx="84">
                  <c:v>202533</c:v>
                </c:pt>
                <c:pt idx="85">
                  <c:v>202534</c:v>
                </c:pt>
                <c:pt idx="86">
                  <c:v>202535</c:v>
                </c:pt>
                <c:pt idx="87">
                  <c:v>202536</c:v>
                </c:pt>
                <c:pt idx="88">
                  <c:v>202537</c:v>
                </c:pt>
                <c:pt idx="89">
                  <c:v>202538</c:v>
                </c:pt>
                <c:pt idx="90">
                  <c:v>202539</c:v>
                </c:pt>
                <c:pt idx="91">
                  <c:v>202540</c:v>
                </c:pt>
                <c:pt idx="92">
                  <c:v>202541</c:v>
                </c:pt>
                <c:pt idx="93">
                  <c:v>202542</c:v>
                </c:pt>
                <c:pt idx="94">
                  <c:v>202543</c:v>
                </c:pt>
                <c:pt idx="95">
                  <c:v>202544</c:v>
                </c:pt>
                <c:pt idx="96">
                  <c:v>202545</c:v>
                </c:pt>
                <c:pt idx="97">
                  <c:v>202546</c:v>
                </c:pt>
                <c:pt idx="98">
                  <c:v>202547</c:v>
                </c:pt>
                <c:pt idx="99">
                  <c:v>202548</c:v>
                </c:pt>
                <c:pt idx="100">
                  <c:v>202549</c:v>
                </c:pt>
                <c:pt idx="101">
                  <c:v>202550</c:v>
                </c:pt>
                <c:pt idx="102">
                  <c:v>202551</c:v>
                </c:pt>
                <c:pt idx="103">
                  <c:v>202552</c:v>
                </c:pt>
                <c:pt idx="104">
                  <c:v>202601</c:v>
                </c:pt>
                <c:pt idx="105">
                  <c:v>202602</c:v>
                </c:pt>
                <c:pt idx="106">
                  <c:v>202603</c:v>
                </c:pt>
                <c:pt idx="107">
                  <c:v>202604</c:v>
                </c:pt>
                <c:pt idx="108">
                  <c:v>202605</c:v>
                </c:pt>
                <c:pt idx="109">
                  <c:v>202606</c:v>
                </c:pt>
                <c:pt idx="110">
                  <c:v>202607</c:v>
                </c:pt>
                <c:pt idx="111">
                  <c:v>202608</c:v>
                </c:pt>
                <c:pt idx="112">
                  <c:v>202609</c:v>
                </c:pt>
                <c:pt idx="113">
                  <c:v>202610</c:v>
                </c:pt>
                <c:pt idx="114">
                  <c:v>202611</c:v>
                </c:pt>
                <c:pt idx="115">
                  <c:v>202612</c:v>
                </c:pt>
                <c:pt idx="116">
                  <c:v>202613</c:v>
                </c:pt>
                <c:pt idx="117">
                  <c:v>202614</c:v>
                </c:pt>
                <c:pt idx="118">
                  <c:v>202615</c:v>
                </c:pt>
                <c:pt idx="119">
                  <c:v>202616</c:v>
                </c:pt>
                <c:pt idx="120">
                  <c:v>202617</c:v>
                </c:pt>
                <c:pt idx="121">
                  <c:v>202618</c:v>
                </c:pt>
                <c:pt idx="122">
                  <c:v>202619</c:v>
                </c:pt>
                <c:pt idx="123">
                  <c:v>202620</c:v>
                </c:pt>
                <c:pt idx="124">
                  <c:v>202621</c:v>
                </c:pt>
                <c:pt idx="125">
                  <c:v>202622</c:v>
                </c:pt>
                <c:pt idx="126">
                  <c:v>202623</c:v>
                </c:pt>
                <c:pt idx="127">
                  <c:v>202624</c:v>
                </c:pt>
                <c:pt idx="128">
                  <c:v>202625</c:v>
                </c:pt>
                <c:pt idx="129">
                  <c:v>202626</c:v>
                </c:pt>
                <c:pt idx="130">
                  <c:v>202627</c:v>
                </c:pt>
                <c:pt idx="131">
                  <c:v>202628</c:v>
                </c:pt>
                <c:pt idx="132">
                  <c:v>202629</c:v>
                </c:pt>
                <c:pt idx="133">
                  <c:v>202630</c:v>
                </c:pt>
                <c:pt idx="134">
                  <c:v>202631</c:v>
                </c:pt>
                <c:pt idx="135">
                  <c:v>202632</c:v>
                </c:pt>
                <c:pt idx="136">
                  <c:v>202633</c:v>
                </c:pt>
                <c:pt idx="137">
                  <c:v>202634</c:v>
                </c:pt>
                <c:pt idx="138">
                  <c:v>202635</c:v>
                </c:pt>
                <c:pt idx="139">
                  <c:v>202636</c:v>
                </c:pt>
                <c:pt idx="140">
                  <c:v>202637</c:v>
                </c:pt>
                <c:pt idx="141">
                  <c:v>202638</c:v>
                </c:pt>
                <c:pt idx="142">
                  <c:v>202639</c:v>
                </c:pt>
                <c:pt idx="143">
                  <c:v>202701</c:v>
                </c:pt>
                <c:pt idx="144">
                  <c:v>202702</c:v>
                </c:pt>
                <c:pt idx="145">
                  <c:v>202703</c:v>
                </c:pt>
                <c:pt idx="146">
                  <c:v>202704</c:v>
                </c:pt>
                <c:pt idx="147">
                  <c:v>202705</c:v>
                </c:pt>
                <c:pt idx="148">
                  <c:v>202706</c:v>
                </c:pt>
                <c:pt idx="149">
                  <c:v>202707</c:v>
                </c:pt>
              </c:strCache>
            </c:strRef>
          </c:cat>
          <c:val>
            <c:numRef>
              <c:f>Sheet3!$H$2:$H$151</c:f>
              <c:numCache>
                <c:formatCode>General</c:formatCode>
                <c:ptCount val="150"/>
                <c:pt idx="12" formatCode="0%">
                  <c:v>3.6795591944567968E-2</c:v>
                </c:pt>
                <c:pt idx="13" formatCode="0%">
                  <c:v>3.6003000762694276E-2</c:v>
                </c:pt>
                <c:pt idx="14" formatCode="0%">
                  <c:v>3.6072798930592447E-2</c:v>
                </c:pt>
                <c:pt idx="15" formatCode="0%">
                  <c:v>3.6524907991810691E-2</c:v>
                </c:pt>
                <c:pt idx="16" formatCode="0%">
                  <c:v>3.6690127008450382E-2</c:v>
                </c:pt>
                <c:pt idx="17" formatCode="0%">
                  <c:v>3.7045835545404963E-2</c:v>
                </c:pt>
                <c:pt idx="18" formatCode="0%">
                  <c:v>3.7210211752403924E-2</c:v>
                </c:pt>
                <c:pt idx="19" formatCode="0%">
                  <c:v>3.8904285379348619E-2</c:v>
                </c:pt>
                <c:pt idx="20" formatCode="0%">
                  <c:v>4.1249431987025832E-2</c:v>
                </c:pt>
                <c:pt idx="21" formatCode="0%">
                  <c:v>4.2475819268690693E-2</c:v>
                </c:pt>
                <c:pt idx="22" formatCode="0%">
                  <c:v>4.2765338235558809E-2</c:v>
                </c:pt>
                <c:pt idx="23" formatCode="0%">
                  <c:v>4.2616302228800765E-2</c:v>
                </c:pt>
                <c:pt idx="24" formatCode="0%">
                  <c:v>4.347942471618204E-2</c:v>
                </c:pt>
                <c:pt idx="25" formatCode="0%">
                  <c:v>4.3970887834797807E-2</c:v>
                </c:pt>
                <c:pt idx="26" formatCode="0%">
                  <c:v>4.5765119098805512E-2</c:v>
                </c:pt>
                <c:pt idx="27" formatCode="0%">
                  <c:v>4.7069929731014412E-2</c:v>
                </c:pt>
                <c:pt idx="28" formatCode="0%">
                  <c:v>4.8557059709387514E-2</c:v>
                </c:pt>
                <c:pt idx="29" formatCode="0%">
                  <c:v>5.0084994487363109E-2</c:v>
                </c:pt>
                <c:pt idx="30" formatCode="0%">
                  <c:v>4.9898761693390262E-2</c:v>
                </c:pt>
                <c:pt idx="31" formatCode="0%">
                  <c:v>5.0722592433509822E-2</c:v>
                </c:pt>
                <c:pt idx="32" formatCode="0%">
                  <c:v>4.9097932893697967E-2</c:v>
                </c:pt>
                <c:pt idx="33" formatCode="0%">
                  <c:v>4.9651157194056737E-2</c:v>
                </c:pt>
                <c:pt idx="34" formatCode="0%">
                  <c:v>5.0143085656451196E-2</c:v>
                </c:pt>
                <c:pt idx="35" formatCode="0%">
                  <c:v>5.1000335653966E-2</c:v>
                </c:pt>
                <c:pt idx="36" formatCode="0%">
                  <c:v>5.2005000939792281E-2</c:v>
                </c:pt>
                <c:pt idx="37" formatCode="0%">
                  <c:v>5.2186407262438866E-2</c:v>
                </c:pt>
                <c:pt idx="38" formatCode="0%">
                  <c:v>5.2747426596901896E-2</c:v>
                </c:pt>
                <c:pt idx="39" formatCode="0%">
                  <c:v>5.5024126495647287E-2</c:v>
                </c:pt>
                <c:pt idx="40" formatCode="0%">
                  <c:v>5.8871622207269644E-2</c:v>
                </c:pt>
                <c:pt idx="41" formatCode="0%">
                  <c:v>6.3596089444230425E-2</c:v>
                </c:pt>
                <c:pt idx="42" formatCode="0%">
                  <c:v>6.7531865997840904E-2</c:v>
                </c:pt>
                <c:pt idx="43" formatCode="0%">
                  <c:v>7.1496010311507902E-2</c:v>
                </c:pt>
                <c:pt idx="44" formatCode="0%">
                  <c:v>7.0749025709050881E-2</c:v>
                </c:pt>
                <c:pt idx="45" formatCode="0%">
                  <c:v>7.2997931073503899E-2</c:v>
                </c:pt>
                <c:pt idx="46" formatCode="0%">
                  <c:v>7.3751503100902963E-2</c:v>
                </c:pt>
                <c:pt idx="47" formatCode="0%">
                  <c:v>7.3983945423025749E-2</c:v>
                </c:pt>
                <c:pt idx="48" formatCode="0%">
                  <c:v>7.3643250985618108E-2</c:v>
                </c:pt>
                <c:pt idx="49" formatCode="0%">
                  <c:v>7.4103216806510885E-2</c:v>
                </c:pt>
                <c:pt idx="50" formatCode="0%">
                  <c:v>7.5487477774232731E-2</c:v>
                </c:pt>
                <c:pt idx="51" formatCode="0%">
                  <c:v>7.7867507620432361E-2</c:v>
                </c:pt>
                <c:pt idx="52" formatCode="0%">
                  <c:v>7.755683416989631E-2</c:v>
                </c:pt>
                <c:pt idx="53" formatCode="0%">
                  <c:v>7.6200889832395535E-2</c:v>
                </c:pt>
                <c:pt idx="54" formatCode="0%">
                  <c:v>7.3002459571657935E-2</c:v>
                </c:pt>
                <c:pt idx="55" formatCode="0%">
                  <c:v>7.0346965678572237E-2</c:v>
                </c:pt>
                <c:pt idx="56" formatCode="0%">
                  <c:v>6.9531454025155176E-2</c:v>
                </c:pt>
                <c:pt idx="57" formatCode="0%">
                  <c:v>7.2360785586154094E-2</c:v>
                </c:pt>
                <c:pt idx="58" formatCode="0%">
                  <c:v>7.5310489245707324E-2</c:v>
                </c:pt>
                <c:pt idx="59" formatCode="0%">
                  <c:v>7.8977876544128092E-2</c:v>
                </c:pt>
                <c:pt idx="60" formatCode="0%">
                  <c:v>8.2097471465464339E-2</c:v>
                </c:pt>
                <c:pt idx="61" formatCode="0%">
                  <c:v>9.0675122515316203E-2</c:v>
                </c:pt>
                <c:pt idx="62" formatCode="0%">
                  <c:v>9.5120749107922176E-2</c:v>
                </c:pt>
                <c:pt idx="63" formatCode="0%">
                  <c:v>9.4394087825847045E-2</c:v>
                </c:pt>
                <c:pt idx="64" formatCode="0%">
                  <c:v>9.2744161773292172E-2</c:v>
                </c:pt>
                <c:pt idx="65" formatCode="0%">
                  <c:v>9.2205033251874444E-2</c:v>
                </c:pt>
                <c:pt idx="66" formatCode="0%">
                  <c:v>9.1595294715920067E-2</c:v>
                </c:pt>
                <c:pt idx="67" formatCode="0%">
                  <c:v>9.2597173416822776E-2</c:v>
                </c:pt>
                <c:pt idx="68" formatCode="0%">
                  <c:v>9.3543108853051851E-2</c:v>
                </c:pt>
                <c:pt idx="69" formatCode="0%">
                  <c:v>9.454783181626647E-2</c:v>
                </c:pt>
                <c:pt idx="70" formatCode="0%">
                  <c:v>9.5757750096545913E-2</c:v>
                </c:pt>
                <c:pt idx="71" formatCode="0%">
                  <c:v>9.8072250145187834E-2</c:v>
                </c:pt>
                <c:pt idx="72" formatCode="0%">
                  <c:v>9.9306900959101718E-2</c:v>
                </c:pt>
                <c:pt idx="73" formatCode="0%">
                  <c:v>9.8992132885877673E-2</c:v>
                </c:pt>
                <c:pt idx="74" formatCode="0%">
                  <c:v>9.1732480950472636E-2</c:v>
                </c:pt>
                <c:pt idx="75" formatCode="0%">
                  <c:v>8.8564261178897694E-2</c:v>
                </c:pt>
                <c:pt idx="76" formatCode="0%">
                  <c:v>9.3243900859001208E-2</c:v>
                </c:pt>
                <c:pt idx="77" formatCode="0%">
                  <c:v>9.3383195147275389E-2</c:v>
                </c:pt>
                <c:pt idx="78" formatCode="0%">
                  <c:v>9.309185302391812E-2</c:v>
                </c:pt>
                <c:pt idx="79" formatCode="0%">
                  <c:v>9.5153650905986348E-2</c:v>
                </c:pt>
                <c:pt idx="80" formatCode="0%">
                  <c:v>9.8977067499380053E-2</c:v>
                </c:pt>
                <c:pt idx="81" formatCode="0%">
                  <c:v>9.9797530745734553E-2</c:v>
                </c:pt>
                <c:pt idx="82" formatCode="0%">
                  <c:v>9.8970939012808054E-2</c:v>
                </c:pt>
                <c:pt idx="83" formatCode="0%">
                  <c:v>0.10172904510823616</c:v>
                </c:pt>
                <c:pt idx="84" formatCode="0%">
                  <c:v>9.9459598794337564E-2</c:v>
                </c:pt>
                <c:pt idx="85" formatCode="0%">
                  <c:v>9.7060035145080409E-2</c:v>
                </c:pt>
                <c:pt idx="86" formatCode="0%">
                  <c:v>9.7158287875094937E-2</c:v>
                </c:pt>
                <c:pt idx="87" formatCode="0%">
                  <c:v>9.9177750600398601E-2</c:v>
                </c:pt>
                <c:pt idx="88" formatCode="0%">
                  <c:v>0.10100341064763599</c:v>
                </c:pt>
                <c:pt idx="89" formatCode="0%">
                  <c:v>9.9355811754341619E-2</c:v>
                </c:pt>
                <c:pt idx="90" formatCode="0%">
                  <c:v>0.10203495943314853</c:v>
                </c:pt>
                <c:pt idx="91" formatCode="0%">
                  <c:v>0.10655394229999193</c:v>
                </c:pt>
                <c:pt idx="92" formatCode="0%">
                  <c:v>0.10813636047429077</c:v>
                </c:pt>
                <c:pt idx="93" formatCode="0%">
                  <c:v>0.10954713725060081</c:v>
                </c:pt>
                <c:pt idx="94" formatCode="0%">
                  <c:v>0.11326625584639521</c:v>
                </c:pt>
                <c:pt idx="95" formatCode="0%">
                  <c:v>0.11531266994112327</c:v>
                </c:pt>
                <c:pt idx="96" formatCode="0%">
                  <c:v>0.10964013518182981</c:v>
                </c:pt>
                <c:pt idx="97" formatCode="0%">
                  <c:v>0.10761131029811584</c:v>
                </c:pt>
                <c:pt idx="98" formatCode="0%">
                  <c:v>0.11324400220108401</c:v>
                </c:pt>
                <c:pt idx="99" formatCode="0%">
                  <c:v>0.11181187203958362</c:v>
                </c:pt>
                <c:pt idx="100" formatCode="0%">
                  <c:v>0.11519325171736609</c:v>
                </c:pt>
                <c:pt idx="101" formatCode="0%">
                  <c:v>0.11725163590302909</c:v>
                </c:pt>
                <c:pt idx="102" formatCode="0%">
                  <c:v>0.11822571752022777</c:v>
                </c:pt>
                <c:pt idx="103" formatCode="0%">
                  <c:v>0.11869151191743031</c:v>
                </c:pt>
                <c:pt idx="104" formatCode="0%">
                  <c:v>0.11767675987342986</c:v>
                </c:pt>
                <c:pt idx="105" formatCode="0%">
                  <c:v>0.11605785250416721</c:v>
                </c:pt>
                <c:pt idx="106" formatCode="0%">
                  <c:v>0.1099338791496997</c:v>
                </c:pt>
                <c:pt idx="107" formatCode="0%">
                  <c:v>0.10880546057682931</c:v>
                </c:pt>
                <c:pt idx="108" formatCode="0%">
                  <c:v>0.10858621954254989</c:v>
                </c:pt>
                <c:pt idx="109" formatCode="0%">
                  <c:v>0.11146559772618735</c:v>
                </c:pt>
                <c:pt idx="110" formatCode="0%">
                  <c:v>0.1152524593211466</c:v>
                </c:pt>
                <c:pt idx="111" formatCode="0%">
                  <c:v>0.11240303809859163</c:v>
                </c:pt>
                <c:pt idx="112" formatCode="0%">
                  <c:v>0.11703537820222759</c:v>
                </c:pt>
                <c:pt idx="113" formatCode="0%">
                  <c:v>0.12187512247643548</c:v>
                </c:pt>
                <c:pt idx="114" formatCode="0%">
                  <c:v>0.12303546269681309</c:v>
                </c:pt>
                <c:pt idx="115" formatCode="0%">
                  <c:v>0.12145103595512709</c:v>
                </c:pt>
                <c:pt idx="116" formatCode="0%">
                  <c:v>0.12194105134832552</c:v>
                </c:pt>
                <c:pt idx="117" formatCode="0%">
                  <c:v>0.12173178796395921</c:v>
                </c:pt>
                <c:pt idx="118" formatCode="0%">
                  <c:v>0.12286058372683943</c:v>
                </c:pt>
                <c:pt idx="119" formatCode="0%">
                  <c:v>0.12691727459026572</c:v>
                </c:pt>
                <c:pt idx="120" formatCode="0%">
                  <c:v>0.12612726770777555</c:v>
                </c:pt>
                <c:pt idx="121" formatCode="0%">
                  <c:v>0.12874077209659693</c:v>
                </c:pt>
                <c:pt idx="122" formatCode="0%">
                  <c:v>0.12978739616777488</c:v>
                </c:pt>
                <c:pt idx="123" formatCode="0%">
                  <c:v>0.1334125363838356</c:v>
                </c:pt>
                <c:pt idx="124" formatCode="0%">
                  <c:v>0.13637274331228844</c:v>
                </c:pt>
                <c:pt idx="125" formatCode="0%">
                  <c:v>0.1347394203654548</c:v>
                </c:pt>
                <c:pt idx="126" formatCode="0%">
                  <c:v>0.12776714906496303</c:v>
                </c:pt>
                <c:pt idx="127" formatCode="0%">
                  <c:v>0.12594822464427485</c:v>
                </c:pt>
                <c:pt idx="128" formatCode="0%">
                  <c:v>0.13662948643998604</c:v>
                </c:pt>
                <c:pt idx="129" formatCode="0%">
                  <c:v>0.1383501703083139</c:v>
                </c:pt>
                <c:pt idx="130" formatCode="0%">
                  <c:v>0.14178368809147021</c:v>
                </c:pt>
                <c:pt idx="131" formatCode="0%">
                  <c:v>0.14157633572193001</c:v>
                </c:pt>
                <c:pt idx="132" formatCode="0%">
                  <c:v>0.14162232424880239</c:v>
                </c:pt>
                <c:pt idx="133" formatCode="0%">
                  <c:v>0.14425242840661784</c:v>
                </c:pt>
                <c:pt idx="134" formatCode="0%">
                  <c:v>0.14796769801105894</c:v>
                </c:pt>
                <c:pt idx="135" formatCode="0%">
                  <c:v>0.15260902980049001</c:v>
                </c:pt>
                <c:pt idx="136" formatCode="0%">
                  <c:v>0.14472145669433278</c:v>
                </c:pt>
                <c:pt idx="137" formatCode="0%">
                  <c:v>0.1407729246135665</c:v>
                </c:pt>
                <c:pt idx="138" formatCode="0%">
                  <c:v>0.14120733617445491</c:v>
                </c:pt>
                <c:pt idx="139" formatCode="0%">
                  <c:v>0.14157461229642435</c:v>
                </c:pt>
                <c:pt idx="140" formatCode="0%">
                  <c:v>0.14179914670980207</c:v>
                </c:pt>
                <c:pt idx="141" formatCode="0%">
                  <c:v>0.13133168785899202</c:v>
                </c:pt>
                <c:pt idx="142" formatCode="0%">
                  <c:v>0.13019949728491156</c:v>
                </c:pt>
                <c:pt idx="143" formatCode="0%">
                  <c:v>0.12920152453236391</c:v>
                </c:pt>
                <c:pt idx="144" formatCode="0%">
                  <c:v>0.13071035199723083</c:v>
                </c:pt>
                <c:pt idx="145" formatCode="0%">
                  <c:v>0.13965308167231777</c:v>
                </c:pt>
                <c:pt idx="146" formatCode="0%">
                  <c:v>0.14273021488055773</c:v>
                </c:pt>
                <c:pt idx="147" formatCode="0%">
                  <c:v>0.14237597296234225</c:v>
                </c:pt>
                <c:pt idx="148" formatCode="0%">
                  <c:v>0.13912123461859388</c:v>
                </c:pt>
                <c:pt idx="149" formatCode="0%">
                  <c:v>0.14551234218209916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86-46E7-9ABB-92990BF51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63904"/>
        <c:axId val="764251119"/>
      </c:lineChart>
      <c:catAx>
        <c:axId val="194763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1119"/>
        <c:crosses val="autoZero"/>
        <c:auto val="1"/>
        <c:lblAlgn val="ctr"/>
        <c:lblOffset val="100"/>
        <c:tickLblSkip val="13"/>
        <c:noMultiLvlLbl val="0"/>
      </c:catAx>
      <c:valAx>
        <c:axId val="764251119"/>
        <c:scaling>
          <c:orientation val="minMax"/>
          <c:max val="0.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Dropship % of 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6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57149</xdr:colOff>
      <xdr:row>1</xdr:row>
      <xdr:rowOff>47625</xdr:rowOff>
    </xdr:from>
    <xdr:to>
      <xdr:col>25</xdr:col>
      <xdr:colOff>219074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83E9CD-B3B7-E24C-373F-53CBA0773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lcvfile02\Group-Service-Finance\Users\leandrir\AppData\Local\Microsoft\Windows\Temporary%20Internet%20Files\Content.Outlook\MUIWW0UW\BUDGPACK%20(2017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lcvfile02\fin\Stuart%20C\MONTH%20ENDS\MAR_FY13\MG%20View%20monthly%20report%20M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OSVR\mweightm\My%20Documents\DATA\ADMIN\MONTHEND\SETENT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tuart%20C\MONTH%20ENDS\MAR_FY13\MG%20View%20monthly%20report%20MA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Financial%20Reporting\Board%20Reporting\Board%20Reports\2010\May\DMG%20Monthly%20Reporting%20Pack\Online%20Monthly%20Report%20-%20v%201.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%20(NAT)\Stations\Nova937\Cashflow\CY19\03.%20March\Perth%20Cashflow%20March%20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roup\Budgets\CY14\CY14%20Consolidated%20Normalisatio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roup\CY15\General%20Analysis\Board%20Pack%20Template\Monthly%20Report%20&amp;%20Board%20Pack%20-%20Smooth%20953%20January%20201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%20(NAT)\Group\CY20\2012\Month%20End%20Pack\Nova%20Entertainment%20Group%20Monthly%20Reporting%20Pack%20December%202020%20-Adjusted%20V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einhoff1-my.sharepoint.com/PlanAnaliza/01.PLAN/01.PLAN%202011/02.Rebalans/NOVI%20REBALANS%2011042011/rebalans%2030.04/dokumenti/Documents%20and%20Settings/Andrej%20Kostomaj/My%20Documents/Tisak/MIS%20excel/Transport%20v2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lcvfile02\Group-Service-Finance\JASON\Best%20Practice%20Modeling\2.%20bpmToolbox%206.0-Forecast%20Business%20Planning%20Model%20Example%20(Basic)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01pxe\AppData\Local\Microsoft\Windows\Temporary%20Internet%20Files\Content.IE5\HQ85LLJG\OH%20144.5m%20f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sak12.tisak.loc\home$\Documents%20and%20Settings\Andrej%20Kostomaj\My%20Documents\Tisak\MIS%20excel\Transport%20v2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rporate\Projects\Protea\Valuation\Protea%20valuation%20model%20v5%20-%20oct06%20update%20(mkt%20share%206.1%25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4GCBudget20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Dynamic_Sorted_Chart_Flag_XelPlus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EXCEL\KIM\5Yrs%20Plan%202002\5Yrs_Schedule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Documents%20and%20Settings\user1\Local%20Settings\Temporary%20Internet%20Files\Content.IE5\FZXJZTKW\Marketing%20Allocation%20Jun08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EPORTING/WEEKLY%20SALES/FY1819/Michael%20Ford%20Report/Reports%20Formula/Michael%20Ford%20Weekly%20Report%20-%20W05.xlsx" TargetMode="External"/><Relationship Id="rId1" Type="http://schemas.openxmlformats.org/officeDocument/2006/relationships/externalLinkPath" Target="/REPORTING/WEEKLY%20SALES/FY1819/Michael%20Ford%20Report/Reports%20Formula/Michael%20Ford%20Weekly%20Report%20-%20W05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lcvfile02\fin\REPORTING\WEEKLY%20SALES\FY1920\Michael%20Ford%20Report\Freedom%20AU\Michael%20Ford%20Weekly%20Report%20-%20W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mgacfa\Local%20Settings\Temporary%20Internet%20Files\Content.Outlook\S689P2VX\Price%20%20W%20templates%20(version%201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UDGET\2001bud\finals\4AMBudget2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N4GCBudget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sakrf.tisak.loc\home$\Documents%20and%20Settings\Andrej%20Kostomaj\My%20Documents\Tisak\MIS%20excel\Transport%20v2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rporate\Projects\Protea\Valuation\Protea%20valuation%20model%20v5%20-%20march%20updat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dyt\standard%20wersja%201.0\Raporty\pkoneng1.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DOCUME~1\hg02sxw\LOCALS~1\Temp\notes6030C8\~336723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rporate\Projects\Triangle\Financial\Triangle%20-%20Financial%20Model_IRR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ounts\accounts\OReilly%20-%20Douglas\Weekly%20Reporting\Templates\Weekly%20Reporting%20Template%20v2.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KONZERNABSCHLU&#223;\30.06.03\KONZERNANFORDERUNGEN\KPSALDEN\KPSalden_xxx%20in%20Konsis%20eingelesen\Deutschland\kpsalden_0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ING\Templates\Journal%20Templat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dawson\My%20Documents\NOVA937\Budget\2012\937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Step_Charts_Free_Excel_XelPlus_ErrorBa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01mxk\Desktop\Charts\Excel-Visualization-Demo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bnefinfc.DMGRADIO\Local%20Settings\Temporary%20Internet%20Files\OLKD1\Budget%202008%20File%201%20of%202%2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01jxk\Desktop\MyFreedom\MyFreedom%20Report%20040814.xls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REPORTING/OPERATIONAL%20P&amp;L%20PACKS/FY24/05.%20FEB%2024/Group%20Reporting/FFAU%20Monthend%20Template%20-%20Non%20Financial%20(Retail)%20-%20Feb%2024.xlsx" TargetMode="External"/><Relationship Id="rId2" Type="http://schemas.openxmlformats.org/officeDocument/2006/relationships/externalLinkPath" Target="file:///O:\REPORTING\OPERATIONAL%20P&amp;L%20PACKS\FY24\05.%20FEB%2024\Group%20Reporting\FFAU%20Monthend%20Template%20-%20Non%20Financial%20(Retail)%20-%20Feb%2024.xlsx" TargetMode="External"/><Relationship Id="rId1" Type="http://schemas.openxmlformats.org/officeDocument/2006/relationships/externalLinkPath" Target="/REPORTING/OPERATIONAL%20P&amp;L%20PACKS/FY24/05.%20FEB%2024/Group%20Reporting/FFAU%20Monthend%20Template%20-%20Non%20Financial%20(Retail)%20-%20Feb%2024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dawson\My%20Documents\NOVA937\Profit%20N%20Loss\EM%20February%202011\Nova%20937%20Monthly%20Report%20-28%20Feb%2011%20-%20FINAL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7/YT_Upcoming/ClusteredStackedColumn/YT_201709/ChartwithBlanks/Excel_Dynamic_Chart_Exclude_Blanks_XelPlus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G\OneDrive\YouTube\YT_2018\YT_201807\Dependent_DropDown_Varying_Lengths\Excel_Dependent_Dropdown_Expandable_Exclude_Empty_XelPlus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nance\Budget\Budget%2002-03\FinalBudgets\Nova100Budget02-03FinalwTax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KONZERNABSCHLU&#223;\31.12.03\KONZERNANFORDERUNGEN\KPSALDEN\KPSALDEN_xxx%20Leerformulare\Deutschland\kpsalden_00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PLANNING\Budget%202005\Reports\Store%20Pack%20(P&amp;L)_20May04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EPORTING/OPERATIONAL%20P&amp;L%20PACKS/FY19/P10%20Jul%2019/CEO%20Pack/FFAU%20Inventory%20-%20Jul%2019.xlsx" TargetMode="External"/><Relationship Id="rId1" Type="http://schemas.openxmlformats.org/officeDocument/2006/relationships/externalLinkPath" Target="/REPORTING/OPERATIONAL%20P&amp;L%20PACKS/FY19/P10%20Jul%2019/CEO%20Pack/FFAU%20Inventory%20-%20Jul%2019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antasticholdings-my.sharepoint.com/JASON/10.%20Finance%20Years/F.Y.%202016/3.%20End%20of%20Month%20Reporting%20-%20FY16/12.%20June%202016/1.%20OMF%20Forecast%202016%20-%20June.xlsb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microsoft.com/office/2019/04/relationships/externalLinkLongPath" Target="https://fantasticholdings-my.sharepoint.com/Users/Jason.Liu/OneDrive%20-%20Fantastic%20Holdings%20Limited/10.%20Finance%20Years/F.Y.%202017/3.%20End%20of%20Month%20Reporting%20-%20FY17/12.%20June%202017/1.1.%20OMF%20Forecast%202017%20Included%20Q5%20-%20June.xlsb?F6106C0E" TargetMode="External"/><Relationship Id="rId1" Type="http://schemas.openxmlformats.org/officeDocument/2006/relationships/externalLinkPath" Target="file:///\\F6106C0E\1.1.%20OMF%20Forecast%202017%20Included%20Q5%20-%20June.xlsb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0\Au\Grupa%20Steinhoff\Allgemein%20-%20Steinhoff\Plany%20Kont\nowy%20standard\WGA\RAFAL\EXCEL\GOZDNICA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uart%20C\MONTH%20ENDS\JUN_FY12\CUST%20DEP\CUSTOMER%20DEPOSITS%20RECON%20JUN%20FY12%20v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MGRI%20CF%202010-11%20Budget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ANNING\Budget%202005\Reports\Budget%20Pack%20(SOFP)_$AUD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EXCEL\MICHAEL\Budget%202003\Schedules\9Wr%20Sales%20Forecast%2020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dawson\My%20Documents\NOVA937\Profit%20N%20Loss\EI%20October%202010\Nova%20937%20Monthly%20Report%20-%20311010%20-%20FINAL.xlsm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lcvfile02\Group-Service-Finance\Users\laddo\AppData\Local\Microsoft\Windows\Temporary%20Internet%20Files\Content.Outlook\5FCAY40N\P&amp;L%20MOZI%20Jul%2017-%2012%20months%20LY%20to%20Sep16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&amp;L%20Ray%20Feb%2016%20No%202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arkadams\Local%20Settings\Temporary%20Internet%20Files\Content.Outlook\8ZF0D55A\Wk%209%20Weekly%20Reporting%20Template%205AA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V5.0\August%202011\New%20Weekly%20Templates\Weekly%20Reporting%20Template%20Revised%20Station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file01\fin\Brad\Steinhoff\Tax%20Returns\Bravoscar\2008\Australia\SAPH\Tax%20Packs\Steinhoff%20Pacific\Tax%20Pack%20-%20Kings%20Park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https://steinhoff1-my.sharepoint.com/Documents%20and%20Settings/Ming%20Song/Local%20Settings/Application%20Data/Aura/2.0/Files/2/AF/08a8bd73-bc68-4d82-97e4-d4901e3b0863000000000000000205087220/08a8bd73bc684d8297e4d4901e3b0863.XLS?B0D285F8" TargetMode="External"/><Relationship Id="rId1" Type="http://schemas.openxmlformats.org/officeDocument/2006/relationships/externalLinkPath" Target="file:///\\B0D285F8\08a8bd73bc684d8297e4d4901e3b086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301"/>
      <sheetName val="302"/>
      <sheetName val="303"/>
      <sheetName val="304"/>
      <sheetName val="305"/>
      <sheetName val="306"/>
      <sheetName val="307"/>
      <sheetName val="Sheet2"/>
      <sheetName val="308"/>
      <sheetName val="309"/>
      <sheetName val="315"/>
      <sheetName val="316"/>
      <sheetName val="317"/>
      <sheetName val="318"/>
      <sheetName val="319"/>
      <sheetName val="320"/>
      <sheetName val="LIST"/>
      <sheetName val="Cover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  <sheetName val="CONTROL"/>
      <sheetName val="Sheet1"/>
      <sheetName val="Actual_MTD"/>
      <sheetName val="Actual_YTD"/>
      <sheetName val="Budget_MTD"/>
      <sheetName val="Budget_YTD"/>
      <sheetName val="SCC"/>
      <sheetName val="ebitr"/>
      <sheetName val="IgnoreBla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E6" t="str">
            <v>Balance</v>
          </cell>
          <cell r="F6" t="str">
            <v>Movement MTD</v>
          </cell>
          <cell r="G6" t="str">
            <v>Movement YTD</v>
          </cell>
        </row>
        <row r="8">
          <cell r="C8" t="str">
            <v>Jun</v>
          </cell>
          <cell r="E8">
            <v>6060744.8300000001</v>
          </cell>
        </row>
        <row r="9">
          <cell r="C9" t="str">
            <v>Jul</v>
          </cell>
          <cell r="E9">
            <v>5906659.1500000004</v>
          </cell>
          <cell r="F9">
            <v>-154085.6799999997</v>
          </cell>
          <cell r="G9">
            <v>-154085.6799999997</v>
          </cell>
        </row>
        <row r="10">
          <cell r="C10" t="str">
            <v>Aug</v>
          </cell>
          <cell r="E10">
            <v>5906659.1500000004</v>
          </cell>
          <cell r="F10">
            <v>0</v>
          </cell>
          <cell r="G10">
            <v>-154085.6799999997</v>
          </cell>
        </row>
        <row r="11">
          <cell r="C11" t="str">
            <v>Sep</v>
          </cell>
          <cell r="E11">
            <v>5906659.1500000004</v>
          </cell>
          <cell r="F11">
            <v>0</v>
          </cell>
          <cell r="G11">
            <v>-154085.6799999997</v>
          </cell>
        </row>
        <row r="12">
          <cell r="C12" t="str">
            <v>Oct</v>
          </cell>
          <cell r="E12">
            <v>5706659</v>
          </cell>
          <cell r="F12">
            <v>-200000.15000000037</v>
          </cell>
          <cell r="G12">
            <v>-354085.83000000007</v>
          </cell>
        </row>
        <row r="13">
          <cell r="C13" t="str">
            <v>Nov</v>
          </cell>
          <cell r="E13">
            <v>5506659</v>
          </cell>
          <cell r="F13">
            <v>-200000</v>
          </cell>
          <cell r="G13">
            <v>-554085.83000000007</v>
          </cell>
        </row>
        <row r="14">
          <cell r="C14" t="str">
            <v>Dec</v>
          </cell>
          <cell r="E14">
            <v>5306659</v>
          </cell>
          <cell r="F14">
            <v>-200000</v>
          </cell>
          <cell r="G14">
            <v>-754085.83000000007</v>
          </cell>
        </row>
        <row r="15">
          <cell r="C15" t="str">
            <v>Jan</v>
          </cell>
          <cell r="E15">
            <v>5106659</v>
          </cell>
          <cell r="F15">
            <v>-200000</v>
          </cell>
          <cell r="G15">
            <v>-954085.83000000007</v>
          </cell>
        </row>
        <row r="16">
          <cell r="C16" t="str">
            <v>Feb</v>
          </cell>
          <cell r="E16">
            <v>4886659</v>
          </cell>
          <cell r="F16">
            <v>-220000</v>
          </cell>
          <cell r="G16">
            <v>-1174085.83</v>
          </cell>
        </row>
        <row r="17">
          <cell r="C17" t="str">
            <v>Mar</v>
          </cell>
          <cell r="E17">
            <v>4666659</v>
          </cell>
          <cell r="F17">
            <v>-220000</v>
          </cell>
          <cell r="G17">
            <v>-1394085.83</v>
          </cell>
        </row>
        <row r="18">
          <cell r="C18" t="str">
            <v>Apr</v>
          </cell>
          <cell r="F18">
            <v>-220000</v>
          </cell>
          <cell r="G18">
            <v>-1614085.83</v>
          </cell>
        </row>
        <row r="19">
          <cell r="C19" t="str">
            <v>May</v>
          </cell>
          <cell r="F19">
            <v>-220000</v>
          </cell>
          <cell r="G19">
            <v>-1834085.83</v>
          </cell>
        </row>
        <row r="20">
          <cell r="C20" t="str">
            <v>Jun</v>
          </cell>
          <cell r="F20">
            <v>-220000</v>
          </cell>
          <cell r="G20">
            <v>-2054085.83</v>
          </cell>
        </row>
      </sheetData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- xxx"/>
      <sheetName val="Set Entry Register"/>
      <sheetName val="Cover"/>
      <sheetName val="1_-_xxx"/>
      <sheetName val="Set_Entry_Register"/>
      <sheetName val="Sheet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  <sheetName val="CONTROL"/>
      <sheetName val="Sheet1"/>
      <sheetName val="Actual_MTD"/>
      <sheetName val="Actual_YTD"/>
      <sheetName val="Budget_MTD"/>
      <sheetName val="Budget_YTD"/>
      <sheetName val="SCC"/>
      <sheetName val="ebi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E6" t="str">
            <v>Balance</v>
          </cell>
          <cell r="F6" t="str">
            <v>Movement MTD</v>
          </cell>
          <cell r="G6" t="str">
            <v>Movement YTD</v>
          </cell>
        </row>
        <row r="8">
          <cell r="C8" t="str">
            <v>Jun</v>
          </cell>
          <cell r="E8">
            <v>6060744.8300000001</v>
          </cell>
        </row>
        <row r="9">
          <cell r="C9" t="str">
            <v>Jul</v>
          </cell>
          <cell r="E9">
            <v>5906659.1500000004</v>
          </cell>
          <cell r="F9">
            <v>-154085.6799999997</v>
          </cell>
          <cell r="G9">
            <v>-154085.6799999997</v>
          </cell>
        </row>
        <row r="10">
          <cell r="C10" t="str">
            <v>Aug</v>
          </cell>
          <cell r="E10">
            <v>5906659.1500000004</v>
          </cell>
          <cell r="F10">
            <v>0</v>
          </cell>
          <cell r="G10">
            <v>-154085.6799999997</v>
          </cell>
        </row>
        <row r="11">
          <cell r="C11" t="str">
            <v>Sep</v>
          </cell>
          <cell r="E11">
            <v>5906659.1500000004</v>
          </cell>
          <cell r="F11">
            <v>0</v>
          </cell>
          <cell r="G11">
            <v>-154085.6799999997</v>
          </cell>
        </row>
        <row r="12">
          <cell r="C12" t="str">
            <v>Oct</v>
          </cell>
          <cell r="E12">
            <v>5706659</v>
          </cell>
          <cell r="F12">
            <v>-200000.15000000037</v>
          </cell>
          <cell r="G12">
            <v>-354085.83000000007</v>
          </cell>
        </row>
        <row r="13">
          <cell r="C13" t="str">
            <v>Nov</v>
          </cell>
          <cell r="E13">
            <v>5506659</v>
          </cell>
          <cell r="F13">
            <v>-200000</v>
          </cell>
          <cell r="G13">
            <v>-554085.83000000007</v>
          </cell>
        </row>
        <row r="14">
          <cell r="C14" t="str">
            <v>Dec</v>
          </cell>
          <cell r="E14">
            <v>5306659</v>
          </cell>
          <cell r="F14">
            <v>-200000</v>
          </cell>
          <cell r="G14">
            <v>-754085.83000000007</v>
          </cell>
        </row>
        <row r="15">
          <cell r="C15" t="str">
            <v>Jan</v>
          </cell>
          <cell r="E15">
            <v>5106659</v>
          </cell>
          <cell r="F15">
            <v>-200000</v>
          </cell>
          <cell r="G15">
            <v>-954085.83000000007</v>
          </cell>
        </row>
        <row r="16">
          <cell r="C16" t="str">
            <v>Feb</v>
          </cell>
          <cell r="E16">
            <v>4886659</v>
          </cell>
          <cell r="F16">
            <v>-220000</v>
          </cell>
          <cell r="G16">
            <v>-1174085.83</v>
          </cell>
        </row>
        <row r="17">
          <cell r="C17" t="str">
            <v>Mar</v>
          </cell>
          <cell r="E17">
            <v>4666659</v>
          </cell>
          <cell r="F17">
            <v>-220000</v>
          </cell>
          <cell r="G17">
            <v>-1394085.83</v>
          </cell>
        </row>
        <row r="18">
          <cell r="C18" t="str">
            <v>Apr</v>
          </cell>
          <cell r="F18">
            <v>-220000</v>
          </cell>
          <cell r="G18">
            <v>-1614085.83</v>
          </cell>
        </row>
        <row r="19">
          <cell r="C19" t="str">
            <v>May</v>
          </cell>
          <cell r="F19">
            <v>-220000</v>
          </cell>
          <cell r="G19">
            <v>-1834085.83</v>
          </cell>
        </row>
        <row r="20">
          <cell r="C20" t="str">
            <v>Jun</v>
          </cell>
          <cell r="F20">
            <v>-220000</v>
          </cell>
          <cell r="G20">
            <v>-2054085.83</v>
          </cell>
        </row>
      </sheetData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d"/>
      <sheetName val="OLM1"/>
      <sheetName val="OLM2"/>
      <sheetName val="OLM3"/>
      <sheetName val="OLM4"/>
      <sheetName val="OLM5"/>
      <sheetName val="OLM6"/>
      <sheetName val="OLM7"/>
      <sheetName val="WEB1"/>
      <sheetName val="WEB2"/>
      <sheetName val="WEB3"/>
      <sheetName val="WEB4"/>
      <sheetName val="Actual"/>
      <sheetName val="Budget"/>
      <sheetName val="Forecast"/>
      <sheetName val="Input Actuals"/>
      <sheetName val="Input Budgets"/>
      <sheetName val="RRE Ca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D16" t="str">
            <v>i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D17" t="str">
            <v>j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D18" t="str">
            <v>k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D19" t="str">
            <v>l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20.192</v>
          </cell>
          <cell r="R19">
            <v>0.11400000000000077</v>
          </cell>
          <cell r="S19">
            <v>0</v>
          </cell>
          <cell r="T19">
            <v>0.11899999999999999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E20">
            <v>118.32299999999999</v>
          </cell>
          <cell r="F20">
            <v>132.79</v>
          </cell>
          <cell r="G20">
            <v>138.36999999999998</v>
          </cell>
          <cell r="H20">
            <v>74.305000000000007</v>
          </cell>
          <cell r="I20">
            <v>91.363</v>
          </cell>
          <cell r="J20">
            <v>152.43100000000001</v>
          </cell>
          <cell r="K20">
            <v>93.577999999999989</v>
          </cell>
          <cell r="L20">
            <v>152.90899999999999</v>
          </cell>
          <cell r="M20">
            <v>178.69000000000003</v>
          </cell>
          <cell r="N20">
            <v>129.00399999999999</v>
          </cell>
          <cell r="O20">
            <v>220.90499999999997</v>
          </cell>
          <cell r="P20">
            <v>143.58600000000001</v>
          </cell>
          <cell r="Q20">
            <v>182.88600000000002</v>
          </cell>
          <cell r="R20">
            <v>279.15599999999995</v>
          </cell>
          <cell r="S20">
            <v>213.55299999999997</v>
          </cell>
          <cell r="T20">
            <v>195.261</v>
          </cell>
          <cell r="U20">
            <v>182.95799999999997</v>
          </cell>
          <cell r="V20">
            <v>250.01300000000001</v>
          </cell>
          <cell r="W20">
            <v>141.66699999999997</v>
          </cell>
          <cell r="X20">
            <v>184.55699999999999</v>
          </cell>
          <cell r="Y20">
            <v>205.1</v>
          </cell>
          <cell r="Z20">
            <v>225.5</v>
          </cell>
          <cell r="AA20">
            <v>240.5</v>
          </cell>
          <cell r="AB20">
            <v>257</v>
          </cell>
        </row>
        <row r="23">
          <cell r="D23" t="str">
            <v>m</v>
          </cell>
          <cell r="E23">
            <v>12.5</v>
          </cell>
          <cell r="F23">
            <v>12.5</v>
          </cell>
          <cell r="G23">
            <v>0</v>
          </cell>
          <cell r="H23">
            <v>12.5</v>
          </cell>
          <cell r="I23">
            <v>8.3330000000000002</v>
          </cell>
          <cell r="J23">
            <v>-45.832999999999998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47.5</v>
          </cell>
          <cell r="U23">
            <v>6.85</v>
          </cell>
          <cell r="V23">
            <v>79.873000000000005</v>
          </cell>
          <cell r="W23">
            <v>90.78</v>
          </cell>
          <cell r="X23">
            <v>30.998999999999999</v>
          </cell>
        </row>
        <row r="24">
          <cell r="D24" t="str">
            <v>n</v>
          </cell>
          <cell r="E24">
            <v>4.1669999999999998</v>
          </cell>
          <cell r="F24">
            <v>4.1669999999999998</v>
          </cell>
          <cell r="G24">
            <v>4.1669999999999998</v>
          </cell>
          <cell r="H24">
            <v>2.2200000000000002</v>
          </cell>
          <cell r="I24">
            <v>2.2200000000000002</v>
          </cell>
          <cell r="J24">
            <v>-1.401</v>
          </cell>
          <cell r="K24">
            <v>2.2200000000000002</v>
          </cell>
          <cell r="L24">
            <v>2.2200000000000002</v>
          </cell>
          <cell r="M24">
            <v>2.2200000000000002</v>
          </cell>
          <cell r="N24">
            <v>2.2200000000000002</v>
          </cell>
          <cell r="O24">
            <v>4.4400000000000004</v>
          </cell>
          <cell r="P24">
            <v>2.2200000000000002</v>
          </cell>
          <cell r="Q24">
            <v>2.2200000000000002</v>
          </cell>
          <cell r="R24">
            <v>2.2200000000000002</v>
          </cell>
          <cell r="S24">
            <v>2.2200000000000002</v>
          </cell>
          <cell r="T24">
            <v>2.2200000000000002</v>
          </cell>
          <cell r="U24">
            <v>2.2200000000000002</v>
          </cell>
          <cell r="V24">
            <v>2.2200000000000002</v>
          </cell>
          <cell r="W24">
            <v>2.2200000000000002</v>
          </cell>
          <cell r="X24">
            <v>2.2200000000000002</v>
          </cell>
        </row>
        <row r="25">
          <cell r="D25" t="str">
            <v>o</v>
          </cell>
          <cell r="E25">
            <v>9.0419999999999998</v>
          </cell>
          <cell r="F25">
            <v>9.0419999999999998</v>
          </cell>
          <cell r="G25">
            <v>9.0419999999999998</v>
          </cell>
          <cell r="H25">
            <v>6.8220000000000001</v>
          </cell>
          <cell r="I25">
            <v>9.0419999999999998</v>
          </cell>
          <cell r="J25">
            <v>-38.265000000000001</v>
          </cell>
          <cell r="K25">
            <v>8.2000000000000003E-2</v>
          </cell>
          <cell r="L25">
            <v>4.1000000000000002E-2</v>
          </cell>
          <cell r="M25">
            <v>0.75900000000000001</v>
          </cell>
          <cell r="N25">
            <v>-0.23499999999999999</v>
          </cell>
          <cell r="O25">
            <v>0</v>
          </cell>
          <cell r="P25">
            <v>0.05</v>
          </cell>
          <cell r="Q25">
            <v>0</v>
          </cell>
          <cell r="R25">
            <v>0</v>
          </cell>
          <cell r="S25">
            <v>0.45700000000000002</v>
          </cell>
          <cell r="T25">
            <v>0.86</v>
          </cell>
          <cell r="U25">
            <v>-1.284</v>
          </cell>
          <cell r="V25">
            <v>0.02</v>
          </cell>
          <cell r="W25">
            <v>0.189</v>
          </cell>
          <cell r="X25">
            <v>0</v>
          </cell>
        </row>
        <row r="26">
          <cell r="D26" t="str">
            <v>p</v>
          </cell>
          <cell r="E26">
            <v>13.131</v>
          </cell>
          <cell r="F26">
            <v>16.041</v>
          </cell>
          <cell r="G26">
            <v>3.794</v>
          </cell>
          <cell r="H26">
            <v>6.6139999999999999</v>
          </cell>
          <cell r="I26">
            <v>6.6139999999999999</v>
          </cell>
          <cell r="J26">
            <v>-45.462000000000003</v>
          </cell>
          <cell r="K26">
            <v>25.065000000000001</v>
          </cell>
          <cell r="L26">
            <v>0.16700000000000001</v>
          </cell>
          <cell r="M26">
            <v>5.3239999999999998</v>
          </cell>
          <cell r="N26">
            <v>0.79700000000000004</v>
          </cell>
          <cell r="O26">
            <v>0.41599999999999998</v>
          </cell>
          <cell r="P26">
            <v>0.30599999999999999</v>
          </cell>
          <cell r="Q26">
            <v>0.161</v>
          </cell>
          <cell r="R26">
            <v>11.441000000000001</v>
          </cell>
          <cell r="S26">
            <v>0.53200000000000003</v>
          </cell>
          <cell r="T26">
            <v>1.284</v>
          </cell>
          <cell r="U26">
            <v>1.96</v>
          </cell>
          <cell r="V26">
            <v>3.3109999999999999</v>
          </cell>
          <cell r="W26">
            <v>1.861</v>
          </cell>
          <cell r="X26">
            <v>0.91300000000000003</v>
          </cell>
        </row>
        <row r="27">
          <cell r="D27" t="str">
            <v>q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D28" t="str">
            <v>r</v>
          </cell>
          <cell r="E28">
            <v>0.48799999999999999</v>
          </cell>
          <cell r="F28">
            <v>0.48799999999999999</v>
          </cell>
          <cell r="G28">
            <v>0.48799999999999999</v>
          </cell>
          <cell r="H28">
            <v>0.48799999999999999</v>
          </cell>
          <cell r="I28">
            <v>0.48799999999999999</v>
          </cell>
          <cell r="J28">
            <v>0.48799999999999999</v>
          </cell>
          <cell r="K28">
            <v>0.48799999999999999</v>
          </cell>
          <cell r="L28">
            <v>0.48799999999999999</v>
          </cell>
          <cell r="M28">
            <v>0.48799999999999999</v>
          </cell>
          <cell r="N28">
            <v>0.48799999999999999</v>
          </cell>
          <cell r="O28">
            <v>0.48799999999999999</v>
          </cell>
          <cell r="P28">
            <v>0.48799999999999999</v>
          </cell>
          <cell r="Q28">
            <v>1.022</v>
          </cell>
          <cell r="R28">
            <v>1.022</v>
          </cell>
          <cell r="S28">
            <v>1.032</v>
          </cell>
          <cell r="T28">
            <v>1.022</v>
          </cell>
          <cell r="U28">
            <v>1.022</v>
          </cell>
          <cell r="V28">
            <v>1.022</v>
          </cell>
          <cell r="W28">
            <v>1.022</v>
          </cell>
          <cell r="X28">
            <v>1.022</v>
          </cell>
        </row>
        <row r="29">
          <cell r="D29" t="str">
            <v>s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D30" t="str">
            <v>t</v>
          </cell>
          <cell r="E30">
            <v>5.8559999999999999</v>
          </cell>
          <cell r="F30">
            <v>5.85</v>
          </cell>
          <cell r="G30">
            <v>5.85</v>
          </cell>
          <cell r="H30">
            <v>5.75</v>
          </cell>
          <cell r="I30">
            <v>5.85</v>
          </cell>
          <cell r="J30">
            <v>-27.643000000000001</v>
          </cell>
          <cell r="K30">
            <v>0.76200000000000001</v>
          </cell>
          <cell r="L30">
            <v>0.48699999999999999</v>
          </cell>
          <cell r="M30">
            <v>0.20300000000000001</v>
          </cell>
          <cell r="N30">
            <v>3.4000000000000002E-2</v>
          </cell>
          <cell r="O30">
            <v>2.4E-2</v>
          </cell>
          <cell r="P30">
            <v>0</v>
          </cell>
          <cell r="Q30">
            <v>0</v>
          </cell>
          <cell r="R30">
            <v>0.08</v>
          </cell>
          <cell r="S30">
            <v>0.14899999999999999</v>
          </cell>
          <cell r="T30">
            <v>2.2389999999999999</v>
          </cell>
          <cell r="U30">
            <v>2.641</v>
          </cell>
          <cell r="V30">
            <v>2.319</v>
          </cell>
          <cell r="W30">
            <v>2.2330000000000001</v>
          </cell>
          <cell r="X30">
            <v>3.0070000000000001</v>
          </cell>
        </row>
        <row r="31">
          <cell r="D31" t="str">
            <v>u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0.40899999999999997</v>
          </cell>
          <cell r="K31">
            <v>0</v>
          </cell>
          <cell r="L31">
            <v>18.675999999999998</v>
          </cell>
          <cell r="M31">
            <v>-17.428999999999998</v>
          </cell>
          <cell r="N31">
            <v>6.3</v>
          </cell>
          <cell r="O31">
            <v>1.7829999999999999</v>
          </cell>
          <cell r="P31">
            <v>16.623999999999999</v>
          </cell>
          <cell r="Q31">
            <v>37.393999999999998</v>
          </cell>
          <cell r="R31">
            <v>-17.552</v>
          </cell>
          <cell r="S31">
            <v>11.016</v>
          </cell>
          <cell r="T31">
            <v>3.15</v>
          </cell>
          <cell r="U31">
            <v>7.641</v>
          </cell>
          <cell r="V31">
            <v>4.9589999999999996</v>
          </cell>
          <cell r="W31">
            <v>2.5920000000000001</v>
          </cell>
          <cell r="X31">
            <v>5.7969999999999997</v>
          </cell>
        </row>
        <row r="32">
          <cell r="D32" t="str">
            <v>v</v>
          </cell>
          <cell r="E32">
            <v>17.417000000000002</v>
          </cell>
          <cell r="F32">
            <v>17.417000000000002</v>
          </cell>
          <cell r="G32">
            <v>41.622999999999998</v>
          </cell>
          <cell r="H32">
            <v>54.204000000000001</v>
          </cell>
          <cell r="I32">
            <v>49.685000000000002</v>
          </cell>
          <cell r="J32">
            <v>-25.710999999999999</v>
          </cell>
          <cell r="K32">
            <v>4.0999999999999996</v>
          </cell>
          <cell r="L32">
            <v>26.419</v>
          </cell>
          <cell r="M32">
            <v>0</v>
          </cell>
          <cell r="N32">
            <v>0.44600000000000001</v>
          </cell>
          <cell r="O32">
            <v>5.7119999999999997</v>
          </cell>
          <cell r="P32">
            <v>18.135000000000002</v>
          </cell>
          <cell r="Q32">
            <v>1.0289999999999999</v>
          </cell>
          <cell r="R32">
            <v>21.388999999999999</v>
          </cell>
          <cell r="S32">
            <v>3.1819999999999999</v>
          </cell>
          <cell r="T32">
            <v>22.606999999999999</v>
          </cell>
          <cell r="U32">
            <v>0</v>
          </cell>
          <cell r="V32">
            <v>0.41399999999999998</v>
          </cell>
          <cell r="W32">
            <v>63.247</v>
          </cell>
          <cell r="X32">
            <v>10.573</v>
          </cell>
        </row>
        <row r="33">
          <cell r="D33" t="str">
            <v>w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7.1420000000000003</v>
          </cell>
          <cell r="R33">
            <v>7.1420000000000003</v>
          </cell>
          <cell r="S33">
            <v>7.1420000000000003</v>
          </cell>
          <cell r="T33">
            <v>7.1420000000000003</v>
          </cell>
          <cell r="U33">
            <v>7.1420000000000003</v>
          </cell>
          <cell r="V33">
            <v>7.1420000000000003</v>
          </cell>
          <cell r="W33">
            <v>7.1420000000000003</v>
          </cell>
          <cell r="X33">
            <v>7.1420000000000003</v>
          </cell>
        </row>
        <row r="34">
          <cell r="D34" t="str">
            <v>x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0.05</v>
          </cell>
          <cell r="M34">
            <v>0</v>
          </cell>
          <cell r="N34">
            <v>0.1</v>
          </cell>
          <cell r="O34">
            <v>0</v>
          </cell>
          <cell r="P34">
            <v>0.92600000000000005</v>
          </cell>
          <cell r="Q34">
            <v>0</v>
          </cell>
          <cell r="R34">
            <v>0.11</v>
          </cell>
          <cell r="S34">
            <v>0.11700000000000001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D35" t="str">
            <v>y</v>
          </cell>
          <cell r="E35">
            <v>2.2669999999999999</v>
          </cell>
          <cell r="F35">
            <v>2.2669999999999999</v>
          </cell>
          <cell r="G35">
            <v>2.2669999999999999</v>
          </cell>
          <cell r="H35">
            <v>1.657</v>
          </cell>
          <cell r="I35">
            <v>1.913</v>
          </cell>
          <cell r="J35">
            <v>-2.9209999999999998</v>
          </cell>
          <cell r="K35">
            <v>47.475999999999999</v>
          </cell>
          <cell r="L35">
            <v>18.192</v>
          </cell>
          <cell r="M35">
            <v>26.724</v>
          </cell>
          <cell r="N35">
            <v>35.246000000000002</v>
          </cell>
          <cell r="O35">
            <v>58.015999999999998</v>
          </cell>
          <cell r="P35">
            <v>91.938000000000002</v>
          </cell>
          <cell r="Q35">
            <v>66.819000000000003</v>
          </cell>
          <cell r="R35">
            <v>92.665999999999997</v>
          </cell>
          <cell r="S35">
            <v>45.698</v>
          </cell>
          <cell r="T35">
            <v>62.752000000000002</v>
          </cell>
          <cell r="U35">
            <v>53.462000000000003</v>
          </cell>
          <cell r="V35">
            <v>45.435000000000002</v>
          </cell>
          <cell r="W35">
            <v>45.561</v>
          </cell>
          <cell r="X35">
            <v>61.173999999999999</v>
          </cell>
        </row>
        <row r="36">
          <cell r="D36" t="str">
            <v>z</v>
          </cell>
          <cell r="E36">
            <v>4.431</v>
          </cell>
          <cell r="F36">
            <v>4.7510000000000003</v>
          </cell>
          <cell r="G36">
            <v>5.08</v>
          </cell>
          <cell r="H36">
            <v>1.3640000000000001</v>
          </cell>
          <cell r="I36">
            <v>5.4450000000000003</v>
          </cell>
          <cell r="J36">
            <v>-8.3249999999999993</v>
          </cell>
          <cell r="K36">
            <v>2.911</v>
          </cell>
          <cell r="L36">
            <v>7.2089999999999996</v>
          </cell>
          <cell r="M36">
            <v>8.734</v>
          </cell>
          <cell r="N36">
            <v>5.2169999999999996</v>
          </cell>
          <cell r="O36">
            <v>0.68100000000000005</v>
          </cell>
          <cell r="P36">
            <v>1.712</v>
          </cell>
          <cell r="Q36">
            <v>2.6219999999999999</v>
          </cell>
          <cell r="R36">
            <v>2.16</v>
          </cell>
          <cell r="S36">
            <v>5.2839999999999998</v>
          </cell>
          <cell r="T36">
            <v>2.847</v>
          </cell>
          <cell r="U36">
            <v>2.7370000000000001</v>
          </cell>
          <cell r="V36">
            <v>3.7290000000000001</v>
          </cell>
          <cell r="W36">
            <v>3.0409999999999999</v>
          </cell>
          <cell r="X36">
            <v>9.7520000000000007</v>
          </cell>
        </row>
        <row r="37">
          <cell r="D37" t="str">
            <v>aa</v>
          </cell>
          <cell r="E37">
            <v>52.73</v>
          </cell>
          <cell r="F37">
            <v>37.246000000000002</v>
          </cell>
          <cell r="G37">
            <v>35.482999999999997</v>
          </cell>
          <cell r="H37">
            <v>41.006</v>
          </cell>
          <cell r="I37">
            <v>43.506999999999998</v>
          </cell>
          <cell r="J37">
            <v>12.957000000000001</v>
          </cell>
          <cell r="K37">
            <v>50.582999999999998</v>
          </cell>
          <cell r="L37">
            <v>72.447000000000003</v>
          </cell>
          <cell r="M37">
            <v>73.712999999999994</v>
          </cell>
          <cell r="N37">
            <v>90.341999999999999</v>
          </cell>
          <cell r="O37">
            <v>100.616</v>
          </cell>
          <cell r="P37">
            <v>104.18600000000001</v>
          </cell>
          <cell r="Q37">
            <v>104.455</v>
          </cell>
          <cell r="R37">
            <v>134.999</v>
          </cell>
          <cell r="S37">
            <v>136.14400000000001</v>
          </cell>
          <cell r="T37">
            <v>114.4</v>
          </cell>
          <cell r="U37">
            <v>106.271</v>
          </cell>
          <cell r="V37">
            <v>121.84</v>
          </cell>
          <cell r="W37">
            <v>142.34899999999999</v>
          </cell>
          <cell r="X37">
            <v>124.66500000000001</v>
          </cell>
        </row>
        <row r="38">
          <cell r="D38" t="str">
            <v>ab</v>
          </cell>
          <cell r="E38">
            <v>15.58</v>
          </cell>
          <cell r="F38">
            <v>28.55</v>
          </cell>
          <cell r="G38">
            <v>18.702000000000002</v>
          </cell>
          <cell r="H38">
            <v>28.762</v>
          </cell>
          <cell r="I38">
            <v>28.548999999999999</v>
          </cell>
          <cell r="J38">
            <v>-11.324</v>
          </cell>
          <cell r="K38">
            <v>19.991</v>
          </cell>
          <cell r="L38">
            <v>17.978999999999999</v>
          </cell>
          <cell r="M38">
            <v>23.373000000000001</v>
          </cell>
          <cell r="N38">
            <v>17.888999999999999</v>
          </cell>
          <cell r="O38">
            <v>17.974</v>
          </cell>
          <cell r="P38">
            <v>16.413</v>
          </cell>
          <cell r="Q38">
            <v>22.314</v>
          </cell>
          <cell r="R38">
            <v>23.065000000000001</v>
          </cell>
          <cell r="S38">
            <v>17.669</v>
          </cell>
          <cell r="T38">
            <v>17.347999999999999</v>
          </cell>
          <cell r="U38">
            <v>22.452000000000002</v>
          </cell>
          <cell r="V38">
            <v>22.228000000000002</v>
          </cell>
          <cell r="W38">
            <v>20.408000000000001</v>
          </cell>
          <cell r="X38">
            <v>22.914000000000001</v>
          </cell>
        </row>
        <row r="39">
          <cell r="D39" t="str">
            <v>ac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D40" t="str">
            <v>ad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E41">
            <v>137.60900000000001</v>
          </cell>
          <cell r="F41">
            <v>138.31900000000002</v>
          </cell>
          <cell r="G41">
            <v>126.49599999999998</v>
          </cell>
          <cell r="H41">
            <v>161.387</v>
          </cell>
          <cell r="I41">
            <v>161.64600000000002</v>
          </cell>
          <cell r="J41">
            <v>-193.03100000000001</v>
          </cell>
          <cell r="K41">
            <v>153.678</v>
          </cell>
          <cell r="L41">
            <v>164.375</v>
          </cell>
          <cell r="M41">
            <v>124.10899999999999</v>
          </cell>
          <cell r="N41">
            <v>158.84399999999999</v>
          </cell>
          <cell r="O41">
            <v>190.14999999999998</v>
          </cell>
          <cell r="P41">
            <v>252.99800000000002</v>
          </cell>
          <cell r="Q41">
            <v>245.178</v>
          </cell>
          <cell r="R41">
            <v>278.74200000000002</v>
          </cell>
          <cell r="S41">
            <v>230.64200000000002</v>
          </cell>
          <cell r="T41">
            <v>285.37100000000004</v>
          </cell>
          <cell r="U41">
            <v>213.11399999999998</v>
          </cell>
          <cell r="V41">
            <v>294.51200000000006</v>
          </cell>
          <cell r="W41">
            <v>382.64499999999998</v>
          </cell>
          <cell r="X41">
            <v>280.178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4">
          <cell r="D44" t="str">
            <v>ae</v>
          </cell>
          <cell r="E44">
            <v>15.191100000000002</v>
          </cell>
          <cell r="F44">
            <v>16.794499999999999</v>
          </cell>
          <cell r="G44">
            <v>16.941099999999999</v>
          </cell>
          <cell r="H44">
            <v>7.8482000000000003</v>
          </cell>
          <cell r="I44">
            <v>10.652500000000002</v>
          </cell>
          <cell r="J44">
            <v>18.014700000000001</v>
          </cell>
          <cell r="K44">
            <v>10.1873</v>
          </cell>
          <cell r="L44">
            <v>16.888300000000001</v>
          </cell>
          <cell r="M44">
            <v>21.267399999999999</v>
          </cell>
          <cell r="N44">
            <v>15.177700000000002</v>
          </cell>
          <cell r="O44">
            <v>25.687500000000004</v>
          </cell>
          <cell r="P44">
            <v>16.878399999999999</v>
          </cell>
          <cell r="Q44">
            <v>19.729200000000002</v>
          </cell>
          <cell r="R44">
            <v>33.602200000000003</v>
          </cell>
          <cell r="S44">
            <v>25.708300000000001</v>
          </cell>
          <cell r="T44">
            <v>23.747100000000003</v>
          </cell>
          <cell r="U44">
            <v>20.713500000000003</v>
          </cell>
          <cell r="V44">
            <v>28.581899999999997</v>
          </cell>
          <cell r="W44">
            <v>17.8002</v>
          </cell>
          <cell r="X44">
            <v>20.401800000000001</v>
          </cell>
          <cell r="Y44">
            <v>24.52</v>
          </cell>
          <cell r="Z44">
            <v>27.25</v>
          </cell>
          <cell r="AA44">
            <v>28.75</v>
          </cell>
          <cell r="AB44">
            <v>30.4</v>
          </cell>
        </row>
        <row r="45">
          <cell r="D45" t="str">
            <v>af</v>
          </cell>
          <cell r="E45">
            <v>4.7531303000000005</v>
          </cell>
          <cell r="F45">
            <v>5.3322959000000001</v>
          </cell>
          <cell r="G45">
            <v>5.5708071999999991</v>
          </cell>
          <cell r="H45">
            <v>2.9859696000000002</v>
          </cell>
          <cell r="I45">
            <v>3.6893572999999997</v>
          </cell>
          <cell r="J45">
            <v>6.1352845000000009</v>
          </cell>
          <cell r="K45">
            <v>3.7708906</v>
          </cell>
          <cell r="L45">
            <v>6.1402996000000005</v>
          </cell>
          <cell r="M45">
            <v>7.1928469000000002</v>
          </cell>
          <cell r="N45">
            <v>5.1891557000000006</v>
          </cell>
          <cell r="O45">
            <v>8.8808602000000008</v>
          </cell>
          <cell r="P45">
            <v>5.7606599999999997</v>
          </cell>
          <cell r="Q45">
            <v>6.5794725999999999</v>
          </cell>
          <cell r="R45">
            <v>11.291837099999999</v>
          </cell>
          <cell r="S45">
            <v>8.6399737000000005</v>
          </cell>
          <cell r="T45">
            <v>7.8959620000000008</v>
          </cell>
          <cell r="U45">
            <v>7.3987292999999994</v>
          </cell>
          <cell r="V45">
            <v>10.127897600000001</v>
          </cell>
          <cell r="W45">
            <v>5.6843056000000001</v>
          </cell>
          <cell r="X45">
            <v>7.4593899000000006</v>
          </cell>
          <cell r="Y45">
            <v>8.2970600000000001</v>
          </cell>
          <cell r="Z45">
            <v>9.1164500000000004</v>
          </cell>
          <cell r="AA45">
            <v>9.7200500000000005</v>
          </cell>
          <cell r="AB45">
            <v>10.3874</v>
          </cell>
        </row>
        <row r="46">
          <cell r="D46" t="str">
            <v>ag</v>
          </cell>
          <cell r="E46">
            <v>3.8453155000000008</v>
          </cell>
          <cell r="F46">
            <v>4.3049305000000002</v>
          </cell>
          <cell r="G46">
            <v>4.4950620000000008</v>
          </cell>
          <cell r="H46">
            <v>2.4149124999999998</v>
          </cell>
          <cell r="I46">
            <v>2.9692975000000001</v>
          </cell>
          <cell r="J46">
            <v>4.9540075000000003</v>
          </cell>
          <cell r="K46">
            <v>3.0412850000000002</v>
          </cell>
          <cell r="L46">
            <v>4.9694320000000003</v>
          </cell>
          <cell r="M46">
            <v>5.8062940000000003</v>
          </cell>
          <cell r="N46">
            <v>4.1926300000000003</v>
          </cell>
          <cell r="O46">
            <v>7.1701955000000002</v>
          </cell>
          <cell r="P46">
            <v>4.6605000000000008</v>
          </cell>
          <cell r="Q46">
            <v>5.2391389000000004</v>
          </cell>
          <cell r="R46">
            <v>9.0237441</v>
          </cell>
          <cell r="S46">
            <v>6.9128035000000008</v>
          </cell>
          <cell r="T46">
            <v>6.3153364000000005</v>
          </cell>
          <cell r="U46">
            <v>5.9203238999999996</v>
          </cell>
          <cell r="V46">
            <v>8.0860304000000003</v>
          </cell>
          <cell r="W46">
            <v>4.5240020000000003</v>
          </cell>
          <cell r="X46">
            <v>5.9623600000000012</v>
          </cell>
          <cell r="Y46">
            <v>6.62819</v>
          </cell>
          <cell r="Z46">
            <v>7.277000000000001</v>
          </cell>
          <cell r="AA46">
            <v>7.7645000000000008</v>
          </cell>
          <cell r="AB46">
            <v>8.2895000000000021</v>
          </cell>
        </row>
        <row r="47">
          <cell r="D47" t="str">
            <v>ah</v>
          </cell>
          <cell r="E47">
            <v>69.919303333333332</v>
          </cell>
          <cell r="F47">
            <v>77.723913333333329</v>
          </cell>
          <cell r="G47">
            <v>75.876933333333326</v>
          </cell>
          <cell r="H47">
            <v>90.620003333333329</v>
          </cell>
          <cell r="I47">
            <v>71.852003333333329</v>
          </cell>
          <cell r="J47">
            <v>79.129673333333329</v>
          </cell>
          <cell r="K47">
            <v>80.456583333333327</v>
          </cell>
          <cell r="L47">
            <v>81.454316666666685</v>
          </cell>
          <cell r="M47">
            <v>73.568783333333329</v>
          </cell>
          <cell r="N47">
            <v>64.211893333333336</v>
          </cell>
          <cell r="O47">
            <v>67.231193333333337</v>
          </cell>
          <cell r="P47">
            <v>69.251173333333327</v>
          </cell>
          <cell r="Q47">
            <v>71.812903333333338</v>
          </cell>
          <cell r="R47">
            <v>75.110053333333326</v>
          </cell>
          <cell r="S47">
            <v>87.826269999999994</v>
          </cell>
          <cell r="T47">
            <v>68.402159999999995</v>
          </cell>
          <cell r="U47">
            <v>68.61327</v>
          </cell>
          <cell r="V47">
            <v>76.17770999999999</v>
          </cell>
          <cell r="W47">
            <v>67.733159999999998</v>
          </cell>
          <cell r="X47">
            <v>67.244</v>
          </cell>
          <cell r="Y47">
            <v>68.569159999999997</v>
          </cell>
          <cell r="Z47">
            <v>68.569159999999997</v>
          </cell>
          <cell r="AA47">
            <v>68.569159999999997</v>
          </cell>
          <cell r="AB47">
            <v>68.569159999999997</v>
          </cell>
        </row>
        <row r="48">
          <cell r="E48">
            <v>93.708849133333331</v>
          </cell>
          <cell r="F48">
            <v>104.15563973333333</v>
          </cell>
          <cell r="G48">
            <v>102.88390253333333</v>
          </cell>
          <cell r="H48">
            <v>103.86908543333332</v>
          </cell>
          <cell r="I48">
            <v>89.163158133333326</v>
          </cell>
          <cell r="J48">
            <v>108.23366533333333</v>
          </cell>
          <cell r="K48">
            <v>97.456058933333324</v>
          </cell>
          <cell r="L48">
            <v>109.45234826666669</v>
          </cell>
          <cell r="M48">
            <v>107.83532423333332</v>
          </cell>
          <cell r="N48">
            <v>88.771379033333346</v>
          </cell>
          <cell r="O48">
            <v>108.96974903333333</v>
          </cell>
          <cell r="P48">
            <v>96.550733333333326</v>
          </cell>
          <cell r="Q48">
            <v>103.36071483333333</v>
          </cell>
          <cell r="R48">
            <v>129.02783453333333</v>
          </cell>
          <cell r="S48">
            <v>129.08734720000001</v>
          </cell>
          <cell r="T48">
            <v>106.3605584</v>
          </cell>
          <cell r="U48">
            <v>102.6458232</v>
          </cell>
          <cell r="V48">
            <v>122.97353799999999</v>
          </cell>
          <cell r="W48">
            <v>95.7416676</v>
          </cell>
          <cell r="X48">
            <v>101.0675499</v>
          </cell>
          <cell r="Y48">
            <v>108.01441</v>
          </cell>
          <cell r="Z48">
            <v>112.21261</v>
          </cell>
          <cell r="AA48">
            <v>114.80371</v>
          </cell>
          <cell r="AB48">
            <v>117.64606000000001</v>
          </cell>
        </row>
        <row r="50">
          <cell r="E50">
            <v>231.31784913333334</v>
          </cell>
          <cell r="F50">
            <v>242.47463973333333</v>
          </cell>
          <cell r="G50">
            <v>229.37990253333331</v>
          </cell>
          <cell r="H50">
            <v>265.25608543333334</v>
          </cell>
          <cell r="I50">
            <v>250.80915813333334</v>
          </cell>
          <cell r="J50">
            <v>-84.797334666666671</v>
          </cell>
          <cell r="K50">
            <v>251.13405893333334</v>
          </cell>
          <cell r="L50">
            <v>273.82734826666672</v>
          </cell>
          <cell r="M50">
            <v>231.9443242333333</v>
          </cell>
          <cell r="N50">
            <v>247.61537903333334</v>
          </cell>
          <cell r="O50">
            <v>299.11974903333328</v>
          </cell>
          <cell r="P50">
            <v>349.54873333333336</v>
          </cell>
          <cell r="Q50">
            <v>348.5387148333333</v>
          </cell>
          <cell r="R50">
            <v>407.76983453333332</v>
          </cell>
          <cell r="S50">
            <v>359.72934720000001</v>
          </cell>
          <cell r="T50">
            <v>391.73155840000004</v>
          </cell>
          <cell r="U50">
            <v>315.75982319999997</v>
          </cell>
          <cell r="V50">
            <v>417.48553800000002</v>
          </cell>
          <cell r="W50">
            <v>478.38666760000001</v>
          </cell>
          <cell r="X50">
            <v>381.24554990000001</v>
          </cell>
          <cell r="Y50">
            <v>108.01441</v>
          </cell>
          <cell r="Z50">
            <v>112.21261</v>
          </cell>
          <cell r="AA50">
            <v>114.80371</v>
          </cell>
          <cell r="AB50">
            <v>117.64606000000001</v>
          </cell>
        </row>
        <row r="51">
          <cell r="E51">
            <v>1.9549694407117242</v>
          </cell>
          <cell r="F51">
            <v>1.826000751060572</v>
          </cell>
          <cell r="G51">
            <v>1.6577285721856858</v>
          </cell>
          <cell r="H51">
            <v>3.5698282138931878</v>
          </cell>
          <cell r="I51">
            <v>2.7451939858950927</v>
          </cell>
          <cell r="J51">
            <v>-0.55629979903475446</v>
          </cell>
          <cell r="K51">
            <v>2.6836869663097453</v>
          </cell>
          <cell r="L51">
            <v>1.79078633871562</v>
          </cell>
          <cell r="M51">
            <v>1.2980263262260523</v>
          </cell>
          <cell r="N51">
            <v>1.9194395447686379</v>
          </cell>
          <cell r="O51">
            <v>1.3540650914797461</v>
          </cell>
          <cell r="P51">
            <v>2.4344207188258835</v>
          </cell>
          <cell r="Q51">
            <v>1.9057703423626371</v>
          </cell>
          <cell r="R51">
            <v>1.4607238767332007</v>
          </cell>
          <cell r="S51">
            <v>1.6844968096912714</v>
          </cell>
          <cell r="T51">
            <v>2.0061945723928489</v>
          </cell>
          <cell r="U51">
            <v>1.7258596136818287</v>
          </cell>
          <cell r="V51">
            <v>1.6698553195233847</v>
          </cell>
          <cell r="W51">
            <v>3.3768391199079537</v>
          </cell>
          <cell r="X51">
            <v>2.0657333501303121</v>
          </cell>
          <cell r="Y51">
            <v>0.52664266211604094</v>
          </cell>
          <cell r="Z51">
            <v>0.49761689578713969</v>
          </cell>
          <cell r="AA51">
            <v>0.47735430353430353</v>
          </cell>
          <cell r="AB51">
            <v>0.45776677042801561</v>
          </cell>
        </row>
        <row r="53">
          <cell r="E53">
            <v>-112.99484913333335</v>
          </cell>
          <cell r="F53">
            <v>-109.68463973333334</v>
          </cell>
          <cell r="G53">
            <v>-91.009902533333332</v>
          </cell>
          <cell r="H53">
            <v>-190.95108543333333</v>
          </cell>
          <cell r="I53">
            <v>-159.44615813333334</v>
          </cell>
          <cell r="J53">
            <v>237.22833466666668</v>
          </cell>
          <cell r="K53">
            <v>-157.55605893333336</v>
          </cell>
          <cell r="L53">
            <v>-120.91834826666673</v>
          </cell>
          <cell r="M53">
            <v>-53.254324233333278</v>
          </cell>
          <cell r="N53">
            <v>-118.61137903333335</v>
          </cell>
          <cell r="O53">
            <v>-78.214749033333305</v>
          </cell>
          <cell r="P53">
            <v>-205.96273333333335</v>
          </cell>
          <cell r="Q53">
            <v>-165.65271483333328</v>
          </cell>
          <cell r="R53">
            <v>-128.61383453333337</v>
          </cell>
          <cell r="S53">
            <v>-146.17634720000004</v>
          </cell>
          <cell r="T53">
            <v>-196.47055840000004</v>
          </cell>
          <cell r="U53">
            <v>-132.8018232</v>
          </cell>
          <cell r="V53">
            <v>-167.47253800000001</v>
          </cell>
          <cell r="W53">
            <v>-336.71966760000004</v>
          </cell>
          <cell r="X53">
            <v>-196.68854990000003</v>
          </cell>
          <cell r="Y53">
            <v>97.085589999999996</v>
          </cell>
          <cell r="Z53">
            <v>113.28739</v>
          </cell>
          <cell r="AA53">
            <v>125.69629</v>
          </cell>
          <cell r="AB53">
            <v>139.35393999999999</v>
          </cell>
        </row>
        <row r="54">
          <cell r="E54">
            <v>-0.95496944071172429</v>
          </cell>
          <cell r="F54">
            <v>-0.82600075106057191</v>
          </cell>
          <cell r="G54">
            <v>-0.65772857218568581</v>
          </cell>
          <cell r="H54">
            <v>-2.5698282138931878</v>
          </cell>
          <cell r="I54">
            <v>-1.7451939858950927</v>
          </cell>
          <cell r="J54">
            <v>1.5562997990347545</v>
          </cell>
          <cell r="K54">
            <v>-1.6836869663097456</v>
          </cell>
          <cell r="L54">
            <v>-0.79078633871561999</v>
          </cell>
          <cell r="M54">
            <v>-0.29802632622605224</v>
          </cell>
          <cell r="N54">
            <v>-0.91943954476863787</v>
          </cell>
          <cell r="O54">
            <v>-0.35406509147974613</v>
          </cell>
          <cell r="P54">
            <v>-1.4344207188258837</v>
          </cell>
          <cell r="Q54">
            <v>-0.90577034236263709</v>
          </cell>
          <cell r="R54">
            <v>-0.46072387673320081</v>
          </cell>
          <cell r="S54">
            <v>-0.68449680969127125</v>
          </cell>
          <cell r="T54">
            <v>-1.0061945723928487</v>
          </cell>
          <cell r="U54">
            <v>-0.72585961368182872</v>
          </cell>
          <cell r="V54">
            <v>-0.66985531952338484</v>
          </cell>
          <cell r="W54">
            <v>-2.3768391199079537</v>
          </cell>
          <cell r="X54">
            <v>-1.0657333501303123</v>
          </cell>
          <cell r="Y54">
            <v>0.47335733788395906</v>
          </cell>
          <cell r="Z54">
            <v>0.50238310421286037</v>
          </cell>
          <cell r="AA54">
            <v>0.52264569646569647</v>
          </cell>
          <cell r="AB54">
            <v>0.54223322957198439</v>
          </cell>
        </row>
        <row r="56">
          <cell r="D56" t="str">
            <v>ai</v>
          </cell>
          <cell r="E56">
            <v>-7.6999999999999999E-2</v>
          </cell>
          <cell r="F56">
            <v>-7.3999999999999996E-2</v>
          </cell>
          <cell r="G56">
            <v>-7.6999999999999999E-2</v>
          </cell>
          <cell r="H56">
            <v>-7.6999999999999999E-2</v>
          </cell>
          <cell r="I56">
            <v>0</v>
          </cell>
          <cell r="J56">
            <v>-0.23300000000000001</v>
          </cell>
          <cell r="K56">
            <v>-0.22600000000000001</v>
          </cell>
          <cell r="L56">
            <v>-9.2940000000000005</v>
          </cell>
          <cell r="M56">
            <v>-3.794</v>
          </cell>
          <cell r="N56">
            <v>-4.6989999999999998</v>
          </cell>
          <cell r="O56">
            <v>-5.1539999999999999</v>
          </cell>
          <cell r="P56">
            <v>-5.3959999999999999</v>
          </cell>
          <cell r="Q56">
            <v>-5.5140000000000002</v>
          </cell>
          <cell r="R56">
            <v>-5.4249999999999998</v>
          </cell>
          <cell r="S56">
            <v>-5.5830000000000002</v>
          </cell>
          <cell r="T56">
            <v>-28.997</v>
          </cell>
          <cell r="U56">
            <v>-26.475999999999999</v>
          </cell>
          <cell r="V56">
            <v>-29.637</v>
          </cell>
          <cell r="W56">
            <v>-28.8</v>
          </cell>
          <cell r="X56">
            <v>-29.707999999999998</v>
          </cell>
        </row>
        <row r="57">
          <cell r="E57">
            <v>-7.6999999999999999E-2</v>
          </cell>
          <cell r="F57">
            <v>-7.3999999999999996E-2</v>
          </cell>
          <cell r="G57">
            <v>-7.6999999999999999E-2</v>
          </cell>
          <cell r="H57">
            <v>-7.6999999999999999E-2</v>
          </cell>
          <cell r="I57">
            <v>0</v>
          </cell>
          <cell r="J57">
            <v>-0.23300000000000001</v>
          </cell>
          <cell r="K57">
            <v>-0.22600000000000001</v>
          </cell>
          <cell r="L57">
            <v>-9.2940000000000005</v>
          </cell>
          <cell r="M57">
            <v>-3.794</v>
          </cell>
          <cell r="N57">
            <v>-4.6989999999999998</v>
          </cell>
          <cell r="O57">
            <v>-5.1539999999999999</v>
          </cell>
          <cell r="P57">
            <v>-5.3959999999999999</v>
          </cell>
          <cell r="Q57">
            <v>-5.5140000000000002</v>
          </cell>
          <cell r="R57">
            <v>-5.4249999999999998</v>
          </cell>
          <cell r="S57">
            <v>-5.5830000000000002</v>
          </cell>
          <cell r="T57">
            <v>-28.997</v>
          </cell>
          <cell r="U57">
            <v>-26.475999999999999</v>
          </cell>
          <cell r="V57">
            <v>-29.637</v>
          </cell>
          <cell r="W57">
            <v>-28.8</v>
          </cell>
          <cell r="X57">
            <v>-29.707999999999998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9">
          <cell r="E59">
            <v>-113.07184913333334</v>
          </cell>
          <cell r="F59">
            <v>-109.75863973333334</v>
          </cell>
          <cell r="G59">
            <v>-91.08690253333333</v>
          </cell>
          <cell r="H59">
            <v>-191.02808543333333</v>
          </cell>
          <cell r="I59">
            <v>-159.44615813333334</v>
          </cell>
          <cell r="J59">
            <v>236.99533466666668</v>
          </cell>
          <cell r="K59">
            <v>-157.78205893333336</v>
          </cell>
          <cell r="L59">
            <v>-130.21234826666674</v>
          </cell>
          <cell r="M59">
            <v>-57.048324233333275</v>
          </cell>
          <cell r="N59">
            <v>-123.31037903333335</v>
          </cell>
          <cell r="O59">
            <v>-83.368749033333302</v>
          </cell>
          <cell r="P59">
            <v>-211.35873333333333</v>
          </cell>
          <cell r="Q59">
            <v>-171.16671483333329</v>
          </cell>
          <cell r="R59">
            <v>-134.03883453333339</v>
          </cell>
          <cell r="S59">
            <v>-151.75934720000004</v>
          </cell>
          <cell r="T59">
            <v>-225.46755840000003</v>
          </cell>
          <cell r="U59">
            <v>-159.2778232</v>
          </cell>
          <cell r="V59">
            <v>-197.10953800000001</v>
          </cell>
          <cell r="W59">
            <v>-365.51966760000005</v>
          </cell>
          <cell r="X59">
            <v>-226.39654990000002</v>
          </cell>
          <cell r="Y59">
            <v>97.085589999999996</v>
          </cell>
          <cell r="Z59">
            <v>113.28739</v>
          </cell>
          <cell r="AA59">
            <v>125.69629</v>
          </cell>
          <cell r="AB59">
            <v>139.35393999999999</v>
          </cell>
        </row>
        <row r="60">
          <cell r="E60">
            <v>-0.9556202017640979</v>
          </cell>
          <cell r="F60">
            <v>-0.8265580219394032</v>
          </cell>
          <cell r="G60">
            <v>-0.65828505119125058</v>
          </cell>
          <cell r="H60">
            <v>-2.5708644833232395</v>
          </cell>
          <cell r="I60">
            <v>-1.7451939858950927</v>
          </cell>
          <cell r="J60">
            <v>1.5547712385713317</v>
          </cell>
          <cell r="K60">
            <v>-1.6861020638754127</v>
          </cell>
          <cell r="L60">
            <v>-0.85156758769377039</v>
          </cell>
          <cell r="M60">
            <v>-0.31925862797768911</v>
          </cell>
          <cell r="N60">
            <v>-0.95586477189337815</v>
          </cell>
          <cell r="O60">
            <v>-0.37739638773831879</v>
          </cell>
          <cell r="P60">
            <v>-1.4720009843113766</v>
          </cell>
          <cell r="Q60">
            <v>-0.93592027182689363</v>
          </cell>
          <cell r="R60">
            <v>-0.48015745509082164</v>
          </cell>
          <cell r="S60">
            <v>-0.71064020266631733</v>
          </cell>
          <cell r="T60">
            <v>-1.1546983698741686</v>
          </cell>
          <cell r="U60">
            <v>-0.87057042162682163</v>
          </cell>
          <cell r="V60">
            <v>-0.78839715534792199</v>
          </cell>
          <cell r="W60">
            <v>-2.580132759217038</v>
          </cell>
          <cell r="X60">
            <v>-1.2267025899857498</v>
          </cell>
          <cell r="Y60">
            <v>0.47335733788395906</v>
          </cell>
          <cell r="Z60">
            <v>0.50238310421286037</v>
          </cell>
          <cell r="AA60">
            <v>0.52264569646569647</v>
          </cell>
          <cell r="AB60">
            <v>0.54223322957198439</v>
          </cell>
        </row>
        <row r="62">
          <cell r="E62">
            <v>146.05915086666664</v>
          </cell>
          <cell r="F62">
            <v>149.37236026666665</v>
          </cell>
          <cell r="G62">
            <v>187.69609746666669</v>
          </cell>
          <cell r="H62">
            <v>88.141914566666685</v>
          </cell>
          <cell r="I62">
            <v>119.72384186666667</v>
          </cell>
          <cell r="J62">
            <v>554.62633466666671</v>
          </cell>
          <cell r="K62">
            <v>117.06194106666663</v>
          </cell>
          <cell r="L62">
            <v>153.91865173333323</v>
          </cell>
          <cell r="M62">
            <v>227.08267576666668</v>
          </cell>
          <cell r="N62">
            <v>160.82062096666664</v>
          </cell>
          <cell r="O62">
            <v>200.76225096666667</v>
          </cell>
          <cell r="P62">
            <v>-1692.2277333333332</v>
          </cell>
          <cell r="Q62">
            <v>111.70328516666672</v>
          </cell>
          <cell r="R62">
            <v>148.83116546666662</v>
          </cell>
          <cell r="S62">
            <v>131.11065279999997</v>
          </cell>
          <cell r="T62">
            <v>57.402441599999975</v>
          </cell>
          <cell r="U62">
            <v>123.5921768</v>
          </cell>
          <cell r="V62">
            <v>85.76046199999999</v>
          </cell>
          <cell r="W62">
            <v>-82.649667600000043</v>
          </cell>
          <cell r="X62">
            <v>56.47345009999998</v>
          </cell>
          <cell r="Y62">
            <v>379.95559000000003</v>
          </cell>
          <cell r="Z62">
            <v>396.15739000000002</v>
          </cell>
          <cell r="AA62">
            <v>408.56628999999998</v>
          </cell>
          <cell r="AB62">
            <v>422.22393999999997</v>
          </cell>
        </row>
      </sheetData>
      <sheetData sheetId="13">
        <row r="3">
          <cell r="D3">
            <v>1</v>
          </cell>
          <cell r="E3">
            <v>2</v>
          </cell>
          <cell r="F3">
            <v>3</v>
          </cell>
          <cell r="G3">
            <v>4</v>
          </cell>
          <cell r="H3">
            <v>5</v>
          </cell>
          <cell r="I3">
            <v>6</v>
          </cell>
          <cell r="J3">
            <v>7</v>
          </cell>
          <cell r="K3">
            <v>8</v>
          </cell>
          <cell r="L3">
            <v>9</v>
          </cell>
          <cell r="M3">
            <v>10</v>
          </cell>
          <cell r="N3">
            <v>11</v>
          </cell>
          <cell r="O3">
            <v>12</v>
          </cell>
          <cell r="P3">
            <v>13</v>
          </cell>
          <cell r="Q3">
            <v>14</v>
          </cell>
          <cell r="R3">
            <v>15</v>
          </cell>
          <cell r="S3">
            <v>16</v>
          </cell>
          <cell r="T3">
            <v>17</v>
          </cell>
          <cell r="U3">
            <v>18</v>
          </cell>
          <cell r="V3">
            <v>19</v>
          </cell>
          <cell r="W3">
            <v>20</v>
          </cell>
          <cell r="X3">
            <v>21</v>
          </cell>
          <cell r="Y3">
            <v>22</v>
          </cell>
          <cell r="Z3">
            <v>23</v>
          </cell>
          <cell r="AA3">
            <v>24</v>
          </cell>
          <cell r="AB3">
            <v>25</v>
          </cell>
        </row>
        <row r="4">
          <cell r="E4">
            <v>39722</v>
          </cell>
          <cell r="F4">
            <v>39753</v>
          </cell>
          <cell r="G4">
            <v>39783</v>
          </cell>
          <cell r="H4">
            <v>39814</v>
          </cell>
          <cell r="I4">
            <v>39845</v>
          </cell>
          <cell r="J4">
            <v>39873</v>
          </cell>
          <cell r="K4">
            <v>39904</v>
          </cell>
          <cell r="L4">
            <v>39934</v>
          </cell>
          <cell r="M4">
            <v>39965</v>
          </cell>
          <cell r="N4">
            <v>39995</v>
          </cell>
          <cell r="O4">
            <v>40026</v>
          </cell>
          <cell r="P4">
            <v>40057</v>
          </cell>
          <cell r="Q4">
            <v>40087</v>
          </cell>
          <cell r="R4">
            <v>40118</v>
          </cell>
          <cell r="S4">
            <v>40148</v>
          </cell>
          <cell r="T4">
            <v>40179</v>
          </cell>
          <cell r="U4">
            <v>40210</v>
          </cell>
          <cell r="V4">
            <v>40238</v>
          </cell>
          <cell r="W4">
            <v>40269</v>
          </cell>
          <cell r="X4">
            <v>40299</v>
          </cell>
          <cell r="Y4">
            <v>40330</v>
          </cell>
          <cell r="Z4">
            <v>40360</v>
          </cell>
          <cell r="AA4">
            <v>40391</v>
          </cell>
          <cell r="AB4">
            <v>40422</v>
          </cell>
        </row>
        <row r="6">
          <cell r="E6">
            <v>56.119</v>
          </cell>
          <cell r="F6">
            <v>56.119</v>
          </cell>
          <cell r="G6">
            <v>56.119</v>
          </cell>
          <cell r="H6">
            <v>69.477837500000007</v>
          </cell>
          <cell r="I6">
            <v>70.413174999999995</v>
          </cell>
          <cell r="J6">
            <v>77.623175000000003</v>
          </cell>
          <cell r="K6">
            <v>61.337174999999995</v>
          </cell>
          <cell r="L6">
            <v>64.772512500000005</v>
          </cell>
          <cell r="M6">
            <v>65.772512500000005</v>
          </cell>
          <cell r="N6">
            <v>68.585512499999993</v>
          </cell>
          <cell r="O6">
            <v>65.522000000000006</v>
          </cell>
          <cell r="P6">
            <v>65.521000000000001</v>
          </cell>
          <cell r="Q6">
            <v>113.5</v>
          </cell>
          <cell r="R6">
            <v>118.5</v>
          </cell>
          <cell r="S6">
            <v>118.5</v>
          </cell>
          <cell r="T6">
            <v>123.5</v>
          </cell>
          <cell r="U6">
            <v>135.5</v>
          </cell>
          <cell r="V6">
            <v>145.5</v>
          </cell>
          <cell r="W6">
            <v>161</v>
          </cell>
          <cell r="X6">
            <v>175</v>
          </cell>
          <cell r="Y6">
            <v>179</v>
          </cell>
          <cell r="Z6">
            <v>205</v>
          </cell>
          <cell r="AA6">
            <v>209</v>
          </cell>
          <cell r="AB6">
            <v>223</v>
          </cell>
        </row>
        <row r="7">
          <cell r="D7" t="str">
            <v>a</v>
          </cell>
          <cell r="E7">
            <v>36.923999999999999</v>
          </cell>
          <cell r="F7">
            <v>36.923999999999999</v>
          </cell>
          <cell r="G7">
            <v>36.923999999999999</v>
          </cell>
          <cell r="H7">
            <v>38.942</v>
          </cell>
          <cell r="I7">
            <v>38.942</v>
          </cell>
          <cell r="J7">
            <v>40.942</v>
          </cell>
          <cell r="K7">
            <v>17.98</v>
          </cell>
          <cell r="L7">
            <v>17.98</v>
          </cell>
          <cell r="M7">
            <v>17.98</v>
          </cell>
          <cell r="N7">
            <v>19.978000000000002</v>
          </cell>
          <cell r="O7">
            <v>17.978000000000002</v>
          </cell>
          <cell r="P7">
            <v>17.978000000000002</v>
          </cell>
          <cell r="Q7">
            <v>25</v>
          </cell>
          <cell r="R7">
            <v>25</v>
          </cell>
          <cell r="S7">
            <v>25</v>
          </cell>
          <cell r="T7">
            <v>30</v>
          </cell>
          <cell r="U7">
            <v>30</v>
          </cell>
          <cell r="V7">
            <v>40</v>
          </cell>
          <cell r="W7">
            <v>40</v>
          </cell>
          <cell r="X7">
            <v>50</v>
          </cell>
          <cell r="Y7">
            <v>50</v>
          </cell>
          <cell r="Z7">
            <v>60</v>
          </cell>
          <cell r="AA7">
            <v>60</v>
          </cell>
          <cell r="AB7">
            <v>70</v>
          </cell>
        </row>
        <row r="8">
          <cell r="D8" t="str">
            <v>b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31</v>
          </cell>
          <cell r="R8">
            <v>36</v>
          </cell>
          <cell r="S8">
            <v>36</v>
          </cell>
          <cell r="T8">
            <v>31</v>
          </cell>
          <cell r="U8">
            <v>36</v>
          </cell>
          <cell r="V8">
            <v>36</v>
          </cell>
          <cell r="W8">
            <v>41</v>
          </cell>
          <cell r="X8">
            <v>45</v>
          </cell>
          <cell r="Y8">
            <v>49</v>
          </cell>
          <cell r="Z8">
            <v>53</v>
          </cell>
          <cell r="AA8">
            <v>57</v>
          </cell>
          <cell r="AB8">
            <v>61</v>
          </cell>
        </row>
        <row r="9">
          <cell r="D9" t="str">
            <v>c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20</v>
          </cell>
          <cell r="R9">
            <v>20</v>
          </cell>
          <cell r="S9">
            <v>20</v>
          </cell>
          <cell r="T9">
            <v>20</v>
          </cell>
          <cell r="U9">
            <v>25</v>
          </cell>
          <cell r="V9">
            <v>25</v>
          </cell>
          <cell r="W9">
            <v>30</v>
          </cell>
          <cell r="X9">
            <v>30</v>
          </cell>
          <cell r="Y9">
            <v>30</v>
          </cell>
          <cell r="Z9">
            <v>35</v>
          </cell>
          <cell r="AA9">
            <v>35</v>
          </cell>
          <cell r="AB9">
            <v>35</v>
          </cell>
        </row>
        <row r="10">
          <cell r="D10" t="str">
            <v>d</v>
          </cell>
          <cell r="E10">
            <v>9.1950000000000003</v>
          </cell>
          <cell r="F10">
            <v>9.1950000000000003</v>
          </cell>
          <cell r="G10">
            <v>9.1950000000000003</v>
          </cell>
          <cell r="H10">
            <v>13.615</v>
          </cell>
          <cell r="I10">
            <v>13.614000000000001</v>
          </cell>
          <cell r="J10">
            <v>14.614000000000001</v>
          </cell>
          <cell r="K10">
            <v>20.29</v>
          </cell>
          <cell r="L10">
            <v>20.289000000000001</v>
          </cell>
          <cell r="M10">
            <v>20.289000000000001</v>
          </cell>
          <cell r="N10">
            <v>21.103999999999999</v>
          </cell>
          <cell r="O10">
            <v>20.103000000000002</v>
          </cell>
          <cell r="P10">
            <v>20.103000000000002</v>
          </cell>
          <cell r="Q10">
            <v>15</v>
          </cell>
          <cell r="R10">
            <v>15</v>
          </cell>
          <cell r="S10">
            <v>15</v>
          </cell>
          <cell r="T10">
            <v>20</v>
          </cell>
          <cell r="U10">
            <v>22</v>
          </cell>
          <cell r="V10">
            <v>22</v>
          </cell>
          <cell r="W10">
            <v>25</v>
          </cell>
          <cell r="X10">
            <v>25</v>
          </cell>
          <cell r="Y10">
            <v>25</v>
          </cell>
          <cell r="Z10">
            <v>27</v>
          </cell>
          <cell r="AA10">
            <v>27</v>
          </cell>
          <cell r="AB10">
            <v>27</v>
          </cell>
        </row>
        <row r="11">
          <cell r="D11" t="str">
            <v>e</v>
          </cell>
          <cell r="E11">
            <v>10</v>
          </cell>
          <cell r="F11">
            <v>10</v>
          </cell>
          <cell r="G11">
            <v>10</v>
          </cell>
          <cell r="H11">
            <v>16.920837500000001</v>
          </cell>
          <cell r="I11">
            <v>17.857174999999998</v>
          </cell>
          <cell r="J11">
            <v>22.067174999999999</v>
          </cell>
          <cell r="K11">
            <v>23.067174999999999</v>
          </cell>
          <cell r="L11">
            <v>26.503512499999999</v>
          </cell>
          <cell r="M11">
            <v>27.503512499999999</v>
          </cell>
          <cell r="N11">
            <v>27.503512499999999</v>
          </cell>
          <cell r="O11">
            <v>27.440999999999999</v>
          </cell>
          <cell r="P11">
            <v>27.44</v>
          </cell>
          <cell r="Q11">
            <v>22.5</v>
          </cell>
          <cell r="R11">
            <v>22.5</v>
          </cell>
          <cell r="S11">
            <v>22.5</v>
          </cell>
          <cell r="T11">
            <v>22.5</v>
          </cell>
          <cell r="U11">
            <v>22.5</v>
          </cell>
          <cell r="V11">
            <v>22.5</v>
          </cell>
          <cell r="W11">
            <v>25</v>
          </cell>
          <cell r="X11">
            <v>25</v>
          </cell>
          <cell r="Y11">
            <v>25</v>
          </cell>
          <cell r="Z11">
            <v>30</v>
          </cell>
          <cell r="AA11">
            <v>30</v>
          </cell>
          <cell r="AB11">
            <v>30</v>
          </cell>
        </row>
        <row r="12">
          <cell r="E12">
            <v>6</v>
          </cell>
          <cell r="F12">
            <v>6</v>
          </cell>
          <cell r="G12">
            <v>7</v>
          </cell>
          <cell r="H12">
            <v>7</v>
          </cell>
          <cell r="I12">
            <v>8</v>
          </cell>
          <cell r="J12">
            <v>8</v>
          </cell>
          <cell r="K12">
            <v>9</v>
          </cell>
          <cell r="L12">
            <v>9</v>
          </cell>
          <cell r="M12">
            <v>10</v>
          </cell>
          <cell r="N12">
            <v>10</v>
          </cell>
          <cell r="O12">
            <v>10</v>
          </cell>
          <cell r="P12">
            <v>10</v>
          </cell>
          <cell r="Q12">
            <v>3</v>
          </cell>
          <cell r="R12">
            <v>3</v>
          </cell>
          <cell r="S12">
            <v>3.25</v>
          </cell>
          <cell r="T12">
            <v>5.75</v>
          </cell>
          <cell r="U12">
            <v>6</v>
          </cell>
          <cell r="V12">
            <v>8.5</v>
          </cell>
          <cell r="W12">
            <v>9.5</v>
          </cell>
          <cell r="X12">
            <v>9.5</v>
          </cell>
          <cell r="Y12">
            <v>10</v>
          </cell>
          <cell r="Z12">
            <v>12.5</v>
          </cell>
          <cell r="AA12">
            <v>13</v>
          </cell>
          <cell r="AB12">
            <v>13.5</v>
          </cell>
        </row>
        <row r="13">
          <cell r="D13" t="str">
            <v>f</v>
          </cell>
          <cell r="E13">
            <v>6</v>
          </cell>
          <cell r="F13">
            <v>6</v>
          </cell>
          <cell r="G13">
            <v>7</v>
          </cell>
          <cell r="H13">
            <v>7</v>
          </cell>
          <cell r="I13">
            <v>8</v>
          </cell>
          <cell r="J13">
            <v>8</v>
          </cell>
          <cell r="K13">
            <v>9</v>
          </cell>
          <cell r="L13">
            <v>9</v>
          </cell>
          <cell r="M13">
            <v>10</v>
          </cell>
          <cell r="N13">
            <v>10</v>
          </cell>
          <cell r="O13">
            <v>10</v>
          </cell>
          <cell r="P13">
            <v>10</v>
          </cell>
          <cell r="Q13">
            <v>2.5</v>
          </cell>
          <cell r="R13">
            <v>2.5</v>
          </cell>
          <cell r="S13">
            <v>2.5</v>
          </cell>
          <cell r="T13">
            <v>5</v>
          </cell>
          <cell r="U13">
            <v>5</v>
          </cell>
          <cell r="V13">
            <v>7.5</v>
          </cell>
          <cell r="W13">
            <v>7.5</v>
          </cell>
          <cell r="X13">
            <v>7.5</v>
          </cell>
          <cell r="Y13">
            <v>7.5</v>
          </cell>
          <cell r="Z13">
            <v>10</v>
          </cell>
          <cell r="AA13">
            <v>10</v>
          </cell>
          <cell r="AB13">
            <v>10</v>
          </cell>
        </row>
        <row r="14">
          <cell r="D14" t="str">
            <v>g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0.5</v>
          </cell>
          <cell r="R14">
            <v>0.5</v>
          </cell>
          <cell r="S14">
            <v>0.75</v>
          </cell>
          <cell r="T14">
            <v>0.75</v>
          </cell>
          <cell r="U14">
            <v>1</v>
          </cell>
          <cell r="V14">
            <v>1</v>
          </cell>
          <cell r="W14">
            <v>2</v>
          </cell>
          <cell r="X14">
            <v>2</v>
          </cell>
          <cell r="Y14">
            <v>2.5</v>
          </cell>
          <cell r="Z14">
            <v>2.5</v>
          </cell>
          <cell r="AA14">
            <v>3</v>
          </cell>
          <cell r="AB14">
            <v>3.5</v>
          </cell>
        </row>
        <row r="15">
          <cell r="D15" t="str">
            <v>h</v>
          </cell>
          <cell r="E15">
            <v>3</v>
          </cell>
          <cell r="F15">
            <v>3</v>
          </cell>
          <cell r="G15">
            <v>5</v>
          </cell>
          <cell r="H15">
            <v>5</v>
          </cell>
          <cell r="I15">
            <v>7.5</v>
          </cell>
          <cell r="J15">
            <v>7.5</v>
          </cell>
          <cell r="K15">
            <v>10</v>
          </cell>
          <cell r="L15">
            <v>10</v>
          </cell>
          <cell r="M15">
            <v>10</v>
          </cell>
          <cell r="N15">
            <v>10</v>
          </cell>
          <cell r="O15">
            <v>12.5</v>
          </cell>
          <cell r="P15">
            <v>12.5</v>
          </cell>
          <cell r="Q15">
            <v>15</v>
          </cell>
          <cell r="R15">
            <v>15</v>
          </cell>
          <cell r="S15">
            <v>15</v>
          </cell>
          <cell r="T15">
            <v>17.5</v>
          </cell>
          <cell r="U15">
            <v>17.5</v>
          </cell>
          <cell r="V15">
            <v>20</v>
          </cell>
          <cell r="W15">
            <v>20</v>
          </cell>
          <cell r="X15">
            <v>22</v>
          </cell>
          <cell r="Y15">
            <v>22</v>
          </cell>
          <cell r="Z15">
            <v>24</v>
          </cell>
          <cell r="AA15">
            <v>24</v>
          </cell>
          <cell r="AB15">
            <v>24</v>
          </cell>
        </row>
        <row r="16">
          <cell r="D16" t="str">
            <v>i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D17" t="str">
            <v>j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D18" t="str">
            <v>k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D19" t="str">
            <v>l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E20">
            <v>65.119</v>
          </cell>
          <cell r="F20">
            <v>65.119</v>
          </cell>
          <cell r="G20">
            <v>68.119</v>
          </cell>
          <cell r="H20">
            <v>81.477837500000007</v>
          </cell>
          <cell r="I20">
            <v>85.913174999999995</v>
          </cell>
          <cell r="J20">
            <v>93.123175000000003</v>
          </cell>
          <cell r="K20">
            <v>80.337175000000002</v>
          </cell>
          <cell r="L20">
            <v>83.772512500000005</v>
          </cell>
          <cell r="M20">
            <v>85.772512500000005</v>
          </cell>
          <cell r="N20">
            <v>88.585512499999993</v>
          </cell>
          <cell r="O20">
            <v>88.022000000000006</v>
          </cell>
          <cell r="P20">
            <v>88.021000000000001</v>
          </cell>
          <cell r="Q20">
            <v>131.5</v>
          </cell>
          <cell r="R20">
            <v>136.5</v>
          </cell>
          <cell r="S20">
            <v>136.75</v>
          </cell>
          <cell r="T20">
            <v>146.75</v>
          </cell>
          <cell r="U20">
            <v>159</v>
          </cell>
          <cell r="V20">
            <v>174</v>
          </cell>
          <cell r="W20">
            <v>190.5</v>
          </cell>
          <cell r="X20">
            <v>206.5</v>
          </cell>
          <cell r="Y20">
            <v>211</v>
          </cell>
          <cell r="Z20">
            <v>241.5</v>
          </cell>
          <cell r="AA20">
            <v>246</v>
          </cell>
          <cell r="AB20">
            <v>260.5</v>
          </cell>
        </row>
        <row r="23">
          <cell r="D23" t="str">
            <v>m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D24" t="str">
            <v>n</v>
          </cell>
          <cell r="Q24">
            <v>2.5</v>
          </cell>
          <cell r="R24">
            <v>2.5</v>
          </cell>
          <cell r="S24">
            <v>2.5</v>
          </cell>
          <cell r="T24">
            <v>2.5</v>
          </cell>
          <cell r="U24">
            <v>2.5</v>
          </cell>
          <cell r="V24">
            <v>2.5</v>
          </cell>
          <cell r="W24">
            <v>2.5</v>
          </cell>
          <cell r="X24">
            <v>2.5</v>
          </cell>
          <cell r="Y24">
            <v>2.5</v>
          </cell>
          <cell r="Z24">
            <v>2.5</v>
          </cell>
          <cell r="AA24">
            <v>2.5</v>
          </cell>
          <cell r="AB24">
            <v>2.5</v>
          </cell>
        </row>
        <row r="25">
          <cell r="D25" t="str">
            <v>o</v>
          </cell>
          <cell r="Q25">
            <v>0.5</v>
          </cell>
          <cell r="R25">
            <v>0.5</v>
          </cell>
          <cell r="S25">
            <v>0.5</v>
          </cell>
          <cell r="T25">
            <v>0.5</v>
          </cell>
          <cell r="U25">
            <v>0.5</v>
          </cell>
          <cell r="V25">
            <v>0.5</v>
          </cell>
          <cell r="W25">
            <v>0.5</v>
          </cell>
          <cell r="X25">
            <v>0.5</v>
          </cell>
          <cell r="Y25">
            <v>0.5</v>
          </cell>
          <cell r="Z25">
            <v>0.5</v>
          </cell>
          <cell r="AA25">
            <v>0.5</v>
          </cell>
          <cell r="AB25">
            <v>0.5</v>
          </cell>
        </row>
        <row r="26">
          <cell r="D26" t="str">
            <v>p</v>
          </cell>
          <cell r="Q26">
            <v>2.5</v>
          </cell>
          <cell r="R26">
            <v>2.5</v>
          </cell>
          <cell r="S26">
            <v>2.5</v>
          </cell>
          <cell r="T26">
            <v>2.5</v>
          </cell>
          <cell r="U26">
            <v>2.5</v>
          </cell>
          <cell r="V26">
            <v>2.5</v>
          </cell>
          <cell r="W26">
            <v>2.5</v>
          </cell>
          <cell r="X26">
            <v>2.5</v>
          </cell>
          <cell r="Y26">
            <v>2.5</v>
          </cell>
          <cell r="Z26">
            <v>2.5</v>
          </cell>
          <cell r="AA26">
            <v>2.5</v>
          </cell>
          <cell r="AB26">
            <v>2.5</v>
          </cell>
        </row>
        <row r="27">
          <cell r="D27" t="str">
            <v>q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D28" t="str">
            <v>r</v>
          </cell>
          <cell r="Q28">
            <v>1.022</v>
          </cell>
          <cell r="R28">
            <v>1.022</v>
          </cell>
          <cell r="S28">
            <v>1.022</v>
          </cell>
          <cell r="T28">
            <v>1.022</v>
          </cell>
          <cell r="U28">
            <v>1.022</v>
          </cell>
          <cell r="V28">
            <v>1.022</v>
          </cell>
          <cell r="W28">
            <v>1.022</v>
          </cell>
          <cell r="X28">
            <v>1.022</v>
          </cell>
          <cell r="Y28">
            <v>1.022</v>
          </cell>
          <cell r="Z28">
            <v>1.022</v>
          </cell>
          <cell r="AA28">
            <v>1.022</v>
          </cell>
          <cell r="AB28">
            <v>1.022</v>
          </cell>
        </row>
        <row r="29">
          <cell r="D29" t="str">
            <v>s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D30" t="str">
            <v>t</v>
          </cell>
          <cell r="Q30">
            <v>2.1579999999999999</v>
          </cell>
          <cell r="R30">
            <v>2.1579999999999999</v>
          </cell>
          <cell r="S30">
            <v>2.1579999999999999</v>
          </cell>
          <cell r="T30">
            <v>2.1579999999999999</v>
          </cell>
          <cell r="U30">
            <v>2.1579999999999999</v>
          </cell>
          <cell r="V30">
            <v>2.1579999999999999</v>
          </cell>
          <cell r="W30">
            <v>2.1579999999999999</v>
          </cell>
          <cell r="X30">
            <v>2.1579999999999999</v>
          </cell>
          <cell r="Y30">
            <v>2.1579999999999999</v>
          </cell>
          <cell r="Z30">
            <v>2.1579999999999999</v>
          </cell>
          <cell r="AA30">
            <v>2.1579999999999999</v>
          </cell>
          <cell r="AB30">
            <v>2.1579999999999999</v>
          </cell>
        </row>
        <row r="31">
          <cell r="D31" t="str">
            <v>u</v>
          </cell>
          <cell r="Q31">
            <v>32.832999999999998</v>
          </cell>
          <cell r="R31">
            <v>32.832999999999998</v>
          </cell>
          <cell r="S31">
            <v>32.832999999999998</v>
          </cell>
          <cell r="T31">
            <v>32.832999999999998</v>
          </cell>
          <cell r="U31">
            <v>32.832999999999998</v>
          </cell>
          <cell r="V31">
            <v>32.832999999999998</v>
          </cell>
          <cell r="W31">
            <v>32.832999999999998</v>
          </cell>
          <cell r="X31">
            <v>32.832999999999998</v>
          </cell>
          <cell r="Y31">
            <v>32.832999999999998</v>
          </cell>
          <cell r="Z31">
            <v>32.832999999999998</v>
          </cell>
          <cell r="AA31">
            <v>32.832999999999998</v>
          </cell>
          <cell r="AB31">
            <v>32.832999999999998</v>
          </cell>
        </row>
        <row r="32">
          <cell r="D32" t="str">
            <v>v</v>
          </cell>
          <cell r="Q32">
            <v>0.41699999999999998</v>
          </cell>
          <cell r="R32">
            <v>0.41699999999999998</v>
          </cell>
          <cell r="S32">
            <v>0.41699999999999998</v>
          </cell>
          <cell r="T32">
            <v>0.41699999999999998</v>
          </cell>
          <cell r="U32">
            <v>0.41699999999999998</v>
          </cell>
          <cell r="V32">
            <v>0.41699999999999998</v>
          </cell>
          <cell r="W32">
            <v>0.41699999999999998</v>
          </cell>
          <cell r="X32">
            <v>0.41699999999999998</v>
          </cell>
          <cell r="Y32">
            <v>0.41699999999999998</v>
          </cell>
          <cell r="Z32">
            <v>0.41699999999999998</v>
          </cell>
          <cell r="AA32">
            <v>0.41699999999999998</v>
          </cell>
          <cell r="AB32">
            <v>0.41699999999999998</v>
          </cell>
        </row>
        <row r="33">
          <cell r="D33" t="str">
            <v>w</v>
          </cell>
          <cell r="Q33">
            <v>7.1420000000000003</v>
          </cell>
          <cell r="R33">
            <v>7.1420000000000003</v>
          </cell>
          <cell r="S33">
            <v>7.1420000000000003</v>
          </cell>
          <cell r="T33">
            <v>7.1420000000000003</v>
          </cell>
          <cell r="U33">
            <v>7.1420000000000003</v>
          </cell>
          <cell r="V33">
            <v>7.1420000000000003</v>
          </cell>
          <cell r="W33">
            <v>7.1420000000000003</v>
          </cell>
          <cell r="X33">
            <v>7.1420000000000003</v>
          </cell>
          <cell r="Y33">
            <v>7.1420000000000003</v>
          </cell>
          <cell r="Z33">
            <v>7.1420000000000003</v>
          </cell>
          <cell r="AA33">
            <v>7.1420000000000003</v>
          </cell>
          <cell r="AB33">
            <v>7.1420000000000003</v>
          </cell>
        </row>
        <row r="34">
          <cell r="D34" t="str">
            <v>x</v>
          </cell>
          <cell r="Q34">
            <v>0.41699999999999998</v>
          </cell>
          <cell r="R34">
            <v>0.41699999999999998</v>
          </cell>
          <cell r="S34">
            <v>0.41699999999999998</v>
          </cell>
          <cell r="T34">
            <v>0.41699999999999998</v>
          </cell>
          <cell r="U34">
            <v>0.41699999999999998</v>
          </cell>
          <cell r="V34">
            <v>0.41699999999999998</v>
          </cell>
          <cell r="W34">
            <v>0.41699999999999998</v>
          </cell>
          <cell r="X34">
            <v>0.41699999999999998</v>
          </cell>
          <cell r="Y34">
            <v>0.41699999999999998</v>
          </cell>
          <cell r="Z34">
            <v>0.41699999999999998</v>
          </cell>
          <cell r="AA34">
            <v>0.41699999999999998</v>
          </cell>
          <cell r="AB34">
            <v>0.41699999999999998</v>
          </cell>
        </row>
        <row r="35">
          <cell r="D35" t="str">
            <v>y</v>
          </cell>
          <cell r="Q35">
            <v>40.950000000000003</v>
          </cell>
          <cell r="R35">
            <v>40.950000000000003</v>
          </cell>
          <cell r="S35">
            <v>40.950000000000003</v>
          </cell>
          <cell r="T35">
            <v>40.950000000000003</v>
          </cell>
          <cell r="U35">
            <v>40.950000000000003</v>
          </cell>
          <cell r="V35">
            <v>40.950000000000003</v>
          </cell>
          <cell r="W35">
            <v>40.950000000000003</v>
          </cell>
          <cell r="X35">
            <v>40.950000000000003</v>
          </cell>
          <cell r="Y35">
            <v>40.950000000000003</v>
          </cell>
          <cell r="Z35">
            <v>40.950000000000003</v>
          </cell>
          <cell r="AA35">
            <v>40.950000000000003</v>
          </cell>
          <cell r="AB35">
            <v>40.950000000000003</v>
          </cell>
        </row>
        <row r="36">
          <cell r="D36" t="str">
            <v>z</v>
          </cell>
          <cell r="Q36">
            <v>4.25</v>
          </cell>
          <cell r="R36">
            <v>4.25</v>
          </cell>
          <cell r="S36">
            <v>4.25</v>
          </cell>
          <cell r="T36">
            <v>4.25</v>
          </cell>
          <cell r="U36">
            <v>4.25</v>
          </cell>
          <cell r="V36">
            <v>4.25</v>
          </cell>
          <cell r="W36">
            <v>4.25</v>
          </cell>
          <cell r="X36">
            <v>4.25</v>
          </cell>
          <cell r="Y36">
            <v>4.25</v>
          </cell>
          <cell r="Z36">
            <v>4.25</v>
          </cell>
          <cell r="AA36">
            <v>4.25</v>
          </cell>
          <cell r="AB36">
            <v>4.25</v>
          </cell>
        </row>
        <row r="37">
          <cell r="D37" t="str">
            <v>aa</v>
          </cell>
          <cell r="Q37">
            <v>118.242</v>
          </cell>
          <cell r="R37">
            <v>118.242</v>
          </cell>
          <cell r="S37">
            <v>119.541</v>
          </cell>
          <cell r="T37">
            <v>121.625</v>
          </cell>
          <cell r="U37">
            <v>121.625</v>
          </cell>
          <cell r="V37">
            <v>145.32499999999999</v>
          </cell>
          <cell r="W37">
            <v>145.32499999999999</v>
          </cell>
          <cell r="X37">
            <v>145.32499999999999</v>
          </cell>
          <cell r="Y37">
            <v>145.32499999999999</v>
          </cell>
          <cell r="Z37">
            <v>145.32499999999999</v>
          </cell>
          <cell r="AA37">
            <v>145.32499999999999</v>
          </cell>
          <cell r="AB37">
            <v>145.32499999999999</v>
          </cell>
        </row>
        <row r="38">
          <cell r="D38" t="str">
            <v>ab</v>
          </cell>
          <cell r="Q38">
            <v>24.382999999999999</v>
          </cell>
          <cell r="R38">
            <v>24.382999999999999</v>
          </cell>
          <cell r="S38">
            <v>24.382999999999999</v>
          </cell>
          <cell r="T38">
            <v>24.382999999999999</v>
          </cell>
          <cell r="U38">
            <v>24.382999999999999</v>
          </cell>
          <cell r="V38">
            <v>24.382999999999999</v>
          </cell>
          <cell r="W38">
            <v>24.382999999999999</v>
          </cell>
          <cell r="X38">
            <v>24.382999999999999</v>
          </cell>
          <cell r="Y38">
            <v>24.382999999999999</v>
          </cell>
          <cell r="Z38">
            <v>24.382999999999999</v>
          </cell>
          <cell r="AA38">
            <v>24.382999999999999</v>
          </cell>
          <cell r="AB38">
            <v>24.382999999999999</v>
          </cell>
        </row>
        <row r="39">
          <cell r="D39" t="str">
            <v>ac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D40" t="str">
            <v>ad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237.31400000000002</v>
          </cell>
          <cell r="R41">
            <v>237.31400000000002</v>
          </cell>
          <cell r="S41">
            <v>238.61300000000003</v>
          </cell>
          <cell r="T41">
            <v>240.69700000000003</v>
          </cell>
          <cell r="U41">
            <v>240.69700000000003</v>
          </cell>
          <cell r="V41">
            <v>264.39699999999999</v>
          </cell>
          <cell r="W41">
            <v>264.39699999999999</v>
          </cell>
          <cell r="X41">
            <v>264.39699999999999</v>
          </cell>
          <cell r="Y41">
            <v>264.39699999999999</v>
          </cell>
          <cell r="Z41">
            <v>264.39699999999999</v>
          </cell>
          <cell r="AA41">
            <v>264.39699999999999</v>
          </cell>
          <cell r="AB41">
            <v>264.39699999999999</v>
          </cell>
        </row>
        <row r="44">
          <cell r="D44" t="str">
            <v>ae</v>
          </cell>
          <cell r="E44">
            <v>7.5118999999999998</v>
          </cell>
          <cell r="F44">
            <v>7.5118999999999998</v>
          </cell>
          <cell r="G44">
            <v>7.8119000000000005</v>
          </cell>
          <cell r="H44">
            <v>9.8398675000000004</v>
          </cell>
          <cell r="I44">
            <v>10.377034999999999</v>
          </cell>
          <cell r="J44">
            <v>11.519034999999999</v>
          </cell>
          <cell r="K44">
            <v>10.340434999999999</v>
          </cell>
          <cell r="L44">
            <v>11.0276025</v>
          </cell>
          <cell r="M44">
            <v>11.327602500000001</v>
          </cell>
          <cell r="N44">
            <v>11.608902499999999</v>
          </cell>
          <cell r="O44">
            <v>11.5463</v>
          </cell>
          <cell r="P44">
            <v>11.546100000000001</v>
          </cell>
          <cell r="Q44">
            <v>16.5</v>
          </cell>
          <cell r="R44">
            <v>17</v>
          </cell>
          <cell r="S44">
            <v>17.024999999999999</v>
          </cell>
          <cell r="T44">
            <v>18.024999999999999</v>
          </cell>
          <cell r="U44">
            <v>19.449999999999996</v>
          </cell>
          <cell r="V44">
            <v>20.949999999999996</v>
          </cell>
          <cell r="W44">
            <v>23.05</v>
          </cell>
          <cell r="X44">
            <v>24.65</v>
          </cell>
          <cell r="Y44">
            <v>25.099999999999998</v>
          </cell>
          <cell r="Z44">
            <v>28.85</v>
          </cell>
          <cell r="AA44">
            <v>29.299999999999997</v>
          </cell>
          <cell r="AB44">
            <v>30.75</v>
          </cell>
        </row>
        <row r="45">
          <cell r="D45" t="str">
            <v>af</v>
          </cell>
          <cell r="E45">
            <v>2.4189096000000001</v>
          </cell>
          <cell r="F45">
            <v>2.4189096000000001</v>
          </cell>
          <cell r="G45">
            <v>2.5379096000000003</v>
          </cell>
          <cell r="H45">
            <v>3.0560594625000004</v>
          </cell>
          <cell r="I45">
            <v>3.2315366249999999</v>
          </cell>
          <cell r="J45">
            <v>3.5065266249999998</v>
          </cell>
          <cell r="K45">
            <v>3.0987118249999996</v>
          </cell>
          <cell r="L45">
            <v>3.2326889875</v>
          </cell>
          <cell r="M45">
            <v>3.3106889874999998</v>
          </cell>
          <cell r="N45">
            <v>3.4140181875</v>
          </cell>
          <cell r="O45">
            <v>3.4007402000000004</v>
          </cell>
          <cell r="P45">
            <v>3.4007012000000003</v>
          </cell>
          <cell r="Q45">
            <v>5.03925</v>
          </cell>
          <cell r="R45">
            <v>5.2192499999999997</v>
          </cell>
          <cell r="S45">
            <v>5.2282500000000001</v>
          </cell>
          <cell r="T45">
            <v>5.6260000000000003</v>
          </cell>
          <cell r="U45">
            <v>6.0964999999999998</v>
          </cell>
          <cell r="V45">
            <v>6.6512499999999992</v>
          </cell>
          <cell r="W45">
            <v>7.2902499999999995</v>
          </cell>
          <cell r="X45">
            <v>7.8682499999999997</v>
          </cell>
          <cell r="Y45">
            <v>8.0302500000000006</v>
          </cell>
          <cell r="Z45">
            <v>9.1935000000000002</v>
          </cell>
          <cell r="AA45">
            <v>9.3554999999999993</v>
          </cell>
          <cell r="AB45">
            <v>9.8714999999999993</v>
          </cell>
        </row>
        <row r="46">
          <cell r="D46" t="str">
            <v>ag</v>
          </cell>
          <cell r="E46">
            <v>2.0893674999999998</v>
          </cell>
          <cell r="F46">
            <v>2.0893674999999998</v>
          </cell>
          <cell r="G46">
            <v>2.1823675000000002</v>
          </cell>
          <cell r="H46">
            <v>2.6165297187500003</v>
          </cell>
          <cell r="I46">
            <v>2.7561781875000002</v>
          </cell>
          <cell r="J46">
            <v>2.9905031874999999</v>
          </cell>
          <cell r="K46">
            <v>2.5704581874999999</v>
          </cell>
          <cell r="L46">
            <v>2.6821066562500002</v>
          </cell>
          <cell r="M46">
            <v>2.7426066562500004</v>
          </cell>
          <cell r="N46">
            <v>2.8340291562500002</v>
          </cell>
          <cell r="O46">
            <v>2.815715</v>
          </cell>
          <cell r="P46">
            <v>2.8156825000000003</v>
          </cell>
          <cell r="Q46">
            <v>4.2489999999999997</v>
          </cell>
          <cell r="R46">
            <v>4.4114999999999993</v>
          </cell>
          <cell r="S46">
            <v>4.4196249999999999</v>
          </cell>
          <cell r="T46">
            <v>4.7333749999999997</v>
          </cell>
          <cell r="U46">
            <v>5.1315</v>
          </cell>
          <cell r="V46">
            <v>5.6077499999999993</v>
          </cell>
          <cell r="W46">
            <v>6.142500000000001</v>
          </cell>
          <cell r="X46">
            <v>6.6625000000000005</v>
          </cell>
          <cell r="Y46">
            <v>6.8087499999999999</v>
          </cell>
          <cell r="Z46">
            <v>7.7857500000000011</v>
          </cell>
          <cell r="AA46">
            <v>7.9320000000000013</v>
          </cell>
          <cell r="AB46">
            <v>8.4032500000000017</v>
          </cell>
        </row>
        <row r="47">
          <cell r="D47" t="str">
            <v>ah</v>
          </cell>
          <cell r="E47">
            <v>65.687250000000006</v>
          </cell>
          <cell r="F47">
            <v>65.687250000000006</v>
          </cell>
          <cell r="G47">
            <v>65.687250000000006</v>
          </cell>
          <cell r="H47">
            <v>65.687250000000006</v>
          </cell>
          <cell r="I47">
            <v>65.687250000000006</v>
          </cell>
          <cell r="J47">
            <v>65.687250000000006</v>
          </cell>
          <cell r="K47">
            <v>65.687250000000006</v>
          </cell>
          <cell r="L47">
            <v>65.687250000000006</v>
          </cell>
          <cell r="M47">
            <v>65.687250000000006</v>
          </cell>
          <cell r="N47">
            <v>65.687250000000006</v>
          </cell>
          <cell r="O47">
            <v>65.687250000000006</v>
          </cell>
          <cell r="P47">
            <v>65.687250000000006</v>
          </cell>
          <cell r="Q47">
            <v>78.271603333333331</v>
          </cell>
          <cell r="R47">
            <v>78.355603333333335</v>
          </cell>
          <cell r="S47">
            <v>78.355603333333335</v>
          </cell>
          <cell r="T47">
            <v>78.355603333333335</v>
          </cell>
          <cell r="U47">
            <v>78.501433333333324</v>
          </cell>
          <cell r="V47">
            <v>78.501433333333324</v>
          </cell>
          <cell r="W47">
            <v>78.501433333333324</v>
          </cell>
          <cell r="X47">
            <v>78.501433333333324</v>
          </cell>
          <cell r="Y47">
            <v>78.501433333333324</v>
          </cell>
          <cell r="Z47">
            <v>78.501433333333324</v>
          </cell>
          <cell r="AA47">
            <v>78.501433333333324</v>
          </cell>
          <cell r="AB47">
            <v>78.501433333333324</v>
          </cell>
        </row>
        <row r="48">
          <cell r="E48">
            <v>77.707427100000004</v>
          </cell>
          <cell r="F48">
            <v>77.707427100000004</v>
          </cell>
          <cell r="G48">
            <v>78.219427100000004</v>
          </cell>
          <cell r="H48">
            <v>81.199706681250007</v>
          </cell>
          <cell r="I48">
            <v>82.051999812500014</v>
          </cell>
          <cell r="J48">
            <v>83.703314812499997</v>
          </cell>
          <cell r="K48">
            <v>81.696855012500009</v>
          </cell>
          <cell r="L48">
            <v>82.629648143750003</v>
          </cell>
          <cell r="M48">
            <v>83.068148143750008</v>
          </cell>
          <cell r="N48">
            <v>83.544199843750008</v>
          </cell>
          <cell r="O48">
            <v>83.450005200000007</v>
          </cell>
          <cell r="P48">
            <v>83.44973370000001</v>
          </cell>
          <cell r="Q48">
            <v>104.05985333333334</v>
          </cell>
          <cell r="R48">
            <v>104.98635333333334</v>
          </cell>
          <cell r="S48">
            <v>105.02847833333334</v>
          </cell>
          <cell r="T48">
            <v>106.73997833333334</v>
          </cell>
          <cell r="U48">
            <v>109.17943333333332</v>
          </cell>
          <cell r="V48">
            <v>111.71043333333331</v>
          </cell>
          <cell r="W48">
            <v>114.98418333333333</v>
          </cell>
          <cell r="X48">
            <v>117.68218333333331</v>
          </cell>
          <cell r="Y48">
            <v>118.44043333333332</v>
          </cell>
          <cell r="Z48">
            <v>124.33068333333333</v>
          </cell>
          <cell r="AA48">
            <v>125.08893333333333</v>
          </cell>
          <cell r="AB48">
            <v>127.52618333333332</v>
          </cell>
        </row>
        <row r="50">
          <cell r="E50">
            <v>77.707427100000004</v>
          </cell>
          <cell r="F50">
            <v>77.707427100000004</v>
          </cell>
          <cell r="G50">
            <v>78.219427100000004</v>
          </cell>
          <cell r="H50">
            <v>81.199706681250007</v>
          </cell>
          <cell r="I50">
            <v>82.051999812500014</v>
          </cell>
          <cell r="J50">
            <v>83.703314812499997</v>
          </cell>
          <cell r="K50">
            <v>81.696855012500009</v>
          </cell>
          <cell r="L50">
            <v>82.629648143750003</v>
          </cell>
          <cell r="M50">
            <v>83.068148143750008</v>
          </cell>
          <cell r="N50">
            <v>83.544199843750008</v>
          </cell>
          <cell r="O50">
            <v>83.450005200000007</v>
          </cell>
          <cell r="P50">
            <v>83.44973370000001</v>
          </cell>
          <cell r="Q50">
            <v>341.37385333333339</v>
          </cell>
          <cell r="R50">
            <v>342.30035333333336</v>
          </cell>
          <cell r="S50">
            <v>343.64147833333334</v>
          </cell>
          <cell r="T50">
            <v>347.4369783333334</v>
          </cell>
          <cell r="U50">
            <v>349.87643333333335</v>
          </cell>
          <cell r="V50">
            <v>376.10743333333329</v>
          </cell>
          <cell r="W50">
            <v>379.3811833333333</v>
          </cell>
          <cell r="X50">
            <v>382.07918333333328</v>
          </cell>
          <cell r="Y50">
            <v>382.83743333333331</v>
          </cell>
          <cell r="Z50">
            <v>388.72768333333329</v>
          </cell>
          <cell r="AA50">
            <v>389.48593333333332</v>
          </cell>
          <cell r="AB50">
            <v>391.92318333333333</v>
          </cell>
        </row>
        <row r="51">
          <cell r="E51">
            <v>1.193314195549686</v>
          </cell>
          <cell r="F51">
            <v>1.193314195549686</v>
          </cell>
          <cell r="G51">
            <v>1.1482762092808174</v>
          </cell>
          <cell r="H51">
            <v>0.99658642365477601</v>
          </cell>
          <cell r="I51">
            <v>0.95505724020209959</v>
          </cell>
          <cell r="J51">
            <v>0.89884515656279973</v>
          </cell>
          <cell r="K51">
            <v>1.0169246679697164</v>
          </cell>
          <cell r="L51">
            <v>0.98635752561139911</v>
          </cell>
          <cell r="M51">
            <v>0.96847050089327869</v>
          </cell>
          <cell r="N51">
            <v>0.94309100309997096</v>
          </cell>
          <cell r="O51">
            <v>0.94805849901161077</v>
          </cell>
          <cell r="P51">
            <v>0.94806618534213438</v>
          </cell>
          <cell r="Q51">
            <v>2.5959988846641324</v>
          </cell>
          <cell r="R51">
            <v>2.5076948962148964</v>
          </cell>
          <cell r="S51">
            <v>2.5129175746496037</v>
          </cell>
          <cell r="T51">
            <v>2.3675432935831919</v>
          </cell>
          <cell r="U51">
            <v>2.2004807127882602</v>
          </cell>
          <cell r="V51">
            <v>2.1615369731800764</v>
          </cell>
          <cell r="W51">
            <v>1.9915022747156603</v>
          </cell>
          <cell r="X51">
            <v>1.8502623890234058</v>
          </cell>
          <cell r="Y51">
            <v>1.81439541864139</v>
          </cell>
          <cell r="Z51">
            <v>1.6096384403036574</v>
          </cell>
          <cell r="AA51">
            <v>1.5832761517615175</v>
          </cell>
          <cell r="AB51">
            <v>1.504503582853487</v>
          </cell>
        </row>
        <row r="53">
          <cell r="E53">
            <v>-12.588427100000004</v>
          </cell>
          <cell r="F53">
            <v>-12.588427100000004</v>
          </cell>
          <cell r="G53">
            <v>-10.100427100000005</v>
          </cell>
          <cell r="H53">
            <v>0.27813081875000023</v>
          </cell>
          <cell r="I53">
            <v>3.8611751874999811</v>
          </cell>
          <cell r="J53">
            <v>9.4198601875000065</v>
          </cell>
          <cell r="K53">
            <v>-1.3596800125000073</v>
          </cell>
          <cell r="L53">
            <v>1.1428643562500014</v>
          </cell>
          <cell r="M53">
            <v>2.7043643562499966</v>
          </cell>
          <cell r="N53">
            <v>5.0413126562499855</v>
          </cell>
          <cell r="O53">
            <v>4.5719947999999988</v>
          </cell>
          <cell r="P53">
            <v>4.5712662999999907</v>
          </cell>
          <cell r="Q53">
            <v>-209.87385333333339</v>
          </cell>
          <cell r="R53">
            <v>-205.80035333333336</v>
          </cell>
          <cell r="S53">
            <v>-206.89147833333334</v>
          </cell>
          <cell r="T53">
            <v>-200.6869783333334</v>
          </cell>
          <cell r="U53">
            <v>-190.87643333333335</v>
          </cell>
          <cell r="V53">
            <v>-202.10743333333329</v>
          </cell>
          <cell r="W53">
            <v>-188.8811833333333</v>
          </cell>
          <cell r="X53">
            <v>-175.57918333333328</v>
          </cell>
          <cell r="Y53">
            <v>-171.83743333333331</v>
          </cell>
          <cell r="Z53">
            <v>-147.22768333333329</v>
          </cell>
          <cell r="AA53">
            <v>-143.48593333333332</v>
          </cell>
          <cell r="AB53">
            <v>-131.42318333333333</v>
          </cell>
        </row>
        <row r="54">
          <cell r="E54">
            <v>-0.19331419554968601</v>
          </cell>
          <cell r="F54">
            <v>-0.19331419554968601</v>
          </cell>
          <cell r="G54">
            <v>-0.14827620928081747</v>
          </cell>
          <cell r="H54">
            <v>3.4135763452239416E-3</v>
          </cell>
          <cell r="I54">
            <v>4.4942759797900397E-2</v>
          </cell>
          <cell r="J54">
            <v>0.10115484343720031</v>
          </cell>
          <cell r="K54">
            <v>-1.6924667969716475E-2</v>
          </cell>
          <cell r="L54">
            <v>1.3642474388600931E-2</v>
          </cell>
          <cell r="M54">
            <v>3.1529499106721356E-2</v>
          </cell>
          <cell r="N54">
            <v>5.6908996900029062E-2</v>
          </cell>
          <cell r="O54">
            <v>5.1941500988389247E-2</v>
          </cell>
          <cell r="P54">
            <v>5.1933814657865632E-2</v>
          </cell>
          <cell r="Q54">
            <v>-1.5959988846641322</v>
          </cell>
          <cell r="R54">
            <v>-1.5076948962148964</v>
          </cell>
          <cell r="S54">
            <v>-1.512917574649604</v>
          </cell>
          <cell r="T54">
            <v>-1.3675432935831919</v>
          </cell>
          <cell r="U54">
            <v>-1.2004807127882602</v>
          </cell>
          <cell r="V54">
            <v>-1.1615369731800764</v>
          </cell>
          <cell r="W54">
            <v>-0.99150227471566033</v>
          </cell>
          <cell r="X54">
            <v>-0.85026238902340567</v>
          </cell>
          <cell r="Y54">
            <v>-0.81439541864139009</v>
          </cell>
          <cell r="Z54">
            <v>-0.60963844030365755</v>
          </cell>
          <cell r="AA54">
            <v>-0.58327615176151759</v>
          </cell>
          <cell r="AB54">
            <v>-0.50450358285348684</v>
          </cell>
        </row>
        <row r="56">
          <cell r="D56" t="str">
            <v>ai</v>
          </cell>
          <cell r="Q56">
            <v>-29.146999999999998</v>
          </cell>
          <cell r="R56">
            <v>-29.05</v>
          </cell>
          <cell r="S56">
            <v>-29.146999999999998</v>
          </cell>
          <cell r="T56">
            <v>-29.146999999999998</v>
          </cell>
          <cell r="U56">
            <v>-28.856000000000002</v>
          </cell>
          <cell r="V56">
            <v>-29.146999999999998</v>
          </cell>
          <cell r="W56">
            <v>-29.05</v>
          </cell>
          <cell r="X56">
            <v>-29.141999999999999</v>
          </cell>
          <cell r="Y56">
            <v>-29.04</v>
          </cell>
          <cell r="Z56">
            <v>-29.135999999999999</v>
          </cell>
          <cell r="AA56">
            <v>-29.135999999999999</v>
          </cell>
          <cell r="AB56">
            <v>-29.04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-29.146999999999998</v>
          </cell>
          <cell r="R57">
            <v>-29.05</v>
          </cell>
          <cell r="S57">
            <v>-29.146999999999998</v>
          </cell>
          <cell r="T57">
            <v>-29.146999999999998</v>
          </cell>
          <cell r="U57">
            <v>-28.856000000000002</v>
          </cell>
          <cell r="V57">
            <v>-29.146999999999998</v>
          </cell>
          <cell r="W57">
            <v>-29.05</v>
          </cell>
          <cell r="X57">
            <v>-29.141999999999999</v>
          </cell>
          <cell r="Y57">
            <v>-29.04</v>
          </cell>
          <cell r="Z57">
            <v>-29.135999999999999</v>
          </cell>
          <cell r="AA57">
            <v>-29.135999999999999</v>
          </cell>
          <cell r="AB57">
            <v>-29.04</v>
          </cell>
        </row>
        <row r="59">
          <cell r="E59">
            <v>-12.588427100000004</v>
          </cell>
          <cell r="F59">
            <v>-12.588427100000004</v>
          </cell>
          <cell r="G59">
            <v>-10.100427100000005</v>
          </cell>
          <cell r="H59">
            <v>0.27813081875000023</v>
          </cell>
          <cell r="I59">
            <v>3.8611751874999811</v>
          </cell>
          <cell r="J59">
            <v>9.4198601875000065</v>
          </cell>
          <cell r="K59">
            <v>-1.3596800125000073</v>
          </cell>
          <cell r="L59">
            <v>1.1428643562500014</v>
          </cell>
          <cell r="M59">
            <v>2.7043643562499966</v>
          </cell>
          <cell r="N59">
            <v>5.0413126562499855</v>
          </cell>
          <cell r="O59">
            <v>4.5719947999999988</v>
          </cell>
          <cell r="P59">
            <v>4.5712662999999907</v>
          </cell>
          <cell r="Q59">
            <v>-239.02085333333338</v>
          </cell>
          <cell r="R59">
            <v>-234.85035333333337</v>
          </cell>
          <cell r="S59">
            <v>-236.03847833333333</v>
          </cell>
          <cell r="T59">
            <v>-229.83397833333339</v>
          </cell>
          <cell r="U59">
            <v>-219.73243333333335</v>
          </cell>
          <cell r="V59">
            <v>-231.25443333333328</v>
          </cell>
          <cell r="W59">
            <v>-217.93118333333331</v>
          </cell>
          <cell r="X59">
            <v>-204.72118333333327</v>
          </cell>
          <cell r="Y59">
            <v>-200.8774333333333</v>
          </cell>
          <cell r="Z59">
            <v>-176.36368333333328</v>
          </cell>
          <cell r="AA59">
            <v>-172.62193333333332</v>
          </cell>
          <cell r="AB59">
            <v>-160.46318333333332</v>
          </cell>
        </row>
        <row r="60">
          <cell r="E60">
            <v>-0.19331419554968601</v>
          </cell>
          <cell r="F60">
            <v>-0.19331419554968601</v>
          </cell>
          <cell r="G60">
            <v>-0.14827620928081747</v>
          </cell>
          <cell r="H60">
            <v>3.4135763452239416E-3</v>
          </cell>
          <cell r="I60">
            <v>4.4942759797900397E-2</v>
          </cell>
          <cell r="J60">
            <v>0.10115484343720031</v>
          </cell>
          <cell r="K60">
            <v>-1.6924667969716475E-2</v>
          </cell>
          <cell r="L60">
            <v>1.3642474388600931E-2</v>
          </cell>
          <cell r="M60">
            <v>3.1529499106721356E-2</v>
          </cell>
          <cell r="N60">
            <v>5.6908996900029062E-2</v>
          </cell>
          <cell r="O60">
            <v>5.1941500988389247E-2</v>
          </cell>
          <cell r="P60">
            <v>5.1933814657865632E-2</v>
          </cell>
          <cell r="Q60">
            <v>-1.8176490747782006</v>
          </cell>
          <cell r="R60">
            <v>-1.7205154090354093</v>
          </cell>
          <cell r="S60">
            <v>-1.7260583424741012</v>
          </cell>
          <cell r="T60">
            <v>-1.566159988642817</v>
          </cell>
          <cell r="U60">
            <v>-1.3819649895178199</v>
          </cell>
          <cell r="V60">
            <v>-1.3290484674329499</v>
          </cell>
          <cell r="W60">
            <v>-1.1439957130358704</v>
          </cell>
          <cell r="X60">
            <v>-0.99138587570621439</v>
          </cell>
          <cell r="Y60">
            <v>-0.95202575039494453</v>
          </cell>
          <cell r="Z60">
            <v>-0.73028440303657671</v>
          </cell>
          <cell r="AA60">
            <v>-0.70171517615176149</v>
          </cell>
          <cell r="AB60">
            <v>-0.61598150991682654</v>
          </cell>
        </row>
      </sheetData>
      <sheetData sheetId="14"/>
      <sheetData sheetId="15"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  <cell r="T3">
            <v>18</v>
          </cell>
          <cell r="U3">
            <v>19</v>
          </cell>
          <cell r="V3">
            <v>20</v>
          </cell>
          <cell r="W3">
            <v>21</v>
          </cell>
          <cell r="X3">
            <v>22</v>
          </cell>
          <cell r="Y3">
            <v>23</v>
          </cell>
          <cell r="Z3">
            <v>24</v>
          </cell>
          <cell r="AA3">
            <v>25</v>
          </cell>
        </row>
        <row r="4">
          <cell r="D4">
            <v>39722</v>
          </cell>
          <cell r="E4">
            <v>39753</v>
          </cell>
          <cell r="F4">
            <v>39783</v>
          </cell>
          <cell r="G4">
            <v>39814</v>
          </cell>
          <cell r="H4">
            <v>39845</v>
          </cell>
          <cell r="I4">
            <v>39873</v>
          </cell>
          <cell r="J4">
            <v>39904</v>
          </cell>
          <cell r="K4">
            <v>39934</v>
          </cell>
          <cell r="L4">
            <v>39965</v>
          </cell>
          <cell r="M4">
            <v>39995</v>
          </cell>
          <cell r="N4">
            <v>40026</v>
          </cell>
          <cell r="O4">
            <v>40057</v>
          </cell>
          <cell r="P4">
            <v>40087</v>
          </cell>
          <cell r="Q4">
            <v>40118</v>
          </cell>
          <cell r="R4">
            <v>40148</v>
          </cell>
          <cell r="S4">
            <v>40179</v>
          </cell>
          <cell r="T4">
            <v>40210</v>
          </cell>
          <cell r="U4">
            <v>40238</v>
          </cell>
          <cell r="V4">
            <v>40269</v>
          </cell>
          <cell r="W4">
            <v>40299</v>
          </cell>
          <cell r="X4">
            <v>40330</v>
          </cell>
          <cell r="Y4">
            <v>40360</v>
          </cell>
          <cell r="Z4">
            <v>40391</v>
          </cell>
          <cell r="AA4">
            <v>40422</v>
          </cell>
        </row>
        <row r="6">
          <cell r="C6" t="str">
            <v>a</v>
          </cell>
          <cell r="D6">
            <v>22.844000000000001</v>
          </cell>
          <cell r="E6">
            <v>32.637999999999998</v>
          </cell>
          <cell r="F6">
            <v>27.693999999999999</v>
          </cell>
          <cell r="G6">
            <v>16.454999999999998</v>
          </cell>
          <cell r="H6">
            <v>9.5030000000000001</v>
          </cell>
          <cell r="I6">
            <v>28.192</v>
          </cell>
          <cell r="J6">
            <v>15.129</v>
          </cell>
          <cell r="K6">
            <v>28.314</v>
          </cell>
          <cell r="L6">
            <v>41.536000000000001</v>
          </cell>
          <cell r="M6">
            <v>20.231999999999999</v>
          </cell>
          <cell r="N6">
            <v>46.703000000000003</v>
          </cell>
          <cell r="O6">
            <v>40.591999999999999</v>
          </cell>
          <cell r="P6">
            <v>32.923999999999999</v>
          </cell>
          <cell r="Q6">
            <v>78.013000000000005</v>
          </cell>
          <cell r="R6">
            <v>52.289000000000001</v>
          </cell>
          <cell r="S6">
            <v>43.77</v>
          </cell>
          <cell r="T6">
            <v>44.241999999999997</v>
          </cell>
          <cell r="U6">
            <v>63.89</v>
          </cell>
          <cell r="V6">
            <v>28.552</v>
          </cell>
          <cell r="W6">
            <v>51.5</v>
          </cell>
          <cell r="X6">
            <v>60</v>
          </cell>
          <cell r="Y6">
            <v>60</v>
          </cell>
          <cell r="Z6">
            <v>60</v>
          </cell>
          <cell r="AA6">
            <v>70</v>
          </cell>
        </row>
        <row r="8">
          <cell r="C8" t="str">
            <v>b</v>
          </cell>
          <cell r="D8">
            <v>78.564999999999998</v>
          </cell>
          <cell r="E8">
            <v>78.564999999999998</v>
          </cell>
          <cell r="F8">
            <v>78.564999999999998</v>
          </cell>
          <cell r="G8">
            <v>78.564999999999998</v>
          </cell>
          <cell r="H8">
            <v>78.564999999999998</v>
          </cell>
          <cell r="I8">
            <v>78.564999999999998</v>
          </cell>
          <cell r="J8">
            <v>78.564999999999998</v>
          </cell>
          <cell r="K8">
            <v>78.564999999999998</v>
          </cell>
          <cell r="L8">
            <v>78.564999999999998</v>
          </cell>
          <cell r="M8">
            <v>78.564999999999998</v>
          </cell>
          <cell r="N8">
            <v>78.564999999999998</v>
          </cell>
          <cell r="O8">
            <v>78.564999999999998</v>
          </cell>
          <cell r="P8">
            <v>65.328999999999994</v>
          </cell>
          <cell r="Q8">
            <v>65.328999999999994</v>
          </cell>
          <cell r="R8">
            <v>65.328999999999994</v>
          </cell>
          <cell r="S8">
            <v>65.328999999999994</v>
          </cell>
          <cell r="T8">
            <v>65.328999999999994</v>
          </cell>
          <cell r="U8">
            <v>65.328999999999994</v>
          </cell>
          <cell r="V8">
            <v>65.328999999999994</v>
          </cell>
          <cell r="W8">
            <v>65.328999999999994</v>
          </cell>
          <cell r="X8">
            <v>65.328999999999994</v>
          </cell>
          <cell r="Y8">
            <v>65.328999999999994</v>
          </cell>
          <cell r="Z8">
            <v>65.328999999999994</v>
          </cell>
          <cell r="AA8">
            <v>65.328999999999994</v>
          </cell>
        </row>
        <row r="9">
          <cell r="C9" t="str">
            <v>c</v>
          </cell>
          <cell r="D9">
            <v>3.9474432000000004</v>
          </cell>
          <cell r="E9">
            <v>5.6398463999999997</v>
          </cell>
          <cell r="F9">
            <v>4.7855232000000001</v>
          </cell>
          <cell r="G9">
            <v>2.8434239999999997</v>
          </cell>
          <cell r="H9">
            <v>1.6421184</v>
          </cell>
          <cell r="I9">
            <v>4.8715776000000002</v>
          </cell>
          <cell r="J9">
            <v>2.6142912000000003</v>
          </cell>
          <cell r="K9">
            <v>4.8926592000000007</v>
          </cell>
          <cell r="L9">
            <v>7.1774208000000002</v>
          </cell>
          <cell r="M9">
            <v>3.4960896000000004</v>
          </cell>
          <cell r="N9">
            <v>8.0702783999999994</v>
          </cell>
          <cell r="O9">
            <v>7.0142975999999999</v>
          </cell>
          <cell r="P9">
            <v>5.6892672000000006</v>
          </cell>
          <cell r="Q9">
            <v>13.480646400000001</v>
          </cell>
          <cell r="R9">
            <v>9.0355392000000005</v>
          </cell>
          <cell r="S9">
            <v>7.5634560000000013</v>
          </cell>
          <cell r="T9">
            <v>7.6450175999999992</v>
          </cell>
          <cell r="U9">
            <v>11.040192000000001</v>
          </cell>
          <cell r="V9">
            <v>4.9337856000000002</v>
          </cell>
          <cell r="W9">
            <v>8.8992000000000004</v>
          </cell>
          <cell r="X9">
            <v>10.367999999999999</v>
          </cell>
          <cell r="Y9">
            <v>10.367999999999999</v>
          </cell>
          <cell r="Z9">
            <v>10.367999999999999</v>
          </cell>
          <cell r="AA9">
            <v>12.096</v>
          </cell>
        </row>
        <row r="10">
          <cell r="D10">
            <v>2.2844000000000002</v>
          </cell>
          <cell r="E10">
            <v>3.2637999999999998</v>
          </cell>
          <cell r="F10">
            <v>2.7694000000000001</v>
          </cell>
          <cell r="G10">
            <v>1.6455</v>
          </cell>
          <cell r="H10">
            <v>0.95030000000000003</v>
          </cell>
          <cell r="I10">
            <v>2.8192000000000004</v>
          </cell>
          <cell r="J10">
            <v>1.5129000000000001</v>
          </cell>
          <cell r="K10">
            <v>2.8314000000000004</v>
          </cell>
          <cell r="L10">
            <v>4.1536</v>
          </cell>
          <cell r="M10">
            <v>2.0232000000000001</v>
          </cell>
          <cell r="N10">
            <v>4.6703000000000001</v>
          </cell>
          <cell r="O10">
            <v>4.0591999999999997</v>
          </cell>
          <cell r="P10">
            <v>3.2924000000000002</v>
          </cell>
          <cell r="Q10">
            <v>7.8013000000000012</v>
          </cell>
          <cell r="R10">
            <v>5.2289000000000003</v>
          </cell>
          <cell r="S10">
            <v>4.3770000000000007</v>
          </cell>
          <cell r="T10">
            <v>4.4241999999999999</v>
          </cell>
          <cell r="U10">
            <v>6.3890000000000002</v>
          </cell>
          <cell r="V10">
            <v>2.8552</v>
          </cell>
          <cell r="W10">
            <v>5.15</v>
          </cell>
          <cell r="X10">
            <v>6</v>
          </cell>
          <cell r="Y10">
            <v>6</v>
          </cell>
          <cell r="Z10">
            <v>6</v>
          </cell>
          <cell r="AA10">
            <v>7</v>
          </cell>
        </row>
        <row r="11">
          <cell r="D11">
            <v>0.92061320000000013</v>
          </cell>
          <cell r="E11">
            <v>1.3153113999999999</v>
          </cell>
          <cell r="F11">
            <v>1.1160682</v>
          </cell>
          <cell r="G11">
            <v>0.66313650000000002</v>
          </cell>
          <cell r="H11">
            <v>0.3829709</v>
          </cell>
          <cell r="I11">
            <v>1.1361376000000001</v>
          </cell>
          <cell r="J11">
            <v>0.60969870000000004</v>
          </cell>
          <cell r="K11">
            <v>1.1410542000000001</v>
          </cell>
          <cell r="L11">
            <v>1.6739008000000002</v>
          </cell>
          <cell r="M11">
            <v>0.81534960000000001</v>
          </cell>
          <cell r="N11">
            <v>1.8821309000000002</v>
          </cell>
          <cell r="O11">
            <v>1.6358576</v>
          </cell>
          <cell r="P11">
            <v>1.3268372000000002</v>
          </cell>
          <cell r="Q11">
            <v>3.1439239000000003</v>
          </cell>
          <cell r="R11">
            <v>2.1072467000000001</v>
          </cell>
          <cell r="S11">
            <v>1.7639310000000001</v>
          </cell>
          <cell r="T11">
            <v>1.7829526</v>
          </cell>
          <cell r="U11">
            <v>2.574767</v>
          </cell>
          <cell r="V11">
            <v>1.1506456</v>
          </cell>
          <cell r="W11">
            <v>2.07545</v>
          </cell>
          <cell r="X11">
            <v>2.4180000000000001</v>
          </cell>
          <cell r="Y11">
            <v>2.4180000000000001</v>
          </cell>
          <cell r="Z11">
            <v>2.4180000000000001</v>
          </cell>
          <cell r="AA11">
            <v>2.8210000000000002</v>
          </cell>
        </row>
        <row r="12">
          <cell r="D12">
            <v>0.74243000000000003</v>
          </cell>
          <cell r="E12">
            <v>1.060735</v>
          </cell>
          <cell r="F12">
            <v>0.90005500000000005</v>
          </cell>
          <cell r="G12">
            <v>0.53478749999999997</v>
          </cell>
          <cell r="H12">
            <v>0.3088475</v>
          </cell>
          <cell r="I12">
            <v>0.91624000000000005</v>
          </cell>
          <cell r="J12">
            <v>0.49169249999999998</v>
          </cell>
          <cell r="K12">
            <v>0.92020500000000005</v>
          </cell>
          <cell r="L12">
            <v>1.34992</v>
          </cell>
          <cell r="M12">
            <v>0.65754000000000001</v>
          </cell>
          <cell r="N12">
            <v>1.5178475000000002</v>
          </cell>
          <cell r="O12">
            <v>1.31924</v>
          </cell>
          <cell r="P12">
            <v>1.07003</v>
          </cell>
          <cell r="Q12">
            <v>2.5354225000000001</v>
          </cell>
          <cell r="R12">
            <v>1.6993925000000001</v>
          </cell>
          <cell r="S12">
            <v>1.422525</v>
          </cell>
          <cell r="T12">
            <v>1.4378649999999999</v>
          </cell>
          <cell r="U12">
            <v>2.076425</v>
          </cell>
          <cell r="V12">
            <v>0.92793999999999999</v>
          </cell>
          <cell r="W12">
            <v>1.6737500000000001</v>
          </cell>
          <cell r="X12">
            <v>1.9500000000000002</v>
          </cell>
          <cell r="Y12">
            <v>1.9500000000000002</v>
          </cell>
          <cell r="Z12">
            <v>1.9500000000000002</v>
          </cell>
          <cell r="AA12">
            <v>2.2749999999999999</v>
          </cell>
        </row>
        <row r="13">
          <cell r="C13" t="str">
            <v>d</v>
          </cell>
          <cell r="D13">
            <v>14.381</v>
          </cell>
          <cell r="E13">
            <v>11.231</v>
          </cell>
          <cell r="F13">
            <v>12.805999999999999</v>
          </cell>
          <cell r="G13">
            <v>21.268999999999998</v>
          </cell>
          <cell r="H13">
            <v>21.979999999999997</v>
          </cell>
          <cell r="I13">
            <v>17.568999999999999</v>
          </cell>
          <cell r="J13">
            <v>16.524999999999999</v>
          </cell>
          <cell r="K13">
            <v>16.057000000000002</v>
          </cell>
          <cell r="L13">
            <v>16.387999999999998</v>
          </cell>
          <cell r="M13">
            <v>15.888999999999999</v>
          </cell>
          <cell r="N13">
            <v>16.509</v>
          </cell>
          <cell r="O13">
            <v>16.015000000000001</v>
          </cell>
          <cell r="P13">
            <v>16.422000000000001</v>
          </cell>
          <cell r="Q13">
            <v>18.385999999999999</v>
          </cell>
          <cell r="R13">
            <v>17.47</v>
          </cell>
          <cell r="S13">
            <v>16.276</v>
          </cell>
          <cell r="T13">
            <v>15.780999999999999</v>
          </cell>
          <cell r="U13">
            <v>16.472000000000001</v>
          </cell>
          <cell r="V13">
            <v>14.943</v>
          </cell>
          <cell r="W13">
            <v>16.3</v>
          </cell>
          <cell r="X13">
            <v>16.526</v>
          </cell>
          <cell r="Y13">
            <v>16.526</v>
          </cell>
          <cell r="Z13">
            <v>16.526</v>
          </cell>
          <cell r="AA13">
            <v>16.526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8.4629999999999992</v>
          </cell>
          <cell r="H14">
            <v>9.1739999999999995</v>
          </cell>
          <cell r="I14">
            <v>9.1739999999999995</v>
          </cell>
          <cell r="J14">
            <v>9.1739999999999995</v>
          </cell>
          <cell r="K14">
            <v>6.21</v>
          </cell>
          <cell r="L14">
            <v>9.1739999999999995</v>
          </cell>
          <cell r="M14">
            <v>9.1739999999999995</v>
          </cell>
          <cell r="N14">
            <v>9.1739999999999995</v>
          </cell>
          <cell r="O14">
            <v>9.1739999999999995</v>
          </cell>
          <cell r="P14">
            <v>9.1739999999999995</v>
          </cell>
          <cell r="Q14">
            <v>9.1739999999999995</v>
          </cell>
          <cell r="R14">
            <v>9.1739999999999995</v>
          </cell>
          <cell r="S14">
            <v>9.1739999999999995</v>
          </cell>
          <cell r="T14">
            <v>9.1739999999999995</v>
          </cell>
          <cell r="U14">
            <v>9.1739999999999995</v>
          </cell>
          <cell r="V14">
            <v>9.1739999999999995</v>
          </cell>
          <cell r="W14">
            <v>9.1739999999999995</v>
          </cell>
          <cell r="X14">
            <v>9.1739999999999995</v>
          </cell>
          <cell r="Y14">
            <v>9.1739999999999995</v>
          </cell>
          <cell r="Z14">
            <v>9.1739999999999995</v>
          </cell>
          <cell r="AA14">
            <v>9.1739999999999995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1.264</v>
          </cell>
          <cell r="L15">
            <v>1.8620000000000001</v>
          </cell>
          <cell r="M15">
            <v>1.363</v>
          </cell>
          <cell r="N15">
            <v>1.9830000000000001</v>
          </cell>
          <cell r="O15">
            <v>1.4890000000000001</v>
          </cell>
          <cell r="P15">
            <v>1.8959999999999999</v>
          </cell>
          <cell r="Q15">
            <v>3.86</v>
          </cell>
          <cell r="R15">
            <v>2.944</v>
          </cell>
          <cell r="S15">
            <v>1.75</v>
          </cell>
          <cell r="T15">
            <v>1.2549999999999999</v>
          </cell>
          <cell r="U15">
            <v>1.946</v>
          </cell>
          <cell r="V15">
            <v>0.41699999999999998</v>
          </cell>
          <cell r="W15">
            <v>1.8</v>
          </cell>
          <cell r="X15">
            <v>2</v>
          </cell>
          <cell r="Y15">
            <v>2</v>
          </cell>
          <cell r="Z15">
            <v>2</v>
          </cell>
          <cell r="AA15">
            <v>2</v>
          </cell>
        </row>
        <row r="16">
          <cell r="D16">
            <v>14.381</v>
          </cell>
          <cell r="E16">
            <v>11.231</v>
          </cell>
          <cell r="F16">
            <v>12.805999999999999</v>
          </cell>
          <cell r="G16">
            <v>12.805999999999999</v>
          </cell>
          <cell r="H16">
            <v>12.805999999999999</v>
          </cell>
          <cell r="I16">
            <v>8.3949999999999996</v>
          </cell>
          <cell r="J16">
            <v>7.351</v>
          </cell>
          <cell r="K16">
            <v>8.5830000000000002</v>
          </cell>
          <cell r="L16">
            <v>5.3520000000000003</v>
          </cell>
          <cell r="M16">
            <v>5.3520000000000003</v>
          </cell>
          <cell r="N16">
            <v>5.3520000000000003</v>
          </cell>
          <cell r="O16">
            <v>5.3520000000000003</v>
          </cell>
          <cell r="P16">
            <v>5.3520000000000003</v>
          </cell>
          <cell r="Q16">
            <v>5.3520000000000003</v>
          </cell>
          <cell r="R16">
            <v>5.3520000000000003</v>
          </cell>
          <cell r="S16">
            <v>5.3520000000000003</v>
          </cell>
          <cell r="T16">
            <v>5.3520000000000003</v>
          </cell>
          <cell r="U16">
            <v>5.3520000000000003</v>
          </cell>
          <cell r="V16">
            <v>5.3520000000000003</v>
          </cell>
          <cell r="W16">
            <v>5.3520000000000003</v>
          </cell>
          <cell r="X16">
            <v>5.3520000000000003</v>
          </cell>
          <cell r="Y16">
            <v>5.3520000000000003</v>
          </cell>
          <cell r="Z16">
            <v>5.3520000000000003</v>
          </cell>
          <cell r="AA16">
            <v>5.3520000000000003</v>
          </cell>
        </row>
        <row r="18">
          <cell r="D18">
            <v>96.893443199999993</v>
          </cell>
          <cell r="E18">
            <v>95.435846399999988</v>
          </cell>
          <cell r="F18">
            <v>96.156523199999995</v>
          </cell>
          <cell r="G18">
            <v>102.677424</v>
          </cell>
          <cell r="H18">
            <v>102.1871184</v>
          </cell>
          <cell r="I18">
            <v>101.0055776</v>
          </cell>
          <cell r="J18">
            <v>97.7042912</v>
          </cell>
          <cell r="K18">
            <v>99.514659199999997</v>
          </cell>
          <cell r="L18">
            <v>102.1304208</v>
          </cell>
          <cell r="M18">
            <v>97.950089599999998</v>
          </cell>
          <cell r="N18">
            <v>103.1442784</v>
          </cell>
          <cell r="O18">
            <v>101.5942976</v>
          </cell>
          <cell r="P18">
            <v>87.440267199999994</v>
          </cell>
          <cell r="Q18">
            <v>97.195646399999987</v>
          </cell>
          <cell r="R18">
            <v>91.834539199999995</v>
          </cell>
          <cell r="S18">
            <v>89.168455999999992</v>
          </cell>
          <cell r="T18">
            <v>88.755017600000002</v>
          </cell>
          <cell r="U18">
            <v>92.841192000000007</v>
          </cell>
          <cell r="V18">
            <v>85.205785599999999</v>
          </cell>
          <cell r="W18">
            <v>90.528199999999984</v>
          </cell>
          <cell r="X18">
            <v>92.222999999999985</v>
          </cell>
          <cell r="Y18">
            <v>92.222999999999985</v>
          </cell>
          <cell r="Z18">
            <v>92.222999999999985</v>
          </cell>
          <cell r="AA18">
            <v>93.950999999999993</v>
          </cell>
        </row>
        <row r="20">
          <cell r="D20">
            <v>-74.049443199999985</v>
          </cell>
          <cell r="E20">
            <v>-62.79784639999999</v>
          </cell>
          <cell r="F20">
            <v>-68.462523199999993</v>
          </cell>
          <cell r="G20">
            <v>-86.222424000000004</v>
          </cell>
          <cell r="H20">
            <v>-92.684118400000003</v>
          </cell>
          <cell r="I20">
            <v>-72.813577600000002</v>
          </cell>
          <cell r="J20">
            <v>-82.575291199999995</v>
          </cell>
          <cell r="K20">
            <v>-71.20065919999999</v>
          </cell>
          <cell r="L20">
            <v>-60.594420799999995</v>
          </cell>
          <cell r="M20">
            <v>-77.718089599999999</v>
          </cell>
          <cell r="N20">
            <v>-56.441278400000002</v>
          </cell>
          <cell r="O20">
            <v>-61.002297600000006</v>
          </cell>
          <cell r="P20">
            <v>-54.516267199999994</v>
          </cell>
          <cell r="Q20">
            <v>-19.182646399999982</v>
          </cell>
          <cell r="R20">
            <v>-39.545539199999993</v>
          </cell>
          <cell r="S20">
            <v>-45.398455999999989</v>
          </cell>
          <cell r="T20">
            <v>-44.513017600000005</v>
          </cell>
          <cell r="U20">
            <v>-28.951192000000006</v>
          </cell>
          <cell r="V20">
            <v>-56.653785599999999</v>
          </cell>
          <cell r="W20">
            <v>-39.028199999999984</v>
          </cell>
          <cell r="X20">
            <v>-32.222999999999985</v>
          </cell>
          <cell r="Y20">
            <v>-32.222999999999985</v>
          </cell>
          <cell r="Z20">
            <v>-32.222999999999985</v>
          </cell>
          <cell r="AA20">
            <v>-23.950999999999993</v>
          </cell>
        </row>
        <row r="22">
          <cell r="C22">
            <v>1</v>
          </cell>
          <cell r="D22">
            <v>2</v>
          </cell>
          <cell r="E22">
            <v>3</v>
          </cell>
          <cell r="F22">
            <v>4</v>
          </cell>
          <cell r="G22">
            <v>5</v>
          </cell>
          <cell r="H22">
            <v>6</v>
          </cell>
          <cell r="I22">
            <v>7</v>
          </cell>
          <cell r="J22">
            <v>8</v>
          </cell>
          <cell r="K22">
            <v>9</v>
          </cell>
          <cell r="L22">
            <v>10</v>
          </cell>
          <cell r="M22">
            <v>11</v>
          </cell>
          <cell r="N22">
            <v>12</v>
          </cell>
          <cell r="O22">
            <v>13</v>
          </cell>
          <cell r="P22">
            <v>14</v>
          </cell>
          <cell r="Q22">
            <v>15</v>
          </cell>
          <cell r="R22">
            <v>16</v>
          </cell>
          <cell r="S22">
            <v>17</v>
          </cell>
          <cell r="T22">
            <v>18</v>
          </cell>
          <cell r="U22">
            <v>19</v>
          </cell>
          <cell r="V22">
            <v>20</v>
          </cell>
          <cell r="W22">
            <v>21</v>
          </cell>
          <cell r="X22">
            <v>22</v>
          </cell>
          <cell r="Y22">
            <v>23</v>
          </cell>
          <cell r="Z22">
            <v>24</v>
          </cell>
          <cell r="AA22">
            <v>25</v>
          </cell>
        </row>
        <row r="23">
          <cell r="D23">
            <v>39722</v>
          </cell>
          <cell r="E23">
            <v>39753</v>
          </cell>
          <cell r="F23">
            <v>39783</v>
          </cell>
          <cell r="G23">
            <v>39814</v>
          </cell>
          <cell r="H23">
            <v>39845</v>
          </cell>
          <cell r="I23">
            <v>39873</v>
          </cell>
          <cell r="J23">
            <v>39904</v>
          </cell>
          <cell r="K23">
            <v>39934</v>
          </cell>
          <cell r="L23">
            <v>39965</v>
          </cell>
          <cell r="M23">
            <v>39995</v>
          </cell>
          <cell r="N23">
            <v>40026</v>
          </cell>
          <cell r="O23">
            <v>40057</v>
          </cell>
          <cell r="P23">
            <v>40087</v>
          </cell>
          <cell r="Q23">
            <v>40118</v>
          </cell>
          <cell r="R23">
            <v>40148</v>
          </cell>
          <cell r="S23">
            <v>40179</v>
          </cell>
          <cell r="T23">
            <v>40210</v>
          </cell>
          <cell r="U23">
            <v>40238</v>
          </cell>
          <cell r="V23">
            <v>40269</v>
          </cell>
          <cell r="W23">
            <v>40299</v>
          </cell>
          <cell r="X23">
            <v>40330</v>
          </cell>
          <cell r="Y23">
            <v>40360</v>
          </cell>
          <cell r="Z23">
            <v>40391</v>
          </cell>
          <cell r="AA23">
            <v>40422</v>
          </cell>
        </row>
        <row r="25">
          <cell r="C25" t="str">
            <v>a</v>
          </cell>
          <cell r="D25">
            <v>33.22</v>
          </cell>
          <cell r="E25">
            <v>28.013999999999999</v>
          </cell>
          <cell r="F25">
            <v>42.856000000000002</v>
          </cell>
          <cell r="G25">
            <v>17.239000000000001</v>
          </cell>
          <cell r="H25">
            <v>43.744999999999997</v>
          </cell>
          <cell r="I25">
            <v>45.331000000000003</v>
          </cell>
          <cell r="J25">
            <v>27.835000000000001</v>
          </cell>
          <cell r="K25">
            <v>33.494999999999997</v>
          </cell>
          <cell r="L25">
            <v>48.451000000000001</v>
          </cell>
          <cell r="M25">
            <v>43.497</v>
          </cell>
          <cell r="N25">
            <v>57.834000000000003</v>
          </cell>
          <cell r="O25">
            <v>23.824999999999999</v>
          </cell>
          <cell r="P25">
            <v>41.084000000000003</v>
          </cell>
          <cell r="Q25">
            <v>82.65</v>
          </cell>
          <cell r="R25">
            <v>58.518999999999998</v>
          </cell>
          <cell r="S25">
            <v>56.459000000000003</v>
          </cell>
          <cell r="T25">
            <v>49.17</v>
          </cell>
          <cell r="U25">
            <v>90.58</v>
          </cell>
          <cell r="V25">
            <v>26.545999999999999</v>
          </cell>
          <cell r="W25">
            <v>49.111000000000004</v>
          </cell>
          <cell r="X25">
            <v>55</v>
          </cell>
          <cell r="Y25">
            <v>53</v>
          </cell>
          <cell r="Z25">
            <v>57</v>
          </cell>
          <cell r="AA25">
            <v>61</v>
          </cell>
        </row>
        <row r="27">
          <cell r="C27" t="str">
            <v>b</v>
          </cell>
          <cell r="D27">
            <v>64.768000000000001</v>
          </cell>
          <cell r="E27">
            <v>64.768000000000001</v>
          </cell>
          <cell r="F27">
            <v>64.768000000000001</v>
          </cell>
          <cell r="G27">
            <v>64.768000000000001</v>
          </cell>
          <cell r="H27">
            <v>64.768000000000001</v>
          </cell>
          <cell r="I27">
            <v>64.768000000000001</v>
          </cell>
          <cell r="J27">
            <v>64.768000000000001</v>
          </cell>
          <cell r="K27">
            <v>64.768000000000001</v>
          </cell>
          <cell r="L27">
            <v>64.768000000000001</v>
          </cell>
          <cell r="M27">
            <v>64.768000000000001</v>
          </cell>
          <cell r="N27">
            <v>64.768000000000001</v>
          </cell>
          <cell r="O27">
            <v>-341.23199999999997</v>
          </cell>
          <cell r="P27">
            <v>58.726999999999997</v>
          </cell>
          <cell r="Q27">
            <v>58.726999999999997</v>
          </cell>
          <cell r="R27">
            <v>58.726999999999997</v>
          </cell>
          <cell r="S27">
            <v>58.726999999999997</v>
          </cell>
          <cell r="T27">
            <v>58.726999999999997</v>
          </cell>
          <cell r="U27">
            <v>58.726999999999997</v>
          </cell>
          <cell r="V27">
            <v>58.726999999999997</v>
          </cell>
          <cell r="W27">
            <v>58.726999999999997</v>
          </cell>
          <cell r="X27">
            <v>58.726999999999997</v>
          </cell>
          <cell r="Y27">
            <v>58.726999999999997</v>
          </cell>
          <cell r="Z27">
            <v>58.726999999999997</v>
          </cell>
          <cell r="AA27">
            <v>58.726999999999997</v>
          </cell>
        </row>
        <row r="28">
          <cell r="C28" t="str">
            <v>c</v>
          </cell>
          <cell r="D28">
            <v>5.7603479999999996</v>
          </cell>
          <cell r="E28">
            <v>4.8576275999999998</v>
          </cell>
          <cell r="F28">
            <v>7.4312304000000005</v>
          </cell>
          <cell r="G28">
            <v>2.9892426000000003</v>
          </cell>
          <cell r="H28">
            <v>7.5853830000000002</v>
          </cell>
          <cell r="I28">
            <v>7.8603953999999998</v>
          </cell>
          <cell r="J28">
            <v>4.8265890000000002</v>
          </cell>
          <cell r="K28">
            <v>5.808033</v>
          </cell>
          <cell r="L28">
            <v>8.4014034000000013</v>
          </cell>
          <cell r="M28">
            <v>7.5423798000000009</v>
          </cell>
          <cell r="N28">
            <v>10.028415600000001</v>
          </cell>
          <cell r="O28">
            <v>4.1312549999999995</v>
          </cell>
          <cell r="P28">
            <v>7.1239656000000009</v>
          </cell>
          <cell r="Q28">
            <v>14.331510000000002</v>
          </cell>
          <cell r="R28">
            <v>10.147194600000001</v>
          </cell>
          <cell r="S28">
            <v>9.7899906000000012</v>
          </cell>
          <cell r="T28">
            <v>8.526078</v>
          </cell>
          <cell r="U28">
            <v>15.706572</v>
          </cell>
          <cell r="V28">
            <v>4.6030764000000008</v>
          </cell>
          <cell r="W28">
            <v>8.515847400000002</v>
          </cell>
          <cell r="X28">
            <v>9.536999999999999</v>
          </cell>
          <cell r="Y28">
            <v>9.1902000000000008</v>
          </cell>
          <cell r="Z28">
            <v>9.8838000000000008</v>
          </cell>
          <cell r="AA28">
            <v>10.577400000000001</v>
          </cell>
        </row>
        <row r="29">
          <cell r="D29">
            <v>3.3220000000000001</v>
          </cell>
          <cell r="E29">
            <v>2.8014000000000001</v>
          </cell>
          <cell r="F29">
            <v>4.2856000000000005</v>
          </cell>
          <cell r="G29">
            <v>1.7239000000000002</v>
          </cell>
          <cell r="H29">
            <v>4.3745000000000003</v>
          </cell>
          <cell r="I29">
            <v>4.5331000000000001</v>
          </cell>
          <cell r="J29">
            <v>2.7835000000000001</v>
          </cell>
          <cell r="K29">
            <v>3.3494999999999999</v>
          </cell>
          <cell r="L29">
            <v>4.8451000000000004</v>
          </cell>
          <cell r="M29">
            <v>4.3497000000000003</v>
          </cell>
          <cell r="N29">
            <v>5.7834000000000003</v>
          </cell>
          <cell r="O29">
            <v>2.3824999999999998</v>
          </cell>
          <cell r="P29">
            <v>4.1084000000000005</v>
          </cell>
          <cell r="Q29">
            <v>8.2650000000000006</v>
          </cell>
          <cell r="R29">
            <v>5.8519000000000005</v>
          </cell>
          <cell r="S29">
            <v>5.645900000000001</v>
          </cell>
          <cell r="T29">
            <v>4.9170000000000007</v>
          </cell>
          <cell r="U29">
            <v>9.0579999999999998</v>
          </cell>
          <cell r="V29">
            <v>2.6546000000000003</v>
          </cell>
          <cell r="W29">
            <v>4.9111000000000011</v>
          </cell>
          <cell r="X29">
            <v>5.5</v>
          </cell>
          <cell r="Y29">
            <v>5.3000000000000007</v>
          </cell>
          <cell r="Z29">
            <v>5.7</v>
          </cell>
          <cell r="AA29">
            <v>6.1000000000000005</v>
          </cell>
        </row>
        <row r="30">
          <cell r="D30">
            <v>1.358698</v>
          </cell>
          <cell r="E30">
            <v>1.1457725999999999</v>
          </cell>
          <cell r="F30">
            <v>1.7528104</v>
          </cell>
          <cell r="G30">
            <v>0.70507510000000007</v>
          </cell>
          <cell r="H30">
            <v>1.7891704999999998</v>
          </cell>
          <cell r="I30">
            <v>1.8540379</v>
          </cell>
          <cell r="J30">
            <v>1.1384514999999999</v>
          </cell>
          <cell r="K30">
            <v>1.3699454999999998</v>
          </cell>
          <cell r="L30">
            <v>1.9816459</v>
          </cell>
          <cell r="M30">
            <v>1.7790272999999999</v>
          </cell>
          <cell r="N30">
            <v>2.3654106000000001</v>
          </cell>
          <cell r="O30">
            <v>0.97444249999999999</v>
          </cell>
          <cell r="P30">
            <v>1.6803356</v>
          </cell>
          <cell r="Q30">
            <v>3.380385</v>
          </cell>
          <cell r="R30">
            <v>2.3934270999999998</v>
          </cell>
          <cell r="S30">
            <v>2.3091731000000002</v>
          </cell>
          <cell r="T30">
            <v>2.011053</v>
          </cell>
          <cell r="U30">
            <v>3.7047219999999998</v>
          </cell>
          <cell r="V30">
            <v>1.0857314</v>
          </cell>
          <cell r="W30">
            <v>2.0086398999999999</v>
          </cell>
          <cell r="X30">
            <v>2.2494999999999998</v>
          </cell>
          <cell r="Y30">
            <v>2.1677</v>
          </cell>
          <cell r="Z30">
            <v>2.3313000000000001</v>
          </cell>
          <cell r="AA30">
            <v>2.4948999999999999</v>
          </cell>
        </row>
        <row r="31">
          <cell r="D31">
            <v>1.07965</v>
          </cell>
          <cell r="E31">
            <v>0.91045500000000001</v>
          </cell>
          <cell r="F31">
            <v>1.3928200000000002</v>
          </cell>
          <cell r="G31">
            <v>0.56026750000000003</v>
          </cell>
          <cell r="H31">
            <v>1.4217124999999999</v>
          </cell>
          <cell r="I31">
            <v>1.4732575000000001</v>
          </cell>
          <cell r="J31">
            <v>0.90463750000000009</v>
          </cell>
          <cell r="K31">
            <v>1.0885875</v>
          </cell>
          <cell r="L31">
            <v>1.5746575</v>
          </cell>
          <cell r="M31">
            <v>1.4136525</v>
          </cell>
          <cell r="N31">
            <v>1.8796050000000002</v>
          </cell>
          <cell r="O31">
            <v>0.77431249999999996</v>
          </cell>
          <cell r="P31">
            <v>1.3352300000000001</v>
          </cell>
          <cell r="Q31">
            <v>2.6861250000000001</v>
          </cell>
          <cell r="R31">
            <v>1.9018675</v>
          </cell>
          <cell r="S31">
            <v>1.8349175000000002</v>
          </cell>
          <cell r="T31">
            <v>1.598025</v>
          </cell>
          <cell r="U31">
            <v>2.9438499999999999</v>
          </cell>
          <cell r="V31">
            <v>0.86274499999999998</v>
          </cell>
          <cell r="W31">
            <v>1.5961075000000002</v>
          </cell>
          <cell r="X31">
            <v>1.7875000000000001</v>
          </cell>
          <cell r="Y31">
            <v>1.7225000000000001</v>
          </cell>
          <cell r="Z31">
            <v>1.8525</v>
          </cell>
          <cell r="AA31">
            <v>1.9825000000000002</v>
          </cell>
        </row>
        <row r="32">
          <cell r="C32" t="str">
            <v>d</v>
          </cell>
          <cell r="D32">
            <v>16.613999999999997</v>
          </cell>
          <cell r="E32">
            <v>15.084999999999999</v>
          </cell>
          <cell r="F32">
            <v>17.836999999999996</v>
          </cell>
          <cell r="G32">
            <v>15.084999999999999</v>
          </cell>
          <cell r="H32">
            <v>16.585000000000001</v>
          </cell>
          <cell r="I32">
            <v>16.585000000000001</v>
          </cell>
          <cell r="J32">
            <v>16.893000000000001</v>
          </cell>
          <cell r="K32">
            <v>17.372</v>
          </cell>
          <cell r="L32">
            <v>9.7530000000000001</v>
          </cell>
          <cell r="M32">
            <v>10.923</v>
          </cell>
          <cell r="N32">
            <v>14.559000000000001</v>
          </cell>
          <cell r="O32">
            <v>12.887</v>
          </cell>
          <cell r="P32">
            <v>14.59</v>
          </cell>
          <cell r="Q32">
            <v>15.647</v>
          </cell>
          <cell r="R32">
            <v>22.773000000000003</v>
          </cell>
          <cell r="S32">
            <v>19.792000000000002</v>
          </cell>
          <cell r="T32">
            <v>19.799999999999997</v>
          </cell>
          <cell r="U32">
            <v>25.497999999999998</v>
          </cell>
          <cell r="V32">
            <v>17.385999999999999</v>
          </cell>
          <cell r="W32">
            <v>19.366</v>
          </cell>
          <cell r="X32">
            <v>19.886000000000003</v>
          </cell>
          <cell r="Y32">
            <v>19.886000000000003</v>
          </cell>
          <cell r="Z32">
            <v>19.886000000000003</v>
          </cell>
          <cell r="AA32">
            <v>19.886000000000003</v>
          </cell>
        </row>
        <row r="33">
          <cell r="D33">
            <v>6.1159999999999997</v>
          </cell>
          <cell r="E33">
            <v>6.1159999999999997</v>
          </cell>
          <cell r="F33">
            <v>6.1159999999999997</v>
          </cell>
          <cell r="G33">
            <v>6.1159999999999997</v>
          </cell>
          <cell r="H33">
            <v>6.1159999999999997</v>
          </cell>
          <cell r="I33">
            <v>6.1159999999999997</v>
          </cell>
          <cell r="J33">
            <v>6.1159999999999997</v>
          </cell>
          <cell r="K33">
            <v>6.1159999999999997</v>
          </cell>
          <cell r="L33">
            <v>6.1159999999999997</v>
          </cell>
          <cell r="M33">
            <v>6.1159999999999997</v>
          </cell>
          <cell r="N33">
            <v>6.1159999999999997</v>
          </cell>
          <cell r="O33">
            <v>6.1159999999999997</v>
          </cell>
          <cell r="P33">
            <v>6.1159999999999997</v>
          </cell>
          <cell r="Q33">
            <v>6.1159999999999997</v>
          </cell>
          <cell r="R33">
            <v>6.1159999999999997</v>
          </cell>
          <cell r="S33">
            <v>6.1159999999999997</v>
          </cell>
          <cell r="T33">
            <v>6.1159999999999997</v>
          </cell>
          <cell r="U33">
            <v>6.3</v>
          </cell>
          <cell r="V33">
            <v>6.3</v>
          </cell>
          <cell r="W33">
            <v>6.3</v>
          </cell>
          <cell r="X33">
            <v>6.3</v>
          </cell>
          <cell r="Y33">
            <v>6.3</v>
          </cell>
          <cell r="Z33">
            <v>6.3</v>
          </cell>
          <cell r="AA33">
            <v>6.3</v>
          </cell>
        </row>
        <row r="34">
          <cell r="D34">
            <v>1.5289999999999999</v>
          </cell>
          <cell r="E34">
            <v>0</v>
          </cell>
          <cell r="F34">
            <v>2.7519999999999998</v>
          </cell>
          <cell r="G34">
            <v>0</v>
          </cell>
          <cell r="H34">
            <v>1.5</v>
          </cell>
          <cell r="I34">
            <v>1.5</v>
          </cell>
          <cell r="J34">
            <v>1.8080000000000001</v>
          </cell>
          <cell r="K34">
            <v>2.2869999999999999</v>
          </cell>
          <cell r="L34">
            <v>3.637</v>
          </cell>
          <cell r="M34">
            <v>1.1120000000000001</v>
          </cell>
          <cell r="N34">
            <v>2.4340000000000002</v>
          </cell>
          <cell r="O34">
            <v>1.0369999999999999</v>
          </cell>
          <cell r="P34">
            <v>2.74</v>
          </cell>
          <cell r="Q34">
            <v>3.7970000000000002</v>
          </cell>
          <cell r="R34">
            <v>10.923</v>
          </cell>
          <cell r="S34">
            <v>2.59</v>
          </cell>
          <cell r="T34">
            <v>2.5979999999999999</v>
          </cell>
          <cell r="U34">
            <v>8.1120000000000001</v>
          </cell>
          <cell r="V34">
            <v>0</v>
          </cell>
          <cell r="W34">
            <v>1.98</v>
          </cell>
          <cell r="X34">
            <v>2.5</v>
          </cell>
          <cell r="Y34">
            <v>2.5</v>
          </cell>
          <cell r="Z34">
            <v>2.5</v>
          </cell>
          <cell r="AA34">
            <v>2.5</v>
          </cell>
        </row>
        <row r="35">
          <cell r="D35">
            <v>8.9689999999999994</v>
          </cell>
          <cell r="E35">
            <v>8.9689999999999994</v>
          </cell>
          <cell r="F35">
            <v>8.9689999999999994</v>
          </cell>
          <cell r="G35">
            <v>8.9689999999999994</v>
          </cell>
          <cell r="H35">
            <v>8.9689999999999994</v>
          </cell>
          <cell r="I35">
            <v>8.9689999999999994</v>
          </cell>
          <cell r="J35">
            <v>8.9689999999999994</v>
          </cell>
          <cell r="K35">
            <v>8.9689999999999994</v>
          </cell>
          <cell r="L35">
            <v>0</v>
          </cell>
          <cell r="M35">
            <v>3.6949999999999998</v>
          </cell>
          <cell r="N35">
            <v>6.0090000000000003</v>
          </cell>
          <cell r="O35">
            <v>5.734</v>
          </cell>
          <cell r="P35">
            <v>5.734</v>
          </cell>
          <cell r="Q35">
            <v>5.734</v>
          </cell>
          <cell r="R35">
            <v>5.734</v>
          </cell>
          <cell r="S35">
            <v>11.086</v>
          </cell>
          <cell r="T35">
            <v>11.086</v>
          </cell>
          <cell r="U35">
            <v>11.086</v>
          </cell>
          <cell r="V35">
            <v>11.086</v>
          </cell>
          <cell r="W35">
            <v>11.086</v>
          </cell>
          <cell r="X35">
            <v>11.086</v>
          </cell>
          <cell r="Y35">
            <v>11.086</v>
          </cell>
          <cell r="Z35">
            <v>11.086</v>
          </cell>
          <cell r="AA35">
            <v>11.086</v>
          </cell>
        </row>
        <row r="37">
          <cell r="D37">
            <v>87.142347999999998</v>
          </cell>
          <cell r="E37">
            <v>84.710627599999995</v>
          </cell>
          <cell r="F37">
            <v>90.036230399999994</v>
          </cell>
          <cell r="G37">
            <v>82.842242599999992</v>
          </cell>
          <cell r="H37">
            <v>88.938383000000016</v>
          </cell>
          <cell r="I37">
            <v>89.213395399999996</v>
          </cell>
          <cell r="J37">
            <v>86.487589</v>
          </cell>
          <cell r="K37">
            <v>87.948032999999995</v>
          </cell>
          <cell r="L37">
            <v>82.922403400000007</v>
          </cell>
          <cell r="M37">
            <v>83.233379800000009</v>
          </cell>
          <cell r="N37">
            <v>89.355415600000001</v>
          </cell>
          <cell r="O37">
            <v>-324.21374499999996</v>
          </cell>
          <cell r="P37">
            <v>80.440965599999998</v>
          </cell>
          <cell r="Q37">
            <v>88.705510000000004</v>
          </cell>
          <cell r="R37">
            <v>91.647194600000006</v>
          </cell>
          <cell r="S37">
            <v>88.308990600000001</v>
          </cell>
          <cell r="T37">
            <v>87.053077999999999</v>
          </cell>
          <cell r="U37">
            <v>99.931571999999989</v>
          </cell>
          <cell r="V37">
            <v>80.716076399999992</v>
          </cell>
          <cell r="W37">
            <v>86.608847400000002</v>
          </cell>
          <cell r="X37">
            <v>88.15</v>
          </cell>
          <cell r="Y37">
            <v>87.803200000000004</v>
          </cell>
          <cell r="Z37">
            <v>88.496800000000007</v>
          </cell>
          <cell r="AA37">
            <v>89.190400000000011</v>
          </cell>
        </row>
        <row r="39">
          <cell r="D39">
            <v>-53.922348</v>
          </cell>
          <cell r="E39">
            <v>-56.696627599999999</v>
          </cell>
          <cell r="F39">
            <v>-47.180230399999992</v>
          </cell>
          <cell r="G39">
            <v>-65.603242599999987</v>
          </cell>
          <cell r="H39">
            <v>-45.193383000000019</v>
          </cell>
          <cell r="I39">
            <v>-43.882395399999993</v>
          </cell>
          <cell r="J39">
            <v>-58.652588999999999</v>
          </cell>
          <cell r="K39">
            <v>-54.453032999999998</v>
          </cell>
          <cell r="L39">
            <v>-34.471403400000007</v>
          </cell>
          <cell r="M39">
            <v>-39.736379800000009</v>
          </cell>
          <cell r="N39">
            <v>-31.521415599999997</v>
          </cell>
          <cell r="O39">
            <v>348.03874499999995</v>
          </cell>
          <cell r="P39">
            <v>-39.356965599999995</v>
          </cell>
          <cell r="Q39">
            <v>-6.0555099999999982</v>
          </cell>
          <cell r="R39">
            <v>-33.128194600000008</v>
          </cell>
          <cell r="S39">
            <v>-31.849990599999998</v>
          </cell>
          <cell r="T39">
            <v>-37.883077999999998</v>
          </cell>
          <cell r="U39">
            <v>-9.3515719999999902</v>
          </cell>
          <cell r="V39">
            <v>-54.170076399999992</v>
          </cell>
          <cell r="W39">
            <v>-37.497847399999998</v>
          </cell>
          <cell r="X39">
            <v>-33.150000000000006</v>
          </cell>
          <cell r="Y39">
            <v>-34.803200000000004</v>
          </cell>
          <cell r="Z39">
            <v>-31.496800000000007</v>
          </cell>
          <cell r="AA39">
            <v>-28.190400000000011</v>
          </cell>
        </row>
        <row r="60">
          <cell r="C60">
            <v>1</v>
          </cell>
          <cell r="D60">
            <v>2</v>
          </cell>
          <cell r="E60">
            <v>3</v>
          </cell>
          <cell r="F60">
            <v>4</v>
          </cell>
          <cell r="G60">
            <v>5</v>
          </cell>
          <cell r="H60">
            <v>6</v>
          </cell>
          <cell r="I60">
            <v>7</v>
          </cell>
          <cell r="J60">
            <v>8</v>
          </cell>
          <cell r="K60">
            <v>9</v>
          </cell>
          <cell r="L60">
            <v>10</v>
          </cell>
          <cell r="M60">
            <v>11</v>
          </cell>
          <cell r="N60">
            <v>12</v>
          </cell>
          <cell r="O60">
            <v>13</v>
          </cell>
          <cell r="P60">
            <v>14</v>
          </cell>
          <cell r="Q60">
            <v>15</v>
          </cell>
          <cell r="R60">
            <v>16</v>
          </cell>
          <cell r="S60">
            <v>17</v>
          </cell>
          <cell r="T60">
            <v>18</v>
          </cell>
          <cell r="U60">
            <v>19</v>
          </cell>
          <cell r="V60">
            <v>20</v>
          </cell>
          <cell r="W60">
            <v>21</v>
          </cell>
          <cell r="X60">
            <v>22</v>
          </cell>
          <cell r="Y60">
            <v>23</v>
          </cell>
          <cell r="Z60">
            <v>24</v>
          </cell>
          <cell r="AA60">
            <v>25</v>
          </cell>
        </row>
        <row r="61">
          <cell r="D61">
            <v>39722</v>
          </cell>
          <cell r="E61">
            <v>39753</v>
          </cell>
          <cell r="F61">
            <v>39783</v>
          </cell>
          <cell r="G61">
            <v>39814</v>
          </cell>
          <cell r="H61">
            <v>39845</v>
          </cell>
          <cell r="I61">
            <v>39873</v>
          </cell>
          <cell r="J61">
            <v>39904</v>
          </cell>
          <cell r="K61">
            <v>39934</v>
          </cell>
          <cell r="L61">
            <v>39965</v>
          </cell>
          <cell r="M61">
            <v>39995</v>
          </cell>
          <cell r="N61">
            <v>40026</v>
          </cell>
          <cell r="O61">
            <v>40057</v>
          </cell>
          <cell r="P61">
            <v>40087</v>
          </cell>
          <cell r="Q61">
            <v>40118</v>
          </cell>
          <cell r="R61">
            <v>40148</v>
          </cell>
          <cell r="S61">
            <v>40179</v>
          </cell>
          <cell r="T61">
            <v>40210</v>
          </cell>
          <cell r="U61">
            <v>40238</v>
          </cell>
          <cell r="V61">
            <v>40269</v>
          </cell>
          <cell r="W61">
            <v>40299</v>
          </cell>
          <cell r="X61">
            <v>40330</v>
          </cell>
          <cell r="Y61">
            <v>40360</v>
          </cell>
          <cell r="Z61">
            <v>40391</v>
          </cell>
          <cell r="AA61">
            <v>40422</v>
          </cell>
        </row>
        <row r="63">
          <cell r="C63" t="str">
            <v>a</v>
          </cell>
          <cell r="D63">
            <v>14.77</v>
          </cell>
          <cell r="E63">
            <v>19.516999999999999</v>
          </cell>
          <cell r="F63">
            <v>20.794</v>
          </cell>
          <cell r="G63">
            <v>16.239999999999998</v>
          </cell>
          <cell r="H63">
            <v>15.065</v>
          </cell>
          <cell r="I63">
            <v>21.103999999999999</v>
          </cell>
          <cell r="J63">
            <v>7.2009999999999996</v>
          </cell>
          <cell r="K63">
            <v>26.484999999999999</v>
          </cell>
          <cell r="L63">
            <v>24.92</v>
          </cell>
          <cell r="M63">
            <v>16.082999999999998</v>
          </cell>
          <cell r="N63">
            <v>36.430999999999997</v>
          </cell>
          <cell r="O63">
            <v>22.635000000000002</v>
          </cell>
          <cell r="P63">
            <v>19.869</v>
          </cell>
          <cell r="Q63">
            <v>33.661999999999999</v>
          </cell>
          <cell r="R63">
            <v>25.67</v>
          </cell>
          <cell r="S63">
            <v>28.129000000000001</v>
          </cell>
          <cell r="T63">
            <v>26.605</v>
          </cell>
          <cell r="U63">
            <v>23.661999999999999</v>
          </cell>
          <cell r="V63">
            <v>19.058</v>
          </cell>
          <cell r="W63">
            <v>18.916</v>
          </cell>
          <cell r="X63">
            <v>15</v>
          </cell>
          <cell r="Y63">
            <v>20</v>
          </cell>
          <cell r="Z63">
            <v>27</v>
          </cell>
          <cell r="AA63">
            <v>27</v>
          </cell>
        </row>
        <row r="65">
          <cell r="C65" t="str">
            <v>b</v>
          </cell>
          <cell r="D65">
            <v>30.989000000000001</v>
          </cell>
          <cell r="E65">
            <v>32.530999999999999</v>
          </cell>
          <cell r="F65">
            <v>29.581</v>
          </cell>
          <cell r="G65">
            <v>31.707000000000001</v>
          </cell>
          <cell r="H65">
            <v>30.811</v>
          </cell>
          <cell r="I65">
            <v>32.459000000000003</v>
          </cell>
          <cell r="J65">
            <v>31.533999999999999</v>
          </cell>
          <cell r="K65">
            <v>32.781999999999996</v>
          </cell>
          <cell r="L65">
            <v>31.193999999999999</v>
          </cell>
          <cell r="M65">
            <v>30.452999999999999</v>
          </cell>
          <cell r="N65">
            <v>32.947000000000003</v>
          </cell>
          <cell r="O65">
            <v>30.541</v>
          </cell>
          <cell r="P65">
            <v>24.914000000000001</v>
          </cell>
          <cell r="Q65">
            <v>24.914000000000001</v>
          </cell>
          <cell r="R65">
            <v>24.914000000000001</v>
          </cell>
          <cell r="S65">
            <v>24.914000000000001</v>
          </cell>
          <cell r="T65">
            <v>24.914000000000001</v>
          </cell>
          <cell r="U65">
            <v>24.914000000000001</v>
          </cell>
          <cell r="V65">
            <v>24.914000000000001</v>
          </cell>
          <cell r="W65">
            <v>24.914000000000001</v>
          </cell>
          <cell r="X65">
            <v>24.914000000000001</v>
          </cell>
          <cell r="Y65">
            <v>24.914000000000001</v>
          </cell>
          <cell r="Z65">
            <v>24.914000000000001</v>
          </cell>
          <cell r="AA65">
            <v>24.914000000000001</v>
          </cell>
        </row>
        <row r="66">
          <cell r="C66" t="str">
            <v>c</v>
          </cell>
          <cell r="D66">
            <v>2.547825</v>
          </cell>
          <cell r="E66">
            <v>3.3666825</v>
          </cell>
          <cell r="F66">
            <v>3.5869650000000002</v>
          </cell>
          <cell r="G66">
            <v>2.8014000000000001</v>
          </cell>
          <cell r="H66">
            <v>2.5987124999999995</v>
          </cell>
          <cell r="I66">
            <v>3.6404399999999999</v>
          </cell>
          <cell r="J66">
            <v>1.2421725000000001</v>
          </cell>
          <cell r="K66">
            <v>4.5686625000000003</v>
          </cell>
          <cell r="L66">
            <v>4.2987000000000002</v>
          </cell>
          <cell r="M66">
            <v>2.7743175</v>
          </cell>
          <cell r="N66">
            <v>6.2843475</v>
          </cell>
          <cell r="O66">
            <v>3.9045375000000004</v>
          </cell>
          <cell r="P66">
            <v>3.4274024999999999</v>
          </cell>
          <cell r="Q66">
            <v>5.8066949999999995</v>
          </cell>
          <cell r="R66">
            <v>4.4280750000000006</v>
          </cell>
          <cell r="S66">
            <v>4.8522525000000005</v>
          </cell>
          <cell r="T66">
            <v>4.5893625</v>
          </cell>
          <cell r="U66">
            <v>4.0816949999999999</v>
          </cell>
          <cell r="V66">
            <v>3.2875049999999999</v>
          </cell>
          <cell r="W66">
            <v>3.2630100000000004</v>
          </cell>
          <cell r="X66">
            <v>2.5875000000000004</v>
          </cell>
          <cell r="Y66">
            <v>3.4499999999999997</v>
          </cell>
          <cell r="Z66">
            <v>4.6575000000000006</v>
          </cell>
          <cell r="AA66">
            <v>4.6575000000000006</v>
          </cell>
        </row>
        <row r="67">
          <cell r="D67">
            <v>1.4770000000000001</v>
          </cell>
          <cell r="E67">
            <v>1.9517</v>
          </cell>
          <cell r="F67">
            <v>2.0794000000000001</v>
          </cell>
          <cell r="G67">
            <v>1.6239999999999999</v>
          </cell>
          <cell r="H67">
            <v>1.5065</v>
          </cell>
          <cell r="I67">
            <v>2.1103999999999998</v>
          </cell>
          <cell r="J67">
            <v>0.72009999999999996</v>
          </cell>
          <cell r="K67">
            <v>2.6485000000000003</v>
          </cell>
          <cell r="L67">
            <v>2.4920000000000004</v>
          </cell>
          <cell r="M67">
            <v>1.6082999999999998</v>
          </cell>
          <cell r="N67">
            <v>3.6431</v>
          </cell>
          <cell r="O67">
            <v>2.2635000000000001</v>
          </cell>
          <cell r="P67">
            <v>1.9869000000000001</v>
          </cell>
          <cell r="Q67">
            <v>3.3662000000000001</v>
          </cell>
          <cell r="R67">
            <v>2.5670000000000002</v>
          </cell>
          <cell r="S67">
            <v>2.8129000000000004</v>
          </cell>
          <cell r="T67">
            <v>2.6605000000000003</v>
          </cell>
          <cell r="U67">
            <v>2.3662000000000001</v>
          </cell>
          <cell r="V67">
            <v>1.9058000000000002</v>
          </cell>
          <cell r="W67">
            <v>1.8916000000000002</v>
          </cell>
          <cell r="X67">
            <v>1.5</v>
          </cell>
          <cell r="Y67">
            <v>2</v>
          </cell>
          <cell r="Z67">
            <v>2.7</v>
          </cell>
          <cell r="AA67">
            <v>2.7</v>
          </cell>
        </row>
        <row r="68">
          <cell r="D68">
            <v>0.59079999999999999</v>
          </cell>
          <cell r="E68">
            <v>0.78068000000000004</v>
          </cell>
          <cell r="F68">
            <v>0.83176000000000005</v>
          </cell>
          <cell r="G68">
            <v>0.64959999999999996</v>
          </cell>
          <cell r="H68">
            <v>0.60260000000000002</v>
          </cell>
          <cell r="I68">
            <v>0.84416000000000002</v>
          </cell>
          <cell r="J68">
            <v>0.28804000000000002</v>
          </cell>
          <cell r="K68">
            <v>1.0593999999999999</v>
          </cell>
          <cell r="L68">
            <v>0.99680000000000013</v>
          </cell>
          <cell r="M68">
            <v>0.64332</v>
          </cell>
          <cell r="N68">
            <v>1.4572399999999999</v>
          </cell>
          <cell r="O68">
            <v>0.90540000000000009</v>
          </cell>
          <cell r="P68">
            <v>0.79476000000000002</v>
          </cell>
          <cell r="Q68">
            <v>1.3464799999999999</v>
          </cell>
          <cell r="R68">
            <v>1.0268000000000002</v>
          </cell>
          <cell r="S68">
            <v>1.1251600000000002</v>
          </cell>
          <cell r="T68">
            <v>1.0642</v>
          </cell>
          <cell r="U68">
            <v>0.94647999999999999</v>
          </cell>
          <cell r="V68">
            <v>0.76232</v>
          </cell>
          <cell r="W68">
            <v>0.75663999999999998</v>
          </cell>
          <cell r="X68">
            <v>0.6</v>
          </cell>
          <cell r="Y68">
            <v>0.8</v>
          </cell>
          <cell r="Z68">
            <v>1.08</v>
          </cell>
          <cell r="AA68">
            <v>1.08</v>
          </cell>
        </row>
        <row r="69">
          <cell r="D69">
            <v>0.48002499999999998</v>
          </cell>
          <cell r="E69">
            <v>0.63430249999999999</v>
          </cell>
          <cell r="F69">
            <v>0.67580499999999999</v>
          </cell>
          <cell r="G69">
            <v>0.52779999999999994</v>
          </cell>
          <cell r="H69">
            <v>0.48961250000000001</v>
          </cell>
          <cell r="I69">
            <v>0.68588000000000005</v>
          </cell>
          <cell r="J69">
            <v>0.2340325</v>
          </cell>
          <cell r="K69">
            <v>0.86076249999999999</v>
          </cell>
          <cell r="L69">
            <v>0.80990000000000006</v>
          </cell>
          <cell r="M69">
            <v>0.52269749999999993</v>
          </cell>
          <cell r="N69">
            <v>1.1840074999999999</v>
          </cell>
          <cell r="O69">
            <v>0.73563750000000006</v>
          </cell>
          <cell r="P69">
            <v>0.6457425</v>
          </cell>
          <cell r="Q69">
            <v>1.094015</v>
          </cell>
          <cell r="R69">
            <v>0.8342750000000001</v>
          </cell>
          <cell r="S69">
            <v>0.91419250000000007</v>
          </cell>
          <cell r="T69">
            <v>0.8646625</v>
          </cell>
          <cell r="U69">
            <v>0.769015</v>
          </cell>
          <cell r="V69">
            <v>0.61938499999999996</v>
          </cell>
          <cell r="W69">
            <v>0.61477000000000004</v>
          </cell>
          <cell r="X69">
            <v>0.48750000000000004</v>
          </cell>
          <cell r="Y69">
            <v>0.65</v>
          </cell>
          <cell r="Z69">
            <v>0.87750000000000006</v>
          </cell>
          <cell r="AA69">
            <v>0.87750000000000006</v>
          </cell>
        </row>
        <row r="70">
          <cell r="C70" t="str">
            <v>d</v>
          </cell>
          <cell r="D70">
            <v>11.46</v>
          </cell>
          <cell r="E70">
            <v>10.998000000000001</v>
          </cell>
          <cell r="F70">
            <v>10.998000000000001</v>
          </cell>
          <cell r="G70">
            <v>12.094000000000001</v>
          </cell>
          <cell r="H70">
            <v>11.497</v>
          </cell>
          <cell r="I70">
            <v>12.288</v>
          </cell>
          <cell r="J70">
            <v>12.378</v>
          </cell>
          <cell r="K70">
            <v>11</v>
          </cell>
          <cell r="L70">
            <v>11.850000000000001</v>
          </cell>
          <cell r="M70">
            <v>7.7329999999999997</v>
          </cell>
          <cell r="N70">
            <v>7.101</v>
          </cell>
          <cell r="O70">
            <v>11.134</v>
          </cell>
          <cell r="P70">
            <v>7.39</v>
          </cell>
          <cell r="Q70">
            <v>7.4160000000000004</v>
          </cell>
          <cell r="R70">
            <v>7.6769999999999996</v>
          </cell>
          <cell r="S70">
            <v>5.75</v>
          </cell>
          <cell r="T70">
            <v>6.3049999999999997</v>
          </cell>
          <cell r="U70">
            <v>5.9370000000000003</v>
          </cell>
          <cell r="V70">
            <v>8.25</v>
          </cell>
          <cell r="W70">
            <v>6.3049999999999997</v>
          </cell>
          <cell r="X70">
            <v>6.3049999999999997</v>
          </cell>
          <cell r="Y70">
            <v>6.3049999999999997</v>
          </cell>
          <cell r="Z70">
            <v>6.3049999999999997</v>
          </cell>
          <cell r="AA70">
            <v>6.3049999999999997</v>
          </cell>
        </row>
        <row r="71">
          <cell r="D71">
            <v>3.3780000000000001</v>
          </cell>
          <cell r="E71">
            <v>2.9159999999999999</v>
          </cell>
          <cell r="F71">
            <v>2.9159999999999999</v>
          </cell>
          <cell r="G71">
            <v>2.9159999999999999</v>
          </cell>
          <cell r="H71">
            <v>2.9159999999999999</v>
          </cell>
          <cell r="I71">
            <v>2.9159999999999999</v>
          </cell>
          <cell r="J71">
            <v>2.9159999999999999</v>
          </cell>
          <cell r="K71">
            <v>2.9159999999999999</v>
          </cell>
          <cell r="L71">
            <v>2.9159999999999999</v>
          </cell>
          <cell r="M71">
            <v>2.9159999999999999</v>
          </cell>
          <cell r="N71">
            <v>2.9159999999999999</v>
          </cell>
          <cell r="O71">
            <v>2.9159999999999999</v>
          </cell>
          <cell r="P71">
            <v>2.9159999999999999</v>
          </cell>
          <cell r="Q71">
            <v>2.9159999999999999</v>
          </cell>
          <cell r="R71">
            <v>2.9159999999999999</v>
          </cell>
          <cell r="S71">
            <v>1.75</v>
          </cell>
          <cell r="T71">
            <v>1.75</v>
          </cell>
          <cell r="U71">
            <v>1.75</v>
          </cell>
          <cell r="V71">
            <v>1.75</v>
          </cell>
          <cell r="W71">
            <v>1.75</v>
          </cell>
          <cell r="X71">
            <v>1.75</v>
          </cell>
          <cell r="Y71">
            <v>1.75</v>
          </cell>
          <cell r="Z71">
            <v>1.75</v>
          </cell>
          <cell r="AA71">
            <v>1.75</v>
          </cell>
        </row>
        <row r="72">
          <cell r="D72">
            <v>0.41599999999999998</v>
          </cell>
          <cell r="E72">
            <v>0.41599999999999998</v>
          </cell>
          <cell r="F72">
            <v>0.41599999999999998</v>
          </cell>
          <cell r="G72">
            <v>1.512</v>
          </cell>
          <cell r="H72">
            <v>0.91500000000000004</v>
          </cell>
          <cell r="I72">
            <v>1.706</v>
          </cell>
          <cell r="J72">
            <v>1.796</v>
          </cell>
          <cell r="K72">
            <v>0.17899999999999999</v>
          </cell>
          <cell r="L72">
            <v>1.018</v>
          </cell>
          <cell r="M72">
            <v>1.0669999999999999</v>
          </cell>
          <cell r="N72">
            <v>0.435</v>
          </cell>
          <cell r="O72">
            <v>1.3560000000000001</v>
          </cell>
          <cell r="P72">
            <v>0.72399999999999998</v>
          </cell>
          <cell r="Q72">
            <v>0.25</v>
          </cell>
          <cell r="R72">
            <v>0.76100000000000001</v>
          </cell>
          <cell r="S72">
            <v>0</v>
          </cell>
          <cell r="T72">
            <v>0.55500000000000005</v>
          </cell>
          <cell r="U72">
            <v>0.187</v>
          </cell>
          <cell r="V72">
            <v>2.5</v>
          </cell>
          <cell r="W72">
            <v>0.55500000000000005</v>
          </cell>
          <cell r="X72">
            <v>0.55500000000000005</v>
          </cell>
          <cell r="Y72">
            <v>0.55500000000000005</v>
          </cell>
          <cell r="Z72">
            <v>0.55500000000000005</v>
          </cell>
          <cell r="AA72">
            <v>0.55500000000000005</v>
          </cell>
        </row>
        <row r="73">
          <cell r="D73">
            <v>7.6660000000000004</v>
          </cell>
          <cell r="E73">
            <v>7.6660000000000004</v>
          </cell>
          <cell r="F73">
            <v>7.6660000000000004</v>
          </cell>
          <cell r="G73">
            <v>7.6660000000000004</v>
          </cell>
          <cell r="H73">
            <v>7.6660000000000004</v>
          </cell>
          <cell r="I73">
            <v>7.6660000000000004</v>
          </cell>
          <cell r="J73">
            <v>7.6660000000000004</v>
          </cell>
          <cell r="K73">
            <v>7.9050000000000002</v>
          </cell>
          <cell r="L73">
            <v>7.9160000000000004</v>
          </cell>
          <cell r="M73">
            <v>3.75</v>
          </cell>
          <cell r="N73">
            <v>3.75</v>
          </cell>
          <cell r="O73">
            <v>6.8620000000000001</v>
          </cell>
          <cell r="P73">
            <v>3.75</v>
          </cell>
          <cell r="Q73">
            <v>4.25</v>
          </cell>
          <cell r="R73">
            <v>4</v>
          </cell>
          <cell r="S73">
            <v>4</v>
          </cell>
          <cell r="T73">
            <v>4</v>
          </cell>
          <cell r="U73">
            <v>4</v>
          </cell>
          <cell r="V73">
            <v>4</v>
          </cell>
          <cell r="W73">
            <v>4</v>
          </cell>
          <cell r="X73">
            <v>4</v>
          </cell>
          <cell r="Y73">
            <v>4</v>
          </cell>
          <cell r="Z73">
            <v>4</v>
          </cell>
          <cell r="AA73">
            <v>4</v>
          </cell>
        </row>
        <row r="75">
          <cell r="D75">
            <v>44.996825000000001</v>
          </cell>
          <cell r="E75">
            <v>46.895682500000007</v>
          </cell>
          <cell r="F75">
            <v>44.165965</v>
          </cell>
          <cell r="G75">
            <v>46.602400000000003</v>
          </cell>
          <cell r="H75">
            <v>44.906712499999998</v>
          </cell>
          <cell r="I75">
            <v>48.387439999999998</v>
          </cell>
          <cell r="J75">
            <v>45.154172500000001</v>
          </cell>
          <cell r="K75">
            <v>48.350662499999999</v>
          </cell>
          <cell r="L75">
            <v>47.342700000000001</v>
          </cell>
          <cell r="M75">
            <v>40.960317499999995</v>
          </cell>
          <cell r="N75">
            <v>46.332347500000004</v>
          </cell>
          <cell r="O75">
            <v>45.579537500000001</v>
          </cell>
          <cell r="P75">
            <v>35.731402500000002</v>
          </cell>
          <cell r="Q75">
            <v>38.136695000000003</v>
          </cell>
          <cell r="R75">
            <v>37.019075000000001</v>
          </cell>
          <cell r="S75">
            <v>35.5162525</v>
          </cell>
          <cell r="T75">
            <v>35.808362500000001</v>
          </cell>
          <cell r="U75">
            <v>34.932695000000002</v>
          </cell>
          <cell r="V75">
            <v>36.451504999999997</v>
          </cell>
          <cell r="W75">
            <v>34.482010000000002</v>
          </cell>
          <cell r="X75">
            <v>33.8065</v>
          </cell>
          <cell r="Y75">
            <v>34.668999999999997</v>
          </cell>
          <cell r="Z75">
            <v>35.8765</v>
          </cell>
          <cell r="AA75">
            <v>35.8765</v>
          </cell>
        </row>
        <row r="77">
          <cell r="D77">
            <v>-30.226825000000002</v>
          </cell>
          <cell r="E77">
            <v>-27.378682500000007</v>
          </cell>
          <cell r="F77">
            <v>-23.371964999999999</v>
          </cell>
          <cell r="G77">
            <v>-30.362400000000004</v>
          </cell>
          <cell r="H77">
            <v>-29.8417125</v>
          </cell>
          <cell r="I77">
            <v>-27.283439999999999</v>
          </cell>
          <cell r="J77">
            <v>-37.953172500000001</v>
          </cell>
          <cell r="K77">
            <v>-21.865662499999999</v>
          </cell>
          <cell r="L77">
            <v>-22.422699999999999</v>
          </cell>
          <cell r="M77">
            <v>-24.877317499999997</v>
          </cell>
          <cell r="N77">
            <v>-9.9013475000000071</v>
          </cell>
          <cell r="O77">
            <v>-22.944537499999999</v>
          </cell>
          <cell r="P77">
            <v>-15.862402500000002</v>
          </cell>
          <cell r="Q77">
            <v>-4.4746950000000041</v>
          </cell>
          <cell r="R77">
            <v>-11.349074999999999</v>
          </cell>
          <cell r="S77">
            <v>-7.3872524999999989</v>
          </cell>
          <cell r="T77">
            <v>-9.2033625000000008</v>
          </cell>
          <cell r="U77">
            <v>-11.270695000000003</v>
          </cell>
          <cell r="V77">
            <v>-17.393504999999998</v>
          </cell>
          <cell r="W77">
            <v>-15.566010000000002</v>
          </cell>
          <cell r="X77">
            <v>-18.8065</v>
          </cell>
          <cell r="Y77">
            <v>-14.668999999999997</v>
          </cell>
          <cell r="Z77">
            <v>-8.8765000000000001</v>
          </cell>
          <cell r="AA77">
            <v>-8.8765000000000001</v>
          </cell>
        </row>
        <row r="79">
          <cell r="C79">
            <v>1</v>
          </cell>
          <cell r="D79">
            <v>2</v>
          </cell>
          <cell r="E79">
            <v>3</v>
          </cell>
          <cell r="F79">
            <v>4</v>
          </cell>
          <cell r="G79">
            <v>5</v>
          </cell>
          <cell r="H79">
            <v>6</v>
          </cell>
          <cell r="I79">
            <v>7</v>
          </cell>
          <cell r="J79">
            <v>8</v>
          </cell>
          <cell r="K79">
            <v>9</v>
          </cell>
          <cell r="L79">
            <v>10</v>
          </cell>
          <cell r="M79">
            <v>11</v>
          </cell>
          <cell r="N79">
            <v>12</v>
          </cell>
          <cell r="O79">
            <v>13</v>
          </cell>
          <cell r="P79">
            <v>14</v>
          </cell>
          <cell r="Q79">
            <v>15</v>
          </cell>
          <cell r="R79">
            <v>16</v>
          </cell>
          <cell r="S79">
            <v>17</v>
          </cell>
          <cell r="T79">
            <v>18</v>
          </cell>
          <cell r="U79">
            <v>19</v>
          </cell>
          <cell r="V79">
            <v>20</v>
          </cell>
          <cell r="W79">
            <v>21</v>
          </cell>
          <cell r="X79">
            <v>22</v>
          </cell>
          <cell r="Y79">
            <v>23</v>
          </cell>
          <cell r="Z79">
            <v>24</v>
          </cell>
          <cell r="AA79">
            <v>25</v>
          </cell>
        </row>
        <row r="80">
          <cell r="D80">
            <v>39722</v>
          </cell>
          <cell r="E80">
            <v>39753</v>
          </cell>
          <cell r="F80">
            <v>39783</v>
          </cell>
          <cell r="G80">
            <v>39814</v>
          </cell>
          <cell r="H80">
            <v>39845</v>
          </cell>
          <cell r="I80">
            <v>39873</v>
          </cell>
          <cell r="J80">
            <v>39904</v>
          </cell>
          <cell r="K80">
            <v>39934</v>
          </cell>
          <cell r="L80">
            <v>39965</v>
          </cell>
          <cell r="M80">
            <v>39995</v>
          </cell>
          <cell r="N80">
            <v>40026</v>
          </cell>
          <cell r="O80">
            <v>40057</v>
          </cell>
          <cell r="P80">
            <v>40087</v>
          </cell>
          <cell r="Q80">
            <v>40118</v>
          </cell>
          <cell r="R80">
            <v>40148</v>
          </cell>
          <cell r="S80">
            <v>40179</v>
          </cell>
          <cell r="T80">
            <v>40210</v>
          </cell>
          <cell r="U80">
            <v>40238</v>
          </cell>
          <cell r="V80">
            <v>40269</v>
          </cell>
          <cell r="W80">
            <v>40299</v>
          </cell>
          <cell r="X80">
            <v>40330</v>
          </cell>
          <cell r="Y80">
            <v>40360</v>
          </cell>
          <cell r="Z80">
            <v>40391</v>
          </cell>
          <cell r="AA80">
            <v>40422</v>
          </cell>
        </row>
        <row r="82">
          <cell r="C82" t="str">
            <v>a</v>
          </cell>
          <cell r="D82">
            <v>2.8000000000000001E-2</v>
          </cell>
          <cell r="E82">
            <v>1.653</v>
          </cell>
          <cell r="F82">
            <v>0.30199999999999999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1.7000000000000001E-2</v>
          </cell>
          <cell r="L82">
            <v>0.17399999999999999</v>
          </cell>
          <cell r="M82">
            <v>0</v>
          </cell>
          <cell r="N82">
            <v>1.4179999999999999</v>
          </cell>
          <cell r="O82">
            <v>0.93</v>
          </cell>
          <cell r="P82">
            <v>7.5330000000000004</v>
          </cell>
          <cell r="Q82">
            <v>5.6909999999999998</v>
          </cell>
          <cell r="R82">
            <v>2.1680000000000001</v>
          </cell>
          <cell r="S82">
            <v>2.02</v>
          </cell>
          <cell r="T82">
            <v>3.0569999999999999</v>
          </cell>
          <cell r="U82">
            <v>4.7869999999999999</v>
          </cell>
          <cell r="V82">
            <v>6.5390000000000006</v>
          </cell>
          <cell r="W82">
            <v>6.4</v>
          </cell>
          <cell r="X82">
            <v>5</v>
          </cell>
          <cell r="Y82">
            <v>7.5</v>
          </cell>
          <cell r="Z82">
            <v>7.5</v>
          </cell>
          <cell r="AA82">
            <v>10</v>
          </cell>
        </row>
        <row r="84">
          <cell r="C84" t="str">
            <v>b</v>
          </cell>
          <cell r="D84">
            <v>14.065</v>
          </cell>
          <cell r="E84">
            <v>14.065</v>
          </cell>
          <cell r="F84">
            <v>14.065</v>
          </cell>
          <cell r="G84">
            <v>14.065</v>
          </cell>
          <cell r="H84">
            <v>14.065</v>
          </cell>
          <cell r="I84">
            <v>14.065</v>
          </cell>
          <cell r="J84">
            <v>14.065</v>
          </cell>
          <cell r="K84">
            <v>14.065</v>
          </cell>
          <cell r="L84">
            <v>14.065</v>
          </cell>
          <cell r="M84">
            <v>14.065</v>
          </cell>
          <cell r="N84">
            <v>14.065</v>
          </cell>
          <cell r="O84">
            <v>14.065</v>
          </cell>
          <cell r="P84">
            <v>18.363</v>
          </cell>
          <cell r="Q84">
            <v>18.363</v>
          </cell>
          <cell r="R84">
            <v>18.363</v>
          </cell>
          <cell r="S84">
            <v>18.363</v>
          </cell>
          <cell r="T84">
            <v>18.363</v>
          </cell>
          <cell r="U84">
            <v>18.363</v>
          </cell>
          <cell r="V84">
            <v>18.363</v>
          </cell>
          <cell r="W84">
            <v>18.363</v>
          </cell>
          <cell r="X84">
            <v>18.363</v>
          </cell>
          <cell r="Y84">
            <v>18.363</v>
          </cell>
          <cell r="Z84">
            <v>18.363</v>
          </cell>
          <cell r="AA84">
            <v>18.363</v>
          </cell>
        </row>
        <row r="85">
          <cell r="C85" t="str">
            <v>c</v>
          </cell>
          <cell r="D85">
            <v>4.6200000000000008E-3</v>
          </cell>
          <cell r="E85">
            <v>0.27274500000000002</v>
          </cell>
          <cell r="F85">
            <v>4.9829999999999999E-2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2.8050000000000002E-3</v>
          </cell>
          <cell r="L85">
            <v>2.8709999999999999E-2</v>
          </cell>
          <cell r="M85">
            <v>0</v>
          </cell>
          <cell r="N85">
            <v>0.23397000000000001</v>
          </cell>
          <cell r="O85">
            <v>0.15345000000000003</v>
          </cell>
          <cell r="P85">
            <v>1.2678039000000003</v>
          </cell>
          <cell r="Q85">
            <v>0.95779530000000013</v>
          </cell>
          <cell r="R85">
            <v>0.36487440000000004</v>
          </cell>
          <cell r="S85">
            <v>0.33996600000000005</v>
          </cell>
          <cell r="T85">
            <v>0.51449310000000004</v>
          </cell>
          <cell r="U85">
            <v>0.80565210000000009</v>
          </cell>
          <cell r="V85">
            <v>1.1005137000000003</v>
          </cell>
          <cell r="W85">
            <v>1.0771200000000003</v>
          </cell>
          <cell r="X85">
            <v>0.84150000000000003</v>
          </cell>
          <cell r="Y85">
            <v>1.2622499999999999</v>
          </cell>
          <cell r="Z85">
            <v>1.2622499999999999</v>
          </cell>
          <cell r="AA85">
            <v>1.6830000000000001</v>
          </cell>
        </row>
        <row r="86">
          <cell r="D86">
            <v>2.8000000000000004E-3</v>
          </cell>
          <cell r="E86">
            <v>0.1653</v>
          </cell>
          <cell r="F86">
            <v>3.0200000000000001E-2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1.7000000000000001E-3</v>
          </cell>
          <cell r="L86">
            <v>1.7399999999999999E-2</v>
          </cell>
          <cell r="M86">
            <v>0</v>
          </cell>
          <cell r="N86">
            <v>0.14180000000000001</v>
          </cell>
          <cell r="O86">
            <v>9.3000000000000013E-2</v>
          </cell>
          <cell r="P86">
            <v>0.75330000000000008</v>
          </cell>
          <cell r="Q86">
            <v>0.56910000000000005</v>
          </cell>
          <cell r="R86">
            <v>0.21680000000000002</v>
          </cell>
          <cell r="S86">
            <v>0.20200000000000001</v>
          </cell>
          <cell r="T86">
            <v>0.30570000000000003</v>
          </cell>
          <cell r="U86">
            <v>0.47870000000000001</v>
          </cell>
          <cell r="V86">
            <v>0.65390000000000015</v>
          </cell>
          <cell r="W86">
            <v>0.64000000000000012</v>
          </cell>
          <cell r="X86">
            <v>0.5</v>
          </cell>
          <cell r="Y86">
            <v>0.75</v>
          </cell>
          <cell r="Z86">
            <v>0.75</v>
          </cell>
          <cell r="AA86">
            <v>1</v>
          </cell>
        </row>
        <row r="87">
          <cell r="D87">
            <v>1.0920000000000001E-3</v>
          </cell>
          <cell r="E87">
            <v>6.4466999999999997E-2</v>
          </cell>
          <cell r="F87">
            <v>1.1778E-2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6.6300000000000007E-4</v>
          </cell>
          <cell r="L87">
            <v>6.7859999999999995E-3</v>
          </cell>
          <cell r="M87">
            <v>0</v>
          </cell>
          <cell r="N87">
            <v>5.5301999999999997E-2</v>
          </cell>
          <cell r="O87">
            <v>3.6270000000000004E-2</v>
          </cell>
          <cell r="P87">
            <v>0.30357990000000001</v>
          </cell>
          <cell r="Q87">
            <v>0.2293473</v>
          </cell>
          <cell r="R87">
            <v>8.7370400000000015E-2</v>
          </cell>
          <cell r="S87">
            <v>8.1406000000000006E-2</v>
          </cell>
          <cell r="T87">
            <v>0.1231971</v>
          </cell>
          <cell r="U87">
            <v>0.19291610000000001</v>
          </cell>
          <cell r="V87">
            <v>0.26352170000000003</v>
          </cell>
          <cell r="W87">
            <v>0.25792000000000004</v>
          </cell>
          <cell r="X87">
            <v>0.20150000000000001</v>
          </cell>
          <cell r="Y87">
            <v>0.30225000000000002</v>
          </cell>
          <cell r="Z87">
            <v>0.30225000000000002</v>
          </cell>
          <cell r="AA87">
            <v>0.40300000000000002</v>
          </cell>
        </row>
        <row r="88">
          <cell r="D88">
            <v>7.2800000000000002E-4</v>
          </cell>
          <cell r="E88">
            <v>4.2977999999999995E-2</v>
          </cell>
          <cell r="F88">
            <v>7.8519999999999996E-3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4.4200000000000001E-4</v>
          </cell>
          <cell r="L88">
            <v>4.5239999999999994E-3</v>
          </cell>
          <cell r="M88">
            <v>0</v>
          </cell>
          <cell r="N88">
            <v>3.6867999999999998E-2</v>
          </cell>
          <cell r="O88">
            <v>2.418E-2</v>
          </cell>
          <cell r="P88">
            <v>0.21092400000000003</v>
          </cell>
          <cell r="Q88">
            <v>0.15934799999999999</v>
          </cell>
          <cell r="R88">
            <v>6.0704000000000008E-2</v>
          </cell>
          <cell r="S88">
            <v>5.6559999999999999E-2</v>
          </cell>
          <cell r="T88">
            <v>8.5596000000000005E-2</v>
          </cell>
          <cell r="U88">
            <v>0.13403599999999999</v>
          </cell>
          <cell r="V88">
            <v>0.18309200000000003</v>
          </cell>
          <cell r="W88">
            <v>0.17920000000000003</v>
          </cell>
          <cell r="X88">
            <v>0.14000000000000001</v>
          </cell>
          <cell r="Y88">
            <v>0.21</v>
          </cell>
          <cell r="Z88">
            <v>0.21</v>
          </cell>
          <cell r="AA88">
            <v>0.28000000000000003</v>
          </cell>
        </row>
        <row r="89">
          <cell r="C89" t="str">
            <v>d</v>
          </cell>
          <cell r="D89">
            <v>4.8739999999999997</v>
          </cell>
          <cell r="E89">
            <v>4.8739999999999997</v>
          </cell>
          <cell r="F89">
            <v>4.8739999999999997</v>
          </cell>
          <cell r="G89">
            <v>4.8739999999999997</v>
          </cell>
          <cell r="H89">
            <v>4.7460000000000004</v>
          </cell>
          <cell r="I89">
            <v>5.1859999999999999</v>
          </cell>
          <cell r="J89">
            <v>3.222</v>
          </cell>
          <cell r="K89">
            <v>4.4770000000000003</v>
          </cell>
          <cell r="L89">
            <v>2.5249999999999999</v>
          </cell>
          <cell r="M89">
            <v>2.9060000000000001</v>
          </cell>
          <cell r="N89">
            <v>1.536</v>
          </cell>
          <cell r="O89">
            <v>2.31</v>
          </cell>
          <cell r="P89">
            <v>2.5670000000000002</v>
          </cell>
          <cell r="Q89">
            <v>3.073</v>
          </cell>
          <cell r="R89">
            <v>2.3820000000000001</v>
          </cell>
          <cell r="S89">
            <v>2.4700000000000002</v>
          </cell>
          <cell r="T89">
            <v>2.6779999999999999</v>
          </cell>
          <cell r="U89">
            <v>2.6779999999999999</v>
          </cell>
          <cell r="V89">
            <v>2.6779999999999999</v>
          </cell>
          <cell r="W89">
            <v>2.6779999999999999</v>
          </cell>
          <cell r="X89">
            <v>2.6779999999999999</v>
          </cell>
          <cell r="Y89">
            <v>2.6779999999999999</v>
          </cell>
          <cell r="Z89">
            <v>2.6779999999999999</v>
          </cell>
          <cell r="AA89">
            <v>2.6779999999999999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D92">
            <v>4.8739999999999997</v>
          </cell>
          <cell r="E92">
            <v>4.8739999999999997</v>
          </cell>
          <cell r="F92">
            <v>4.8739999999999997</v>
          </cell>
          <cell r="G92">
            <v>4.8739999999999997</v>
          </cell>
          <cell r="H92">
            <v>4.7460000000000004</v>
          </cell>
          <cell r="I92">
            <v>5.1859999999999999</v>
          </cell>
          <cell r="J92">
            <v>3.222</v>
          </cell>
          <cell r="K92">
            <v>4.4770000000000003</v>
          </cell>
          <cell r="L92">
            <v>2.5249999999999999</v>
          </cell>
          <cell r="M92">
            <v>2.9060000000000001</v>
          </cell>
          <cell r="N92">
            <v>1.536</v>
          </cell>
          <cell r="O92">
            <v>2.31</v>
          </cell>
          <cell r="P92">
            <v>2.5670000000000002</v>
          </cell>
          <cell r="Q92">
            <v>3.073</v>
          </cell>
          <cell r="R92">
            <v>2.3820000000000001</v>
          </cell>
          <cell r="S92">
            <v>2.4700000000000002</v>
          </cell>
          <cell r="T92">
            <v>2.6779999999999999</v>
          </cell>
          <cell r="U92">
            <v>2.6779999999999999</v>
          </cell>
          <cell r="V92">
            <v>2.6779999999999999</v>
          </cell>
          <cell r="W92">
            <v>2.6779999999999999</v>
          </cell>
          <cell r="X92">
            <v>2.6779999999999999</v>
          </cell>
          <cell r="Y92">
            <v>2.6779999999999999</v>
          </cell>
          <cell r="Z92">
            <v>2.6779999999999999</v>
          </cell>
          <cell r="AA92">
            <v>2.6779999999999999</v>
          </cell>
        </row>
        <row r="94">
          <cell r="D94">
            <v>18.943619999999999</v>
          </cell>
          <cell r="E94">
            <v>19.211745000000001</v>
          </cell>
          <cell r="F94">
            <v>18.98883</v>
          </cell>
          <cell r="G94">
            <v>18.939</v>
          </cell>
          <cell r="H94">
            <v>18.811</v>
          </cell>
          <cell r="I94">
            <v>19.250999999999998</v>
          </cell>
          <cell r="J94">
            <v>17.286999999999999</v>
          </cell>
          <cell r="K94">
            <v>18.544805</v>
          </cell>
          <cell r="L94">
            <v>16.61871</v>
          </cell>
          <cell r="M94">
            <v>16.971</v>
          </cell>
          <cell r="N94">
            <v>15.834969999999998</v>
          </cell>
          <cell r="O94">
            <v>16.528449999999999</v>
          </cell>
          <cell r="P94">
            <v>22.1978039</v>
          </cell>
          <cell r="Q94">
            <v>22.393795300000001</v>
          </cell>
          <cell r="R94">
            <v>21.109874400000002</v>
          </cell>
          <cell r="S94">
            <v>21.172965999999999</v>
          </cell>
          <cell r="T94">
            <v>21.5554931</v>
          </cell>
          <cell r="U94">
            <v>21.8466521</v>
          </cell>
          <cell r="V94">
            <v>22.141513700000001</v>
          </cell>
          <cell r="W94">
            <v>22.118120000000001</v>
          </cell>
          <cell r="X94">
            <v>21.8825</v>
          </cell>
          <cell r="Y94">
            <v>22.303250000000002</v>
          </cell>
          <cell r="Z94">
            <v>22.303250000000002</v>
          </cell>
          <cell r="AA94">
            <v>22.724</v>
          </cell>
        </row>
        <row r="96">
          <cell r="D96">
            <v>-18.915620000000001</v>
          </cell>
          <cell r="E96">
            <v>-17.558745000000002</v>
          </cell>
          <cell r="F96">
            <v>-18.68683</v>
          </cell>
          <cell r="G96">
            <v>-18.939</v>
          </cell>
          <cell r="H96">
            <v>-18.811</v>
          </cell>
          <cell r="I96">
            <v>-19.250999999999998</v>
          </cell>
          <cell r="J96">
            <v>-17.286999999999999</v>
          </cell>
          <cell r="K96">
            <v>-18.527805000000001</v>
          </cell>
          <cell r="L96">
            <v>-16.444710000000001</v>
          </cell>
          <cell r="M96">
            <v>-16.971</v>
          </cell>
          <cell r="N96">
            <v>-14.416969999999999</v>
          </cell>
          <cell r="O96">
            <v>-15.59845</v>
          </cell>
          <cell r="P96">
            <v>-14.664803899999999</v>
          </cell>
          <cell r="Q96">
            <v>-16.702795300000002</v>
          </cell>
          <cell r="R96">
            <v>-18.941874400000003</v>
          </cell>
          <cell r="S96">
            <v>-19.152965999999999</v>
          </cell>
          <cell r="T96">
            <v>-18.498493100000001</v>
          </cell>
          <cell r="U96">
            <v>-17.059652100000001</v>
          </cell>
          <cell r="V96">
            <v>-15.602513699999999</v>
          </cell>
          <cell r="W96">
            <v>-15.718120000000001</v>
          </cell>
          <cell r="X96">
            <v>-16.8825</v>
          </cell>
          <cell r="Y96">
            <v>-14.803250000000002</v>
          </cell>
          <cell r="Z96">
            <v>-14.803250000000002</v>
          </cell>
          <cell r="AA96">
            <v>-12.724</v>
          </cell>
        </row>
        <row r="98">
          <cell r="C98">
            <v>1</v>
          </cell>
          <cell r="D98">
            <v>2</v>
          </cell>
          <cell r="E98">
            <v>3</v>
          </cell>
          <cell r="F98">
            <v>4</v>
          </cell>
          <cell r="G98">
            <v>5</v>
          </cell>
          <cell r="H98">
            <v>6</v>
          </cell>
          <cell r="I98">
            <v>7</v>
          </cell>
          <cell r="J98">
            <v>8</v>
          </cell>
          <cell r="K98">
            <v>9</v>
          </cell>
          <cell r="L98">
            <v>10</v>
          </cell>
          <cell r="M98">
            <v>11</v>
          </cell>
          <cell r="N98">
            <v>12</v>
          </cell>
          <cell r="O98">
            <v>13</v>
          </cell>
          <cell r="P98">
            <v>14</v>
          </cell>
          <cell r="Q98">
            <v>15</v>
          </cell>
          <cell r="R98">
            <v>16</v>
          </cell>
          <cell r="S98">
            <v>17</v>
          </cell>
          <cell r="T98">
            <v>18</v>
          </cell>
          <cell r="U98">
            <v>19</v>
          </cell>
          <cell r="V98">
            <v>20</v>
          </cell>
          <cell r="W98">
            <v>21</v>
          </cell>
          <cell r="X98">
            <v>22</v>
          </cell>
          <cell r="Y98">
            <v>23</v>
          </cell>
          <cell r="Z98">
            <v>24</v>
          </cell>
          <cell r="AA98">
            <v>25</v>
          </cell>
        </row>
        <row r="99">
          <cell r="D99">
            <v>39722</v>
          </cell>
          <cell r="E99">
            <v>39753</v>
          </cell>
          <cell r="F99">
            <v>39783</v>
          </cell>
          <cell r="G99">
            <v>39814</v>
          </cell>
          <cell r="H99">
            <v>39845</v>
          </cell>
          <cell r="I99">
            <v>39873</v>
          </cell>
          <cell r="J99">
            <v>39904</v>
          </cell>
          <cell r="K99">
            <v>39934</v>
          </cell>
          <cell r="L99">
            <v>39965</v>
          </cell>
          <cell r="M99">
            <v>39995</v>
          </cell>
          <cell r="N99">
            <v>40026</v>
          </cell>
          <cell r="O99">
            <v>40057</v>
          </cell>
          <cell r="P99">
            <v>40087</v>
          </cell>
          <cell r="Q99">
            <v>40118</v>
          </cell>
          <cell r="R99">
            <v>40148</v>
          </cell>
          <cell r="S99">
            <v>40179</v>
          </cell>
          <cell r="T99">
            <v>40210</v>
          </cell>
          <cell r="U99">
            <v>40238</v>
          </cell>
          <cell r="V99">
            <v>40269</v>
          </cell>
          <cell r="W99">
            <v>40299</v>
          </cell>
          <cell r="X99">
            <v>40330</v>
          </cell>
          <cell r="Y99">
            <v>40360</v>
          </cell>
          <cell r="Z99">
            <v>40391</v>
          </cell>
          <cell r="AA99">
            <v>40422</v>
          </cell>
        </row>
        <row r="101">
          <cell r="C101" t="str">
            <v>a</v>
          </cell>
          <cell r="D101">
            <v>1</v>
          </cell>
          <cell r="E101">
            <v>0</v>
          </cell>
          <cell r="F101">
            <v>0.6</v>
          </cell>
          <cell r="G101">
            <v>0</v>
          </cell>
          <cell r="H101">
            <v>0</v>
          </cell>
          <cell r="I101">
            <v>3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0.33</v>
          </cell>
          <cell r="O101">
            <v>0.25</v>
          </cell>
          <cell r="P101">
            <v>1.6</v>
          </cell>
          <cell r="Q101">
            <v>2.7759999999999998</v>
          </cell>
          <cell r="R101">
            <v>1.431</v>
          </cell>
          <cell r="S101">
            <v>1.57</v>
          </cell>
          <cell r="T101">
            <v>0</v>
          </cell>
          <cell r="U101">
            <v>0.75</v>
          </cell>
          <cell r="V101">
            <v>1.5</v>
          </cell>
          <cell r="W101">
            <v>1.3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3">
          <cell r="C103" t="str">
            <v>b</v>
          </cell>
          <cell r="D103">
            <v>10.438000000000001</v>
          </cell>
          <cell r="E103">
            <v>10.438000000000001</v>
          </cell>
          <cell r="F103">
            <v>10.438000000000001</v>
          </cell>
          <cell r="G103">
            <v>10.438000000000001</v>
          </cell>
          <cell r="H103">
            <v>10.438000000000001</v>
          </cell>
          <cell r="I103">
            <v>10.438000000000001</v>
          </cell>
          <cell r="J103">
            <v>10.438000000000001</v>
          </cell>
          <cell r="K103">
            <v>10.438000000000001</v>
          </cell>
          <cell r="L103">
            <v>10.438000000000001</v>
          </cell>
          <cell r="M103">
            <v>10.438000000000001</v>
          </cell>
          <cell r="N103">
            <v>10.438000000000001</v>
          </cell>
          <cell r="O103">
            <v>-95.561999999999998</v>
          </cell>
          <cell r="P103">
            <v>13.135</v>
          </cell>
          <cell r="Q103">
            <v>13.135</v>
          </cell>
          <cell r="R103">
            <v>13.135</v>
          </cell>
          <cell r="S103">
            <v>13.135</v>
          </cell>
          <cell r="T103">
            <v>13.135</v>
          </cell>
          <cell r="U103">
            <v>13.135</v>
          </cell>
          <cell r="V103">
            <v>13.135</v>
          </cell>
          <cell r="W103">
            <v>13.135</v>
          </cell>
          <cell r="X103">
            <v>13.135</v>
          </cell>
          <cell r="Y103">
            <v>13.135</v>
          </cell>
          <cell r="Z103">
            <v>13.135</v>
          </cell>
          <cell r="AA103">
            <v>13.135</v>
          </cell>
        </row>
        <row r="104">
          <cell r="C104" t="str">
            <v>c</v>
          </cell>
          <cell r="D104">
            <v>0.17250000000000001</v>
          </cell>
          <cell r="E104">
            <v>0</v>
          </cell>
          <cell r="F104">
            <v>0.10349999999999999</v>
          </cell>
          <cell r="G104">
            <v>0</v>
          </cell>
          <cell r="H104">
            <v>0</v>
          </cell>
          <cell r="I104">
            <v>0.51750000000000007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5.6925000000000003E-2</v>
          </cell>
          <cell r="O104">
            <v>4.3125000000000004E-2</v>
          </cell>
          <cell r="P104">
            <v>0.27600000000000002</v>
          </cell>
          <cell r="Q104">
            <v>0.47885999999999995</v>
          </cell>
          <cell r="R104">
            <v>0.24684750000000003</v>
          </cell>
          <cell r="S104">
            <v>0.27082500000000004</v>
          </cell>
          <cell r="T104">
            <v>0</v>
          </cell>
          <cell r="U104">
            <v>0.12937500000000002</v>
          </cell>
          <cell r="V104">
            <v>0.25875000000000004</v>
          </cell>
          <cell r="W104">
            <v>0.22425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D105">
            <v>0.1</v>
          </cell>
          <cell r="E105">
            <v>0</v>
          </cell>
          <cell r="F105">
            <v>0.06</v>
          </cell>
          <cell r="G105">
            <v>0</v>
          </cell>
          <cell r="H105">
            <v>0</v>
          </cell>
          <cell r="I105">
            <v>0.30000000000000004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3.3000000000000002E-2</v>
          </cell>
          <cell r="O105">
            <v>2.5000000000000001E-2</v>
          </cell>
          <cell r="P105">
            <v>0.16000000000000003</v>
          </cell>
          <cell r="Q105">
            <v>0.27760000000000001</v>
          </cell>
          <cell r="R105">
            <v>0.1431</v>
          </cell>
          <cell r="S105">
            <v>0.15700000000000003</v>
          </cell>
          <cell r="T105">
            <v>0</v>
          </cell>
          <cell r="U105">
            <v>7.5000000000000011E-2</v>
          </cell>
          <cell r="V105">
            <v>0.15000000000000002</v>
          </cell>
          <cell r="W105">
            <v>0.13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D106">
            <v>0.04</v>
          </cell>
          <cell r="E106">
            <v>0</v>
          </cell>
          <cell r="F106">
            <v>2.4E-2</v>
          </cell>
          <cell r="G106">
            <v>0</v>
          </cell>
          <cell r="H106">
            <v>0</v>
          </cell>
          <cell r="I106">
            <v>0.12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1.3200000000000002E-2</v>
          </cell>
          <cell r="O106">
            <v>0.01</v>
          </cell>
          <cell r="P106">
            <v>6.4000000000000001E-2</v>
          </cell>
          <cell r="Q106">
            <v>0.11104</v>
          </cell>
          <cell r="R106">
            <v>5.7240000000000006E-2</v>
          </cell>
          <cell r="S106">
            <v>6.2800000000000009E-2</v>
          </cell>
          <cell r="T106">
            <v>0</v>
          </cell>
          <cell r="U106">
            <v>0.03</v>
          </cell>
          <cell r="V106">
            <v>0.06</v>
          </cell>
          <cell r="W106">
            <v>5.2000000000000005E-2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D107">
            <v>3.2500000000000001E-2</v>
          </cell>
          <cell r="E107">
            <v>0</v>
          </cell>
          <cell r="F107">
            <v>1.95E-2</v>
          </cell>
          <cell r="G107">
            <v>0</v>
          </cell>
          <cell r="H107">
            <v>0</v>
          </cell>
          <cell r="I107">
            <v>9.7500000000000003E-2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1.0725E-2</v>
          </cell>
          <cell r="O107">
            <v>8.1250000000000003E-3</v>
          </cell>
          <cell r="P107">
            <v>5.2000000000000005E-2</v>
          </cell>
          <cell r="Q107">
            <v>9.0219999999999995E-2</v>
          </cell>
          <cell r="R107">
            <v>4.65075E-2</v>
          </cell>
          <cell r="S107">
            <v>5.1025000000000001E-2</v>
          </cell>
          <cell r="T107">
            <v>0</v>
          </cell>
          <cell r="U107">
            <v>2.4375000000000001E-2</v>
          </cell>
          <cell r="V107">
            <v>4.8750000000000002E-2</v>
          </cell>
          <cell r="W107">
            <v>4.2250000000000003E-2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C108" t="str">
            <v>d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2.867</v>
          </cell>
          <cell r="Q108">
            <v>3.073</v>
          </cell>
          <cell r="R108">
            <v>3.6110000000000002</v>
          </cell>
          <cell r="S108">
            <v>2.4700000000000002</v>
          </cell>
          <cell r="T108">
            <v>2.6760000000000002</v>
          </cell>
          <cell r="U108">
            <v>2.6760000000000002</v>
          </cell>
          <cell r="V108">
            <v>2.6760000000000002</v>
          </cell>
          <cell r="W108">
            <v>3.133</v>
          </cell>
          <cell r="X108">
            <v>2.6760000000000002</v>
          </cell>
          <cell r="Y108">
            <v>2.6760000000000002</v>
          </cell>
          <cell r="Z108">
            <v>2.6760000000000002</v>
          </cell>
          <cell r="AA108">
            <v>2.6760000000000002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2.867</v>
          </cell>
          <cell r="Q111">
            <v>3.073</v>
          </cell>
          <cell r="R111">
            <v>3.6110000000000002</v>
          </cell>
          <cell r="S111">
            <v>2.4700000000000002</v>
          </cell>
          <cell r="T111">
            <v>2.6760000000000002</v>
          </cell>
          <cell r="U111">
            <v>2.6760000000000002</v>
          </cell>
          <cell r="V111">
            <v>2.6760000000000002</v>
          </cell>
          <cell r="W111">
            <v>3.133</v>
          </cell>
          <cell r="X111">
            <v>2.6760000000000002</v>
          </cell>
          <cell r="Y111">
            <v>2.6760000000000002</v>
          </cell>
          <cell r="Z111">
            <v>2.6760000000000002</v>
          </cell>
          <cell r="AA111">
            <v>2.6760000000000002</v>
          </cell>
        </row>
        <row r="113">
          <cell r="D113">
            <v>10.6105</v>
          </cell>
          <cell r="E113">
            <v>10.438000000000001</v>
          </cell>
          <cell r="F113">
            <v>10.541500000000001</v>
          </cell>
          <cell r="G113">
            <v>10.438000000000001</v>
          </cell>
          <cell r="H113">
            <v>10.438000000000001</v>
          </cell>
          <cell r="I113">
            <v>10.955500000000001</v>
          </cell>
          <cell r="J113">
            <v>10.438000000000001</v>
          </cell>
          <cell r="K113">
            <v>10.438000000000001</v>
          </cell>
          <cell r="L113">
            <v>10.438000000000001</v>
          </cell>
          <cell r="M113">
            <v>10.438000000000001</v>
          </cell>
          <cell r="N113">
            <v>10.494925</v>
          </cell>
          <cell r="O113">
            <v>-95.518874999999994</v>
          </cell>
          <cell r="P113">
            <v>16.277999999999999</v>
          </cell>
          <cell r="Q113">
            <v>16.686859999999999</v>
          </cell>
          <cell r="R113">
            <v>16.9928475</v>
          </cell>
          <cell r="S113">
            <v>15.875825000000001</v>
          </cell>
          <cell r="T113">
            <v>15.811</v>
          </cell>
          <cell r="U113">
            <v>15.940375</v>
          </cell>
          <cell r="V113">
            <v>16.069749999999999</v>
          </cell>
          <cell r="W113">
            <v>16.492249999999999</v>
          </cell>
          <cell r="X113">
            <v>15.811</v>
          </cell>
          <cell r="Y113">
            <v>15.811</v>
          </cell>
          <cell r="Z113">
            <v>15.811</v>
          </cell>
          <cell r="AA113">
            <v>15.811</v>
          </cell>
        </row>
        <row r="115">
          <cell r="D115">
            <v>-9.6105</v>
          </cell>
          <cell r="E115">
            <v>-10.438000000000001</v>
          </cell>
          <cell r="F115">
            <v>-9.9415000000000013</v>
          </cell>
          <cell r="G115">
            <v>-10.438000000000001</v>
          </cell>
          <cell r="H115">
            <v>-10.438000000000001</v>
          </cell>
          <cell r="I115">
            <v>-7.9555000000000007</v>
          </cell>
          <cell r="J115">
            <v>-10.438000000000001</v>
          </cell>
          <cell r="K115">
            <v>-10.438000000000001</v>
          </cell>
          <cell r="L115">
            <v>-10.438000000000001</v>
          </cell>
          <cell r="M115">
            <v>-10.438000000000001</v>
          </cell>
          <cell r="N115">
            <v>-10.164925</v>
          </cell>
          <cell r="O115">
            <v>95.768874999999994</v>
          </cell>
          <cell r="P115">
            <v>-14.677999999999999</v>
          </cell>
          <cell r="Q115">
            <v>-13.91086</v>
          </cell>
          <cell r="R115">
            <v>-15.561847499999999</v>
          </cell>
          <cell r="S115">
            <v>-14.305825</v>
          </cell>
          <cell r="T115">
            <v>-15.811</v>
          </cell>
          <cell r="U115">
            <v>-15.190375</v>
          </cell>
          <cell r="V115">
            <v>-14.569749999999999</v>
          </cell>
          <cell r="W115">
            <v>-15.192249999999998</v>
          </cell>
          <cell r="X115">
            <v>-15.811</v>
          </cell>
          <cell r="Y115">
            <v>-15.811</v>
          </cell>
          <cell r="Z115">
            <v>-15.811</v>
          </cell>
          <cell r="AA115">
            <v>-15.811</v>
          </cell>
        </row>
        <row r="117">
          <cell r="C117">
            <v>1</v>
          </cell>
          <cell r="D117">
            <v>2</v>
          </cell>
          <cell r="E117">
            <v>3</v>
          </cell>
          <cell r="F117">
            <v>4</v>
          </cell>
          <cell r="G117">
            <v>5</v>
          </cell>
          <cell r="H117">
            <v>6</v>
          </cell>
          <cell r="I117">
            <v>7</v>
          </cell>
          <cell r="J117">
            <v>8</v>
          </cell>
          <cell r="K117">
            <v>9</v>
          </cell>
          <cell r="L117">
            <v>10</v>
          </cell>
          <cell r="M117">
            <v>11</v>
          </cell>
          <cell r="N117">
            <v>12</v>
          </cell>
          <cell r="O117">
            <v>13</v>
          </cell>
          <cell r="P117">
            <v>14</v>
          </cell>
          <cell r="Q117">
            <v>15</v>
          </cell>
          <cell r="R117">
            <v>16</v>
          </cell>
          <cell r="S117">
            <v>17</v>
          </cell>
          <cell r="T117">
            <v>18</v>
          </cell>
          <cell r="U117">
            <v>19</v>
          </cell>
          <cell r="V117">
            <v>20</v>
          </cell>
          <cell r="W117">
            <v>21</v>
          </cell>
          <cell r="X117">
            <v>22</v>
          </cell>
          <cell r="Y117">
            <v>23</v>
          </cell>
          <cell r="Z117">
            <v>24</v>
          </cell>
          <cell r="AA117">
            <v>25</v>
          </cell>
        </row>
        <row r="118">
          <cell r="D118">
            <v>39722</v>
          </cell>
          <cell r="E118">
            <v>39753</v>
          </cell>
          <cell r="F118">
            <v>39783</v>
          </cell>
          <cell r="G118">
            <v>39814</v>
          </cell>
          <cell r="H118">
            <v>39845</v>
          </cell>
          <cell r="I118">
            <v>39873</v>
          </cell>
          <cell r="J118">
            <v>39904</v>
          </cell>
          <cell r="K118">
            <v>39934</v>
          </cell>
          <cell r="L118">
            <v>39965</v>
          </cell>
          <cell r="M118">
            <v>39995</v>
          </cell>
          <cell r="N118">
            <v>40026</v>
          </cell>
          <cell r="O118">
            <v>40057</v>
          </cell>
          <cell r="P118">
            <v>40087</v>
          </cell>
          <cell r="Q118">
            <v>40118</v>
          </cell>
          <cell r="R118">
            <v>40148</v>
          </cell>
          <cell r="S118">
            <v>40179</v>
          </cell>
          <cell r="T118">
            <v>40210</v>
          </cell>
          <cell r="U118">
            <v>40238</v>
          </cell>
          <cell r="V118">
            <v>40269</v>
          </cell>
          <cell r="W118">
            <v>40299</v>
          </cell>
          <cell r="X118">
            <v>40330</v>
          </cell>
          <cell r="Y118">
            <v>40360</v>
          </cell>
          <cell r="Z118">
            <v>40391</v>
          </cell>
          <cell r="AA118">
            <v>40422</v>
          </cell>
        </row>
        <row r="120">
          <cell r="C120" t="str">
            <v>a</v>
          </cell>
          <cell r="D120">
            <v>5.9279999999999999</v>
          </cell>
          <cell r="E120">
            <v>7.8369999999999997</v>
          </cell>
          <cell r="F120">
            <v>9.9030000000000005</v>
          </cell>
          <cell r="G120">
            <v>10.994</v>
          </cell>
          <cell r="H120">
            <v>7.8879999999999999</v>
          </cell>
          <cell r="I120">
            <v>18.268999999999998</v>
          </cell>
          <cell r="J120">
            <v>17.637</v>
          </cell>
          <cell r="K120">
            <v>15.097</v>
          </cell>
          <cell r="L120">
            <v>17.376999999999999</v>
          </cell>
          <cell r="M120">
            <v>18.637</v>
          </cell>
          <cell r="N120">
            <v>16.295000000000002</v>
          </cell>
          <cell r="O120">
            <v>16.87</v>
          </cell>
          <cell r="P120">
            <v>8.5470000000000006</v>
          </cell>
          <cell r="Q120">
            <v>6.5659999999999998</v>
          </cell>
          <cell r="R120">
            <v>7.1660000000000004</v>
          </cell>
          <cell r="S120">
            <v>6.9020000000000001</v>
          </cell>
          <cell r="T120">
            <v>6.7530000000000001</v>
          </cell>
          <cell r="U120">
            <v>11.92</v>
          </cell>
          <cell r="V120">
            <v>12.349</v>
          </cell>
          <cell r="W120">
            <v>18.321000000000002</v>
          </cell>
          <cell r="X120">
            <v>15</v>
          </cell>
          <cell r="Y120">
            <v>20</v>
          </cell>
          <cell r="Z120">
            <v>24</v>
          </cell>
          <cell r="AA120">
            <v>24</v>
          </cell>
        </row>
        <row r="122">
          <cell r="C122" t="str">
            <v>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0.93600000000000005</v>
          </cell>
          <cell r="J122">
            <v>3.234</v>
          </cell>
          <cell r="K122">
            <v>0.11700000000000001</v>
          </cell>
          <cell r="L122">
            <v>0.11700000000000001</v>
          </cell>
          <cell r="M122">
            <v>0.94899999999999995</v>
          </cell>
          <cell r="N122">
            <v>0.54400000000000004</v>
          </cell>
          <cell r="O122">
            <v>0.154</v>
          </cell>
          <cell r="P122">
            <v>26.683</v>
          </cell>
          <cell r="Q122">
            <v>26.683</v>
          </cell>
          <cell r="R122">
            <v>26.683</v>
          </cell>
          <cell r="S122">
            <v>26.683</v>
          </cell>
          <cell r="T122">
            <v>26.683</v>
          </cell>
          <cell r="U122">
            <v>26.683</v>
          </cell>
          <cell r="V122">
            <v>26.683</v>
          </cell>
          <cell r="W122">
            <v>26.683</v>
          </cell>
          <cell r="X122">
            <v>26.683</v>
          </cell>
          <cell r="Y122">
            <v>26.683</v>
          </cell>
          <cell r="Z122">
            <v>26.683</v>
          </cell>
          <cell r="AA122">
            <v>26.683</v>
          </cell>
        </row>
        <row r="123">
          <cell r="C123" t="str">
            <v>c</v>
          </cell>
          <cell r="D123">
            <v>1.02258</v>
          </cell>
          <cell r="E123">
            <v>1.3518825000000001</v>
          </cell>
          <cell r="F123">
            <v>1.7082675000000003</v>
          </cell>
          <cell r="G123">
            <v>1.8964649999999998</v>
          </cell>
          <cell r="H123">
            <v>1.3606799999999999</v>
          </cell>
          <cell r="I123">
            <v>3.1514024999999997</v>
          </cell>
          <cell r="J123">
            <v>3.0423825000000004</v>
          </cell>
          <cell r="K123">
            <v>2.6042324999999997</v>
          </cell>
          <cell r="L123">
            <v>2.9975325000000002</v>
          </cell>
          <cell r="M123">
            <v>3.2148825000000003</v>
          </cell>
          <cell r="N123">
            <v>2.8108875000000006</v>
          </cell>
          <cell r="O123">
            <v>2.9100750000000009</v>
          </cell>
          <cell r="P123">
            <v>1.4743575000000002</v>
          </cell>
          <cell r="Q123">
            <v>1.1326350000000001</v>
          </cell>
          <cell r="R123">
            <v>1.2361350000000002</v>
          </cell>
          <cell r="S123">
            <v>1.1905950000000001</v>
          </cell>
          <cell r="T123">
            <v>1.1648925000000001</v>
          </cell>
          <cell r="U123">
            <v>2.0562</v>
          </cell>
          <cell r="V123">
            <v>2.1302025000000002</v>
          </cell>
          <cell r="W123">
            <v>3.1603725000000003</v>
          </cell>
          <cell r="X123">
            <v>2.5875000000000004</v>
          </cell>
          <cell r="Y123">
            <v>3.4499999999999997</v>
          </cell>
          <cell r="Z123">
            <v>4.1400000000000006</v>
          </cell>
          <cell r="AA123">
            <v>4.1400000000000006</v>
          </cell>
        </row>
        <row r="124">
          <cell r="D124">
            <v>0.59279999999999999</v>
          </cell>
          <cell r="E124">
            <v>0.78370000000000006</v>
          </cell>
          <cell r="F124">
            <v>0.99030000000000007</v>
          </cell>
          <cell r="G124">
            <v>1.0993999999999999</v>
          </cell>
          <cell r="H124">
            <v>0.78880000000000006</v>
          </cell>
          <cell r="I124">
            <v>1.8269</v>
          </cell>
          <cell r="J124">
            <v>1.7637</v>
          </cell>
          <cell r="K124">
            <v>1.5097</v>
          </cell>
          <cell r="L124">
            <v>1.7377</v>
          </cell>
          <cell r="M124">
            <v>1.8637000000000001</v>
          </cell>
          <cell r="N124">
            <v>1.6295000000000002</v>
          </cell>
          <cell r="O124">
            <v>1.6870000000000003</v>
          </cell>
          <cell r="P124">
            <v>0.85470000000000013</v>
          </cell>
          <cell r="Q124">
            <v>0.65660000000000007</v>
          </cell>
          <cell r="R124">
            <v>0.71660000000000013</v>
          </cell>
          <cell r="S124">
            <v>0.69020000000000004</v>
          </cell>
          <cell r="T124">
            <v>0.67530000000000001</v>
          </cell>
          <cell r="U124">
            <v>1.1919999999999999</v>
          </cell>
          <cell r="V124">
            <v>1.2349000000000001</v>
          </cell>
          <cell r="W124">
            <v>1.8321000000000003</v>
          </cell>
          <cell r="X124">
            <v>1.5</v>
          </cell>
          <cell r="Y124">
            <v>2</v>
          </cell>
          <cell r="Z124">
            <v>2.4000000000000004</v>
          </cell>
          <cell r="AA124">
            <v>2.4000000000000004</v>
          </cell>
        </row>
        <row r="125">
          <cell r="D125">
            <v>0.23712</v>
          </cell>
          <cell r="E125">
            <v>0.31347999999999998</v>
          </cell>
          <cell r="F125">
            <v>0.39612000000000003</v>
          </cell>
          <cell r="G125">
            <v>0.43975999999999998</v>
          </cell>
          <cell r="H125">
            <v>0.31552000000000002</v>
          </cell>
          <cell r="I125">
            <v>0.73075999999999997</v>
          </cell>
          <cell r="J125">
            <v>0.70548</v>
          </cell>
          <cell r="K125">
            <v>0.60387999999999997</v>
          </cell>
          <cell r="L125">
            <v>0.69507999999999992</v>
          </cell>
          <cell r="M125">
            <v>0.74548000000000003</v>
          </cell>
          <cell r="N125">
            <v>0.65180000000000005</v>
          </cell>
          <cell r="O125">
            <v>0.67480000000000007</v>
          </cell>
          <cell r="P125">
            <v>0.34188000000000002</v>
          </cell>
          <cell r="Q125">
            <v>0.26263999999999998</v>
          </cell>
          <cell r="R125">
            <v>0.28664000000000001</v>
          </cell>
          <cell r="S125">
            <v>0.27607999999999999</v>
          </cell>
          <cell r="T125">
            <v>0.27012000000000003</v>
          </cell>
          <cell r="U125">
            <v>0.4768</v>
          </cell>
          <cell r="V125">
            <v>0.49396000000000001</v>
          </cell>
          <cell r="W125">
            <v>0.73284000000000005</v>
          </cell>
          <cell r="X125">
            <v>0.6</v>
          </cell>
          <cell r="Y125">
            <v>0.8</v>
          </cell>
          <cell r="Z125">
            <v>0.96</v>
          </cell>
          <cell r="AA125">
            <v>0.96</v>
          </cell>
        </row>
        <row r="126">
          <cell r="D126">
            <v>0.19266</v>
          </cell>
          <cell r="E126">
            <v>0.2547025</v>
          </cell>
          <cell r="F126">
            <v>0.32184750000000001</v>
          </cell>
          <cell r="G126">
            <v>0.35730499999999998</v>
          </cell>
          <cell r="H126">
            <v>0.25636000000000003</v>
          </cell>
          <cell r="I126">
            <v>0.59374249999999995</v>
          </cell>
          <cell r="J126">
            <v>0.57320250000000006</v>
          </cell>
          <cell r="K126">
            <v>0.49065249999999999</v>
          </cell>
          <cell r="L126">
            <v>0.56475249999999999</v>
          </cell>
          <cell r="M126">
            <v>0.60570250000000003</v>
          </cell>
          <cell r="N126">
            <v>0.5295875000000001</v>
          </cell>
          <cell r="O126">
            <v>0.54827500000000007</v>
          </cell>
          <cell r="P126">
            <v>0.27777750000000001</v>
          </cell>
          <cell r="Q126">
            <v>0.213395</v>
          </cell>
          <cell r="R126">
            <v>0.23289500000000002</v>
          </cell>
          <cell r="S126">
            <v>0.22431500000000001</v>
          </cell>
          <cell r="T126">
            <v>0.21947250000000001</v>
          </cell>
          <cell r="U126">
            <v>0.38740000000000002</v>
          </cell>
          <cell r="V126">
            <v>0.40134250000000005</v>
          </cell>
          <cell r="W126">
            <v>0.59543250000000003</v>
          </cell>
          <cell r="X126">
            <v>0.48750000000000004</v>
          </cell>
          <cell r="Y126">
            <v>0.65</v>
          </cell>
          <cell r="Z126">
            <v>0.78</v>
          </cell>
          <cell r="AA126">
            <v>0.78</v>
          </cell>
        </row>
        <row r="127">
          <cell r="C127" t="str">
            <v>d</v>
          </cell>
          <cell r="D127">
            <v>9.7569999999999997</v>
          </cell>
          <cell r="E127">
            <v>13.044999999999998</v>
          </cell>
          <cell r="F127">
            <v>13.044999999999998</v>
          </cell>
          <cell r="G127">
            <v>14.140999999999998</v>
          </cell>
          <cell r="H127">
            <v>13.543999999999999</v>
          </cell>
          <cell r="I127">
            <v>14.334999999999999</v>
          </cell>
          <cell r="J127">
            <v>14.424999999999999</v>
          </cell>
          <cell r="K127">
            <v>12.808</v>
          </cell>
          <cell r="L127">
            <v>13.646999999999998</v>
          </cell>
          <cell r="M127">
            <v>9.9459999999999997</v>
          </cell>
          <cell r="N127">
            <v>9.3140000000000001</v>
          </cell>
          <cell r="O127">
            <v>10.234999999999999</v>
          </cell>
          <cell r="P127">
            <v>9.6029999999999998</v>
          </cell>
          <cell r="Q127">
            <v>9.1289999999999996</v>
          </cell>
          <cell r="R127">
            <v>9.64</v>
          </cell>
          <cell r="S127">
            <v>7.7130000000000001</v>
          </cell>
          <cell r="T127">
            <v>8.2680000000000007</v>
          </cell>
          <cell r="U127">
            <v>7.9</v>
          </cell>
          <cell r="V127">
            <v>10.213000000000001</v>
          </cell>
          <cell r="W127">
            <v>8.2680000000000007</v>
          </cell>
          <cell r="X127">
            <v>8.2680000000000007</v>
          </cell>
          <cell r="Y127">
            <v>8.2680000000000007</v>
          </cell>
          <cell r="Z127">
            <v>8.2680000000000007</v>
          </cell>
          <cell r="AA127">
            <v>8.2680000000000007</v>
          </cell>
        </row>
        <row r="128">
          <cell r="D128">
            <v>3.3780000000000001</v>
          </cell>
          <cell r="E128">
            <v>2.9159999999999999</v>
          </cell>
          <cell r="F128">
            <v>2.9159999999999999</v>
          </cell>
          <cell r="G128">
            <v>2.9159999999999999</v>
          </cell>
          <cell r="H128">
            <v>2.9159999999999999</v>
          </cell>
          <cell r="I128">
            <v>2.9159999999999999</v>
          </cell>
          <cell r="J128">
            <v>2.9159999999999999</v>
          </cell>
          <cell r="K128">
            <v>2.9159999999999999</v>
          </cell>
          <cell r="L128">
            <v>2.9159999999999999</v>
          </cell>
          <cell r="M128">
            <v>2.9159999999999999</v>
          </cell>
          <cell r="N128">
            <v>2.9159999999999999</v>
          </cell>
          <cell r="O128">
            <v>2.9159999999999999</v>
          </cell>
          <cell r="P128">
            <v>2.9159999999999999</v>
          </cell>
          <cell r="Q128">
            <v>2.9159999999999999</v>
          </cell>
          <cell r="R128">
            <v>2.9159999999999999</v>
          </cell>
          <cell r="S128">
            <v>1.75</v>
          </cell>
          <cell r="T128">
            <v>1.75</v>
          </cell>
          <cell r="U128">
            <v>1.75</v>
          </cell>
          <cell r="V128">
            <v>1.75</v>
          </cell>
          <cell r="W128">
            <v>1.75</v>
          </cell>
          <cell r="X128">
            <v>1.75</v>
          </cell>
          <cell r="Y128">
            <v>1.75</v>
          </cell>
          <cell r="Z128">
            <v>1.75</v>
          </cell>
          <cell r="AA128">
            <v>1.75</v>
          </cell>
        </row>
        <row r="129">
          <cell r="D129">
            <v>0.41599999999999998</v>
          </cell>
          <cell r="E129">
            <v>0.41599999999999998</v>
          </cell>
          <cell r="F129">
            <v>0.41599999999999998</v>
          </cell>
          <cell r="G129">
            <v>1.512</v>
          </cell>
          <cell r="H129">
            <v>0.91500000000000004</v>
          </cell>
          <cell r="I129">
            <v>1.706</v>
          </cell>
          <cell r="J129">
            <v>1.796</v>
          </cell>
          <cell r="K129">
            <v>0.17899999999999999</v>
          </cell>
          <cell r="L129">
            <v>1.018</v>
          </cell>
          <cell r="M129">
            <v>1.0669999999999999</v>
          </cell>
          <cell r="N129">
            <v>0.435</v>
          </cell>
          <cell r="O129">
            <v>1.3560000000000001</v>
          </cell>
          <cell r="P129">
            <v>0.72399999999999998</v>
          </cell>
          <cell r="Q129">
            <v>0.25</v>
          </cell>
          <cell r="R129">
            <v>0.76100000000000001</v>
          </cell>
          <cell r="S129">
            <v>0</v>
          </cell>
          <cell r="T129">
            <v>0.55500000000000005</v>
          </cell>
          <cell r="U129">
            <v>0.187</v>
          </cell>
          <cell r="V129">
            <v>2.5</v>
          </cell>
          <cell r="W129">
            <v>0.55500000000000005</v>
          </cell>
          <cell r="X129">
            <v>0.55500000000000005</v>
          </cell>
          <cell r="Y129">
            <v>0.55500000000000005</v>
          </cell>
          <cell r="Z129">
            <v>0.55500000000000005</v>
          </cell>
          <cell r="AA129">
            <v>0.55500000000000005</v>
          </cell>
        </row>
        <row r="130">
          <cell r="D130">
            <v>5.9630000000000001</v>
          </cell>
          <cell r="E130">
            <v>9.7129999999999992</v>
          </cell>
          <cell r="F130">
            <v>9.7129999999999992</v>
          </cell>
          <cell r="G130">
            <v>9.7129999999999992</v>
          </cell>
          <cell r="H130">
            <v>9.7129999999999992</v>
          </cell>
          <cell r="I130">
            <v>9.7129999999999992</v>
          </cell>
          <cell r="J130">
            <v>9.7129999999999992</v>
          </cell>
          <cell r="K130">
            <v>9.7129999999999992</v>
          </cell>
          <cell r="L130">
            <v>9.7129999999999992</v>
          </cell>
          <cell r="M130">
            <v>5.9630000000000001</v>
          </cell>
          <cell r="N130">
            <v>5.9630000000000001</v>
          </cell>
          <cell r="O130">
            <v>5.9630000000000001</v>
          </cell>
          <cell r="P130">
            <v>5.9630000000000001</v>
          </cell>
          <cell r="Q130">
            <v>5.9630000000000001</v>
          </cell>
          <cell r="R130">
            <v>5.9630000000000001</v>
          </cell>
          <cell r="S130">
            <v>5.9630000000000001</v>
          </cell>
          <cell r="T130">
            <v>5.9630000000000001</v>
          </cell>
          <cell r="U130">
            <v>5.9630000000000001</v>
          </cell>
          <cell r="V130">
            <v>5.9630000000000001</v>
          </cell>
          <cell r="W130">
            <v>5.9630000000000001</v>
          </cell>
          <cell r="X130">
            <v>5.9630000000000001</v>
          </cell>
          <cell r="Y130">
            <v>5.9630000000000001</v>
          </cell>
          <cell r="Z130">
            <v>5.9630000000000001</v>
          </cell>
          <cell r="AA130">
            <v>5.9630000000000001</v>
          </cell>
        </row>
        <row r="132">
          <cell r="D132">
            <v>10.779579999999999</v>
          </cell>
          <cell r="E132">
            <v>14.396882499999998</v>
          </cell>
          <cell r="F132">
            <v>14.753267499999998</v>
          </cell>
          <cell r="G132">
            <v>16.037464999999997</v>
          </cell>
          <cell r="H132">
            <v>14.904679999999999</v>
          </cell>
          <cell r="I132">
            <v>18.422402499999997</v>
          </cell>
          <cell r="J132">
            <v>20.701382500000001</v>
          </cell>
          <cell r="K132">
            <v>15.529232499999999</v>
          </cell>
          <cell r="L132">
            <v>16.761532499999998</v>
          </cell>
          <cell r="M132">
            <v>14.109882500000001</v>
          </cell>
          <cell r="N132">
            <v>12.6688875</v>
          </cell>
          <cell r="O132">
            <v>13.299075</v>
          </cell>
          <cell r="P132">
            <v>37.760357499999998</v>
          </cell>
          <cell r="Q132">
            <v>36.944634999999998</v>
          </cell>
          <cell r="R132">
            <v>37.559134999999998</v>
          </cell>
          <cell r="S132">
            <v>35.586595000000003</v>
          </cell>
          <cell r="T132">
            <v>36.115892500000001</v>
          </cell>
          <cell r="U132">
            <v>36.639200000000002</v>
          </cell>
          <cell r="V132">
            <v>39.026202499999997</v>
          </cell>
          <cell r="W132">
            <v>38.111372500000002</v>
          </cell>
          <cell r="X132">
            <v>37.538499999999999</v>
          </cell>
          <cell r="Y132">
            <v>38.400999999999996</v>
          </cell>
          <cell r="Z132">
            <v>39.091000000000001</v>
          </cell>
          <cell r="AA132">
            <v>39.091000000000001</v>
          </cell>
        </row>
        <row r="134">
          <cell r="D134">
            <v>-4.8515799999999993</v>
          </cell>
          <cell r="E134">
            <v>-6.5598824999999987</v>
          </cell>
          <cell r="F134">
            <v>-4.8502674999999975</v>
          </cell>
          <cell r="G134">
            <v>-5.0434649999999976</v>
          </cell>
          <cell r="H134">
            <v>-7.0166799999999991</v>
          </cell>
          <cell r="I134">
            <v>-0.15340249999999855</v>
          </cell>
          <cell r="J134">
            <v>-3.0643825000000007</v>
          </cell>
          <cell r="K134">
            <v>-0.43223249999999958</v>
          </cell>
          <cell r="L134">
            <v>0.61546750000000117</v>
          </cell>
          <cell r="M134">
            <v>4.5271174999999992</v>
          </cell>
          <cell r="N134">
            <v>3.6261125000000014</v>
          </cell>
          <cell r="O134">
            <v>3.5709250000000008</v>
          </cell>
          <cell r="P134">
            <v>-29.213357499999997</v>
          </cell>
          <cell r="Q134">
            <v>-30.378634999999999</v>
          </cell>
          <cell r="R134">
            <v>-30.393134999999997</v>
          </cell>
          <cell r="S134">
            <v>-28.684595000000002</v>
          </cell>
          <cell r="T134">
            <v>-29.362892500000001</v>
          </cell>
          <cell r="U134">
            <v>-24.719200000000001</v>
          </cell>
          <cell r="V134">
            <v>-26.677202499999996</v>
          </cell>
          <cell r="W134">
            <v>-19.7903725</v>
          </cell>
          <cell r="X134">
            <v>-22.538499999999999</v>
          </cell>
          <cell r="Y134">
            <v>-18.400999999999996</v>
          </cell>
          <cell r="Z134">
            <v>-15.091000000000001</v>
          </cell>
          <cell r="AA134">
            <v>-15.091000000000001</v>
          </cell>
        </row>
        <row r="136">
          <cell r="C136">
            <v>1</v>
          </cell>
          <cell r="D136">
            <v>2</v>
          </cell>
          <cell r="E136">
            <v>3</v>
          </cell>
          <cell r="F136">
            <v>4</v>
          </cell>
          <cell r="G136">
            <v>5</v>
          </cell>
          <cell r="H136">
            <v>6</v>
          </cell>
          <cell r="I136">
            <v>7</v>
          </cell>
          <cell r="J136">
            <v>8</v>
          </cell>
          <cell r="K136">
            <v>9</v>
          </cell>
          <cell r="L136">
            <v>10</v>
          </cell>
          <cell r="M136">
            <v>11</v>
          </cell>
          <cell r="N136">
            <v>12</v>
          </cell>
          <cell r="O136">
            <v>13</v>
          </cell>
          <cell r="P136">
            <v>14</v>
          </cell>
          <cell r="Q136">
            <v>15</v>
          </cell>
          <cell r="R136">
            <v>16</v>
          </cell>
          <cell r="S136">
            <v>17</v>
          </cell>
          <cell r="T136">
            <v>18</v>
          </cell>
          <cell r="U136">
            <v>19</v>
          </cell>
          <cell r="V136">
            <v>20</v>
          </cell>
          <cell r="W136">
            <v>21</v>
          </cell>
          <cell r="X136">
            <v>22</v>
          </cell>
          <cell r="Y136">
            <v>23</v>
          </cell>
          <cell r="Z136">
            <v>24</v>
          </cell>
          <cell r="AA136">
            <v>25</v>
          </cell>
        </row>
        <row r="137">
          <cell r="D137">
            <v>39722</v>
          </cell>
          <cell r="E137">
            <v>39753</v>
          </cell>
          <cell r="F137">
            <v>39783</v>
          </cell>
          <cell r="G137">
            <v>39814</v>
          </cell>
          <cell r="H137">
            <v>39845</v>
          </cell>
          <cell r="I137">
            <v>39873</v>
          </cell>
          <cell r="J137">
            <v>39904</v>
          </cell>
          <cell r="K137">
            <v>39934</v>
          </cell>
          <cell r="L137">
            <v>39965</v>
          </cell>
          <cell r="M137">
            <v>39995</v>
          </cell>
          <cell r="N137">
            <v>40026</v>
          </cell>
          <cell r="O137">
            <v>40057</v>
          </cell>
          <cell r="P137">
            <v>40087</v>
          </cell>
          <cell r="Q137">
            <v>40118</v>
          </cell>
          <cell r="R137">
            <v>40148</v>
          </cell>
          <cell r="S137">
            <v>40179</v>
          </cell>
          <cell r="T137">
            <v>40210</v>
          </cell>
          <cell r="U137">
            <v>40238</v>
          </cell>
          <cell r="V137">
            <v>40269</v>
          </cell>
          <cell r="W137">
            <v>40299</v>
          </cell>
          <cell r="X137">
            <v>40330</v>
          </cell>
          <cell r="Y137">
            <v>40360</v>
          </cell>
          <cell r="Z137">
            <v>40391</v>
          </cell>
          <cell r="AA137">
            <v>40422</v>
          </cell>
        </row>
        <row r="139">
          <cell r="C139" t="str">
            <v>a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1">
          <cell r="C141" t="str">
            <v>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C142" t="str">
            <v>c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C146" t="str">
            <v>d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5">
          <cell r="C155">
            <v>1</v>
          </cell>
          <cell r="D155">
            <v>2</v>
          </cell>
          <cell r="E155">
            <v>3</v>
          </cell>
          <cell r="F155">
            <v>4</v>
          </cell>
          <cell r="G155">
            <v>5</v>
          </cell>
          <cell r="H155">
            <v>6</v>
          </cell>
          <cell r="I155">
            <v>7</v>
          </cell>
          <cell r="J155">
            <v>8</v>
          </cell>
          <cell r="K155">
            <v>9</v>
          </cell>
          <cell r="L155">
            <v>10</v>
          </cell>
          <cell r="M155">
            <v>11</v>
          </cell>
          <cell r="N155">
            <v>12</v>
          </cell>
          <cell r="O155">
            <v>13</v>
          </cell>
          <cell r="P155">
            <v>14</v>
          </cell>
          <cell r="Q155">
            <v>15</v>
          </cell>
          <cell r="R155">
            <v>16</v>
          </cell>
          <cell r="S155">
            <v>17</v>
          </cell>
          <cell r="T155">
            <v>18</v>
          </cell>
          <cell r="U155">
            <v>19</v>
          </cell>
          <cell r="V155">
            <v>20</v>
          </cell>
          <cell r="W155">
            <v>21</v>
          </cell>
          <cell r="X155">
            <v>22</v>
          </cell>
          <cell r="Y155">
            <v>23</v>
          </cell>
          <cell r="Z155">
            <v>24</v>
          </cell>
          <cell r="AA155">
            <v>25</v>
          </cell>
        </row>
        <row r="156">
          <cell r="D156">
            <v>39722</v>
          </cell>
          <cell r="E156">
            <v>39753</v>
          </cell>
          <cell r="F156">
            <v>39783</v>
          </cell>
          <cell r="G156">
            <v>39814</v>
          </cell>
          <cell r="H156">
            <v>39845</v>
          </cell>
          <cell r="I156">
            <v>39873</v>
          </cell>
          <cell r="J156">
            <v>39904</v>
          </cell>
          <cell r="K156">
            <v>39934</v>
          </cell>
          <cell r="L156">
            <v>39965</v>
          </cell>
          <cell r="M156">
            <v>39995</v>
          </cell>
          <cell r="N156">
            <v>40026</v>
          </cell>
          <cell r="O156">
            <v>40057</v>
          </cell>
          <cell r="P156">
            <v>40087</v>
          </cell>
          <cell r="Q156">
            <v>40118</v>
          </cell>
          <cell r="R156">
            <v>40148</v>
          </cell>
          <cell r="S156">
            <v>40179</v>
          </cell>
          <cell r="T156">
            <v>40210</v>
          </cell>
          <cell r="U156">
            <v>40238</v>
          </cell>
          <cell r="V156">
            <v>40269</v>
          </cell>
          <cell r="W156">
            <v>40299</v>
          </cell>
          <cell r="X156">
            <v>40330</v>
          </cell>
          <cell r="Y156">
            <v>40360</v>
          </cell>
          <cell r="Z156">
            <v>40391</v>
          </cell>
          <cell r="AA156">
            <v>40422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C160" t="str">
            <v>a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2">
          <cell r="C162" t="str">
            <v>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C163" t="str">
            <v>c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C167" t="str">
            <v>d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6">
          <cell r="C176">
            <v>1</v>
          </cell>
          <cell r="D176">
            <v>2</v>
          </cell>
          <cell r="E176">
            <v>3</v>
          </cell>
          <cell r="F176">
            <v>4</v>
          </cell>
          <cell r="G176">
            <v>5</v>
          </cell>
          <cell r="H176">
            <v>6</v>
          </cell>
          <cell r="I176">
            <v>7</v>
          </cell>
          <cell r="J176">
            <v>8</v>
          </cell>
          <cell r="K176">
            <v>9</v>
          </cell>
          <cell r="L176">
            <v>10</v>
          </cell>
          <cell r="M176">
            <v>11</v>
          </cell>
          <cell r="N176">
            <v>12</v>
          </cell>
          <cell r="O176">
            <v>13</v>
          </cell>
          <cell r="P176">
            <v>14</v>
          </cell>
          <cell r="Q176">
            <v>15</v>
          </cell>
          <cell r="R176">
            <v>16</v>
          </cell>
          <cell r="S176">
            <v>17</v>
          </cell>
          <cell r="T176">
            <v>18</v>
          </cell>
          <cell r="U176">
            <v>19</v>
          </cell>
          <cell r="V176">
            <v>20</v>
          </cell>
          <cell r="W176">
            <v>21</v>
          </cell>
          <cell r="X176">
            <v>22</v>
          </cell>
          <cell r="Y176">
            <v>23</v>
          </cell>
          <cell r="Z176">
            <v>24</v>
          </cell>
          <cell r="AA176">
            <v>25</v>
          </cell>
        </row>
        <row r="177">
          <cell r="D177">
            <v>39722</v>
          </cell>
          <cell r="E177">
            <v>39753</v>
          </cell>
          <cell r="F177">
            <v>39783</v>
          </cell>
          <cell r="G177">
            <v>39814</v>
          </cell>
          <cell r="H177">
            <v>39845</v>
          </cell>
          <cell r="I177">
            <v>39873</v>
          </cell>
          <cell r="J177">
            <v>39904</v>
          </cell>
          <cell r="K177">
            <v>39934</v>
          </cell>
          <cell r="L177">
            <v>39965</v>
          </cell>
          <cell r="M177">
            <v>39995</v>
          </cell>
          <cell r="N177">
            <v>40026</v>
          </cell>
          <cell r="O177">
            <v>40057</v>
          </cell>
          <cell r="P177">
            <v>40087</v>
          </cell>
          <cell r="Q177">
            <v>40118</v>
          </cell>
          <cell r="R177">
            <v>40148</v>
          </cell>
          <cell r="S177">
            <v>40179</v>
          </cell>
          <cell r="T177">
            <v>40210</v>
          </cell>
          <cell r="U177">
            <v>40238</v>
          </cell>
          <cell r="V177">
            <v>40269</v>
          </cell>
          <cell r="W177">
            <v>40299</v>
          </cell>
          <cell r="X177">
            <v>40330</v>
          </cell>
          <cell r="Y177">
            <v>40360</v>
          </cell>
          <cell r="Z177">
            <v>40391</v>
          </cell>
          <cell r="AA177">
            <v>40422</v>
          </cell>
        </row>
        <row r="179">
          <cell r="C179" t="str">
            <v>a</v>
          </cell>
          <cell r="P179">
            <v>20.192</v>
          </cell>
          <cell r="Q179">
            <v>0.11400000000000077</v>
          </cell>
          <cell r="R179">
            <v>0</v>
          </cell>
          <cell r="S179">
            <v>0.11899999999999999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</row>
        <row r="181">
          <cell r="C181" t="str">
            <v>b</v>
          </cell>
          <cell r="P181">
            <v>-282.87</v>
          </cell>
          <cell r="Q181">
            <v>-282.87</v>
          </cell>
          <cell r="R181">
            <v>-282.87</v>
          </cell>
          <cell r="S181">
            <v>-282.87</v>
          </cell>
          <cell r="T181">
            <v>-282.87</v>
          </cell>
          <cell r="U181">
            <v>-282.87</v>
          </cell>
          <cell r="V181">
            <v>-282.87</v>
          </cell>
          <cell r="W181">
            <v>-282.87</v>
          </cell>
          <cell r="X181">
            <v>-282.87</v>
          </cell>
          <cell r="Y181">
            <v>-282.87</v>
          </cell>
          <cell r="Z181">
            <v>-282.87</v>
          </cell>
          <cell r="AA181">
            <v>-282.87</v>
          </cell>
        </row>
        <row r="182">
          <cell r="C182" t="str">
            <v>c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C186" t="str">
            <v>d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-282.87</v>
          </cell>
          <cell r="Q191">
            <v>-282.87</v>
          </cell>
          <cell r="R191">
            <v>-282.87</v>
          </cell>
          <cell r="S191">
            <v>-282.87</v>
          </cell>
          <cell r="T191">
            <v>-282.87</v>
          </cell>
          <cell r="U191">
            <v>-282.87</v>
          </cell>
          <cell r="V191">
            <v>-282.87</v>
          </cell>
          <cell r="W191">
            <v>-282.87</v>
          </cell>
          <cell r="X191">
            <v>-282.87</v>
          </cell>
          <cell r="Y191">
            <v>-282.87</v>
          </cell>
          <cell r="Z191">
            <v>-282.87</v>
          </cell>
          <cell r="AA191">
            <v>-282.87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303.06200000000001</v>
          </cell>
          <cell r="Q193">
            <v>282.98399999999998</v>
          </cell>
          <cell r="R193">
            <v>282.87</v>
          </cell>
          <cell r="S193">
            <v>282.98900000000003</v>
          </cell>
          <cell r="T193">
            <v>282.87</v>
          </cell>
          <cell r="U193">
            <v>282.87</v>
          </cell>
          <cell r="V193">
            <v>282.87</v>
          </cell>
          <cell r="W193">
            <v>282.87</v>
          </cell>
          <cell r="X193">
            <v>282.87</v>
          </cell>
          <cell r="Y193">
            <v>282.87</v>
          </cell>
          <cell r="Z193">
            <v>282.87</v>
          </cell>
          <cell r="AA193">
            <v>282.87</v>
          </cell>
        </row>
        <row r="214">
          <cell r="C214">
            <v>1</v>
          </cell>
          <cell r="D214">
            <v>2</v>
          </cell>
          <cell r="E214">
            <v>3</v>
          </cell>
          <cell r="F214">
            <v>4</v>
          </cell>
          <cell r="G214">
            <v>5</v>
          </cell>
          <cell r="H214">
            <v>6</v>
          </cell>
          <cell r="I214">
            <v>7</v>
          </cell>
          <cell r="J214">
            <v>8</v>
          </cell>
          <cell r="K214">
            <v>9</v>
          </cell>
          <cell r="L214">
            <v>10</v>
          </cell>
          <cell r="M214">
            <v>11</v>
          </cell>
          <cell r="N214">
            <v>12</v>
          </cell>
          <cell r="O214">
            <v>13</v>
          </cell>
          <cell r="P214">
            <v>14</v>
          </cell>
          <cell r="Q214">
            <v>15</v>
          </cell>
          <cell r="R214">
            <v>16</v>
          </cell>
          <cell r="S214">
            <v>17</v>
          </cell>
          <cell r="T214">
            <v>18</v>
          </cell>
          <cell r="U214">
            <v>19</v>
          </cell>
          <cell r="V214">
            <v>20</v>
          </cell>
          <cell r="W214">
            <v>21</v>
          </cell>
          <cell r="X214">
            <v>22</v>
          </cell>
          <cell r="Y214">
            <v>23</v>
          </cell>
          <cell r="Z214">
            <v>24</v>
          </cell>
          <cell r="AA214">
            <v>25</v>
          </cell>
        </row>
        <row r="215">
          <cell r="D215">
            <v>39722</v>
          </cell>
          <cell r="E215">
            <v>39753</v>
          </cell>
          <cell r="F215">
            <v>39783</v>
          </cell>
          <cell r="G215">
            <v>39814</v>
          </cell>
          <cell r="H215">
            <v>39845</v>
          </cell>
          <cell r="I215">
            <v>39873</v>
          </cell>
          <cell r="J215">
            <v>39904</v>
          </cell>
          <cell r="K215">
            <v>39934</v>
          </cell>
          <cell r="L215">
            <v>39965</v>
          </cell>
          <cell r="M215">
            <v>39995</v>
          </cell>
          <cell r="N215">
            <v>40026</v>
          </cell>
          <cell r="O215">
            <v>40057</v>
          </cell>
          <cell r="P215">
            <v>40087</v>
          </cell>
          <cell r="Q215">
            <v>40118</v>
          </cell>
          <cell r="R215">
            <v>40148</v>
          </cell>
          <cell r="S215">
            <v>40179</v>
          </cell>
          <cell r="T215">
            <v>40210</v>
          </cell>
          <cell r="U215">
            <v>40238</v>
          </cell>
          <cell r="V215">
            <v>40269</v>
          </cell>
          <cell r="W215">
            <v>40299</v>
          </cell>
          <cell r="X215">
            <v>40330</v>
          </cell>
          <cell r="Y215">
            <v>40360</v>
          </cell>
          <cell r="Z215">
            <v>40391</v>
          </cell>
          <cell r="AA215">
            <v>40422</v>
          </cell>
        </row>
        <row r="217">
          <cell r="C217" t="str">
            <v>a</v>
          </cell>
          <cell r="D217">
            <v>22.056000000000001</v>
          </cell>
          <cell r="E217">
            <v>19.687999999999999</v>
          </cell>
          <cell r="F217">
            <v>16.489000000000001</v>
          </cell>
          <cell r="G217">
            <v>8.2270000000000003</v>
          </cell>
          <cell r="H217">
            <v>9.1790000000000003</v>
          </cell>
          <cell r="I217">
            <v>17.055</v>
          </cell>
          <cell r="J217">
            <v>7.3479999999999999</v>
          </cell>
          <cell r="K217">
            <v>22.718</v>
          </cell>
          <cell r="L217">
            <v>18.858000000000001</v>
          </cell>
          <cell r="M217">
            <v>19.529</v>
          </cell>
          <cell r="N217">
            <v>29.655000000000001</v>
          </cell>
          <cell r="O217">
            <v>20.780999999999999</v>
          </cell>
          <cell r="P217">
            <v>24.196000000000002</v>
          </cell>
          <cell r="Q217">
            <v>32.518999999999998</v>
          </cell>
          <cell r="R217">
            <v>29.855</v>
          </cell>
          <cell r="S217">
            <v>29.481000000000002</v>
          </cell>
          <cell r="T217">
            <v>20.091000000000001</v>
          </cell>
          <cell r="U217">
            <v>29.751000000000001</v>
          </cell>
          <cell r="V217">
            <v>23.1</v>
          </cell>
          <cell r="W217">
            <v>11.5</v>
          </cell>
          <cell r="X217">
            <v>25.1</v>
          </cell>
          <cell r="Y217">
            <v>30</v>
          </cell>
          <cell r="Z217">
            <v>30</v>
          </cell>
          <cell r="AA217">
            <v>30</v>
          </cell>
        </row>
        <row r="219">
          <cell r="C219" t="str">
            <v>b</v>
          </cell>
          <cell r="P219">
            <v>28.190250000000002</v>
          </cell>
          <cell r="Q219">
            <v>28.190250000000002</v>
          </cell>
          <cell r="R219">
            <v>28.190250000000002</v>
          </cell>
          <cell r="S219">
            <v>28.190250000000002</v>
          </cell>
          <cell r="T219">
            <v>28.190250000000002</v>
          </cell>
          <cell r="U219">
            <v>28.190250000000002</v>
          </cell>
          <cell r="V219">
            <v>28.190250000000002</v>
          </cell>
          <cell r="W219">
            <v>28.190250000000002</v>
          </cell>
          <cell r="X219">
            <v>28.190250000000002</v>
          </cell>
          <cell r="Y219">
            <v>28.190250000000002</v>
          </cell>
          <cell r="Z219">
            <v>28.190250000000002</v>
          </cell>
          <cell r="AA219">
            <v>28.190250000000002</v>
          </cell>
        </row>
        <row r="220">
          <cell r="C220" t="str">
            <v>c</v>
          </cell>
          <cell r="D220">
            <v>5.9882040000000005</v>
          </cell>
          <cell r="E220">
            <v>5.3452919999999997</v>
          </cell>
          <cell r="F220">
            <v>4.4767635000000006</v>
          </cell>
          <cell r="G220">
            <v>2.2336305000000003</v>
          </cell>
          <cell r="H220">
            <v>2.4920985</v>
          </cell>
          <cell r="I220">
            <v>4.6304325000000004</v>
          </cell>
          <cell r="J220">
            <v>1.994982</v>
          </cell>
          <cell r="K220">
            <v>6.1679370000000011</v>
          </cell>
          <cell r="L220">
            <v>5.1199470000000007</v>
          </cell>
          <cell r="M220">
            <v>5.3021235000000004</v>
          </cell>
          <cell r="N220">
            <v>8.0513325000000009</v>
          </cell>
          <cell r="O220">
            <v>5.6420414999999995</v>
          </cell>
          <cell r="P220">
            <v>6.5934100000000013</v>
          </cell>
          <cell r="Q220">
            <v>8.8614274999999996</v>
          </cell>
          <cell r="R220">
            <v>8.1354875</v>
          </cell>
          <cell r="S220">
            <v>8.0335725</v>
          </cell>
          <cell r="T220">
            <v>5.4747974999999993</v>
          </cell>
          <cell r="U220">
            <v>8.1071475</v>
          </cell>
          <cell r="V220">
            <v>6.3</v>
          </cell>
          <cell r="W220">
            <v>3.13375</v>
          </cell>
          <cell r="X220">
            <v>6.8397500000000013</v>
          </cell>
          <cell r="Y220">
            <v>8.1750000000000007</v>
          </cell>
          <cell r="Z220">
            <v>8.1750000000000007</v>
          </cell>
          <cell r="AA220">
            <v>8.1750000000000007</v>
          </cell>
        </row>
        <row r="221">
          <cell r="D221">
            <v>4.4112</v>
          </cell>
          <cell r="E221">
            <v>3.9375999999999998</v>
          </cell>
          <cell r="F221">
            <v>3.2978000000000005</v>
          </cell>
          <cell r="G221">
            <v>1.6454000000000002</v>
          </cell>
          <cell r="H221">
            <v>1.8358000000000001</v>
          </cell>
          <cell r="I221">
            <v>3.411</v>
          </cell>
          <cell r="J221">
            <v>1.4696</v>
          </cell>
          <cell r="K221">
            <v>4.5436000000000005</v>
          </cell>
          <cell r="L221">
            <v>3.7716000000000003</v>
          </cell>
          <cell r="M221">
            <v>3.9058000000000002</v>
          </cell>
          <cell r="N221">
            <v>5.9310000000000009</v>
          </cell>
          <cell r="O221">
            <v>4.1562000000000001</v>
          </cell>
          <cell r="P221">
            <v>4.8392000000000008</v>
          </cell>
          <cell r="Q221">
            <v>6.5038</v>
          </cell>
          <cell r="R221">
            <v>5.9710000000000001</v>
          </cell>
          <cell r="S221">
            <v>5.8962000000000003</v>
          </cell>
          <cell r="T221">
            <v>4.0182000000000002</v>
          </cell>
          <cell r="U221">
            <v>5.9502000000000006</v>
          </cell>
          <cell r="V221">
            <v>4.5999999999999996</v>
          </cell>
          <cell r="W221">
            <v>2.3000000000000003</v>
          </cell>
          <cell r="X221">
            <v>5.0200000000000005</v>
          </cell>
          <cell r="Y221">
            <v>6</v>
          </cell>
          <cell r="Z221">
            <v>6</v>
          </cell>
          <cell r="AA221">
            <v>6</v>
          </cell>
        </row>
        <row r="222">
          <cell r="D222">
            <v>0.86018400000000006</v>
          </cell>
          <cell r="E222">
            <v>0.76783199999999996</v>
          </cell>
          <cell r="F222">
            <v>0.64307100000000006</v>
          </cell>
          <cell r="G222">
            <v>0.320853</v>
          </cell>
          <cell r="H222">
            <v>0.35798099999999999</v>
          </cell>
          <cell r="I222">
            <v>0.66514499999999999</v>
          </cell>
          <cell r="J222">
            <v>0.28657199999999999</v>
          </cell>
          <cell r="K222">
            <v>0.88600199999999996</v>
          </cell>
          <cell r="L222">
            <v>0.73546200000000006</v>
          </cell>
          <cell r="M222">
            <v>0.76163099999999995</v>
          </cell>
          <cell r="N222">
            <v>1.1565449999999999</v>
          </cell>
          <cell r="O222">
            <v>0.81045899999999993</v>
          </cell>
          <cell r="P222">
            <v>0.98235759999999994</v>
          </cell>
          <cell r="Q222">
            <v>1.3202713999999998</v>
          </cell>
          <cell r="R222">
            <v>1.212113</v>
          </cell>
          <cell r="S222">
            <v>1.1969285999999999</v>
          </cell>
          <cell r="T222">
            <v>0.81569459999999994</v>
          </cell>
          <cell r="U222">
            <v>1.2078906</v>
          </cell>
          <cell r="V222">
            <v>0.9</v>
          </cell>
          <cell r="W222">
            <v>0.46689999999999998</v>
          </cell>
          <cell r="X222">
            <v>1.0190600000000001</v>
          </cell>
          <cell r="Y222">
            <v>1.218</v>
          </cell>
          <cell r="Z222">
            <v>1.218</v>
          </cell>
          <cell r="AA222">
            <v>1.218</v>
          </cell>
        </row>
        <row r="223">
          <cell r="D223">
            <v>0.71682000000000001</v>
          </cell>
          <cell r="E223">
            <v>0.63985999999999998</v>
          </cell>
          <cell r="F223">
            <v>0.53589249999999999</v>
          </cell>
          <cell r="G223">
            <v>0.26737750000000005</v>
          </cell>
          <cell r="H223">
            <v>0.29831750000000001</v>
          </cell>
          <cell r="I223">
            <v>0.55428750000000004</v>
          </cell>
          <cell r="J223">
            <v>0.23880999999999999</v>
          </cell>
          <cell r="K223">
            <v>0.73833500000000007</v>
          </cell>
          <cell r="L223">
            <v>0.61288500000000001</v>
          </cell>
          <cell r="M223">
            <v>0.63469249999999999</v>
          </cell>
          <cell r="N223">
            <v>0.96378750000000002</v>
          </cell>
          <cell r="O223">
            <v>0.6753825</v>
          </cell>
          <cell r="P223">
            <v>0.77185239999999999</v>
          </cell>
          <cell r="Q223">
            <v>1.0373560999999998</v>
          </cell>
          <cell r="R223">
            <v>0.9523744999999999</v>
          </cell>
          <cell r="S223">
            <v>0.9404439</v>
          </cell>
          <cell r="T223">
            <v>0.64090289999999994</v>
          </cell>
          <cell r="U223">
            <v>0.94905689999999998</v>
          </cell>
          <cell r="V223">
            <v>0.7</v>
          </cell>
          <cell r="W223">
            <v>0.36684999999999995</v>
          </cell>
          <cell r="X223">
            <v>0.80069000000000001</v>
          </cell>
          <cell r="Y223">
            <v>0.95699999999999996</v>
          </cell>
          <cell r="Z223">
            <v>0.95699999999999996</v>
          </cell>
          <cell r="AA223">
            <v>0.95699999999999996</v>
          </cell>
        </row>
        <row r="224">
          <cell r="C224" t="str">
            <v>d</v>
          </cell>
          <cell r="D224">
            <v>8.6666333333333334</v>
          </cell>
          <cell r="E224">
            <v>9.2473333333333336</v>
          </cell>
          <cell r="F224">
            <v>9.1503333333333323</v>
          </cell>
          <cell r="G224">
            <v>8.9903333333333322</v>
          </cell>
          <cell r="H224">
            <v>5.333333333333333</v>
          </cell>
          <cell r="I224">
            <v>5.333333333333333</v>
          </cell>
          <cell r="J224">
            <v>5.333333333333333</v>
          </cell>
          <cell r="K224">
            <v>9.9166666666666661</v>
          </cell>
          <cell r="L224">
            <v>8.0501733333333334</v>
          </cell>
          <cell r="M224">
            <v>8.0083333333333329</v>
          </cell>
          <cell r="N224">
            <v>8.0270333333333337</v>
          </cell>
          <cell r="O224">
            <v>7.9163333333333332</v>
          </cell>
          <cell r="P224">
            <v>8.0783333333333331</v>
          </cell>
          <cell r="Q224">
            <v>8.9253333333333327</v>
          </cell>
          <cell r="R224">
            <v>13.981</v>
          </cell>
          <cell r="S224">
            <v>9.3439999999999994</v>
          </cell>
          <cell r="T224">
            <v>6.4009999999999998</v>
          </cell>
          <cell r="U224">
            <v>9.3709999999999987</v>
          </cell>
          <cell r="V224">
            <v>7</v>
          </cell>
          <cell r="W224">
            <v>5.3129999999999997</v>
          </cell>
          <cell r="X224">
            <v>7.6429999999999998</v>
          </cell>
          <cell r="Y224">
            <v>7.6429999999999998</v>
          </cell>
          <cell r="Z224">
            <v>7.6429999999999998</v>
          </cell>
          <cell r="AA224">
            <v>7.6429999999999998</v>
          </cell>
        </row>
        <row r="225">
          <cell r="D225">
            <v>5.333333333333333</v>
          </cell>
          <cell r="E225">
            <v>5.333333333333333</v>
          </cell>
          <cell r="F225">
            <v>5.333333333333333</v>
          </cell>
          <cell r="G225">
            <v>5.333333333333333</v>
          </cell>
          <cell r="H225">
            <v>5.333333333333333</v>
          </cell>
          <cell r="I225">
            <v>5.333333333333333</v>
          </cell>
          <cell r="J225">
            <v>5.333333333333333</v>
          </cell>
          <cell r="K225">
            <v>5.333333333333333</v>
          </cell>
        </row>
        <row r="226">
          <cell r="D226">
            <v>3.3332999999999999</v>
          </cell>
          <cell r="E226">
            <v>3.9140000000000001</v>
          </cell>
          <cell r="F226">
            <v>3.8170000000000002</v>
          </cell>
          <cell r="G226">
            <v>3.657</v>
          </cell>
          <cell r="L226">
            <v>3.4668399999999999</v>
          </cell>
          <cell r="M226">
            <v>3.4249999999999998</v>
          </cell>
          <cell r="N226">
            <v>3.4437000000000002</v>
          </cell>
          <cell r="O226">
            <v>3.3330000000000002</v>
          </cell>
          <cell r="P226">
            <v>3.4950000000000001</v>
          </cell>
          <cell r="Q226">
            <v>4.3419999999999996</v>
          </cell>
          <cell r="R226">
            <v>4.0679999999999996</v>
          </cell>
          <cell r="S226">
            <v>4.0309999999999997</v>
          </cell>
          <cell r="T226">
            <v>1.0880000000000001</v>
          </cell>
          <cell r="U226">
            <v>4.0579999999999998</v>
          </cell>
          <cell r="V226">
            <v>1.7</v>
          </cell>
          <cell r="W226">
            <v>0</v>
          </cell>
          <cell r="X226">
            <v>2.33</v>
          </cell>
          <cell r="Y226">
            <v>2.33</v>
          </cell>
          <cell r="Z226">
            <v>2.33</v>
          </cell>
          <cell r="AA226">
            <v>2.33</v>
          </cell>
        </row>
        <row r="227">
          <cell r="K227">
            <v>4.583333333333333</v>
          </cell>
          <cell r="L227">
            <v>4.583333333333333</v>
          </cell>
          <cell r="M227">
            <v>4.583333333333333</v>
          </cell>
          <cell r="N227">
            <v>4.583333333333333</v>
          </cell>
          <cell r="O227">
            <v>4.583333333333333</v>
          </cell>
          <cell r="P227">
            <v>4.583333333333333</v>
          </cell>
          <cell r="Q227">
            <v>4.583333333333333</v>
          </cell>
          <cell r="R227">
            <v>9.9130000000000003</v>
          </cell>
          <cell r="S227">
            <v>5.3129999999999997</v>
          </cell>
          <cell r="T227">
            <v>5.3129999999999997</v>
          </cell>
          <cell r="U227">
            <v>5.3129999999999997</v>
          </cell>
          <cell r="V227">
            <v>5.3</v>
          </cell>
          <cell r="W227">
            <v>5.3129999999999997</v>
          </cell>
          <cell r="X227">
            <v>5.3129999999999997</v>
          </cell>
          <cell r="Y227">
            <v>5.3129999999999997</v>
          </cell>
          <cell r="Z227">
            <v>5.3129999999999997</v>
          </cell>
          <cell r="AA227">
            <v>5.3129999999999997</v>
          </cell>
        </row>
        <row r="229">
          <cell r="D229">
            <v>14.654837333333333</v>
          </cell>
          <cell r="E229">
            <v>14.592625333333334</v>
          </cell>
          <cell r="F229">
            <v>13.627096833333333</v>
          </cell>
          <cell r="G229">
            <v>11.223963833333332</v>
          </cell>
          <cell r="H229">
            <v>7.825431833333333</v>
          </cell>
          <cell r="I229">
            <v>9.9637658333333334</v>
          </cell>
          <cell r="J229">
            <v>7.3283153333333333</v>
          </cell>
          <cell r="K229">
            <v>16.084603666666666</v>
          </cell>
          <cell r="L229">
            <v>13.170120333333333</v>
          </cell>
          <cell r="M229">
            <v>13.310456833333333</v>
          </cell>
          <cell r="N229">
            <v>16.078365833333336</v>
          </cell>
          <cell r="O229">
            <v>13.558374833333332</v>
          </cell>
          <cell r="P229">
            <v>42.861993333333338</v>
          </cell>
          <cell r="Q229">
            <v>45.977010833333338</v>
          </cell>
          <cell r="R229">
            <v>50.306737500000004</v>
          </cell>
          <cell r="S229">
            <v>45.567822500000005</v>
          </cell>
          <cell r="T229">
            <v>40.066047499999996</v>
          </cell>
          <cell r="U229">
            <v>45.668397499999998</v>
          </cell>
          <cell r="V229">
            <v>13.3</v>
          </cell>
          <cell r="W229">
            <v>36.637</v>
          </cell>
          <cell r="X229">
            <v>42.673000000000002</v>
          </cell>
          <cell r="Y229">
            <v>44.008250000000004</v>
          </cell>
          <cell r="Z229">
            <v>44.008250000000004</v>
          </cell>
          <cell r="AA229">
            <v>44.008250000000004</v>
          </cell>
        </row>
        <row r="231">
          <cell r="D231">
            <v>7.4011626666666679</v>
          </cell>
          <cell r="E231">
            <v>5.0953746666666646</v>
          </cell>
          <cell r="F231">
            <v>2.8619031666666679</v>
          </cell>
          <cell r="G231">
            <v>-2.9969638333333322</v>
          </cell>
          <cell r="H231">
            <v>1.3535681666666672</v>
          </cell>
          <cell r="I231">
            <v>7.0912341666666663</v>
          </cell>
          <cell r="J231">
            <v>1.9684666666666573E-2</v>
          </cell>
          <cell r="K231">
            <v>6.6333963333333337</v>
          </cell>
          <cell r="L231">
            <v>5.6878796666666673</v>
          </cell>
          <cell r="M231">
            <v>6.2185431666666666</v>
          </cell>
          <cell r="N231">
            <v>13.576634166666665</v>
          </cell>
          <cell r="O231">
            <v>7.222625166666667</v>
          </cell>
          <cell r="P231">
            <v>-18.665993333333336</v>
          </cell>
          <cell r="Q231">
            <v>-13.45801083333334</v>
          </cell>
          <cell r="R231">
            <v>-20.451737500000004</v>
          </cell>
          <cell r="S231">
            <v>-16.086822500000004</v>
          </cell>
          <cell r="T231">
            <v>-19.975047499999995</v>
          </cell>
          <cell r="U231">
            <v>-15.917397499999996</v>
          </cell>
          <cell r="V231">
            <v>9.8000000000000007</v>
          </cell>
          <cell r="W231">
            <v>-25.137</v>
          </cell>
          <cell r="X231">
            <v>-17.573</v>
          </cell>
          <cell r="Y231">
            <v>-14.008250000000004</v>
          </cell>
          <cell r="Z231">
            <v>-14.008250000000004</v>
          </cell>
          <cell r="AA231">
            <v>-14.008250000000004</v>
          </cell>
        </row>
      </sheetData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Instructions"/>
      <sheetName val="Cash Flow Forecast - 1 "/>
      <sheetName val="Cash Flow Forecast - 2"/>
      <sheetName val="Cash Flow Forecast - ARN"/>
      <sheetName val="Perth Cashflow - Summary"/>
      <sheetName val="Perth Cashflow - Detailed"/>
      <sheetName val="Nova Ent (Perth) M5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Actual</v>
          </cell>
        </row>
        <row r="3">
          <cell r="B3" t="str">
            <v>Forecast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Names 2012-Jun-29"/>
      <sheetName val="EBITDA Rec FY12"/>
      <sheetName val="Margin Analysis"/>
      <sheetName val="Normalisation Table"/>
      <sheetName val="Normalisation Adj Table Lou"/>
      <sheetName val="Revenue &amp; Costs - FY11 to CY14"/>
      <sheetName val="CY13F v CY14B EBITDA by Categ. "/>
      <sheetName val="CY13F v CY14B EBITDA by Sta (2"/>
      <sheetName val="CY13F v CY14B EBITDA by Station"/>
      <sheetName val="CY13B v CY13F EBITDA by Categ."/>
      <sheetName val="CY13B v CY13F EBITDA by Station"/>
      <sheetName val="FY13F v CY13F EBITDA by Categ."/>
      <sheetName val="FY13F v CY13F EBITDA by Station"/>
      <sheetName val="FY12A v FY13F EBITDA by Categ."/>
      <sheetName val="FY12A v FY13F EBITDA by Station"/>
      <sheetName val="FY11A to CY14B EBITDA Table"/>
      <sheetName val="FY11A to CY14B EBITDA Mar. Tab."/>
      <sheetName val="CY14 EBITDA Bridge G N S "/>
      <sheetName val="13 14 15 16 EBITDA Bridge"/>
      <sheetName val="14 15 16 Revenue Bridge LDIO"/>
      <sheetName val="Reconciliation"/>
      <sheetName val="Normalisation Adj Table"/>
      <sheetName val="EBITDA Rec CY13 to CY14"/>
      <sheetName val="Cost Bridge - CY13B&amp;F v CY14B"/>
      <sheetName val="Adjustment_Master"/>
      <sheetName val="Adjustment_Filter"/>
      <sheetName val="Adj Pivot"/>
      <sheetName val="Normalisation Adj Table (2)"/>
      <sheetName val="High_Level_Adjustments"/>
      <sheetName val="EBITDA Rec $42m to $46m"/>
      <sheetName val="FY12 Revenue Adjustment Reconci"/>
      <sheetName val="Manual Fcst adjustments"/>
      <sheetName val="Consolidated P&amp;L"/>
      <sheetName val="Grouped P&amp;L"/>
      <sheetName val="Consolidated Phasing"/>
      <sheetName val="Corporate Adj"/>
      <sheetName val="Corporate P&amp;L"/>
      <sheetName val="Nova 969 Adj"/>
      <sheetName val="Nova 969 P&amp;L"/>
      <sheetName val="Nova 100 Adj"/>
      <sheetName val="Nova 100 P&amp;L"/>
      <sheetName val="Nova 1069 Adj"/>
      <sheetName val="Nova 1069 P&amp;L"/>
      <sheetName val="Nova 919 Adj"/>
      <sheetName val="Nova 919 P&amp;L"/>
      <sheetName val="NOVA 937 Adj"/>
      <sheetName val="Nova 937 P&amp;L"/>
      <sheetName val="Smooth 953 Adj"/>
      <sheetName val="Smooth 953 P&amp;L"/>
      <sheetName val="Smooth 915 Adj"/>
      <sheetName val="Smooth 915 P&amp;L"/>
      <sheetName val="5AA Adj"/>
      <sheetName val="5AA P&amp;L"/>
      <sheetName val="Star 1045 Adj"/>
      <sheetName val="Star 1045 P&amp;L"/>
      <sheetName val="Digital Adj"/>
      <sheetName val="Digital P&amp;L"/>
      <sheetName val="DAB Adj"/>
      <sheetName val="DAB P&amp;L"/>
      <sheetName val="Syndication Adj"/>
      <sheetName val="Syndication P&amp;L"/>
      <sheetName val="New Bus Adj"/>
      <sheetName val="New Bus P&amp;L"/>
      <sheetName val="WF_Orig"/>
      <sheetName val="WF_Best_Practise"/>
      <sheetName val="Elimination P&amp;L"/>
      <sheetName val="All_Data"/>
      <sheetName val="Graph_Analysis_Tables"/>
      <sheetName val="3YP_Wfall_Table_Data_By_Station"/>
      <sheetName val="2011_2012_EBITDA_Rev_and_Cost"/>
      <sheetName val="CY12vCY13_EBITDA_Rev_and_Co (2"/>
      <sheetName val="2012_Revenue_Bud_to_F'Cast"/>
      <sheetName val="2011_to_2012_Revenue Bridge"/>
      <sheetName val="2012 ebitda to2013 Bud Snapshot"/>
      <sheetName val="EBITDA Rec FY13"/>
      <sheetName val="FY11 V FY12 Rev &amp; Costs "/>
      <sheetName val="2012_ebitda_Bud_to_F'Cast"/>
      <sheetName val="FY12 EBITDA Table"/>
      <sheetName val="FY12F_EBITDA_v Budget"/>
      <sheetName val="EBITDA Table"/>
      <sheetName val="EBITDA Margin Table"/>
      <sheetName val="FY12F_EBITDA_Bridge"/>
      <sheetName val="FY13 EBITDA Bridge G N S "/>
      <sheetName val="13 14 15 EBITDA Bridge"/>
      <sheetName val="13 14 15 Revenue Bridge LDIO"/>
      <sheetName val="FY12F_EBITDA_v FY13 EBITDA "/>
      <sheetName val="Market Analysis"/>
    </sheetNames>
    <sheetDataSet>
      <sheetData sheetId="0">
        <row r="4">
          <cell r="D4" t="str">
            <v>Revenue Related</v>
          </cell>
        </row>
        <row r="5">
          <cell r="D5" t="str">
            <v>Production Related</v>
          </cell>
        </row>
        <row r="6">
          <cell r="D6" t="str">
            <v>DAB+ and Online Related</v>
          </cell>
        </row>
        <row r="7">
          <cell r="D7" t="str">
            <v>AD and Promotions Related</v>
          </cell>
        </row>
        <row r="8">
          <cell r="D8" t="str">
            <v>Other Expense Related</v>
          </cell>
        </row>
        <row r="9">
          <cell r="D9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7">
          <cell r="AC7">
            <v>11817.817129999999</v>
          </cell>
        </row>
      </sheetData>
      <sheetData sheetId="34"/>
      <sheetData sheetId="35"/>
      <sheetData sheetId="36"/>
      <sheetData sheetId="37">
        <row r="1">
          <cell r="B1" t="str">
            <v>Corporate</v>
          </cell>
        </row>
      </sheetData>
      <sheetData sheetId="38"/>
      <sheetData sheetId="39">
        <row r="4">
          <cell r="B4">
            <v>0</v>
          </cell>
        </row>
      </sheetData>
      <sheetData sheetId="40"/>
      <sheetData sheetId="41">
        <row r="4">
          <cell r="B4">
            <v>0</v>
          </cell>
        </row>
      </sheetData>
      <sheetData sheetId="42"/>
      <sheetData sheetId="43">
        <row r="4">
          <cell r="B4">
            <v>0</v>
          </cell>
        </row>
      </sheetData>
      <sheetData sheetId="44"/>
      <sheetData sheetId="45">
        <row r="4">
          <cell r="B4">
            <v>0</v>
          </cell>
        </row>
      </sheetData>
      <sheetData sheetId="46"/>
      <sheetData sheetId="47">
        <row r="4">
          <cell r="B4">
            <v>0</v>
          </cell>
        </row>
      </sheetData>
      <sheetData sheetId="48"/>
      <sheetData sheetId="49">
        <row r="4">
          <cell r="B4">
            <v>0</v>
          </cell>
        </row>
      </sheetData>
      <sheetData sheetId="50"/>
      <sheetData sheetId="51">
        <row r="4">
          <cell r="B4">
            <v>0</v>
          </cell>
        </row>
      </sheetData>
      <sheetData sheetId="52"/>
      <sheetData sheetId="53">
        <row r="4">
          <cell r="B4">
            <v>0</v>
          </cell>
        </row>
      </sheetData>
      <sheetData sheetId="54"/>
      <sheetData sheetId="55">
        <row r="4">
          <cell r="B4">
            <v>0</v>
          </cell>
        </row>
      </sheetData>
      <sheetData sheetId="56"/>
      <sheetData sheetId="57">
        <row r="4">
          <cell r="B4">
            <v>0</v>
          </cell>
        </row>
      </sheetData>
      <sheetData sheetId="58"/>
      <sheetData sheetId="59">
        <row r="4">
          <cell r="B4">
            <v>0</v>
          </cell>
        </row>
      </sheetData>
      <sheetData sheetId="60"/>
      <sheetData sheetId="61">
        <row r="4">
          <cell r="B4">
            <v>0</v>
          </cell>
        </row>
      </sheetData>
      <sheetData sheetId="62"/>
      <sheetData sheetId="63">
        <row r="79">
          <cell r="D79">
            <v>0</v>
          </cell>
        </row>
      </sheetData>
      <sheetData sheetId="64"/>
      <sheetData sheetId="65"/>
      <sheetData sheetId="66">
        <row r="7">
          <cell r="W7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a"/>
      <sheetName val="Financial Summary - Station"/>
      <sheetName val="Financial Summary - Team"/>
      <sheetName val="KPIs - Month &amp; YTD"/>
      <sheetName val="KPIs - Full Year"/>
      <sheetName val="Dashboard 1"/>
      <sheetName val="Dashboard 2"/>
      <sheetName val="Dashboard 3"/>
      <sheetName val="Dashboard 4"/>
      <sheetName val="Dashboard Data"/>
      <sheetName val="Data Input Sheet - summary"/>
      <sheetName val="Month"/>
      <sheetName val="Data Input Sheet - KPI's"/>
      <sheetName val="Data Input Sheet - Deloittes"/>
      <sheetName val="Dashboard (Old)"/>
      <sheetName val="Year to Date"/>
      <sheetName val="Full Year Forecast"/>
      <sheetName val="KPIs - Month &amp; YTD (Old)"/>
      <sheetName val="KPIs - Bud v Act (Old)"/>
      <sheetName val="Nova 969_PY"/>
      <sheetName val="Nova 100_PY"/>
      <sheetName val="Nova 919_PY"/>
      <sheetName val="Nova 1069_PY"/>
      <sheetName val="Nova 937_PY"/>
      <sheetName val="smoothfm 953_PY"/>
      <sheetName val="smoothfm 915_PY"/>
      <sheetName val="FCB_PY"/>
      <sheetName val="Star 104.5_PY"/>
      <sheetName val="Nova 969_Bud"/>
      <sheetName val="Nova 100_Bud"/>
      <sheetName val="Nova 919_Bud"/>
      <sheetName val="Nova 1069_Bud"/>
      <sheetName val="Nova 937_Bud"/>
      <sheetName val="smoothfm 953_Bud"/>
      <sheetName val="smoothfm 915_Bud"/>
      <sheetName val="FCB_Bud"/>
      <sheetName val="Star 104.5_Bud"/>
      <sheetName val="Board Report Contents"/>
      <sheetName val="Monthly Fin Summary"/>
      <sheetName val="EBITDA Bud v For Bridge"/>
      <sheetName val="Agency Revenue Table"/>
      <sheetName val="Agency Revenue Graph (Sydney)"/>
      <sheetName val="Direct Revenue Table"/>
      <sheetName val="Direct Revenue Graph (Sydney)"/>
      <sheetName val="National Rev By Team"/>
      <sheetName val="Ranking Data"/>
      <sheetName val="Share Data"/>
      <sheetName val="National Rev By Team Actual"/>
      <sheetName val="National Rev By Team Budget"/>
      <sheetName val="Ratings Slide"/>
      <sheetName val="Ratings Data"/>
      <sheetName val="Inventory Slide 1"/>
      <sheetName val="Inventory Slide 2"/>
      <sheetName val="Digital Slide"/>
      <sheetName val="Digital CY Data - 1"/>
      <sheetName val="Digital CY Data - 2"/>
      <sheetName val="Digital Budget Data - 1"/>
      <sheetName val="Digital Budget Data - 2"/>
      <sheetName val="Digital PY Data - 1"/>
      <sheetName val="Digital PY Data - 2"/>
      <sheetName val="Marketing Slide"/>
      <sheetName val="Marketing Budget Data"/>
      <sheetName val="Marketing Act&amp;Fcst Data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A11" t="str">
            <v>Agency Revenue</v>
          </cell>
        </row>
        <row r="18">
          <cell r="A18" t="str">
            <v>Agency Tier 1 Share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1.1389427587343884E-2</v>
          </cell>
          <cell r="L18">
            <v>1.1652914919518463E-2</v>
          </cell>
          <cell r="M18">
            <v>2.274228337671997E-2</v>
          </cell>
          <cell r="N18">
            <v>2.2377571333775714E-2</v>
          </cell>
          <cell r="O18">
            <v>1.8223755544603253E-2</v>
          </cell>
          <cell r="P18">
            <v>1.4559496720653192E-2</v>
          </cell>
          <cell r="Q18">
            <v>1.1289417903146911E-2</v>
          </cell>
          <cell r="R18">
            <v>1.2559974984365228E-2</v>
          </cell>
          <cell r="S18">
            <v>1.6012175222794026E-2</v>
          </cell>
          <cell r="T18">
            <v>2.2447031271525E-2</v>
          </cell>
          <cell r="U18">
            <v>1.5969103035252487E-2</v>
          </cell>
          <cell r="V18">
            <v>3.0548600143575022E-2</v>
          </cell>
          <cell r="W18">
            <v>2.5072128175302973E-2</v>
          </cell>
          <cell r="X18">
            <v>3.2447324819580473E-2</v>
          </cell>
          <cell r="Y18">
            <v>3.4358863587101121E-2</v>
          </cell>
          <cell r="Z18">
            <v>3.1625379625919665E-2</v>
          </cell>
          <cell r="AA18">
            <v>4.147525492040427E-2</v>
          </cell>
          <cell r="AB18">
            <v>3.3650326483552852E-2</v>
          </cell>
          <cell r="AC18">
            <v>3.7729969219416633E-2</v>
          </cell>
          <cell r="AD18">
            <v>3.6286700817172828E-2</v>
          </cell>
          <cell r="AE18">
            <v>3.9922216832877833E-2</v>
          </cell>
          <cell r="AF18">
            <v>3.4155984442060083E-2</v>
          </cell>
          <cell r="AG18">
            <v>3.3248768472906406E-2</v>
          </cell>
          <cell r="AH18">
            <v>2.6710426725825395E-2</v>
          </cell>
          <cell r="AI18">
            <v>4.0302330172865962E-2</v>
          </cell>
          <cell r="AJ18">
            <v>3.8598791964208345E-2</v>
          </cell>
          <cell r="AK18">
            <v>3.3634555827220865E-2</v>
          </cell>
          <cell r="AL18">
            <v>3.1468039428775789E-2</v>
          </cell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</row>
        <row r="19">
          <cell r="A19" t="str">
            <v>Agency Tier 2 Share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1.9760974826033537E-2</v>
          </cell>
          <cell r="L19">
            <v>1.3830244826186933E-2</v>
          </cell>
          <cell r="M19">
            <v>2.8992562290814428E-2</v>
          </cell>
          <cell r="N19">
            <v>2.220349480203495E-2</v>
          </cell>
          <cell r="O19">
            <v>1.8544438968293084E-2</v>
          </cell>
          <cell r="P19">
            <v>2.2535938963994112E-2</v>
          </cell>
          <cell r="Q19">
            <v>2.0015979129300504E-2</v>
          </cell>
          <cell r="R19">
            <v>1.3740337711069419E-2</v>
          </cell>
          <cell r="S19">
            <v>1.5720597464541231E-2</v>
          </cell>
          <cell r="T19">
            <v>1.2121898333103731E-2</v>
          </cell>
          <cell r="U19">
            <v>1.4863890023138699E-2</v>
          </cell>
          <cell r="V19">
            <v>1.4814357501794689E-2</v>
          </cell>
          <cell r="W19">
            <v>2.2489950165514021E-2</v>
          </cell>
          <cell r="X19">
            <v>2.797388180235005E-2</v>
          </cell>
          <cell r="Y19">
            <v>2.4788236952275593E-2</v>
          </cell>
          <cell r="Z19">
            <v>2.7474524499941286E-2</v>
          </cell>
          <cell r="AA19">
            <v>2.4252216493419323E-2</v>
          </cell>
          <cell r="AB19">
            <v>2.8790273350608801E-2</v>
          </cell>
          <cell r="AC19">
            <v>2.2715167278718612E-2</v>
          </cell>
          <cell r="AD19">
            <v>2.9491035492133191E-2</v>
          </cell>
          <cell r="AE19">
            <v>1.7686937603452524E-2</v>
          </cell>
          <cell r="AF19">
            <v>1.9301502145922744E-2</v>
          </cell>
          <cell r="AG19">
            <v>3.0537380469429155E-2</v>
          </cell>
          <cell r="AH19">
            <v>2.9754273783113662E-2</v>
          </cell>
          <cell r="AI19">
            <v>2.365687518794932E-2</v>
          </cell>
          <cell r="AJ19">
            <v>2.5899577612908609E-2</v>
          </cell>
          <cell r="AK19">
            <v>3.4957620211898938E-2</v>
          </cell>
          <cell r="AL19">
            <v>2.7337835323324667E-2</v>
          </cell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1">
          <cell r="C41">
            <v>153.90339000000006</v>
          </cell>
          <cell r="D41">
            <v>214.31762000000003</v>
          </cell>
        </row>
      </sheetData>
      <sheetData sheetId="40"/>
      <sheetData sheetId="41">
        <row r="30">
          <cell r="C30">
            <v>2679.0049799999997</v>
          </cell>
          <cell r="D30">
            <v>2885.2353314884294</v>
          </cell>
        </row>
      </sheetData>
      <sheetData sheetId="42"/>
      <sheetData sheetId="43">
        <row r="30">
          <cell r="C30">
            <v>1819.2049999999999</v>
          </cell>
          <cell r="D30">
            <v>1692.3060472</v>
          </cell>
        </row>
      </sheetData>
      <sheetData sheetId="44"/>
      <sheetData sheetId="45"/>
      <sheetData sheetId="46"/>
      <sheetData sheetId="47"/>
      <sheetData sheetId="48"/>
      <sheetData sheetId="49"/>
      <sheetData sheetId="50">
        <row r="15">
          <cell r="S15">
            <v>6.6000000000000005</v>
          </cell>
        </row>
        <row r="16">
          <cell r="S16">
            <v>6.8</v>
          </cell>
        </row>
        <row r="17">
          <cell r="S17">
            <v>7.3999999999999995</v>
          </cell>
        </row>
        <row r="18">
          <cell r="S18">
            <v>8.1999999999999993</v>
          </cell>
        </row>
      </sheetData>
      <sheetData sheetId="51"/>
      <sheetData sheetId="52"/>
      <sheetData sheetId="53"/>
      <sheetData sheetId="54">
        <row r="38">
          <cell r="L38"/>
        </row>
      </sheetData>
      <sheetData sheetId="55"/>
      <sheetData sheetId="56"/>
      <sheetData sheetId="57"/>
      <sheetData sheetId="58"/>
      <sheetData sheetId="59"/>
      <sheetData sheetId="60"/>
      <sheetData sheetId="61">
        <row r="24">
          <cell r="H24">
            <v>1.0101051971688573</v>
          </cell>
        </row>
      </sheetData>
      <sheetData sheetId="62"/>
      <sheetData sheetId="63"/>
      <sheetData sheetId="64">
        <row r="5">
          <cell r="A5" t="str">
            <v>DMG RADIO AUSTRALIA PTY LTD</v>
          </cell>
        </row>
        <row r="60">
          <cell r="B60"/>
          <cell r="C60"/>
          <cell r="E60"/>
          <cell r="F60"/>
          <cell r="H60"/>
          <cell r="I60"/>
        </row>
        <row r="61">
          <cell r="B61"/>
          <cell r="C61"/>
          <cell r="E61"/>
          <cell r="F61"/>
          <cell r="H61"/>
          <cell r="I61"/>
        </row>
        <row r="62">
          <cell r="B62"/>
          <cell r="C62"/>
          <cell r="E62"/>
          <cell r="F62"/>
          <cell r="H62"/>
          <cell r="I62"/>
        </row>
        <row r="63">
          <cell r="B63"/>
          <cell r="C63"/>
          <cell r="E63"/>
          <cell r="F63"/>
          <cell r="H63"/>
          <cell r="I63"/>
        </row>
        <row r="64">
          <cell r="B64"/>
          <cell r="C64"/>
          <cell r="E64"/>
          <cell r="F64"/>
          <cell r="H64"/>
          <cell r="I64"/>
        </row>
        <row r="65">
          <cell r="B65"/>
          <cell r="C65"/>
          <cell r="E65"/>
          <cell r="F65"/>
          <cell r="H65"/>
          <cell r="I65"/>
        </row>
        <row r="66">
          <cell r="B66"/>
          <cell r="C66"/>
          <cell r="E66"/>
          <cell r="F66"/>
          <cell r="H66"/>
          <cell r="I66"/>
        </row>
        <row r="67">
          <cell r="B67"/>
          <cell r="C67"/>
          <cell r="E67"/>
          <cell r="F67"/>
          <cell r="H67"/>
          <cell r="I67"/>
        </row>
        <row r="68">
          <cell r="B68"/>
          <cell r="C68"/>
          <cell r="E68"/>
          <cell r="F68"/>
          <cell r="H68"/>
          <cell r="I68"/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ver"/>
      <sheetName val="Consolidated P&amp;L Summary"/>
      <sheetName val="Station P&amp;L Summary"/>
      <sheetName val="Team P&amp;L Summary"/>
      <sheetName val="Team &amp; Station FY P&amp;Ls (PY)"/>
      <sheetName val="M1"/>
      <sheetName val="M5_Prior Month Forecast"/>
      <sheetName val="GE Only"/>
      <sheetName val="M2"/>
      <sheetName val="Powerpoint"/>
      <sheetName val="P&amp;L FY Forecast by Month"/>
      <sheetName val="M5"/>
      <sheetName val="Team &amp; Station YTD P&amp;Ls"/>
      <sheetName val="M5 Budget"/>
      <sheetName val="Team &amp; Station FY P&amp;Ls"/>
      <sheetName val="Team &amp; Station YTD P&amp;Ls (Bud)"/>
      <sheetName val="Team &amp; Station Mth P&amp;Ls"/>
      <sheetName val="Team &amp; Station Mth P&amp;Ls (Bud)"/>
      <sheetName val="Team &amp; Station FY P&amp;Ls (Bud)"/>
      <sheetName val="League Tables - Cost Margins"/>
      <sheetName val="League Tables - KPIs"/>
      <sheetName val="BS - Group"/>
      <sheetName val="M19"/>
      <sheetName val="BS - By Entity"/>
      <sheetName val="M19a"/>
      <sheetName val="Cashflow"/>
      <sheetName val="Debt Covenants"/>
      <sheetName val="BS - Debt Covenants"/>
      <sheetName val="Permitted Distributions"/>
      <sheetName val="Dashboard 1a"/>
      <sheetName val="Dashboard 1"/>
      <sheetName val="Dashboard 2"/>
      <sheetName val="Dashboard 3"/>
      <sheetName val="Dashboard Data"/>
      <sheetName val="Trade debtors"/>
    </sheetNames>
    <sheetDataSet>
      <sheetData sheetId="0" refreshError="1"/>
      <sheetData sheetId="1"/>
      <sheetData sheetId="2">
        <row r="110">
          <cell r="C110">
            <v>3112.4528500000001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12">
          <cell r="C12">
            <v>9288727.1699999999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2">
          <cell r="A12" t="str">
            <v>Agency Revenue</v>
          </cell>
          <cell r="B12">
            <v>4768923.6740532545</v>
          </cell>
          <cell r="C12">
            <v>5009457.9885376347</v>
          </cell>
          <cell r="D12">
            <v>5924414.6159753921</v>
          </cell>
          <cell r="E12">
            <v>4924360.9084039228</v>
          </cell>
          <cell r="F12">
            <v>5832786.0011050329</v>
          </cell>
          <cell r="G12">
            <v>6615758.9999252707</v>
          </cell>
          <cell r="H12">
            <v>5403314.745351267</v>
          </cell>
          <cell r="I12">
            <v>5431378.3548056269</v>
          </cell>
          <cell r="J12">
            <v>6141271.4000000004</v>
          </cell>
          <cell r="K12">
            <v>6015014.1015682658</v>
          </cell>
          <cell r="L12">
            <v>5933869.2183101671</v>
          </cell>
          <cell r="M12">
            <v>4909404.7447086088</v>
          </cell>
          <cell r="N12">
            <v>4400567.6876588007</v>
          </cell>
          <cell r="O12">
            <v>5464536.6537311608</v>
          </cell>
          <cell r="P12">
            <v>6100814.1779399989</v>
          </cell>
          <cell r="Q12">
            <v>4779545.169999999</v>
          </cell>
          <cell r="R12">
            <v>5803609.1299999999</v>
          </cell>
          <cell r="S12">
            <v>6555952.3100000005</v>
          </cell>
          <cell r="T12">
            <v>5425726.370000001</v>
          </cell>
          <cell r="U12">
            <v>5911891</v>
          </cell>
          <cell r="V12">
            <v>6318003.4400000004</v>
          </cell>
          <cell r="W12">
            <v>6601623.6099999994</v>
          </cell>
          <cell r="X12">
            <v>6784349.9699999997</v>
          </cell>
          <cell r="Y12">
            <v>5973294.2599999988</v>
          </cell>
          <cell r="Z12">
            <v>4954446.1500000004</v>
          </cell>
          <cell r="AA12">
            <v>5720832.1599999992</v>
          </cell>
          <cell r="AB12">
            <v>6142142.5500000007</v>
          </cell>
          <cell r="AC12">
            <v>5286447.8</v>
          </cell>
          <cell r="AD12">
            <v>6043377.1399999987</v>
          </cell>
          <cell r="AE12">
            <v>6841919.9900000012</v>
          </cell>
          <cell r="AF12">
            <v>5715859.2699999996</v>
          </cell>
          <cell r="AG12">
            <v>6412736.3399999999</v>
          </cell>
          <cell r="AH12">
            <v>6654807.0999999996</v>
          </cell>
          <cell r="AI12">
            <v>6692520.7700000005</v>
          </cell>
          <cell r="AJ12">
            <v>7302582.9100000001</v>
          </cell>
          <cell r="AK12">
            <v>5508412.7999999998</v>
          </cell>
          <cell r="AL12">
            <v>5436527.9000000004</v>
          </cell>
          <cell r="AM12">
            <v>5894472.6100000003</v>
          </cell>
          <cell r="AN12">
            <v>6749483.2999999998</v>
          </cell>
          <cell r="AO12">
            <v>5662265.9100000001</v>
          </cell>
          <cell r="AP12">
            <v>6633478.8000000007</v>
          </cell>
          <cell r="AQ12">
            <v>7094731.5999999996</v>
          </cell>
          <cell r="AR12">
            <v>5453151.1900000004</v>
          </cell>
          <cell r="AS12">
            <v>5936412.2400000002</v>
          </cell>
          <cell r="AT12">
            <v>5957280.6500000004</v>
          </cell>
          <cell r="AU12">
            <v>6457721.8499999996</v>
          </cell>
          <cell r="AV12">
            <v>7131630.3499999996</v>
          </cell>
          <cell r="AW12">
            <v>5927590.0099999998</v>
          </cell>
          <cell r="AX12">
            <v>5082679.5999999996</v>
          </cell>
          <cell r="AY12">
            <v>5736201.1000000006</v>
          </cell>
          <cell r="AZ12">
            <v>6327886.7899999991</v>
          </cell>
          <cell r="BA12">
            <v>7316046.1299999999</v>
          </cell>
          <cell r="BB12">
            <v>7026225.7799999993</v>
          </cell>
          <cell r="BC12">
            <v>7366202.3000000017</v>
          </cell>
          <cell r="BD12">
            <v>5679884.9100000001</v>
          </cell>
          <cell r="BE12">
            <v>6070021.6000000006</v>
          </cell>
          <cell r="BF12">
            <v>6266151.3700000001</v>
          </cell>
          <cell r="BG12">
            <v>6314707.0700000003</v>
          </cell>
          <cell r="BH12">
            <v>6987268.5300000003</v>
          </cell>
          <cell r="BI12">
            <v>5410049.3199999994</v>
          </cell>
        </row>
        <row r="14">
          <cell r="A14" t="str">
            <v>Agency Share</v>
          </cell>
          <cell r="B14"/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</row>
        <row r="26">
          <cell r="A26" t="str">
            <v>Direct Revenue</v>
          </cell>
          <cell r="B26">
            <v>3457167.9984078249</v>
          </cell>
          <cell r="C26">
            <v>3585162.0817774083</v>
          </cell>
          <cell r="D26">
            <v>3821570.773974183</v>
          </cell>
          <cell r="E26">
            <v>3627266.6418554131</v>
          </cell>
          <cell r="F26">
            <v>4159498.4918951197</v>
          </cell>
          <cell r="G26">
            <v>4432832.2496391367</v>
          </cell>
          <cell r="H26">
            <v>4064412.9819664769</v>
          </cell>
          <cell r="I26">
            <v>4255691.1758329868</v>
          </cell>
          <cell r="J26">
            <v>4759000</v>
          </cell>
          <cell r="K26">
            <v>4674842.0580988647</v>
          </cell>
          <cell r="L26">
            <v>4707104.1009457177</v>
          </cell>
          <cell r="M26">
            <v>4244005.2201088239</v>
          </cell>
          <cell r="N26">
            <v>4021213.4783145189</v>
          </cell>
          <cell r="O26">
            <v>4310591.7562125484</v>
          </cell>
          <cell r="P26">
            <v>4369527.6098306207</v>
          </cell>
          <cell r="Q26">
            <v>4423954.5891901841</v>
          </cell>
          <cell r="R26">
            <v>4524898.3</v>
          </cell>
          <cell r="S26">
            <v>4502513.9800000004</v>
          </cell>
          <cell r="T26">
            <v>4255425.67</v>
          </cell>
          <cell r="U26">
            <v>4660654.09</v>
          </cell>
          <cell r="V26">
            <v>4636447.09</v>
          </cell>
          <cell r="W26">
            <v>4897679.22</v>
          </cell>
          <cell r="X26">
            <v>4772341.0999999996</v>
          </cell>
          <cell r="Y26">
            <v>4381772.68</v>
          </cell>
          <cell r="Z26">
            <v>3744571.92</v>
          </cell>
          <cell r="AA26">
            <v>4156264.14</v>
          </cell>
          <cell r="AB26">
            <v>4395708.79</v>
          </cell>
          <cell r="AC26">
            <v>4209416.05</v>
          </cell>
          <cell r="AD26">
            <v>4450502.7300000004</v>
          </cell>
          <cell r="AE26">
            <v>4440331.4499999993</v>
          </cell>
          <cell r="AF26">
            <v>3970121.01</v>
          </cell>
          <cell r="AG26">
            <v>4112271.83</v>
          </cell>
          <cell r="AH26">
            <v>4578946.4499999993</v>
          </cell>
          <cell r="AI26">
            <v>4796384.45</v>
          </cell>
          <cell r="AJ26">
            <v>3983947.3400000003</v>
          </cell>
          <cell r="AK26">
            <v>3542796.54</v>
          </cell>
          <cell r="AL26">
            <v>3691401.54</v>
          </cell>
          <cell r="AM26">
            <v>3919153.0399999996</v>
          </cell>
          <cell r="AN26">
            <v>4067895.4299999997</v>
          </cell>
          <cell r="AO26">
            <v>4103803.2</v>
          </cell>
          <cell r="AP26">
            <v>4415518.51</v>
          </cell>
          <cell r="AQ26">
            <v>4499351.03</v>
          </cell>
          <cell r="AR26">
            <v>4094498.7600000002</v>
          </cell>
          <cell r="AS26">
            <v>4468403.1499999994</v>
          </cell>
          <cell r="AT26">
            <v>4474649.8500000006</v>
          </cell>
          <cell r="AU26">
            <v>5058307.82</v>
          </cell>
          <cell r="AV26">
            <v>4459327.9899999993</v>
          </cell>
          <cell r="AW26">
            <v>3993782.09</v>
          </cell>
          <cell r="AX26">
            <v>3578666.3499999996</v>
          </cell>
          <cell r="AY26">
            <v>4040873.5799999996</v>
          </cell>
          <cell r="AZ26">
            <v>4044051.1199999996</v>
          </cell>
          <cell r="BA26">
            <v>4155366.3600000003</v>
          </cell>
          <cell r="BB26">
            <v>4356552.6499999994</v>
          </cell>
          <cell r="BC26">
            <v>4429858.93</v>
          </cell>
          <cell r="BD26">
            <v>4160387.3499999996</v>
          </cell>
          <cell r="BE26">
            <v>4405202.08</v>
          </cell>
          <cell r="BF26">
            <v>4562643.2700000005</v>
          </cell>
          <cell r="BG26">
            <v>4916164.6900000004</v>
          </cell>
          <cell r="BH26">
            <v>4908730.67</v>
          </cell>
          <cell r="BI26">
            <v>4088523.59</v>
          </cell>
        </row>
        <row r="28">
          <cell r="A28" t="str">
            <v>Direct Share</v>
          </cell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</row>
        <row r="40">
          <cell r="A40" t="str">
            <v>Interstate Revenue</v>
          </cell>
          <cell r="B40">
            <v>4901871.4966812823</v>
          </cell>
          <cell r="C40">
            <v>5488768.7793114511</v>
          </cell>
          <cell r="D40">
            <v>6820993.2233802378</v>
          </cell>
          <cell r="E40">
            <v>5842316.3829407403</v>
          </cell>
          <cell r="F40">
            <v>6547858.7469811551</v>
          </cell>
          <cell r="G40">
            <v>8022813.2183885332</v>
          </cell>
          <cell r="H40">
            <v>6300372.9060050733</v>
          </cell>
          <cell r="I40">
            <v>6356049.348324189</v>
          </cell>
          <cell r="J40">
            <v>7056406.0434797183</v>
          </cell>
          <cell r="K40">
            <v>7178930.3107872689</v>
          </cell>
          <cell r="L40">
            <v>6993349.5042314371</v>
          </cell>
          <cell r="M40">
            <v>5357830.0446250532</v>
          </cell>
          <cell r="N40">
            <v>5146955.1764837494</v>
          </cell>
          <cell r="O40">
            <v>6186048.0452898648</v>
          </cell>
          <cell r="P40">
            <v>7446835.7380886367</v>
          </cell>
          <cell r="Q40">
            <v>5844059.3600000003</v>
          </cell>
          <cell r="R40">
            <v>7093298.3699999992</v>
          </cell>
          <cell r="S40">
            <v>7971592.5500000007</v>
          </cell>
          <cell r="T40">
            <v>6313694.8030000003</v>
          </cell>
          <cell r="U40">
            <v>6942087.25</v>
          </cell>
          <cell r="V40">
            <v>6647798.6499999994</v>
          </cell>
          <cell r="W40">
            <v>8060063.959999999</v>
          </cell>
          <cell r="X40">
            <v>8141888.8399999989</v>
          </cell>
          <cell r="Y40">
            <v>6951547.5100000007</v>
          </cell>
          <cell r="Z40">
            <v>5372368.3600000003</v>
          </cell>
          <cell r="AA40">
            <v>6293648.79</v>
          </cell>
          <cell r="AB40">
            <v>7727855.5300000012</v>
          </cell>
          <cell r="AC40">
            <v>6150237.9299999997</v>
          </cell>
          <cell r="AD40">
            <v>7684666.4499999993</v>
          </cell>
          <cell r="AE40">
            <v>8166108.7400000002</v>
          </cell>
          <cell r="AF40">
            <v>6250293.8900000006</v>
          </cell>
          <cell r="AG40">
            <v>7697762.9799999995</v>
          </cell>
          <cell r="AH40">
            <v>8205020.5599999996</v>
          </cell>
          <cell r="AI40">
            <v>8422331.7599999998</v>
          </cell>
          <cell r="AJ40">
            <v>8985257.4000000004</v>
          </cell>
          <cell r="AK40">
            <v>6832079.4900000002</v>
          </cell>
          <cell r="AL40">
            <v>6122872.0999999996</v>
          </cell>
          <cell r="AM40">
            <v>7459260.8099999996</v>
          </cell>
          <cell r="AN40">
            <v>8526951.4900000002</v>
          </cell>
          <cell r="AO40">
            <v>6603484.8399999999</v>
          </cell>
          <cell r="AP40">
            <v>7848618.5</v>
          </cell>
          <cell r="AQ40">
            <v>8925941.0600000005</v>
          </cell>
          <cell r="AR40">
            <v>7065367.8099999996</v>
          </cell>
          <cell r="AS40">
            <v>7870421.4500000002</v>
          </cell>
          <cell r="AT40">
            <v>6859006.1299999999</v>
          </cell>
          <cell r="AU40">
            <v>9017165.1600000001</v>
          </cell>
          <cell r="AV40">
            <v>9704768.9500000011</v>
          </cell>
          <cell r="AW40">
            <v>7785474.2400000002</v>
          </cell>
          <cell r="AX40">
            <v>6596637.4200000009</v>
          </cell>
          <cell r="AY40">
            <v>7815574.7199999997</v>
          </cell>
          <cell r="AZ40">
            <v>8465585.040000001</v>
          </cell>
          <cell r="BA40">
            <v>7112227.4499999993</v>
          </cell>
          <cell r="BB40">
            <v>8199263.46</v>
          </cell>
          <cell r="BC40">
            <v>9125194.4500000011</v>
          </cell>
          <cell r="BD40">
            <v>7415656.2400000002</v>
          </cell>
          <cell r="BE40">
            <v>8152038.0299999993</v>
          </cell>
          <cell r="BF40">
            <v>7382631</v>
          </cell>
          <cell r="BG40">
            <v>9469946.209999999</v>
          </cell>
          <cell r="BH40">
            <v>9671444.2599999998</v>
          </cell>
          <cell r="BI40">
            <v>7663235.5799999991</v>
          </cell>
        </row>
        <row r="42">
          <cell r="A42" t="str">
            <v>Interstate Share</v>
          </cell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</row>
        <row r="47">
          <cell r="A47" t="str">
            <v>EBITDA</v>
          </cell>
          <cell r="B47">
            <v>3386868.62</v>
          </cell>
          <cell r="C47">
            <v>3121329.1300000008</v>
          </cell>
          <cell r="D47">
            <v>5695673.5700000012</v>
          </cell>
          <cell r="E47">
            <v>3943735.7499999991</v>
          </cell>
          <cell r="F47">
            <v>6313350.8900000034</v>
          </cell>
          <cell r="G47">
            <v>8054119.6800000016</v>
          </cell>
          <cell r="H47">
            <v>5136359.9299999978</v>
          </cell>
          <cell r="I47">
            <v>5502480.5699999975</v>
          </cell>
          <cell r="J47">
            <v>7119473.5099999998</v>
          </cell>
          <cell r="K47">
            <v>7451786.9499999983</v>
          </cell>
          <cell r="L47">
            <v>7676790.9800000004</v>
          </cell>
          <cell r="M47">
            <v>4377689.1799999969</v>
          </cell>
          <cell r="N47">
            <v>2347935.2599999974</v>
          </cell>
          <cell r="O47">
            <v>3961831.0600000019</v>
          </cell>
          <cell r="P47">
            <v>6058968.7199999988</v>
          </cell>
          <cell r="Q47">
            <v>4674466.7299999986</v>
          </cell>
          <cell r="R47">
            <v>6554054.1400000006</v>
          </cell>
          <cell r="S47">
            <v>7816419.1199999992</v>
          </cell>
          <cell r="T47">
            <v>5486867.3199999994</v>
          </cell>
          <cell r="U47">
            <v>6971228.0700000031</v>
          </cell>
          <cell r="V47">
            <v>7392002.6791000003</v>
          </cell>
          <cell r="W47">
            <v>8682159.9100000001</v>
          </cell>
          <cell r="X47">
            <v>8594675.6501000039</v>
          </cell>
          <cell r="Y47">
            <v>7130630.9400000032</v>
          </cell>
          <cell r="Z47">
            <v>2131345.4599999976</v>
          </cell>
          <cell r="AA47">
            <v>1622605.8890899962</v>
          </cell>
          <cell r="AB47">
            <v>6196567.2799999965</v>
          </cell>
          <cell r="AC47">
            <v>4989336.8400000017</v>
          </cell>
          <cell r="AD47">
            <v>8381313.1899999967</v>
          </cell>
          <cell r="AE47">
            <v>7882951.0499999961</v>
          </cell>
          <cell r="AF47">
            <v>6066413.1199999973</v>
          </cell>
          <cell r="AG47">
            <v>7384933.490000003</v>
          </cell>
          <cell r="AH47">
            <v>8097032.0299999984</v>
          </cell>
          <cell r="AI47">
            <v>8616875.675499998</v>
          </cell>
          <cell r="AJ47">
            <v>9607182.459999999</v>
          </cell>
          <cell r="AK47">
            <v>6946448.6518999999</v>
          </cell>
          <cell r="AL47">
            <v>5381448.9300000006</v>
          </cell>
          <cell r="AM47">
            <v>6832343.9500000011</v>
          </cell>
          <cell r="AN47">
            <v>4673329.7500000019</v>
          </cell>
          <cell r="AO47">
            <v>4469788.4099999974</v>
          </cell>
          <cell r="AP47">
            <v>7526846.3400000036</v>
          </cell>
          <cell r="AQ47">
            <v>8783727.9199999999</v>
          </cell>
          <cell r="AR47">
            <v>5026874.6399999997</v>
          </cell>
          <cell r="AS47">
            <v>7371020.1899999967</v>
          </cell>
          <cell r="AT47">
            <v>6986767.54</v>
          </cell>
          <cell r="AU47">
            <v>9832042.8000000026</v>
          </cell>
          <cell r="AV47">
            <v>9979758.4499999974</v>
          </cell>
          <cell r="AW47">
            <v>6914200.3400000008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</row>
        <row r="48">
          <cell r="A48" t="str">
            <v>Sponsorship Revenue</v>
          </cell>
          <cell r="B48">
            <v>1560096.02</v>
          </cell>
          <cell r="C48">
            <v>1691550.33</v>
          </cell>
          <cell r="D48">
            <v>2119575.17</v>
          </cell>
          <cell r="E48">
            <v>1752213.84</v>
          </cell>
          <cell r="F48">
            <v>1727765.7</v>
          </cell>
          <cell r="G48">
            <v>2339210.2399999998</v>
          </cell>
          <cell r="H48">
            <v>1934159.7</v>
          </cell>
          <cell r="I48">
            <v>1864429.78</v>
          </cell>
          <cell r="J48">
            <v>2377111.38</v>
          </cell>
          <cell r="K48">
            <v>2312111.6799999997</v>
          </cell>
          <cell r="L48">
            <v>2272616.38</v>
          </cell>
          <cell r="M48">
            <v>1466696.93</v>
          </cell>
          <cell r="N48">
            <v>1555292.39</v>
          </cell>
          <cell r="O48">
            <v>2128430.1100000003</v>
          </cell>
          <cell r="P48">
            <v>1891082.04</v>
          </cell>
          <cell r="Q48">
            <v>2043153.24</v>
          </cell>
          <cell r="R48">
            <v>2048529.7999999998</v>
          </cell>
          <cell r="S48">
            <v>2288113.0300000003</v>
          </cell>
          <cell r="T48">
            <v>2303340.1599999997</v>
          </cell>
          <cell r="U48">
            <v>2300756.36</v>
          </cell>
          <cell r="V48">
            <v>1977206.98</v>
          </cell>
          <cell r="W48">
            <v>2623066.42</v>
          </cell>
          <cell r="X48">
            <v>2424713.04</v>
          </cell>
          <cell r="Y48">
            <v>1533096.41</v>
          </cell>
          <cell r="Z48">
            <v>1476857.57</v>
          </cell>
          <cell r="AA48">
            <v>1988781.32</v>
          </cell>
          <cell r="AB48">
            <v>2262691.0199999996</v>
          </cell>
          <cell r="AC48">
            <v>1797533.59</v>
          </cell>
          <cell r="AD48">
            <v>2490379.3899999997</v>
          </cell>
          <cell r="AE48">
            <v>2099522.5699999998</v>
          </cell>
          <cell r="AF48">
            <v>2174432.66</v>
          </cell>
          <cell r="AG48">
            <v>2250260.96</v>
          </cell>
          <cell r="AH48">
            <v>2134326.54</v>
          </cell>
          <cell r="AI48">
            <v>2750507.8700000006</v>
          </cell>
          <cell r="AJ48">
            <v>2392062.4800000004</v>
          </cell>
          <cell r="AK48">
            <v>1770986.43</v>
          </cell>
          <cell r="AL48">
            <v>2080994.41</v>
          </cell>
          <cell r="AM48">
            <v>2086410.33</v>
          </cell>
          <cell r="AN48">
            <v>2236893.85</v>
          </cell>
          <cell r="AO48">
            <v>2298468.62</v>
          </cell>
          <cell r="AP48">
            <v>2214693.06</v>
          </cell>
          <cell r="AQ48">
            <v>2631035.98</v>
          </cell>
          <cell r="AR48">
            <v>2200557.71</v>
          </cell>
          <cell r="AS48">
            <v>2138167.9</v>
          </cell>
          <cell r="AT48">
            <v>2102686.66</v>
          </cell>
          <cell r="AU48">
            <v>2734735.1100000003</v>
          </cell>
          <cell r="AV48">
            <v>2481260.16</v>
          </cell>
          <cell r="AW48">
            <v>1982267.69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</row>
        <row r="49">
          <cell r="A49" t="str">
            <v>Digital Revenue</v>
          </cell>
          <cell r="B49">
            <v>231098</v>
          </cell>
          <cell r="C49">
            <v>289043</v>
          </cell>
          <cell r="D49">
            <v>358787.5</v>
          </cell>
          <cell r="E49">
            <v>341113.25</v>
          </cell>
          <cell r="F49">
            <v>379893.92</v>
          </cell>
          <cell r="G49">
            <v>435000.68</v>
          </cell>
          <cell r="H49">
            <v>475478.96</v>
          </cell>
          <cell r="I49">
            <v>360406.56</v>
          </cell>
          <cell r="J49">
            <v>524832.69999999995</v>
          </cell>
          <cell r="K49">
            <v>571730.18000000005</v>
          </cell>
          <cell r="L49">
            <v>445851.24000000005</v>
          </cell>
          <cell r="M49">
            <v>251072.18</v>
          </cell>
          <cell r="N49">
            <v>301483.01</v>
          </cell>
          <cell r="O49">
            <v>354168.02</v>
          </cell>
          <cell r="P49">
            <v>400153.00000000006</v>
          </cell>
          <cell r="Q49">
            <v>261898.36</v>
          </cell>
          <cell r="R49">
            <v>292383.46999999997</v>
          </cell>
          <cell r="S49">
            <v>332167.82</v>
          </cell>
          <cell r="T49">
            <v>323791.94</v>
          </cell>
          <cell r="U49">
            <v>327046.76999999996</v>
          </cell>
          <cell r="V49">
            <v>286293.57</v>
          </cell>
          <cell r="W49">
            <v>365485.92999999993</v>
          </cell>
          <cell r="X49">
            <v>341806.81999999995</v>
          </cell>
          <cell r="Y49">
            <v>166690.57999999996</v>
          </cell>
          <cell r="Z49">
            <v>227896.6</v>
          </cell>
          <cell r="AA49">
            <v>243312.50999999998</v>
          </cell>
          <cell r="AB49">
            <v>323690.32</v>
          </cell>
          <cell r="AC49">
            <v>415620.42</v>
          </cell>
          <cell r="AD49">
            <v>294582.04000000004</v>
          </cell>
          <cell r="AE49">
            <v>333772.94</v>
          </cell>
          <cell r="AF49">
            <v>220184.43000000002</v>
          </cell>
          <cell r="AG49">
            <v>327330.19</v>
          </cell>
          <cell r="AH49">
            <v>369599.21000000008</v>
          </cell>
          <cell r="AI49">
            <v>394197.7</v>
          </cell>
          <cell r="AJ49">
            <v>476636.34000000008</v>
          </cell>
          <cell r="AK49">
            <v>278010.59000000003</v>
          </cell>
          <cell r="AL49">
            <v>241672.75999999998</v>
          </cell>
          <cell r="AM49">
            <v>274748.03000000003</v>
          </cell>
          <cell r="AN49">
            <v>361156.80000000005</v>
          </cell>
          <cell r="AO49">
            <v>230162.98</v>
          </cell>
          <cell r="AP49">
            <v>288790.17000000004</v>
          </cell>
          <cell r="AQ49">
            <v>318130.52000000008</v>
          </cell>
          <cell r="AR49">
            <v>361158.2</v>
          </cell>
          <cell r="AS49">
            <v>390436.72000000003</v>
          </cell>
          <cell r="AT49">
            <v>378299.67000000004</v>
          </cell>
          <cell r="AU49">
            <v>496920.1</v>
          </cell>
          <cell r="AV49">
            <v>428739.23999999993</v>
          </cell>
          <cell r="AW49">
            <v>228346.97</v>
          </cell>
          <cell r="AX49">
            <v>271863.91000000003</v>
          </cell>
          <cell r="AY49">
            <v>363824.37999999995</v>
          </cell>
          <cell r="AZ49">
            <v>212997.24</v>
          </cell>
          <cell r="BA49">
            <v>217848.06</v>
          </cell>
          <cell r="BB49">
            <v>229831.28</v>
          </cell>
          <cell r="BC49">
            <v>302501.15999999997</v>
          </cell>
          <cell r="BD49">
            <v>289851.2</v>
          </cell>
          <cell r="BE49">
            <v>257272.30999999997</v>
          </cell>
          <cell r="BF49">
            <v>308885.93</v>
          </cell>
          <cell r="BG49">
            <v>283229.23</v>
          </cell>
          <cell r="BH49">
            <v>329137.43000000005</v>
          </cell>
          <cell r="BI49">
            <v>259850.46</v>
          </cell>
        </row>
        <row r="55">
          <cell r="A55" t="str">
            <v>Nova Network</v>
          </cell>
          <cell r="B55">
            <v>8.7999999999999989</v>
          </cell>
          <cell r="C55">
            <v>8.6999999999999993</v>
          </cell>
          <cell r="D55">
            <v>8.4</v>
          </cell>
          <cell r="E55">
            <v>8.7999999999999989</v>
          </cell>
          <cell r="F55">
            <v>8.4</v>
          </cell>
          <cell r="G55">
            <v>8.3000000000000007</v>
          </cell>
          <cell r="H55">
            <v>8.6</v>
          </cell>
          <cell r="I55">
            <v>8.8000000000000007</v>
          </cell>
          <cell r="J55">
            <v>8.5</v>
          </cell>
          <cell r="K55">
            <v>8.3000000000000007</v>
          </cell>
          <cell r="L55">
            <v>8.6999999999999993</v>
          </cell>
          <cell r="M55">
            <v>9.1999999999999993</v>
          </cell>
          <cell r="N55">
            <v>9</v>
          </cell>
          <cell r="O55">
            <v>8.8000000000000007</v>
          </cell>
          <cell r="P55">
            <v>8.8000000000000007</v>
          </cell>
          <cell r="Q55">
            <v>8.6</v>
          </cell>
          <cell r="R55">
            <v>8.6999999999999993</v>
          </cell>
          <cell r="S55">
            <v>9.3000000000000007</v>
          </cell>
          <cell r="T55">
            <v>9.6999999999999993</v>
          </cell>
          <cell r="U55">
            <v>9.8000000000000007</v>
          </cell>
          <cell r="V55">
            <v>9.5</v>
          </cell>
          <cell r="W55">
            <v>8.9</v>
          </cell>
          <cell r="X55">
            <v>9.1999999999999993</v>
          </cell>
          <cell r="Y55">
            <v>9.8000000000000007</v>
          </cell>
          <cell r="Z55">
            <v>8.9</v>
          </cell>
          <cell r="AA55">
            <v>8.6</v>
          </cell>
          <cell r="AB55">
            <v>8.6999999999999993</v>
          </cell>
          <cell r="AC55">
            <v>9</v>
          </cell>
          <cell r="AD55">
            <v>9</v>
          </cell>
          <cell r="AE55">
            <v>8.9</v>
          </cell>
          <cell r="AF55">
            <v>9.1</v>
          </cell>
          <cell r="AG55">
            <v>9.5</v>
          </cell>
          <cell r="AH55">
            <v>8.9</v>
          </cell>
          <cell r="AI55">
            <v>8.6999999999999993</v>
          </cell>
        </row>
        <row r="56">
          <cell r="A56" t="str">
            <v>TripleM Network</v>
          </cell>
          <cell r="B56">
            <v>8.3000000000000007</v>
          </cell>
          <cell r="C56">
            <v>7.9</v>
          </cell>
          <cell r="D56">
            <v>8.6</v>
          </cell>
          <cell r="E56">
            <v>9.3000000000000007</v>
          </cell>
          <cell r="F56">
            <v>8.7999999999999989</v>
          </cell>
          <cell r="G56">
            <v>8.4</v>
          </cell>
          <cell r="H56">
            <v>8.4</v>
          </cell>
          <cell r="I56">
            <v>8</v>
          </cell>
          <cell r="J56">
            <v>8.9</v>
          </cell>
          <cell r="K56">
            <v>8.6999999999999993</v>
          </cell>
          <cell r="L56">
            <v>8.6</v>
          </cell>
          <cell r="M56">
            <v>8.6999999999999993</v>
          </cell>
          <cell r="N56">
            <v>8.4</v>
          </cell>
          <cell r="O56">
            <v>8.1999999999999993</v>
          </cell>
          <cell r="P56">
            <v>8.4</v>
          </cell>
          <cell r="Q56">
            <v>8.1</v>
          </cell>
          <cell r="R56">
            <v>8.4</v>
          </cell>
          <cell r="S56">
            <v>7.9</v>
          </cell>
          <cell r="T56">
            <v>8</v>
          </cell>
          <cell r="U56">
            <v>8.3000000000000007</v>
          </cell>
          <cell r="V56">
            <v>8.4</v>
          </cell>
          <cell r="W56">
            <v>8</v>
          </cell>
          <cell r="X56">
            <v>7.6</v>
          </cell>
          <cell r="Y56">
            <v>8.1999999999999993</v>
          </cell>
          <cell r="Z56">
            <v>8.3000000000000007</v>
          </cell>
          <cell r="AA56">
            <v>8.6</v>
          </cell>
          <cell r="AB56">
            <v>8.4</v>
          </cell>
          <cell r="AC56">
            <v>8</v>
          </cell>
          <cell r="AD56">
            <v>7.9</v>
          </cell>
          <cell r="AE56">
            <v>8.1</v>
          </cell>
          <cell r="AF56">
            <v>8.3000000000000007</v>
          </cell>
          <cell r="AG56">
            <v>8.6</v>
          </cell>
          <cell r="AH56">
            <v>8.6</v>
          </cell>
          <cell r="AI56">
            <v>8.3000000000000007</v>
          </cell>
        </row>
        <row r="57">
          <cell r="A57" t="str">
            <v>Kiis Network</v>
          </cell>
          <cell r="B57">
            <v>9.8000000000000007</v>
          </cell>
          <cell r="C57">
            <v>9.5</v>
          </cell>
          <cell r="D57">
            <v>9.4</v>
          </cell>
          <cell r="E57">
            <v>9.3000000000000007</v>
          </cell>
          <cell r="F57">
            <v>9.1</v>
          </cell>
          <cell r="G57">
            <v>8.6</v>
          </cell>
          <cell r="H57">
            <v>8.6</v>
          </cell>
          <cell r="I57">
            <v>9</v>
          </cell>
          <cell r="J57">
            <v>8.9</v>
          </cell>
          <cell r="K57">
            <v>9.1999999999999993</v>
          </cell>
          <cell r="L57">
            <v>8.6</v>
          </cell>
          <cell r="M57">
            <v>8.1</v>
          </cell>
          <cell r="N57">
            <v>8.3000000000000007</v>
          </cell>
          <cell r="O57">
            <v>8.5</v>
          </cell>
          <cell r="P57">
            <v>8.6</v>
          </cell>
          <cell r="Q57">
            <v>8.6999999999999993</v>
          </cell>
          <cell r="R57">
            <v>8.4</v>
          </cell>
          <cell r="S57">
            <v>8.4</v>
          </cell>
          <cell r="T57">
            <v>8.6999999999999993</v>
          </cell>
          <cell r="U57">
            <v>8.6999999999999993</v>
          </cell>
          <cell r="V57">
            <v>8.6999999999999993</v>
          </cell>
          <cell r="W57">
            <v>8.5</v>
          </cell>
          <cell r="X57">
            <v>9</v>
          </cell>
          <cell r="Y57">
            <v>9.4</v>
          </cell>
          <cell r="Z57">
            <v>8.6999999999999993</v>
          </cell>
          <cell r="AA57">
            <v>9</v>
          </cell>
          <cell r="AB57">
            <v>8.6999999999999993</v>
          </cell>
          <cell r="AC57">
            <v>8.4</v>
          </cell>
          <cell r="AD57">
            <v>7.9</v>
          </cell>
          <cell r="AE57">
            <v>7.7</v>
          </cell>
          <cell r="AF57">
            <v>8</v>
          </cell>
          <cell r="AG57">
            <v>8.4</v>
          </cell>
          <cell r="AH57">
            <v>7.6</v>
          </cell>
          <cell r="AI57">
            <v>8.3000000000000007</v>
          </cell>
        </row>
        <row r="58">
          <cell r="A58" t="str">
            <v>Todays Hit Network</v>
          </cell>
          <cell r="B58">
            <v>6.3</v>
          </cell>
          <cell r="C58">
            <v>5.8000000000000007</v>
          </cell>
          <cell r="D58">
            <v>5.7</v>
          </cell>
          <cell r="E58">
            <v>6.4</v>
          </cell>
          <cell r="F58">
            <v>7.3</v>
          </cell>
          <cell r="G58">
            <v>7.9</v>
          </cell>
          <cell r="H58">
            <v>7.8</v>
          </cell>
          <cell r="I58">
            <v>7.7</v>
          </cell>
          <cell r="J58">
            <v>7.8</v>
          </cell>
          <cell r="K58">
            <v>7.9</v>
          </cell>
          <cell r="L58">
            <v>8</v>
          </cell>
          <cell r="M58">
            <v>8.1</v>
          </cell>
          <cell r="N58">
            <v>7.6</v>
          </cell>
          <cell r="O58">
            <v>7.9</v>
          </cell>
          <cell r="P58">
            <v>8.8000000000000007</v>
          </cell>
          <cell r="Q58">
            <v>8.8000000000000007</v>
          </cell>
          <cell r="R58">
            <v>8.1</v>
          </cell>
          <cell r="S58">
            <v>7.8</v>
          </cell>
          <cell r="T58">
            <v>8.1999999999999993</v>
          </cell>
          <cell r="U58">
            <v>8.6</v>
          </cell>
          <cell r="V58">
            <v>8</v>
          </cell>
          <cell r="W58">
            <v>7.7</v>
          </cell>
          <cell r="X58">
            <v>7.5</v>
          </cell>
          <cell r="Y58">
            <v>7.5</v>
          </cell>
          <cell r="Z58">
            <v>8.6</v>
          </cell>
          <cell r="AA58">
            <v>9</v>
          </cell>
          <cell r="AB58">
            <v>8.8000000000000007</v>
          </cell>
          <cell r="AC58">
            <v>8.6999999999999993</v>
          </cell>
          <cell r="AD58">
            <v>8.5</v>
          </cell>
          <cell r="AE58">
            <v>8.1999999999999993</v>
          </cell>
          <cell r="AF58">
            <v>8.5</v>
          </cell>
          <cell r="AG58">
            <v>8.6</v>
          </cell>
          <cell r="AH58">
            <v>8.8000000000000007</v>
          </cell>
          <cell r="AI58">
            <v>8.6999999999999993</v>
          </cell>
        </row>
        <row r="61">
          <cell r="A61" t="str">
            <v>Nova Network</v>
          </cell>
          <cell r="B61">
            <v>15.299999999999999</v>
          </cell>
          <cell r="C61">
            <v>15.4</v>
          </cell>
          <cell r="D61">
            <v>15.1</v>
          </cell>
          <cell r="E61">
            <v>15.4</v>
          </cell>
          <cell r="F61">
            <v>14.099999999999998</v>
          </cell>
          <cell r="G61">
            <v>14.4</v>
          </cell>
          <cell r="H61">
            <v>15.4</v>
          </cell>
          <cell r="I61">
            <v>15.7</v>
          </cell>
          <cell r="J61">
            <v>14.5</v>
          </cell>
          <cell r="K61">
            <v>14.8</v>
          </cell>
          <cell r="L61">
            <v>15.2</v>
          </cell>
          <cell r="M61">
            <v>16.100000000000001</v>
          </cell>
          <cell r="N61">
            <v>15.5</v>
          </cell>
          <cell r="O61">
            <v>14.8</v>
          </cell>
          <cell r="P61">
            <v>14.5</v>
          </cell>
          <cell r="Q61">
            <v>14.4</v>
          </cell>
          <cell r="R61">
            <v>14.5</v>
          </cell>
          <cell r="S61">
            <v>15.4</v>
          </cell>
          <cell r="T61">
            <v>16.399999999999999</v>
          </cell>
          <cell r="U61">
            <v>16.7</v>
          </cell>
          <cell r="V61">
            <v>16.3</v>
          </cell>
          <cell r="W61">
            <v>15.2</v>
          </cell>
          <cell r="X61">
            <v>15.8</v>
          </cell>
          <cell r="Y61">
            <v>16.2</v>
          </cell>
          <cell r="Z61">
            <v>14.9</v>
          </cell>
          <cell r="AA61">
            <v>13.8</v>
          </cell>
          <cell r="AB61">
            <v>14.3</v>
          </cell>
          <cell r="AC61">
            <v>15.8</v>
          </cell>
          <cell r="AD61">
            <v>15.5</v>
          </cell>
          <cell r="AE61">
            <v>14.1</v>
          </cell>
          <cell r="AF61">
            <v>15</v>
          </cell>
          <cell r="AG61">
            <v>16.8</v>
          </cell>
          <cell r="AH61">
            <v>14.3</v>
          </cell>
          <cell r="AI61">
            <v>13.8</v>
          </cell>
        </row>
        <row r="62">
          <cell r="A62" t="str">
            <v>TripleM Network</v>
          </cell>
          <cell r="B62">
            <v>10.9</v>
          </cell>
          <cell r="C62">
            <v>9.7000000000000011</v>
          </cell>
          <cell r="D62">
            <v>10.6</v>
          </cell>
          <cell r="E62">
            <v>11.600000000000001</v>
          </cell>
          <cell r="F62">
            <v>11.5</v>
          </cell>
          <cell r="G62">
            <v>11</v>
          </cell>
          <cell r="H62">
            <v>11.5</v>
          </cell>
          <cell r="I62">
            <v>10.9</v>
          </cell>
          <cell r="J62">
            <v>10.3</v>
          </cell>
          <cell r="K62">
            <v>10.6</v>
          </cell>
          <cell r="L62">
            <v>11.2</v>
          </cell>
          <cell r="M62">
            <v>11.5</v>
          </cell>
          <cell r="N62">
            <v>10.8</v>
          </cell>
          <cell r="O62">
            <v>10.3</v>
          </cell>
          <cell r="P62">
            <v>9.8000000000000007</v>
          </cell>
          <cell r="Q62">
            <v>9.3000000000000007</v>
          </cell>
          <cell r="R62">
            <v>11</v>
          </cell>
          <cell r="S62">
            <v>9.1</v>
          </cell>
          <cell r="T62">
            <v>9.4</v>
          </cell>
          <cell r="U62">
            <v>9.6999999999999993</v>
          </cell>
          <cell r="V62">
            <v>9.6999999999999993</v>
          </cell>
          <cell r="W62">
            <v>10.6</v>
          </cell>
          <cell r="X62">
            <v>9.6</v>
          </cell>
          <cell r="Y62">
            <v>9.6</v>
          </cell>
          <cell r="Z62">
            <v>8.8000000000000007</v>
          </cell>
          <cell r="AA62">
            <v>9.3000000000000007</v>
          </cell>
          <cell r="AB62">
            <v>9.1</v>
          </cell>
          <cell r="AC62">
            <v>9.1999999999999993</v>
          </cell>
          <cell r="AD62">
            <v>8.6</v>
          </cell>
          <cell r="AE62">
            <v>7.9</v>
          </cell>
          <cell r="AF62">
            <v>8.6</v>
          </cell>
          <cell r="AG62">
            <v>9.8000000000000007</v>
          </cell>
          <cell r="AH62">
            <v>9.4</v>
          </cell>
          <cell r="AI62">
            <v>8.3000000000000007</v>
          </cell>
        </row>
        <row r="63">
          <cell r="A63" t="str">
            <v>Kiis Network</v>
          </cell>
          <cell r="B63">
            <v>14.2</v>
          </cell>
          <cell r="C63">
            <v>13.8</v>
          </cell>
          <cell r="D63">
            <v>12.8</v>
          </cell>
          <cell r="E63">
            <v>12.3</v>
          </cell>
          <cell r="F63">
            <v>11.1</v>
          </cell>
          <cell r="G63">
            <v>10.5</v>
          </cell>
          <cell r="H63">
            <v>10.6</v>
          </cell>
          <cell r="I63">
            <v>11.8</v>
          </cell>
          <cell r="J63">
            <v>11.6</v>
          </cell>
          <cell r="K63">
            <v>12.4</v>
          </cell>
          <cell r="L63">
            <v>11.4</v>
          </cell>
          <cell r="M63">
            <v>10.1</v>
          </cell>
          <cell r="N63">
            <v>10.199999999999999</v>
          </cell>
          <cell r="O63">
            <v>10.5</v>
          </cell>
          <cell r="P63">
            <v>9.8000000000000007</v>
          </cell>
          <cell r="Q63">
            <v>10.199999999999999</v>
          </cell>
          <cell r="R63">
            <v>10.6</v>
          </cell>
          <cell r="S63">
            <v>10.7</v>
          </cell>
          <cell r="T63">
            <v>10.7</v>
          </cell>
          <cell r="U63">
            <v>10.4</v>
          </cell>
          <cell r="V63">
            <v>12</v>
          </cell>
          <cell r="W63">
            <v>12.1</v>
          </cell>
          <cell r="X63">
            <v>11.9</v>
          </cell>
          <cell r="Y63">
            <v>12.2</v>
          </cell>
          <cell r="Z63">
            <v>11.4</v>
          </cell>
          <cell r="AA63">
            <v>11.9</v>
          </cell>
          <cell r="AB63">
            <v>11.5</v>
          </cell>
          <cell r="AC63">
            <v>11.4</v>
          </cell>
          <cell r="AD63">
            <v>10.8</v>
          </cell>
          <cell r="AE63">
            <v>10.4</v>
          </cell>
          <cell r="AF63">
            <v>10.9</v>
          </cell>
          <cell r="AG63">
            <v>11.1</v>
          </cell>
          <cell r="AH63">
            <v>10.6</v>
          </cell>
          <cell r="AI63">
            <v>12.7</v>
          </cell>
        </row>
        <row r="64">
          <cell r="A64" t="str">
            <v>Todays Hit Network</v>
          </cell>
          <cell r="B64">
            <v>10.6</v>
          </cell>
          <cell r="C64">
            <v>10.299999999999999</v>
          </cell>
          <cell r="D64">
            <v>9.7000000000000011</v>
          </cell>
          <cell r="E64">
            <v>11.600000000000001</v>
          </cell>
          <cell r="F64">
            <v>13.900000000000002</v>
          </cell>
          <cell r="G64">
            <v>14.9</v>
          </cell>
          <cell r="H64">
            <v>15.2</v>
          </cell>
          <cell r="I64">
            <v>15.4</v>
          </cell>
          <cell r="J64">
            <v>14.8</v>
          </cell>
          <cell r="K64">
            <v>15</v>
          </cell>
          <cell r="L64">
            <v>14.9</v>
          </cell>
          <cell r="M64">
            <v>14.7</v>
          </cell>
          <cell r="N64">
            <v>14.5</v>
          </cell>
          <cell r="O64">
            <v>15.5</v>
          </cell>
          <cell r="P64">
            <v>17.3</v>
          </cell>
          <cell r="Q64">
            <v>17.600000000000001</v>
          </cell>
          <cell r="R64">
            <v>15.7</v>
          </cell>
          <cell r="S64">
            <v>16.3</v>
          </cell>
          <cell r="T64">
            <v>17</v>
          </cell>
          <cell r="U64">
            <v>17.100000000000001</v>
          </cell>
          <cell r="V64">
            <v>16</v>
          </cell>
          <cell r="W64">
            <v>15.7</v>
          </cell>
          <cell r="X64">
            <v>14.8</v>
          </cell>
          <cell r="Y64">
            <v>14.9</v>
          </cell>
          <cell r="Z64">
            <v>16.399999999999999</v>
          </cell>
          <cell r="AA64">
            <v>17.899999999999999</v>
          </cell>
          <cell r="AB64">
            <v>17.5</v>
          </cell>
          <cell r="AC64">
            <v>16.600000000000001</v>
          </cell>
          <cell r="AD64">
            <v>16.899999999999999</v>
          </cell>
          <cell r="AE64">
            <v>17.3</v>
          </cell>
          <cell r="AF64">
            <v>16.3</v>
          </cell>
          <cell r="AG64">
            <v>15.5</v>
          </cell>
          <cell r="AH64">
            <v>15.9</v>
          </cell>
          <cell r="AI64">
            <v>16.899999999999999</v>
          </cell>
        </row>
        <row r="67">
          <cell r="A67" t="str">
            <v>Nova Network</v>
          </cell>
          <cell r="B67">
            <v>10.9</v>
          </cell>
          <cell r="C67">
            <v>10.9</v>
          </cell>
          <cell r="D67">
            <v>10.4</v>
          </cell>
          <cell r="E67">
            <v>10.6</v>
          </cell>
          <cell r="F67">
            <v>9.7000000000000011</v>
          </cell>
          <cell r="G67">
            <v>10.1</v>
          </cell>
          <cell r="H67">
            <v>11.1</v>
          </cell>
          <cell r="I67">
            <v>11.3</v>
          </cell>
          <cell r="J67">
            <v>10.8</v>
          </cell>
          <cell r="K67">
            <v>10.6</v>
          </cell>
          <cell r="L67">
            <v>11.4</v>
          </cell>
          <cell r="M67">
            <v>12.1</v>
          </cell>
          <cell r="N67">
            <v>11.9</v>
          </cell>
          <cell r="O67">
            <v>11.9</v>
          </cell>
          <cell r="P67">
            <v>11.5</v>
          </cell>
          <cell r="Q67">
            <v>11</v>
          </cell>
          <cell r="R67">
            <v>11</v>
          </cell>
          <cell r="S67">
            <v>12</v>
          </cell>
          <cell r="T67">
            <v>12.4</v>
          </cell>
          <cell r="U67">
            <v>12.4</v>
          </cell>
          <cell r="V67">
            <v>12</v>
          </cell>
          <cell r="W67">
            <v>11</v>
          </cell>
          <cell r="X67">
            <v>11.9</v>
          </cell>
          <cell r="Y67">
            <v>12.5</v>
          </cell>
          <cell r="Z67">
            <v>11.7</v>
          </cell>
          <cell r="AA67">
            <v>11.3</v>
          </cell>
          <cell r="AB67">
            <v>11.5</v>
          </cell>
          <cell r="AC67">
            <v>12.2</v>
          </cell>
          <cell r="AD67">
            <v>12.1</v>
          </cell>
          <cell r="AE67">
            <v>11.8</v>
          </cell>
          <cell r="AF67">
            <v>12</v>
          </cell>
          <cell r="AG67">
            <v>12.2</v>
          </cell>
          <cell r="AH67">
            <v>11.1</v>
          </cell>
          <cell r="AI67">
            <v>11.2</v>
          </cell>
        </row>
        <row r="68">
          <cell r="A68" t="str">
            <v>TripleM Network</v>
          </cell>
          <cell r="B68">
            <v>12.3</v>
          </cell>
          <cell r="C68">
            <v>11.5</v>
          </cell>
          <cell r="D68">
            <v>12.8</v>
          </cell>
          <cell r="E68">
            <v>14.099999999999998</v>
          </cell>
          <cell r="F68">
            <v>13.3</v>
          </cell>
          <cell r="G68">
            <v>12.1</v>
          </cell>
          <cell r="H68">
            <v>12.2</v>
          </cell>
          <cell r="I68">
            <v>11.8</v>
          </cell>
          <cell r="J68">
            <v>13.3</v>
          </cell>
          <cell r="K68">
            <v>13.1</v>
          </cell>
          <cell r="L68">
            <v>12.8</v>
          </cell>
          <cell r="M68">
            <v>12.6</v>
          </cell>
          <cell r="N68">
            <v>12.4</v>
          </cell>
          <cell r="O68">
            <v>12.2</v>
          </cell>
          <cell r="P68">
            <v>12.2</v>
          </cell>
          <cell r="Q68">
            <v>11.5</v>
          </cell>
          <cell r="R68">
            <v>11.7</v>
          </cell>
          <cell r="S68">
            <v>10.4</v>
          </cell>
          <cell r="T68">
            <v>10.8</v>
          </cell>
          <cell r="U68">
            <v>11.3</v>
          </cell>
          <cell r="V68">
            <v>12</v>
          </cell>
          <cell r="W68">
            <v>11.9</v>
          </cell>
          <cell r="X68">
            <v>11.1</v>
          </cell>
          <cell r="Y68">
            <v>11.5</v>
          </cell>
          <cell r="Z68">
            <v>11.2</v>
          </cell>
          <cell r="AA68">
            <v>12</v>
          </cell>
          <cell r="AB68">
            <v>11.6</v>
          </cell>
          <cell r="AC68">
            <v>10.9</v>
          </cell>
          <cell r="AD68">
            <v>10.8</v>
          </cell>
          <cell r="AE68">
            <v>10.3</v>
          </cell>
          <cell r="AF68">
            <v>10.3</v>
          </cell>
          <cell r="AG68">
            <v>11.7</v>
          </cell>
          <cell r="AH68">
            <v>11.6</v>
          </cell>
          <cell r="AI68">
            <v>11.2</v>
          </cell>
        </row>
        <row r="69">
          <cell r="A69" t="str">
            <v>Kiis Network</v>
          </cell>
          <cell r="B69">
            <v>13.4</v>
          </cell>
          <cell r="C69">
            <v>13.100000000000001</v>
          </cell>
          <cell r="D69">
            <v>12.3</v>
          </cell>
          <cell r="E69">
            <v>12.1</v>
          </cell>
          <cell r="F69">
            <v>12.3</v>
          </cell>
          <cell r="G69">
            <v>11.3</v>
          </cell>
          <cell r="H69">
            <v>10.9</v>
          </cell>
          <cell r="I69">
            <v>12.3</v>
          </cell>
          <cell r="J69">
            <v>11.8</v>
          </cell>
          <cell r="K69">
            <v>12.2</v>
          </cell>
          <cell r="L69">
            <v>11.5</v>
          </cell>
          <cell r="M69">
            <v>11.2</v>
          </cell>
          <cell r="N69">
            <v>11.4</v>
          </cell>
          <cell r="O69">
            <v>11.3</v>
          </cell>
          <cell r="P69">
            <v>11.4</v>
          </cell>
          <cell r="Q69">
            <v>11.5</v>
          </cell>
          <cell r="R69">
            <v>11.3</v>
          </cell>
          <cell r="S69">
            <v>10.8</v>
          </cell>
          <cell r="T69">
            <v>11.1</v>
          </cell>
          <cell r="U69">
            <v>11.8</v>
          </cell>
          <cell r="V69">
            <v>12</v>
          </cell>
          <cell r="W69">
            <v>11.3</v>
          </cell>
          <cell r="X69">
            <v>12.1</v>
          </cell>
          <cell r="Y69">
            <v>12.6</v>
          </cell>
          <cell r="Z69">
            <v>11.3</v>
          </cell>
          <cell r="AA69">
            <v>11.3</v>
          </cell>
          <cell r="AB69">
            <v>10.4</v>
          </cell>
          <cell r="AC69">
            <v>10.8</v>
          </cell>
          <cell r="AD69">
            <v>10.7</v>
          </cell>
          <cell r="AE69">
            <v>10.4</v>
          </cell>
          <cell r="AF69">
            <v>10.6</v>
          </cell>
          <cell r="AG69">
            <v>10.9</v>
          </cell>
          <cell r="AH69">
            <v>9.9</v>
          </cell>
          <cell r="AI69">
            <v>10.9</v>
          </cell>
        </row>
        <row r="70">
          <cell r="A70" t="str">
            <v>Todays Hit Network</v>
          </cell>
          <cell r="B70">
            <v>7.1999999999999993</v>
          </cell>
          <cell r="C70">
            <v>6.9</v>
          </cell>
          <cell r="D70">
            <v>6.4</v>
          </cell>
          <cell r="E70">
            <v>7.3</v>
          </cell>
          <cell r="F70">
            <v>8.7999999999999989</v>
          </cell>
          <cell r="G70">
            <v>9.3000000000000007</v>
          </cell>
          <cell r="H70">
            <v>9.3000000000000007</v>
          </cell>
          <cell r="I70">
            <v>9.3000000000000007</v>
          </cell>
          <cell r="J70">
            <v>9.6999999999999993</v>
          </cell>
          <cell r="K70">
            <v>9.5</v>
          </cell>
          <cell r="L70">
            <v>9.6</v>
          </cell>
          <cell r="M70">
            <v>9.6999999999999993</v>
          </cell>
          <cell r="N70">
            <v>9.1999999999999993</v>
          </cell>
          <cell r="O70">
            <v>9.8000000000000007</v>
          </cell>
          <cell r="P70">
            <v>10.9</v>
          </cell>
          <cell r="Q70">
            <v>10.6</v>
          </cell>
          <cell r="R70">
            <v>10</v>
          </cell>
          <cell r="S70">
            <v>10</v>
          </cell>
          <cell r="T70">
            <v>10.6</v>
          </cell>
          <cell r="U70">
            <v>11</v>
          </cell>
          <cell r="V70">
            <v>9.8000000000000007</v>
          </cell>
          <cell r="W70">
            <v>9.6999999999999993</v>
          </cell>
          <cell r="X70">
            <v>9.8000000000000007</v>
          </cell>
          <cell r="Y70">
            <v>9.9</v>
          </cell>
          <cell r="Z70">
            <v>11.1</v>
          </cell>
          <cell r="AA70">
            <v>11.8</v>
          </cell>
          <cell r="AB70">
            <v>11.7</v>
          </cell>
          <cell r="AC70">
            <v>11</v>
          </cell>
          <cell r="AD70">
            <v>11</v>
          </cell>
          <cell r="AE70">
            <v>11.4</v>
          </cell>
          <cell r="AF70">
            <v>11.6</v>
          </cell>
          <cell r="AG70">
            <v>11.3</v>
          </cell>
          <cell r="AH70">
            <v>11.8</v>
          </cell>
          <cell r="AI70">
            <v>12.3</v>
          </cell>
        </row>
        <row r="75">
          <cell r="A75" t="str">
            <v>Nova Network</v>
          </cell>
          <cell r="B75">
            <v>3273</v>
          </cell>
          <cell r="C75">
            <v>3334</v>
          </cell>
          <cell r="D75">
            <v>3281</v>
          </cell>
          <cell r="E75">
            <v>3286</v>
          </cell>
          <cell r="F75">
            <v>3201</v>
          </cell>
          <cell r="G75">
            <v>3239</v>
          </cell>
          <cell r="H75">
            <v>3218</v>
          </cell>
          <cell r="I75">
            <v>3141</v>
          </cell>
          <cell r="J75">
            <v>3295</v>
          </cell>
          <cell r="K75">
            <v>3232</v>
          </cell>
          <cell r="L75">
            <v>3194</v>
          </cell>
          <cell r="M75">
            <v>3194</v>
          </cell>
          <cell r="N75">
            <v>3298</v>
          </cell>
          <cell r="O75">
            <v>3335</v>
          </cell>
          <cell r="P75">
            <v>3276</v>
          </cell>
          <cell r="Q75">
            <v>3246</v>
          </cell>
          <cell r="R75">
            <v>3322</v>
          </cell>
          <cell r="S75">
            <v>3507</v>
          </cell>
          <cell r="T75">
            <v>3519</v>
          </cell>
          <cell r="U75">
            <v>3478</v>
          </cell>
          <cell r="V75">
            <v>3488</v>
          </cell>
          <cell r="W75">
            <v>3343</v>
          </cell>
          <cell r="X75">
            <v>3312</v>
          </cell>
          <cell r="Y75">
            <v>3443</v>
          </cell>
          <cell r="Z75">
            <v>3487</v>
          </cell>
          <cell r="AA75">
            <v>3429</v>
          </cell>
          <cell r="AB75">
            <v>3389</v>
          </cell>
          <cell r="AC75">
            <v>3367</v>
          </cell>
          <cell r="AD75">
            <v>3394</v>
          </cell>
          <cell r="AE75">
            <v>3428</v>
          </cell>
          <cell r="AF75">
            <v>3480</v>
          </cell>
          <cell r="AG75">
            <v>3538</v>
          </cell>
          <cell r="AH75">
            <v>3534</v>
          </cell>
          <cell r="AI75">
            <v>3384</v>
          </cell>
        </row>
        <row r="76">
          <cell r="A76" t="str">
            <v>TripleM Network</v>
          </cell>
          <cell r="B76">
            <v>2281</v>
          </cell>
          <cell r="C76">
            <v>2239</v>
          </cell>
          <cell r="D76">
            <v>2371</v>
          </cell>
          <cell r="E76">
            <v>2442</v>
          </cell>
          <cell r="F76">
            <v>2341</v>
          </cell>
          <cell r="G76">
            <v>2265</v>
          </cell>
          <cell r="H76">
            <v>2296</v>
          </cell>
          <cell r="I76">
            <v>2251</v>
          </cell>
          <cell r="J76">
            <v>2338</v>
          </cell>
          <cell r="K76">
            <v>2288</v>
          </cell>
          <cell r="L76">
            <v>2299</v>
          </cell>
          <cell r="M76">
            <v>2333</v>
          </cell>
          <cell r="N76">
            <v>2300</v>
          </cell>
          <cell r="O76">
            <v>2259</v>
          </cell>
          <cell r="P76">
            <v>2334</v>
          </cell>
          <cell r="Q76">
            <v>2320</v>
          </cell>
          <cell r="R76">
            <v>2244</v>
          </cell>
          <cell r="S76">
            <v>2159</v>
          </cell>
          <cell r="T76">
            <v>2254</v>
          </cell>
          <cell r="U76">
            <v>2308</v>
          </cell>
          <cell r="V76">
            <v>2305</v>
          </cell>
          <cell r="W76">
            <v>2282</v>
          </cell>
          <cell r="X76">
            <v>2221</v>
          </cell>
          <cell r="Y76">
            <v>2271</v>
          </cell>
          <cell r="Z76">
            <v>2290</v>
          </cell>
          <cell r="AA76">
            <v>2412</v>
          </cell>
          <cell r="AB76">
            <v>2427</v>
          </cell>
          <cell r="AC76">
            <v>2342</v>
          </cell>
          <cell r="AD76">
            <v>2353</v>
          </cell>
          <cell r="AE76">
            <v>2283</v>
          </cell>
          <cell r="AF76">
            <v>2248</v>
          </cell>
          <cell r="AG76">
            <v>2311</v>
          </cell>
          <cell r="AH76">
            <v>2283</v>
          </cell>
          <cell r="AI76">
            <v>2383</v>
          </cell>
        </row>
        <row r="77">
          <cell r="A77" t="str">
            <v>Kiis Network</v>
          </cell>
          <cell r="B77">
            <v>3071</v>
          </cell>
          <cell r="C77">
            <v>2961</v>
          </cell>
          <cell r="D77">
            <v>2976</v>
          </cell>
          <cell r="E77">
            <v>3042</v>
          </cell>
          <cell r="F77">
            <v>3003</v>
          </cell>
          <cell r="G77">
            <v>2900</v>
          </cell>
          <cell r="H77">
            <v>2856</v>
          </cell>
          <cell r="I77">
            <v>2938</v>
          </cell>
          <cell r="J77">
            <v>2983</v>
          </cell>
          <cell r="K77">
            <v>3026</v>
          </cell>
          <cell r="L77">
            <v>2991</v>
          </cell>
          <cell r="M77">
            <v>2894</v>
          </cell>
          <cell r="N77">
            <v>2847</v>
          </cell>
          <cell r="O77">
            <v>2868</v>
          </cell>
          <cell r="P77">
            <v>2897</v>
          </cell>
          <cell r="Q77">
            <v>2898</v>
          </cell>
          <cell r="R77">
            <v>2985</v>
          </cell>
          <cell r="S77">
            <v>2944</v>
          </cell>
          <cell r="T77">
            <v>2878</v>
          </cell>
          <cell r="U77">
            <v>2903</v>
          </cell>
          <cell r="V77">
            <v>2952</v>
          </cell>
          <cell r="W77">
            <v>2955</v>
          </cell>
          <cell r="X77">
            <v>2957</v>
          </cell>
          <cell r="Y77">
            <v>2935</v>
          </cell>
          <cell r="Z77">
            <v>2917</v>
          </cell>
          <cell r="AA77">
            <v>2945</v>
          </cell>
          <cell r="AB77">
            <v>2976</v>
          </cell>
          <cell r="AC77">
            <v>2973</v>
          </cell>
          <cell r="AD77">
            <v>2933</v>
          </cell>
          <cell r="AE77">
            <v>2835</v>
          </cell>
          <cell r="AF77">
            <v>2870</v>
          </cell>
          <cell r="AG77">
            <v>2955</v>
          </cell>
          <cell r="AH77">
            <v>3020</v>
          </cell>
          <cell r="AI77">
            <v>3060</v>
          </cell>
        </row>
        <row r="78">
          <cell r="A78" t="str">
            <v>Todays Hit Network</v>
          </cell>
          <cell r="B78">
            <v>2583</v>
          </cell>
          <cell r="C78">
            <v>2420</v>
          </cell>
          <cell r="D78">
            <v>2421</v>
          </cell>
          <cell r="E78">
            <v>2564</v>
          </cell>
          <cell r="F78">
            <v>2787</v>
          </cell>
          <cell r="G78">
            <v>2949</v>
          </cell>
          <cell r="H78">
            <v>2909</v>
          </cell>
          <cell r="I78">
            <v>2941</v>
          </cell>
          <cell r="J78">
            <v>2888</v>
          </cell>
          <cell r="K78">
            <v>2927</v>
          </cell>
          <cell r="L78">
            <v>3043</v>
          </cell>
          <cell r="M78">
            <v>3118</v>
          </cell>
          <cell r="N78">
            <v>3057</v>
          </cell>
          <cell r="O78">
            <v>3078</v>
          </cell>
          <cell r="P78">
            <v>3082</v>
          </cell>
          <cell r="Q78">
            <v>3090</v>
          </cell>
          <cell r="R78">
            <v>2972</v>
          </cell>
          <cell r="S78">
            <v>2970</v>
          </cell>
          <cell r="T78">
            <v>3043</v>
          </cell>
          <cell r="U78">
            <v>3069</v>
          </cell>
          <cell r="V78">
            <v>3033</v>
          </cell>
          <cell r="W78">
            <v>2986</v>
          </cell>
          <cell r="X78">
            <v>2903</v>
          </cell>
          <cell r="Y78">
            <v>2977</v>
          </cell>
          <cell r="Z78">
            <v>3131</v>
          </cell>
          <cell r="AA78">
            <v>3151</v>
          </cell>
          <cell r="AB78">
            <v>3246</v>
          </cell>
          <cell r="AC78">
            <v>3193</v>
          </cell>
          <cell r="AD78">
            <v>3078</v>
          </cell>
          <cell r="AE78">
            <v>3006</v>
          </cell>
          <cell r="AF78">
            <v>3110</v>
          </cell>
          <cell r="AG78">
            <v>3129</v>
          </cell>
          <cell r="AH78">
            <v>3245</v>
          </cell>
          <cell r="AI78">
            <v>3147</v>
          </cell>
        </row>
      </sheetData>
      <sheetData sheetId="3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Input Macro"/>
      <sheetName val="Input Micro"/>
      <sheetName val="Reports"/>
      <sheetName val="Report KPI  list"/>
      <sheetName val="Micro line data"/>
      <sheetName val="Macroline data"/>
      <sheetName val="Total kg rev trans"/>
      <sheetName val="Macro trucks"/>
      <sheetName val="POS"/>
      <sheetName val="primanja"/>
      <sheetName val="naknade"/>
      <sheetName val="otpremnine"/>
      <sheetName val="prijevoz"/>
      <sheetName val="osiguranje-adenda"/>
      <sheetName val="Macro line norm"/>
      <sheetName val="Micro line norm"/>
      <sheetName val="Dropdowns"/>
      <sheetName val="Control_Panel"/>
      <sheetName val="Input_Macro"/>
      <sheetName val="Input_Micro"/>
      <sheetName val="Report_KPI__list"/>
      <sheetName val="Micro_line_data"/>
      <sheetName val="Macroline_data"/>
      <sheetName val="Total_kg_rev_trans"/>
      <sheetName val="Macro_trucks"/>
      <sheetName val="Macro_line_norm"/>
      <sheetName val="Micro_line_n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Overview_SC"/>
      <sheetName val="Notes_SSC"/>
      <sheetName val="Notes_BO"/>
      <sheetName val="Keys_SSC"/>
      <sheetName val="Keys_BO"/>
      <sheetName val="Assumptions_SC"/>
      <sheetName val="TS_Ass_SSC"/>
      <sheetName val="TS_BA"/>
      <sheetName val="Fcast_Ass_SSC"/>
      <sheetName val="Fcast_TA"/>
      <sheetName val="Base_OP_SC"/>
      <sheetName val="Fcast_OP_SSC"/>
      <sheetName val="Fcast_TO"/>
      <sheetName val="FS_OP_SSC"/>
      <sheetName val="IS_TO"/>
      <sheetName val="BS_TO"/>
      <sheetName val="CFS_TO"/>
      <sheetName val="Dashboards_SSC"/>
      <sheetName val="BS_Sum_P_MS"/>
      <sheetName val="Appendices_SC"/>
      <sheetName val="Checks_SSC"/>
      <sheetName val="Checks_BO"/>
      <sheetName val="LU_SSC"/>
      <sheetName val="TS_LU"/>
      <sheetName val="Capital_LU"/>
      <sheetName val="Dashboards_LU"/>
      <sheetName val="Data"/>
    </sheetNames>
    <sheetDataSet>
      <sheetData sheetId="0"/>
      <sheetData sheetId="1"/>
      <sheetData sheetId="2">
        <row r="9">
          <cell r="C9" t="str">
            <v>Overview</v>
          </cell>
        </row>
      </sheetData>
      <sheetData sheetId="3">
        <row r="9">
          <cell r="C9" t="str">
            <v>Notes</v>
          </cell>
        </row>
      </sheetData>
      <sheetData sheetId="4"/>
      <sheetData sheetId="5"/>
      <sheetData sheetId="6">
        <row r="7">
          <cell r="B7" t="str">
            <v>Formats &amp; Styles Key</v>
          </cell>
        </row>
        <row r="54">
          <cell r="B54" t="str">
            <v>Sheet Naming Key</v>
          </cell>
        </row>
        <row r="102">
          <cell r="B102" t="str">
            <v>Range Naming Key</v>
          </cell>
        </row>
      </sheetData>
      <sheetData sheetId="7"/>
      <sheetData sheetId="8"/>
      <sheetData sheetId="9"/>
      <sheetData sheetId="10"/>
      <sheetData sheetId="11">
        <row r="16">
          <cell r="B16" t="str">
            <v>Operational - Assumptions</v>
          </cell>
        </row>
        <row r="29">
          <cell r="B29" t="str">
            <v>Working Capital - Assumptions</v>
          </cell>
        </row>
        <row r="41">
          <cell r="B41" t="str">
            <v>Assets - Assumptions</v>
          </cell>
        </row>
        <row r="50">
          <cell r="B50" t="str">
            <v>Capital - Assumptions</v>
          </cell>
        </row>
        <row r="98">
          <cell r="B98" t="str">
            <v>Taxation - Assumptions</v>
          </cell>
        </row>
        <row r="115">
          <cell r="B115" t="str">
            <v>Other Balance Sheet Items - Assumptions</v>
          </cell>
        </row>
      </sheetData>
      <sheetData sheetId="12"/>
      <sheetData sheetId="13"/>
      <sheetData sheetId="14">
        <row r="16">
          <cell r="B16" t="str">
            <v>Operational - Outputs</v>
          </cell>
        </row>
        <row r="25">
          <cell r="B25" t="str">
            <v>Working Capital - Outputs</v>
          </cell>
        </row>
        <row r="62">
          <cell r="B62" t="str">
            <v>Assets - Outputs</v>
          </cell>
        </row>
        <row r="89">
          <cell r="B89" t="str">
            <v>Capital - Outputs</v>
          </cell>
        </row>
        <row r="157">
          <cell r="B157" t="str">
            <v>Taxation - Output Summary</v>
          </cell>
        </row>
        <row r="183">
          <cell r="B183" t="str">
            <v>Other Balance Sheet Items - Outputs</v>
          </cell>
        </row>
      </sheetData>
      <sheetData sheetId="15">
        <row r="9">
          <cell r="C9" t="str">
            <v>Financial Statements</v>
          </cell>
        </row>
      </sheetData>
      <sheetData sheetId="16">
        <row r="1">
          <cell r="B1" t="str">
            <v>Income Statement</v>
          </cell>
        </row>
      </sheetData>
      <sheetData sheetId="17">
        <row r="1">
          <cell r="B1" t="str">
            <v>Balance Sheet</v>
          </cell>
        </row>
      </sheetData>
      <sheetData sheetId="18">
        <row r="1">
          <cell r="B1" t="str">
            <v>Cash Flow Statement</v>
          </cell>
        </row>
        <row r="16">
          <cell r="B16" t="str">
            <v>Direct Cash Flow Statement</v>
          </cell>
        </row>
        <row r="53">
          <cell r="B53" t="str">
            <v>Indirect Cash Flow Statement</v>
          </cell>
        </row>
        <row r="89">
          <cell r="B89" t="str">
            <v>Capital Providers - Cash Flow Reconciliation</v>
          </cell>
        </row>
      </sheetData>
      <sheetData sheetId="19">
        <row r="9">
          <cell r="C9" t="str">
            <v>Dashboard Outputs</v>
          </cell>
        </row>
      </sheetData>
      <sheetData sheetId="20">
        <row r="1">
          <cell r="B1" t="str">
            <v>Business Planning Summary</v>
          </cell>
        </row>
      </sheetData>
      <sheetData sheetId="21">
        <row r="9">
          <cell r="C9" t="str">
            <v>Appendices</v>
          </cell>
        </row>
      </sheetData>
      <sheetData sheetId="22">
        <row r="9">
          <cell r="C9" t="str">
            <v>Checks</v>
          </cell>
        </row>
      </sheetData>
      <sheetData sheetId="23">
        <row r="1">
          <cell r="B1" t="str">
            <v>Checks</v>
          </cell>
        </row>
        <row r="7">
          <cell r="B7" t="str">
            <v>Error Checks</v>
          </cell>
        </row>
        <row r="33">
          <cell r="B33" t="str">
            <v>Sensitivity Checks</v>
          </cell>
        </row>
        <row r="49">
          <cell r="B49" t="str">
            <v>Alert Checks</v>
          </cell>
        </row>
      </sheetData>
      <sheetData sheetId="24">
        <row r="9">
          <cell r="C9" t="str">
            <v>Lookup Tables</v>
          </cell>
        </row>
      </sheetData>
      <sheetData sheetId="25">
        <row r="1">
          <cell r="B1" t="str">
            <v>Time Series Lookup Tables</v>
          </cell>
        </row>
      </sheetData>
      <sheetData sheetId="26">
        <row r="1">
          <cell r="B1" t="str">
            <v>Capital - Lookup Tables</v>
          </cell>
        </row>
      </sheetData>
      <sheetData sheetId="27">
        <row r="1">
          <cell r="B1" t="str">
            <v>Dashboards - Lookup Tables</v>
          </cell>
        </row>
      </sheetData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increase + promo"/>
      <sheetName val="price increase - no promo"/>
      <sheetName val="TOTAL BUSINESS INPUT"/>
      <sheetName val="Sheet1"/>
      <sheetName val="price_increase_+_promo"/>
      <sheetName val="price_increase_-_no_promo"/>
      <sheetName val="TOTAL_BUSINESS_INPUT"/>
    </sheetNames>
    <sheetDataSet>
      <sheetData sheetId="0"/>
      <sheetData sheetId="1"/>
      <sheetData sheetId="2">
        <row r="1">
          <cell r="DA1" t="str">
            <v>Freedom Australia</v>
          </cell>
          <cell r="DC1" t="str">
            <v>Replan</v>
          </cell>
        </row>
        <row r="2">
          <cell r="DC2" t="str">
            <v>Plan</v>
          </cell>
        </row>
        <row r="3">
          <cell r="DC3" t="str">
            <v>Workbench</v>
          </cell>
        </row>
        <row r="4">
          <cell r="DC4" t="str">
            <v>Budget</v>
          </cell>
        </row>
        <row r="5">
          <cell r="DC5" t="str">
            <v>RevBUD</v>
          </cell>
        </row>
      </sheetData>
      <sheetData sheetId="3">
        <row r="2">
          <cell r="A2" t="str">
            <v>All HW + Furn Products Incl Spare Parts</v>
          </cell>
        </row>
        <row r="3">
          <cell r="A3" t="str">
            <v>All Homewares Incl Spare Parts</v>
          </cell>
        </row>
        <row r="4">
          <cell r="A4" t="str">
            <v>DP-1100 - Window Coverings</v>
          </cell>
        </row>
        <row r="5">
          <cell r="A5" t="str">
            <v>DP-1200 - Lighting</v>
          </cell>
        </row>
        <row r="6">
          <cell r="A6" t="str">
            <v>DP-1300 - Soft Furnishings</v>
          </cell>
        </row>
        <row r="7">
          <cell r="A7" t="str">
            <v>DP-1400 - Storage</v>
          </cell>
        </row>
        <row r="8">
          <cell r="A8" t="str">
            <v>DP-1500 - Tabletop</v>
          </cell>
        </row>
        <row r="9">
          <cell r="A9" t="str">
            <v>DP-1600 - Kids</v>
          </cell>
        </row>
        <row r="10">
          <cell r="A10" t="str">
            <v>DP-2200 - Xmas</v>
          </cell>
        </row>
        <row r="11">
          <cell r="A11" t="str">
            <v>DP-2300 - Decorator</v>
          </cell>
        </row>
        <row r="12">
          <cell r="A12" t="str">
            <v>DP-2400 - Kitchenware</v>
          </cell>
        </row>
        <row r="13">
          <cell r="A13" t="str">
            <v>DP-2500 - Office (HW)</v>
          </cell>
        </row>
        <row r="14">
          <cell r="A14" t="str">
            <v>DP-2600 - Outdoor (HW)</v>
          </cell>
        </row>
        <row r="15">
          <cell r="A15" t="str">
            <v>DP-2700 - Bedroom (HW)</v>
          </cell>
        </row>
        <row r="16">
          <cell r="A16" t="str">
            <v>DP-2800 - Bathroom</v>
          </cell>
        </row>
        <row r="17">
          <cell r="A17" t="str">
            <v>DP-2900 - Home Accessories</v>
          </cell>
        </row>
        <row r="18">
          <cell r="A18" t="str">
            <v>DP-3000 - Hardware</v>
          </cell>
        </row>
        <row r="19">
          <cell r="A19" t="str">
            <v>DP-3100 - Spare Parts (HW)</v>
          </cell>
        </row>
        <row r="20">
          <cell r="A20" t="str">
            <v>DP-6090 - BaySwiss Homewares</v>
          </cell>
        </row>
        <row r="21">
          <cell r="A21" t="str">
            <v>DP-6300 - Bay Homewares</v>
          </cell>
        </row>
        <row r="22">
          <cell r="A22" t="str">
            <v>DP- HW Reserve</v>
          </cell>
        </row>
        <row r="23">
          <cell r="A23" t="str">
            <v>DP-7300 - UAE Homewares</v>
          </cell>
        </row>
        <row r="24">
          <cell r="A24" t="str">
            <v>DP-7200 - Bedroom Homewares (FB)</v>
          </cell>
        </row>
        <row r="25">
          <cell r="A25" t="str">
            <v>All Furniture Incl Spare Parts</v>
          </cell>
        </row>
        <row r="26">
          <cell r="A26" t="str">
            <v>DP-4000 - Bedroom</v>
          </cell>
        </row>
        <row r="27">
          <cell r="A27" t="str">
            <v>DP-4100 - Casegoods</v>
          </cell>
        </row>
        <row r="28">
          <cell r="A28" t="str">
            <v>DP-4200 - Kids and Youth</v>
          </cell>
        </row>
        <row r="29">
          <cell r="A29" t="str">
            <v>DP-4400 - Office</v>
          </cell>
        </row>
        <row r="30">
          <cell r="A30" t="str">
            <v>DP-4600 - Outdoor</v>
          </cell>
        </row>
        <row r="31">
          <cell r="A31" t="str">
            <v>DP-4800 - Upholstery</v>
          </cell>
        </row>
        <row r="32">
          <cell r="A32" t="str">
            <v>DP-5000 - Spare Parts Furniture</v>
          </cell>
        </row>
        <row r="33">
          <cell r="A33" t="str">
            <v>DP-6100 - Bay Upholstery</v>
          </cell>
        </row>
        <row r="34">
          <cell r="A34" t="str">
            <v>DP-6200 - Bay Casegoods</v>
          </cell>
        </row>
        <row r="35">
          <cell r="A35" t="str">
            <v>DP-FURN Reserve</v>
          </cell>
        </row>
        <row r="36">
          <cell r="A36" t="str">
            <v>DP-7400 - UAE Furniture</v>
          </cell>
        </row>
        <row r="37">
          <cell r="A37" t="str">
            <v>DP-8200 - Upholstery G&amp;G</v>
          </cell>
        </row>
        <row r="38">
          <cell r="A38" t="str">
            <v>DP-8000 - Bedroom G&amp;G</v>
          </cell>
        </row>
        <row r="39">
          <cell r="A39" t="str">
            <v>DP-8100 - Casegoods G&amp;G</v>
          </cell>
        </row>
        <row r="40">
          <cell r="A40" t="str">
            <v>DP-7100 - Bedroom Furniture (FB)</v>
          </cell>
        </row>
        <row r="41">
          <cell r="A41" t="str">
            <v>DP-0000 - All Upholstery</v>
          </cell>
        </row>
        <row r="42">
          <cell r="A42" t="str">
            <v>Furniture Div less Upholstery</v>
          </cell>
        </row>
      </sheetData>
      <sheetData sheetId="4"/>
      <sheetData sheetId="5"/>
      <sheetData sheetId="6">
        <row r="1">
          <cell r="DA1" t="str">
            <v>Freedom Australia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Input Macro"/>
      <sheetName val="Input Micro"/>
      <sheetName val="Reports"/>
      <sheetName val="Report KPI  list"/>
      <sheetName val="Micro line data"/>
      <sheetName val="Macroline data"/>
      <sheetName val="Total kg rev trans"/>
      <sheetName val="Macro trucks"/>
      <sheetName val="POS"/>
      <sheetName val="primanja"/>
      <sheetName val="naknade"/>
      <sheetName val="otpremnine"/>
      <sheetName val="prijevoz"/>
      <sheetName val="osiguranje-adenda"/>
      <sheetName val="Macro line norm"/>
      <sheetName val="Micro line norm"/>
      <sheetName val="Sheet2"/>
      <sheetName val="Control_Panel"/>
      <sheetName val="Input_Macro"/>
      <sheetName val="Input_Micro"/>
      <sheetName val="Report_KPI__list"/>
      <sheetName val="Micro_line_data"/>
      <sheetName val="Macroline_data"/>
      <sheetName val="Total_kg_rev_trans"/>
      <sheetName val="Macro_trucks"/>
      <sheetName val="Macro_line_norm"/>
      <sheetName val="Micro_line_n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store scenario selectio (2)"/>
      <sheetName val="Cover"/>
      <sheetName val="Valuation"/>
      <sheetName val="Competitor store roll out"/>
      <sheetName val="EBIT valuation discounted"/>
      <sheetName val="Sensitivty"/>
      <sheetName val="Input_P&amp;L"/>
      <sheetName val="Input_BS"/>
      <sheetName val="Input_CF"/>
      <sheetName val="store number summary"/>
      <sheetName val="P&amp;L"/>
      <sheetName val="CF"/>
      <sheetName val="BS"/>
      <sheetName val="closure costs"/>
      <sheetName val="Fixed cost recon"/>
      <sheetName val="Depreciation &amp; Capex schedule"/>
      <sheetName val="Sales Forecasts"/>
      <sheetName val="Franchise roll out &amp; valuation"/>
      <sheetName val="new store scenario selection"/>
      <sheetName val="new store consolidated P&amp;L"/>
      <sheetName val="Erina "/>
      <sheetName val="Leeton"/>
      <sheetName val="Leumeah"/>
      <sheetName val="Rosebery"/>
      <sheetName val="Tamworth"/>
      <sheetName val="Chipping Norton"/>
      <sheetName val="Fairymeadow"/>
      <sheetName val="Warners Bay"/>
      <sheetName val="Plumpton"/>
      <sheetName val="2009 new store pro-forma"/>
      <sheetName val="2010 new store pro-forma"/>
      <sheetName val="2011 new store pro-forma"/>
      <sheetName val="Summary table for report"/>
      <sheetName val="new_store_scenario_selectio_(2)"/>
      <sheetName val="Competitor_store_roll_out"/>
      <sheetName val="EBIT_valuation_discounted"/>
      <sheetName val="store_number_summary"/>
      <sheetName val="closure_costs"/>
      <sheetName val="Fixed_cost_recon"/>
      <sheetName val="Depreciation_&amp;_Capex_schedule"/>
      <sheetName val="Sales_Forecasts"/>
      <sheetName val="Franchise_roll_out_&amp;_valuation"/>
      <sheetName val="new_store_scenario_selection"/>
      <sheetName val="new_store_consolidated_P&amp;L"/>
      <sheetName val="Erina_"/>
      <sheetName val="Chipping_Norton"/>
      <sheetName val="Warners_Bay"/>
      <sheetName val="2009_new_store_pro-forma"/>
      <sheetName val="2010_new_store_pro-forma"/>
      <sheetName val="2011_new_store_pro-forma"/>
      <sheetName val="Summary_table_for_report"/>
    </sheetNames>
    <sheetDataSet>
      <sheetData sheetId="0" refreshError="1"/>
      <sheetData sheetId="1" refreshError="1"/>
      <sheetData sheetId="2" refreshError="1">
        <row r="30">
          <cell r="D30">
            <v>5.45E-2</v>
          </cell>
        </row>
        <row r="33">
          <cell r="D33">
            <v>0.08</v>
          </cell>
        </row>
        <row r="34">
          <cell r="D34">
            <v>0.3</v>
          </cell>
        </row>
      </sheetData>
      <sheetData sheetId="3" refreshError="1"/>
      <sheetData sheetId="4" refreshError="1"/>
      <sheetData sheetId="5" refreshError="1">
        <row r="21">
          <cell r="D21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 01-02"/>
      <sheetName val="4GC"/>
      <sheetName val="Revenue"/>
      <sheetName val="Advert"/>
      <sheetName val="Rent HLP"/>
      <sheetName val="Program Costs"/>
      <sheetName val="Salaries"/>
      <sheetName val="FBT"/>
      <sheetName val="Depn"/>
      <sheetName val="Capex"/>
      <sheetName val="LY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re --&gt;"/>
      <sheetName val="Completed V2"/>
      <sheetName val="Shapes"/>
      <sheetName val="Rounded_Edge_V2"/>
      <sheetName val="Survey_Start"/>
      <sheetName val="Survey_Peltier"/>
      <sheetName val="LineChart_after"/>
      <sheetName val="Complete"/>
      <sheetName val="InfoChart_Icons"/>
      <sheetName val="Map"/>
      <sheetName val="After"/>
    </sheetNames>
    <sheetDataSet>
      <sheetData sheetId="0"/>
      <sheetData sheetId="1">
        <row r="4">
          <cell r="E4" t="str">
            <v>Rehire</v>
          </cell>
          <cell r="F4">
            <v>45000</v>
          </cell>
        </row>
      </sheetData>
      <sheetData sheetId="2"/>
      <sheetData sheetId="3">
        <row r="8">
          <cell r="A8" t="str">
            <v>Fill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Wks_Mths"/>
      <sheetName val="Sales"/>
      <sheetName val="Fran Fees"/>
      <sheetName val="Fran Fees %"/>
      <sheetName val="Debtors"/>
      <sheetName val="Cust Deps"/>
      <sheetName val="Fran COS"/>
      <sheetName val="DCs COS"/>
      <sheetName val="COS"/>
      <sheetName val="Stock"/>
      <sheetName val="Int on Stk"/>
      <sheetName val="Dep_Total"/>
      <sheetName val="Dep_Existing"/>
      <sheetName val="Dep_New"/>
      <sheetName val="Dep_Reduction"/>
      <sheetName val="DC Chrg"/>
      <sheetName val="Interest"/>
      <sheetName val="Man Fee"/>
      <sheetName val="Fran_Fees"/>
      <sheetName val="Fran_Fees_%"/>
      <sheetName val="Cust_Deps"/>
      <sheetName val="Fran_COS"/>
      <sheetName val="DCs_COS"/>
      <sheetName val="Int_on_Stk"/>
      <sheetName val="DC_Chrg"/>
      <sheetName val="Man_Fee"/>
      <sheetName val="Dashboard Data"/>
    </sheetNames>
    <sheetDataSet>
      <sheetData sheetId="0" refreshError="1">
        <row r="8">
          <cell r="D8">
            <v>2.8000000000000001E-2</v>
          </cell>
          <cell r="F8">
            <v>0.04</v>
          </cell>
          <cell r="H8">
            <v>0.04</v>
          </cell>
          <cell r="J8">
            <v>0.05</v>
          </cell>
          <cell r="L8">
            <v>0.05</v>
          </cell>
        </row>
        <row r="11">
          <cell r="D11">
            <v>3.1E-2</v>
          </cell>
          <cell r="F11">
            <v>0.04</v>
          </cell>
          <cell r="H11">
            <v>0.04</v>
          </cell>
          <cell r="J11">
            <v>0.05</v>
          </cell>
          <cell r="L11">
            <v>0.05</v>
          </cell>
        </row>
        <row r="15">
          <cell r="D15">
            <v>1.6E-2</v>
          </cell>
          <cell r="F15">
            <v>0.02</v>
          </cell>
          <cell r="H15">
            <v>0.03</v>
          </cell>
          <cell r="J15">
            <v>0.04</v>
          </cell>
          <cell r="L15">
            <v>0.04</v>
          </cell>
        </row>
        <row r="16">
          <cell r="D16">
            <v>1.7999999999999999E-2</v>
          </cell>
          <cell r="F16">
            <v>0.02</v>
          </cell>
          <cell r="H16">
            <v>0.03</v>
          </cell>
          <cell r="J16">
            <v>0.04</v>
          </cell>
          <cell r="L16">
            <v>0.04</v>
          </cell>
        </row>
        <row r="19">
          <cell r="D19">
            <v>0.03</v>
          </cell>
          <cell r="F19">
            <v>0.03</v>
          </cell>
          <cell r="H19">
            <v>0.03</v>
          </cell>
          <cell r="J19">
            <v>0.03</v>
          </cell>
          <cell r="L19">
            <v>0.03</v>
          </cell>
        </row>
        <row r="22">
          <cell r="D22">
            <v>0.03</v>
          </cell>
          <cell r="F22">
            <v>0.03</v>
          </cell>
          <cell r="H22">
            <v>0.03</v>
          </cell>
          <cell r="J22">
            <v>0.03</v>
          </cell>
          <cell r="L22">
            <v>0.03</v>
          </cell>
        </row>
        <row r="23">
          <cell r="D23">
            <v>0.02</v>
          </cell>
          <cell r="F23">
            <v>7.4999999999999997E-2</v>
          </cell>
          <cell r="H23">
            <v>0.03</v>
          </cell>
          <cell r="J23">
            <v>0.03</v>
          </cell>
          <cell r="L23">
            <v>0.03</v>
          </cell>
        </row>
        <row r="25">
          <cell r="D25">
            <v>0.02</v>
          </cell>
          <cell r="F25">
            <v>0.03</v>
          </cell>
          <cell r="H25">
            <v>0.03</v>
          </cell>
          <cell r="J25">
            <v>0.03</v>
          </cell>
          <cell r="L25">
            <v>0.03</v>
          </cell>
        </row>
        <row r="28">
          <cell r="D28">
            <v>2.6000000000000002E-2</v>
          </cell>
          <cell r="F28">
            <v>0.03</v>
          </cell>
          <cell r="H28">
            <v>0.03</v>
          </cell>
          <cell r="J28">
            <v>0.03</v>
          </cell>
          <cell r="L28">
            <v>0.03</v>
          </cell>
        </row>
        <row r="29">
          <cell r="D29">
            <v>2.7999999999999997E-2</v>
          </cell>
          <cell r="F29">
            <v>0.03</v>
          </cell>
          <cell r="H29">
            <v>0.03</v>
          </cell>
          <cell r="J29">
            <v>0.03</v>
          </cell>
          <cell r="L29">
            <v>0.03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"/>
      <sheetName val="Warrawong"/>
      <sheetName val="Wagga_Wagga"/>
      <sheetName val="Turramurra"/>
      <sheetName val="Traralgon"/>
      <sheetName val="Townsville"/>
      <sheetName val="Rothwell"/>
      <sheetName val="Penrith"/>
      <sheetName val="Northland"/>
      <sheetName val="Newcastle"/>
      <sheetName val="Maroochydore"/>
      <sheetName val="Hobart"/>
      <sheetName val="Geelong"/>
      <sheetName val="Erina"/>
      <sheetName val="Dubbo"/>
      <sheetName val="Coffs Harbour"/>
      <sheetName val="Caringbah"/>
      <sheetName val="Capalaba"/>
      <sheetName val="Cairns"/>
      <sheetName val="Albury"/>
      <sheetName val="Crows_Nest"/>
      <sheetName val="Macquarie"/>
      <sheetName val="Belrose"/>
      <sheetName val="Auburn"/>
      <sheetName val="Balgowlah"/>
      <sheetName val="Bankstown"/>
      <sheetName val="Blacktown"/>
      <sheetName val="Campbelltown"/>
      <sheetName val="Crossroads"/>
      <sheetName val="Gladesville"/>
      <sheetName val="Moore_Park"/>
      <sheetName val="Norwest"/>
      <sheetName val="Sydney City"/>
      <sheetName val="Fyshwick"/>
      <sheetName val="Ballarat"/>
      <sheetName val="Glen_Waverley"/>
      <sheetName val="Essendon"/>
      <sheetName val="Fountaingate"/>
      <sheetName val="Melbourne Central"/>
      <sheetName val="Nunawading"/>
      <sheetName val="Richmond"/>
      <sheetName val="South_Yarra"/>
      <sheetName val="Moorabbin"/>
      <sheetName val="Citygate"/>
      <sheetName val="Jindalee"/>
      <sheetName val="MacGregor"/>
      <sheetName val="Southport"/>
      <sheetName val="Springwood"/>
      <sheetName val="Toowoomba"/>
      <sheetName val="Windsor"/>
      <sheetName val="Booragoon"/>
      <sheetName val="Cannington"/>
      <sheetName val="Joondalup"/>
      <sheetName val="Mandurah"/>
      <sheetName val="Osborne_Park"/>
      <sheetName val="Darwin"/>
      <sheetName val="Adelaide"/>
      <sheetName val="Marion"/>
      <sheetName val="Midlands"/>
      <sheetName val="Birkenhead Point Clr"/>
      <sheetName val="Modbury"/>
      <sheetName val="Broadway"/>
      <sheetName val="o.h"/>
      <sheetName val="Apr08"/>
      <sheetName val="May08"/>
      <sheetName val="Jun08"/>
      <sheetName val="Media Invoices"/>
      <sheetName val="CURRENT1"/>
      <sheetName val="Journal"/>
      <sheetName val="Journal_Fran"/>
      <sheetName val="Journal_Fran (2)"/>
      <sheetName val="Coffs_Harbour"/>
      <sheetName val="Sydney_City"/>
      <sheetName val="Melbourne_Central"/>
      <sheetName val="Birkenhead_Point_Clr"/>
      <sheetName val="o_h"/>
      <sheetName val="Media_Invoices"/>
      <sheetName val="Journal_Fran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"/>
      <sheetName val="Assumptions"/>
      <sheetName val="Summary"/>
      <sheetName val="1.Delivered Sales Act"/>
      <sheetName val="1.Delivered Sales Replan"/>
      <sheetName val="1.Delivered Sales Bud"/>
      <sheetName val="2.Written Sales"/>
      <sheetName val="2.Written Sales LFL"/>
      <sheetName val="3.Online"/>
      <sheetName val="3.Click &amp; Collect"/>
      <sheetName val="4.SOH"/>
      <sheetName val="4.Key Product Cat"/>
      <sheetName val="4.Key Product Cat BUD"/>
      <sheetName val="4.Stock Turn"/>
      <sheetName val="5.LFS"/>
      <sheetName val="Forecast"/>
      <sheetName val="Forecast by state"/>
    </sheetNames>
    <sheetDataSet>
      <sheetData sheetId="0">
        <row r="1">
          <cell r="C1">
            <v>5</v>
          </cell>
        </row>
        <row r="2">
          <cell r="C2" t="str">
            <v>Week 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Assumptions"/>
      <sheetName val="Summary"/>
      <sheetName val="Inventory Group Pack"/>
      <sheetName val="1.Delivered Sales Act"/>
      <sheetName val="Delivered Sales - Tue 14 Jan 20"/>
      <sheetName val="1.Delivered Sales Budget"/>
      <sheetName val="2. FCS Only"/>
      <sheetName val="2. L4L Data - ROM Report"/>
      <sheetName val="1.Delivered Sales Replan"/>
      <sheetName val="1.Delivered Sales Bud - OLD"/>
      <sheetName val="2.Written Sales"/>
      <sheetName val="2.Written Sales LFL"/>
      <sheetName val="3.Online"/>
      <sheetName val="3.Click &amp; Collect"/>
      <sheetName val="4.SOH"/>
      <sheetName val="4.SOH inc Display"/>
      <sheetName val="4.Key Product Cat"/>
      <sheetName val="4.Key Product Cat BUD"/>
      <sheetName val="4.Stock Turn"/>
      <sheetName val="5.LFS"/>
      <sheetName val="Forecast"/>
      <sheetName val="Forecast by state"/>
      <sheetName val="Mapping"/>
      <sheetName val="Inventory_Group_Pack"/>
      <sheetName val="1_Delivered_Sales_Act"/>
      <sheetName val="Delivered_Sales_-_Tue_14_Jan_20"/>
      <sheetName val="1_Delivered_Sales_Budget"/>
      <sheetName val="2__FCS_Only"/>
      <sheetName val="2__L4L_Data_-_ROM_Report"/>
      <sheetName val="1_Delivered_Sales_Replan"/>
      <sheetName val="1_Delivered_Sales_Bud_-_OLD"/>
      <sheetName val="2_Written_Sales"/>
      <sheetName val="2_Written_Sales_LFL"/>
      <sheetName val="3_Online"/>
      <sheetName val="3_Click_&amp;_Collect"/>
      <sheetName val="4_SOH"/>
      <sheetName val="4_SOH_inc_Display"/>
      <sheetName val="4_Key_Product_Cat"/>
      <sheetName val="4_Key_Product_Cat_BUD"/>
      <sheetName val="4_Stock_Turn"/>
      <sheetName val="5_LFS"/>
      <sheetName val="Forecast_by_state"/>
      <sheetName val="dashboard data"/>
      <sheetName val="reports"/>
    </sheetNames>
    <sheetDataSet>
      <sheetData sheetId="0">
        <row r="4">
          <cell r="C4" t="str">
            <v>FY20</v>
          </cell>
        </row>
        <row r="5">
          <cell r="C5" t="str">
            <v>FY19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Variables"/>
      <sheetName val="Chart13"/>
      <sheetName val="Chart14"/>
      <sheetName val="Retrieve X"/>
      <sheetName val="Matrix"/>
      <sheetName val="Rolling input"/>
      <sheetName val="MARKET HISTORY"/>
      <sheetName val="Report"/>
      <sheetName val="Written"/>
      <sheetName val="Layout 4"/>
      <sheetName val="Layout 2"/>
      <sheetName val="Layout 3 not used"/>
      <sheetName val="Layout 2 (2)"/>
      <sheetName val="Layout 5"/>
      <sheetName val=" YTD History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Chart23"/>
      <sheetName val="Chart24"/>
      <sheetName val="Sheet1"/>
    </sheetNames>
    <sheetDataSet>
      <sheetData sheetId="0"/>
      <sheetData sheetId="1">
        <row r="4">
          <cell r="F4">
            <v>0</v>
          </cell>
        </row>
      </sheetData>
      <sheetData sheetId="2" refreshError="1"/>
      <sheetData sheetId="3" refreshError="1"/>
      <sheetData sheetId="4"/>
      <sheetData sheetId="5"/>
      <sheetData sheetId="6">
        <row r="1">
          <cell r="C1">
            <v>-15</v>
          </cell>
          <cell r="D1">
            <v>-14</v>
          </cell>
          <cell r="E1">
            <v>-13</v>
          </cell>
          <cell r="F1">
            <v>-12</v>
          </cell>
          <cell r="G1">
            <v>-11</v>
          </cell>
          <cell r="H1">
            <v>-10</v>
          </cell>
          <cell r="I1">
            <v>-9</v>
          </cell>
          <cell r="J1">
            <v>-8</v>
          </cell>
          <cell r="K1">
            <v>-7</v>
          </cell>
          <cell r="L1">
            <v>-6</v>
          </cell>
          <cell r="M1">
            <v>-5</v>
          </cell>
          <cell r="N1">
            <v>-4</v>
          </cell>
          <cell r="O1">
            <v>-3</v>
          </cell>
          <cell r="P1">
            <v>-2</v>
          </cell>
          <cell r="Q1">
            <v>-1</v>
          </cell>
          <cell r="R1">
            <v>0</v>
          </cell>
          <cell r="S1">
            <v>1</v>
          </cell>
          <cell r="T1">
            <v>2</v>
          </cell>
          <cell r="U1">
            <v>3</v>
          </cell>
          <cell r="V1">
            <v>4</v>
          </cell>
          <cell r="W1">
            <v>5</v>
          </cell>
          <cell r="X1">
            <v>6</v>
          </cell>
          <cell r="Y1">
            <v>7</v>
          </cell>
          <cell r="Z1">
            <v>8</v>
          </cell>
          <cell r="AA1">
            <v>9</v>
          </cell>
          <cell r="AB1">
            <v>10</v>
          </cell>
          <cell r="AC1">
            <v>11</v>
          </cell>
          <cell r="AD1">
            <v>12</v>
          </cell>
          <cell r="AE1">
            <v>13</v>
          </cell>
          <cell r="AF1">
            <v>14</v>
          </cell>
          <cell r="AG1">
            <v>15</v>
          </cell>
          <cell r="AH1">
            <v>16</v>
          </cell>
          <cell r="AI1">
            <v>17</v>
          </cell>
          <cell r="AJ1">
            <v>18</v>
          </cell>
          <cell r="AK1">
            <v>19</v>
          </cell>
          <cell r="AL1">
            <v>20</v>
          </cell>
          <cell r="AM1">
            <v>21</v>
          </cell>
          <cell r="AN1">
            <v>22</v>
          </cell>
          <cell r="AO1">
            <v>23</v>
          </cell>
          <cell r="AP1">
            <v>24</v>
          </cell>
          <cell r="AQ1">
            <v>25</v>
          </cell>
          <cell r="AR1">
            <v>26</v>
          </cell>
          <cell r="AS1">
            <v>27</v>
          </cell>
          <cell r="AT1">
            <v>28</v>
          </cell>
          <cell r="AU1">
            <v>29</v>
          </cell>
          <cell r="AV1">
            <v>30</v>
          </cell>
          <cell r="AW1">
            <v>31</v>
          </cell>
          <cell r="AX1">
            <v>32</v>
          </cell>
          <cell r="AY1">
            <v>33</v>
          </cell>
          <cell r="AZ1">
            <v>34</v>
          </cell>
          <cell r="BA1">
            <v>35</v>
          </cell>
          <cell r="BB1">
            <v>36</v>
          </cell>
          <cell r="BC1">
            <v>37</v>
          </cell>
          <cell r="BD1">
            <v>38</v>
          </cell>
          <cell r="BE1">
            <v>39</v>
          </cell>
          <cell r="BF1">
            <v>40</v>
          </cell>
          <cell r="BG1">
            <v>41</v>
          </cell>
          <cell r="BH1">
            <v>42</v>
          </cell>
          <cell r="BI1">
            <v>43</v>
          </cell>
          <cell r="BJ1">
            <v>44</v>
          </cell>
          <cell r="BK1">
            <v>45</v>
          </cell>
          <cell r="BL1">
            <v>46</v>
          </cell>
          <cell r="BM1">
            <v>47</v>
          </cell>
          <cell r="BN1">
            <v>48</v>
          </cell>
          <cell r="BO1">
            <v>49</v>
          </cell>
          <cell r="BP1">
            <v>50</v>
          </cell>
          <cell r="BQ1">
            <v>51</v>
          </cell>
          <cell r="BR1">
            <v>52</v>
          </cell>
          <cell r="BS1">
            <v>53</v>
          </cell>
          <cell r="BT1">
            <v>54</v>
          </cell>
          <cell r="BU1">
            <v>55</v>
          </cell>
          <cell r="BV1">
            <v>56</v>
          </cell>
          <cell r="BW1">
            <v>57</v>
          </cell>
          <cell r="BX1">
            <v>58</v>
          </cell>
          <cell r="BY1">
            <v>59</v>
          </cell>
          <cell r="BZ1">
            <v>60</v>
          </cell>
          <cell r="CA1">
            <v>61</v>
          </cell>
          <cell r="CB1">
            <v>62</v>
          </cell>
          <cell r="CC1">
            <v>63</v>
          </cell>
          <cell r="CQ1" t="str">
            <v>ok</v>
          </cell>
          <cell r="CR1" t="str">
            <v>ok</v>
          </cell>
        </row>
        <row r="2">
          <cell r="S2" t="str">
            <v>New fin yr ----&gt;</v>
          </cell>
        </row>
        <row r="3">
          <cell r="C3">
            <v>2002</v>
          </cell>
          <cell r="D3">
            <v>2002</v>
          </cell>
          <cell r="E3">
            <v>2002</v>
          </cell>
          <cell r="F3">
            <v>2002</v>
          </cell>
          <cell r="G3">
            <v>2002</v>
          </cell>
          <cell r="H3">
            <v>2002</v>
          </cell>
          <cell r="I3">
            <v>2002</v>
          </cell>
          <cell r="J3">
            <v>2003</v>
          </cell>
          <cell r="K3">
            <v>2003</v>
          </cell>
          <cell r="L3">
            <v>2003</v>
          </cell>
          <cell r="M3">
            <v>2003</v>
          </cell>
          <cell r="N3">
            <v>2003</v>
          </cell>
          <cell r="O3">
            <v>2003</v>
          </cell>
          <cell r="P3">
            <v>2003</v>
          </cell>
          <cell r="Q3">
            <v>2003</v>
          </cell>
          <cell r="R3">
            <v>2003</v>
          </cell>
          <cell r="S3">
            <v>2003</v>
          </cell>
          <cell r="T3">
            <v>2003</v>
          </cell>
          <cell r="U3">
            <v>2003</v>
          </cell>
          <cell r="V3">
            <v>2004</v>
          </cell>
          <cell r="W3">
            <v>2004</v>
          </cell>
          <cell r="X3">
            <v>2004</v>
          </cell>
          <cell r="Y3">
            <v>2004</v>
          </cell>
          <cell r="Z3">
            <v>2004</v>
          </cell>
          <cell r="AA3">
            <v>2004</v>
          </cell>
          <cell r="AB3">
            <v>2004</v>
          </cell>
          <cell r="AC3">
            <v>2004</v>
          </cell>
          <cell r="AD3">
            <v>2004</v>
          </cell>
          <cell r="AE3">
            <v>2004</v>
          </cell>
          <cell r="AF3">
            <v>2004</v>
          </cell>
          <cell r="AG3">
            <v>2004</v>
          </cell>
          <cell r="AH3">
            <v>2005</v>
          </cell>
          <cell r="AI3">
            <v>2005</v>
          </cell>
          <cell r="AJ3">
            <v>2005</v>
          </cell>
          <cell r="AK3">
            <v>2005</v>
          </cell>
          <cell r="AL3">
            <v>2005</v>
          </cell>
          <cell r="AM3">
            <v>2005</v>
          </cell>
          <cell r="AN3">
            <v>2005</v>
          </cell>
          <cell r="AO3">
            <v>2005</v>
          </cell>
          <cell r="AP3">
            <v>2005</v>
          </cell>
          <cell r="AQ3">
            <v>2005</v>
          </cell>
          <cell r="AR3">
            <v>2005</v>
          </cell>
          <cell r="AS3">
            <v>2005</v>
          </cell>
          <cell r="AT3">
            <v>2006</v>
          </cell>
          <cell r="AU3">
            <v>2006</v>
          </cell>
          <cell r="AV3">
            <v>2006</v>
          </cell>
          <cell r="AW3">
            <v>2006</v>
          </cell>
          <cell r="AX3">
            <v>2006</v>
          </cell>
          <cell r="AY3">
            <v>2006</v>
          </cell>
          <cell r="AZ3">
            <v>2006</v>
          </cell>
          <cell r="BA3">
            <v>2006</v>
          </cell>
          <cell r="BB3">
            <v>2006</v>
          </cell>
          <cell r="BC3">
            <v>2006</v>
          </cell>
          <cell r="BD3">
            <v>2006</v>
          </cell>
          <cell r="BE3">
            <v>2006</v>
          </cell>
          <cell r="BF3">
            <v>2007</v>
          </cell>
          <cell r="BG3">
            <v>2007</v>
          </cell>
          <cell r="BH3">
            <v>2007</v>
          </cell>
          <cell r="BI3">
            <v>2007</v>
          </cell>
          <cell r="BJ3">
            <v>2007</v>
          </cell>
          <cell r="BK3">
            <v>2007</v>
          </cell>
          <cell r="BL3">
            <v>2007</v>
          </cell>
          <cell r="BM3">
            <v>2007</v>
          </cell>
          <cell r="BN3">
            <v>2007</v>
          </cell>
          <cell r="BO3">
            <v>2007</v>
          </cell>
          <cell r="BP3">
            <v>2007</v>
          </cell>
          <cell r="BQ3">
            <v>2007</v>
          </cell>
          <cell r="BR3">
            <v>2008</v>
          </cell>
          <cell r="BS3">
            <v>2008</v>
          </cell>
          <cell r="BT3">
            <v>2008</v>
          </cell>
          <cell r="BU3">
            <v>2008</v>
          </cell>
          <cell r="BV3">
            <v>2008</v>
          </cell>
          <cell r="BW3">
            <v>2008</v>
          </cell>
          <cell r="BX3">
            <v>2008</v>
          </cell>
          <cell r="BY3">
            <v>2008</v>
          </cell>
          <cell r="BZ3">
            <v>2008</v>
          </cell>
          <cell r="CA3">
            <v>2008</v>
          </cell>
          <cell r="CB3">
            <v>2008</v>
          </cell>
          <cell r="CC3">
            <v>2008</v>
          </cell>
          <cell r="CD3">
            <v>2009</v>
          </cell>
          <cell r="CE3">
            <v>2009</v>
          </cell>
          <cell r="CF3">
            <v>2009</v>
          </cell>
          <cell r="CG3">
            <v>2009</v>
          </cell>
          <cell r="CH3">
            <v>2009</v>
          </cell>
          <cell r="CI3">
            <v>2009</v>
          </cell>
          <cell r="CJ3">
            <v>2009</v>
          </cell>
          <cell r="CK3">
            <v>2009</v>
          </cell>
          <cell r="CL3">
            <v>2009</v>
          </cell>
          <cell r="CM3">
            <v>2009</v>
          </cell>
          <cell r="CN3">
            <v>2009</v>
          </cell>
          <cell r="CO3">
            <v>2009</v>
          </cell>
          <cell r="CQ3" t="str">
            <v>2008</v>
          </cell>
          <cell r="CR3" t="str">
            <v>OCT 04 to SEPT 05</v>
          </cell>
        </row>
        <row r="4">
          <cell r="C4" t="str">
            <v>Jun 2002</v>
          </cell>
          <cell r="D4" t="str">
            <v>Jul 2000</v>
          </cell>
          <cell r="E4" t="str">
            <v>Aug 2003</v>
          </cell>
          <cell r="F4" t="str">
            <v>Sep 2002</v>
          </cell>
          <cell r="G4" t="str">
            <v>Oct 2002</v>
          </cell>
          <cell r="H4" t="str">
            <v>Nov 2002</v>
          </cell>
          <cell r="I4" t="str">
            <v>Dec 2002</v>
          </cell>
          <cell r="J4" t="str">
            <v>Jan 2003</v>
          </cell>
          <cell r="K4" t="str">
            <v>Feb 2003</v>
          </cell>
          <cell r="L4" t="str">
            <v>Mar 2003</v>
          </cell>
          <cell r="M4" t="str">
            <v>Apr 2003</v>
          </cell>
          <cell r="N4" t="str">
            <v>May 2003</v>
          </cell>
          <cell r="O4" t="str">
            <v>Jun 2003</v>
          </cell>
          <cell r="P4" t="str">
            <v>Jul 2003</v>
          </cell>
          <cell r="Q4" t="str">
            <v>Aug 2003</v>
          </cell>
          <cell r="R4" t="str">
            <v>Sep 2003</v>
          </cell>
          <cell r="S4" t="str">
            <v>Oct 2003</v>
          </cell>
          <cell r="T4" t="str">
            <v>Nov 2003</v>
          </cell>
          <cell r="U4" t="str">
            <v>Dec 2003</v>
          </cell>
          <cell r="V4" t="str">
            <v>Jan 2004</v>
          </cell>
          <cell r="W4" t="str">
            <v>Feb 2004</v>
          </cell>
          <cell r="X4" t="str">
            <v>Mar 2004</v>
          </cell>
          <cell r="Y4" t="str">
            <v>Apr 2004</v>
          </cell>
          <cell r="Z4" t="str">
            <v>May 2004</v>
          </cell>
          <cell r="AA4" t="str">
            <v>Jun 2004</v>
          </cell>
          <cell r="AB4" t="str">
            <v>Jul 2004</v>
          </cell>
          <cell r="AC4" t="str">
            <v>Aug 2004</v>
          </cell>
          <cell r="AD4" t="str">
            <v>Sep 2004</v>
          </cell>
          <cell r="AE4" t="str">
            <v>Oct 2004</v>
          </cell>
          <cell r="AF4" t="str">
            <v>Nov 2004</v>
          </cell>
          <cell r="AG4" t="str">
            <v>Dec 2004</v>
          </cell>
          <cell r="AH4" t="str">
            <v>Jan 2005</v>
          </cell>
          <cell r="AI4" t="str">
            <v>Feb 2005</v>
          </cell>
          <cell r="AJ4" t="str">
            <v>Mar 2005</v>
          </cell>
          <cell r="AK4" t="str">
            <v>Apr 2005</v>
          </cell>
          <cell r="AL4" t="str">
            <v>May 2005</v>
          </cell>
          <cell r="AM4" t="str">
            <v>Jun 2005</v>
          </cell>
          <cell r="AN4" t="str">
            <v>Jul 2005</v>
          </cell>
          <cell r="AO4" t="str">
            <v>Aug 2005</v>
          </cell>
          <cell r="AP4" t="str">
            <v>Sep 2005</v>
          </cell>
          <cell r="AQ4" t="str">
            <v>Oct 2005</v>
          </cell>
          <cell r="AR4" t="str">
            <v>Nov 2005</v>
          </cell>
          <cell r="AS4" t="str">
            <v>Dec 2005</v>
          </cell>
          <cell r="AT4" t="str">
            <v>Jan 2006</v>
          </cell>
          <cell r="AU4" t="str">
            <v>Feb 2006</v>
          </cell>
          <cell r="AV4" t="str">
            <v>Mar 2006</v>
          </cell>
          <cell r="AW4" t="str">
            <v>Apr 2006</v>
          </cell>
          <cell r="AX4" t="str">
            <v>May 2006</v>
          </cell>
          <cell r="AY4" t="str">
            <v>Jun 2006</v>
          </cell>
          <cell r="AZ4" t="str">
            <v>Jul 2006</v>
          </cell>
          <cell r="BA4" t="str">
            <v>Aug 2006</v>
          </cell>
          <cell r="BB4" t="str">
            <v>Sep 2006</v>
          </cell>
          <cell r="BC4" t="str">
            <v>Oct 2006</v>
          </cell>
          <cell r="BD4" t="str">
            <v>Nov 2006</v>
          </cell>
          <cell r="BE4" t="str">
            <v>Dec 2006</v>
          </cell>
          <cell r="BF4" t="str">
            <v>Jan 2007</v>
          </cell>
          <cell r="BG4" t="str">
            <v>Feb 2007</v>
          </cell>
          <cell r="BH4" t="str">
            <v>Mar 2007</v>
          </cell>
          <cell r="BI4" t="str">
            <v>Apr 2007</v>
          </cell>
          <cell r="BJ4" t="str">
            <v>May 2007</v>
          </cell>
          <cell r="BK4" t="str">
            <v>Jun 2007</v>
          </cell>
          <cell r="BL4" t="str">
            <v>Jul 2007</v>
          </cell>
          <cell r="BM4" t="str">
            <v>Aug 2007</v>
          </cell>
          <cell r="BN4" t="str">
            <v>Sep 2007</v>
          </cell>
          <cell r="BO4" t="str">
            <v>Oct 2007</v>
          </cell>
          <cell r="BP4" t="str">
            <v>Nov 2007</v>
          </cell>
          <cell r="BQ4" t="str">
            <v>Dec 2007</v>
          </cell>
          <cell r="BR4" t="str">
            <v>Jan 2008</v>
          </cell>
          <cell r="BS4" t="str">
            <v>Feb 2008</v>
          </cell>
          <cell r="BT4" t="str">
            <v>Mar 2008</v>
          </cell>
          <cell r="BU4" t="str">
            <v>Apr 2008</v>
          </cell>
          <cell r="BV4" t="str">
            <v>May 2008</v>
          </cell>
          <cell r="BW4" t="str">
            <v>Jun 2008</v>
          </cell>
          <cell r="BX4" t="str">
            <v>Jul 2008</v>
          </cell>
          <cell r="BY4" t="str">
            <v>Aug 2008</v>
          </cell>
          <cell r="BZ4" t="str">
            <v>Sep 2008</v>
          </cell>
          <cell r="CA4" t="str">
            <v>Oct 2008</v>
          </cell>
          <cell r="CB4" t="str">
            <v>Nov 2008</v>
          </cell>
          <cell r="CC4" t="str">
            <v>Dec 2008</v>
          </cell>
          <cell r="CD4" t="str">
            <v>Jan 2009</v>
          </cell>
          <cell r="CE4" t="str">
            <v>Feb 2009</v>
          </cell>
          <cell r="CF4" t="str">
            <v>Mar 2009</v>
          </cell>
          <cell r="CG4" t="str">
            <v>Apr 2009</v>
          </cell>
          <cell r="CH4" t="str">
            <v>May 2009</v>
          </cell>
          <cell r="CI4" t="str">
            <v>Jun 2009</v>
          </cell>
          <cell r="CJ4" t="str">
            <v>Jul 2009</v>
          </cell>
          <cell r="CK4" t="str">
            <v>Aug 2009</v>
          </cell>
          <cell r="CL4" t="str">
            <v>Sep 2009</v>
          </cell>
          <cell r="CM4" t="str">
            <v>Oct 2009</v>
          </cell>
          <cell r="CN4" t="str">
            <v>Nov 2009</v>
          </cell>
          <cell r="CO4" t="str">
            <v>Dec 2009</v>
          </cell>
          <cell r="CQ4" t="str">
            <v>This yr YTD</v>
          </cell>
          <cell r="CR4" t="str">
            <v>YTD</v>
          </cell>
        </row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S5">
            <v>17</v>
          </cell>
          <cell r="T5">
            <v>18</v>
          </cell>
          <cell r="U5">
            <v>19</v>
          </cell>
          <cell r="V5">
            <v>20</v>
          </cell>
          <cell r="W5">
            <v>21</v>
          </cell>
          <cell r="X5">
            <v>22</v>
          </cell>
          <cell r="Y5">
            <v>23</v>
          </cell>
          <cell r="Z5">
            <v>24</v>
          </cell>
          <cell r="AA5">
            <v>25</v>
          </cell>
          <cell r="AB5">
            <v>26</v>
          </cell>
          <cell r="AC5">
            <v>27</v>
          </cell>
          <cell r="AD5">
            <v>28</v>
          </cell>
          <cell r="AE5">
            <v>29</v>
          </cell>
          <cell r="AF5">
            <v>30</v>
          </cell>
          <cell r="AG5">
            <v>31</v>
          </cell>
          <cell r="AH5">
            <v>32</v>
          </cell>
          <cell r="AI5">
            <v>33</v>
          </cell>
          <cell r="AJ5">
            <v>34</v>
          </cell>
          <cell r="AK5">
            <v>35</v>
          </cell>
          <cell r="AL5">
            <v>36</v>
          </cell>
          <cell r="AM5">
            <v>37</v>
          </cell>
          <cell r="AN5">
            <v>38</v>
          </cell>
          <cell r="AO5">
            <v>39</v>
          </cell>
          <cell r="AP5">
            <v>40</v>
          </cell>
          <cell r="AQ5">
            <v>41</v>
          </cell>
          <cell r="AR5">
            <v>42</v>
          </cell>
          <cell r="AS5">
            <v>43</v>
          </cell>
          <cell r="AT5">
            <v>44</v>
          </cell>
          <cell r="AU5">
            <v>45</v>
          </cell>
          <cell r="AV5">
            <v>46</v>
          </cell>
          <cell r="AW5">
            <v>47</v>
          </cell>
          <cell r="AX5">
            <v>48</v>
          </cell>
          <cell r="AY5">
            <v>49</v>
          </cell>
          <cell r="AZ5">
            <v>50</v>
          </cell>
          <cell r="BA5">
            <v>51</v>
          </cell>
          <cell r="BB5">
            <v>52</v>
          </cell>
          <cell r="BC5">
            <v>53</v>
          </cell>
          <cell r="BD5">
            <v>54</v>
          </cell>
          <cell r="BE5">
            <v>55</v>
          </cell>
          <cell r="BF5">
            <v>56</v>
          </cell>
          <cell r="BG5">
            <v>57</v>
          </cell>
          <cell r="BH5">
            <v>58</v>
          </cell>
          <cell r="BI5">
            <v>59</v>
          </cell>
          <cell r="BJ5">
            <v>60</v>
          </cell>
          <cell r="BK5">
            <v>61</v>
          </cell>
          <cell r="BL5">
            <v>62</v>
          </cell>
          <cell r="BM5">
            <v>63</v>
          </cell>
          <cell r="BN5">
            <v>64</v>
          </cell>
          <cell r="BO5">
            <v>65</v>
          </cell>
          <cell r="BP5">
            <v>66</v>
          </cell>
          <cell r="BQ5">
            <v>67</v>
          </cell>
          <cell r="BR5">
            <v>68</v>
          </cell>
          <cell r="BS5">
            <v>69</v>
          </cell>
          <cell r="BT5">
            <v>70</v>
          </cell>
          <cell r="BU5">
            <v>71</v>
          </cell>
          <cell r="BV5">
            <v>72</v>
          </cell>
          <cell r="BW5">
            <v>73</v>
          </cell>
          <cell r="BX5">
            <v>74</v>
          </cell>
          <cell r="BY5">
            <v>75</v>
          </cell>
          <cell r="BZ5">
            <v>76</v>
          </cell>
          <cell r="CA5">
            <v>77</v>
          </cell>
          <cell r="CB5">
            <v>78</v>
          </cell>
          <cell r="CC5">
            <v>79</v>
          </cell>
          <cell r="CD5">
            <v>80</v>
          </cell>
          <cell r="CE5">
            <v>81</v>
          </cell>
          <cell r="CF5">
            <v>82</v>
          </cell>
          <cell r="CG5">
            <v>83</v>
          </cell>
          <cell r="CH5">
            <v>84</v>
          </cell>
          <cell r="CI5">
            <v>85</v>
          </cell>
          <cell r="CJ5">
            <v>86</v>
          </cell>
          <cell r="CK5">
            <v>87</v>
          </cell>
          <cell r="CL5">
            <v>88</v>
          </cell>
          <cell r="CM5">
            <v>89</v>
          </cell>
          <cell r="CN5">
            <v>90</v>
          </cell>
          <cell r="CO5">
            <v>91</v>
          </cell>
          <cell r="CQ5" t="str">
            <v>ok</v>
          </cell>
          <cell r="CR5" t="str">
            <v>ok</v>
          </cell>
        </row>
        <row r="6">
          <cell r="C6">
            <v>1138149</v>
          </cell>
          <cell r="D6">
            <v>1227310</v>
          </cell>
          <cell r="E6">
            <v>1252550</v>
          </cell>
          <cell r="F6">
            <v>1272042</v>
          </cell>
          <cell r="G6">
            <v>1070194</v>
          </cell>
          <cell r="H6">
            <v>1115746</v>
          </cell>
          <cell r="I6">
            <v>1266015</v>
          </cell>
          <cell r="J6">
            <v>1006805</v>
          </cell>
          <cell r="K6">
            <v>1071934</v>
          </cell>
          <cell r="L6">
            <v>1118838</v>
          </cell>
          <cell r="M6">
            <v>980787</v>
          </cell>
          <cell r="N6">
            <v>1138272</v>
          </cell>
          <cell r="O6">
            <v>1017546</v>
          </cell>
          <cell r="P6">
            <v>1049742</v>
          </cell>
          <cell r="Q6">
            <v>992910</v>
          </cell>
          <cell r="R6">
            <v>1254194</v>
          </cell>
          <cell r="S6">
            <v>1200560</v>
          </cell>
          <cell r="T6">
            <v>1240297</v>
          </cell>
          <cell r="U6">
            <v>1417150</v>
          </cell>
          <cell r="V6">
            <v>1218135</v>
          </cell>
          <cell r="W6">
            <v>1323993</v>
          </cell>
          <cell r="X6">
            <v>1162214</v>
          </cell>
          <cell r="Y6">
            <v>1196004</v>
          </cell>
          <cell r="Z6">
            <v>1215096</v>
          </cell>
          <cell r="AA6">
            <v>1136074</v>
          </cell>
          <cell r="AB6">
            <v>1146267</v>
          </cell>
          <cell r="AC6">
            <v>1144103</v>
          </cell>
          <cell r="AD6">
            <v>1391008</v>
          </cell>
          <cell r="AE6">
            <v>1418710</v>
          </cell>
          <cell r="AF6">
            <v>1461278</v>
          </cell>
          <cell r="AG6">
            <v>1577262</v>
          </cell>
          <cell r="AH6">
            <v>1351490</v>
          </cell>
          <cell r="AI6">
            <v>1433736</v>
          </cell>
          <cell r="AJ6">
            <v>1234858</v>
          </cell>
          <cell r="AK6">
            <v>1263911</v>
          </cell>
          <cell r="AL6">
            <v>1221605</v>
          </cell>
          <cell r="AM6">
            <v>1198141</v>
          </cell>
          <cell r="AN6">
            <v>1109889</v>
          </cell>
          <cell r="AO6">
            <v>1185229</v>
          </cell>
          <cell r="AP6">
            <v>1494784</v>
          </cell>
          <cell r="AQ6">
            <v>1517991</v>
          </cell>
          <cell r="AR6">
            <v>1493718</v>
          </cell>
          <cell r="AS6">
            <v>1402029</v>
          </cell>
          <cell r="AT6">
            <v>1145765</v>
          </cell>
          <cell r="AU6">
            <v>1286882</v>
          </cell>
          <cell r="AV6">
            <v>1108810</v>
          </cell>
          <cell r="AW6">
            <v>1247182</v>
          </cell>
          <cell r="AX6">
            <v>1306965</v>
          </cell>
          <cell r="AY6">
            <v>1339476</v>
          </cell>
          <cell r="AZ6">
            <v>1342756</v>
          </cell>
          <cell r="BA6">
            <v>1228553</v>
          </cell>
          <cell r="BB6">
            <v>1640465</v>
          </cell>
          <cell r="BC6">
            <v>1541687</v>
          </cell>
          <cell r="BD6">
            <v>1675509</v>
          </cell>
          <cell r="BE6">
            <v>1605699</v>
          </cell>
          <cell r="BF6">
            <v>1641753</v>
          </cell>
          <cell r="BG6">
            <v>1534076</v>
          </cell>
          <cell r="BH6">
            <v>1716831</v>
          </cell>
          <cell r="BI6">
            <v>1550212</v>
          </cell>
          <cell r="BJ6">
            <v>1731450</v>
          </cell>
          <cell r="BK6">
            <v>1798566</v>
          </cell>
          <cell r="BL6">
            <v>1668705</v>
          </cell>
          <cell r="BM6">
            <v>2005735</v>
          </cell>
          <cell r="BN6">
            <v>1896029</v>
          </cell>
          <cell r="BO6">
            <v>2073004</v>
          </cell>
          <cell r="BP6">
            <v>1973218</v>
          </cell>
          <cell r="BQ6">
            <v>1687475</v>
          </cell>
          <cell r="BR6">
            <v>1749564</v>
          </cell>
          <cell r="BS6">
            <v>2055468</v>
          </cell>
          <cell r="BT6">
            <v>2051280</v>
          </cell>
          <cell r="BU6">
            <v>2091349</v>
          </cell>
          <cell r="BV6">
            <v>1943631</v>
          </cell>
          <cell r="BW6">
            <v>2178559</v>
          </cell>
          <cell r="BX6">
            <v>2055000</v>
          </cell>
          <cell r="BY6">
            <v>2318000</v>
          </cell>
          <cell r="BZ6">
            <v>2148000</v>
          </cell>
          <cell r="CA6">
            <v>2206000</v>
          </cell>
          <cell r="CQ6">
            <v>8727000</v>
          </cell>
          <cell r="CR6" t="str">
            <v>NOT USED</v>
          </cell>
        </row>
        <row r="7">
          <cell r="C7">
            <v>1411564</v>
          </cell>
          <cell r="D7">
            <v>1276159</v>
          </cell>
          <cell r="E7">
            <v>1454373</v>
          </cell>
          <cell r="F7">
            <v>1361072</v>
          </cell>
          <cell r="G7">
            <v>1576270</v>
          </cell>
          <cell r="H7">
            <v>1632940</v>
          </cell>
          <cell r="I7">
            <v>1841538</v>
          </cell>
          <cell r="J7">
            <v>1543580</v>
          </cell>
          <cell r="K7">
            <v>1469208</v>
          </cell>
          <cell r="L7">
            <v>1366335</v>
          </cell>
          <cell r="M7">
            <v>1449127</v>
          </cell>
          <cell r="N7">
            <v>1507461</v>
          </cell>
          <cell r="O7">
            <v>1382686</v>
          </cell>
          <cell r="P7">
            <v>1163859</v>
          </cell>
          <cell r="Q7">
            <v>1391635</v>
          </cell>
          <cell r="R7">
            <v>1501074</v>
          </cell>
          <cell r="S7">
            <v>1660637</v>
          </cell>
          <cell r="T7">
            <v>1699924</v>
          </cell>
          <cell r="U7">
            <v>1753541</v>
          </cell>
          <cell r="V7">
            <v>1446808</v>
          </cell>
          <cell r="W7">
            <v>1492066</v>
          </cell>
          <cell r="X7">
            <v>1613228</v>
          </cell>
          <cell r="Y7">
            <v>1691444</v>
          </cell>
          <cell r="Z7">
            <v>1546884</v>
          </cell>
          <cell r="AA7">
            <v>1648488</v>
          </cell>
          <cell r="AB7">
            <v>1603504</v>
          </cell>
          <cell r="AC7">
            <v>1666284</v>
          </cell>
          <cell r="AD7">
            <v>1850005</v>
          </cell>
          <cell r="AE7">
            <v>1949595</v>
          </cell>
          <cell r="AF7">
            <v>2056168</v>
          </cell>
          <cell r="AG7">
            <v>2289722</v>
          </cell>
          <cell r="AH7">
            <v>1786866</v>
          </cell>
          <cell r="AI7">
            <v>1689916</v>
          </cell>
          <cell r="AJ7">
            <v>1898132</v>
          </cell>
          <cell r="AK7">
            <v>1843133</v>
          </cell>
          <cell r="AL7">
            <v>1739391</v>
          </cell>
          <cell r="AM7">
            <v>1858231</v>
          </cell>
          <cell r="AN7">
            <v>1955013</v>
          </cell>
          <cell r="AO7">
            <v>1881911</v>
          </cell>
          <cell r="AP7">
            <v>1929512</v>
          </cell>
          <cell r="AQ7">
            <v>2012816</v>
          </cell>
          <cell r="AR7">
            <v>2152258</v>
          </cell>
          <cell r="AS7">
            <v>2183201</v>
          </cell>
          <cell r="AT7">
            <v>1925102</v>
          </cell>
          <cell r="AU7">
            <v>1814413</v>
          </cell>
          <cell r="AV7">
            <v>2007981.53</v>
          </cell>
          <cell r="AW7">
            <v>1976245.83</v>
          </cell>
          <cell r="AX7">
            <v>2071094.33</v>
          </cell>
          <cell r="AY7">
            <v>2187576</v>
          </cell>
          <cell r="AZ7">
            <v>1943542</v>
          </cell>
          <cell r="BA7">
            <v>2122779</v>
          </cell>
          <cell r="BB7">
            <v>2105023</v>
          </cell>
          <cell r="BC7">
            <v>2315410</v>
          </cell>
          <cell r="BD7">
            <v>2487335</v>
          </cell>
          <cell r="BE7">
            <v>2505675</v>
          </cell>
          <cell r="BF7">
            <v>1996557</v>
          </cell>
          <cell r="BG7">
            <v>2001776</v>
          </cell>
          <cell r="BH7">
            <v>2382544</v>
          </cell>
          <cell r="BI7">
            <v>2302575</v>
          </cell>
          <cell r="BJ7">
            <v>2347024</v>
          </cell>
          <cell r="BK7">
            <v>2395077</v>
          </cell>
          <cell r="BL7">
            <v>2386812</v>
          </cell>
          <cell r="BM7">
            <v>2405727</v>
          </cell>
          <cell r="BN7">
            <v>2626061</v>
          </cell>
          <cell r="BO7">
            <v>2852888</v>
          </cell>
          <cell r="BP7">
            <v>2903573</v>
          </cell>
          <cell r="BQ7">
            <v>2875504</v>
          </cell>
          <cell r="BR7">
            <v>2543115</v>
          </cell>
          <cell r="BS7">
            <v>2603414</v>
          </cell>
          <cell r="BT7">
            <v>2796837</v>
          </cell>
          <cell r="BU7">
            <v>2430304</v>
          </cell>
          <cell r="BV7">
            <v>2692593</v>
          </cell>
          <cell r="BW7">
            <v>2622176</v>
          </cell>
          <cell r="BX7">
            <v>2691000</v>
          </cell>
          <cell r="BY7">
            <v>2561000</v>
          </cell>
          <cell r="BZ7">
            <v>2823000</v>
          </cell>
          <cell r="CA7">
            <v>2897000</v>
          </cell>
          <cell r="CQ7">
            <v>10972000</v>
          </cell>
          <cell r="CR7">
            <v>2823000</v>
          </cell>
        </row>
        <row r="8">
          <cell r="C8">
            <v>2549713</v>
          </cell>
          <cell r="D8">
            <v>2503469</v>
          </cell>
          <cell r="E8">
            <v>2706923</v>
          </cell>
          <cell r="F8">
            <v>2633114</v>
          </cell>
          <cell r="G8">
            <v>2646464</v>
          </cell>
          <cell r="H8">
            <v>2748686</v>
          </cell>
          <cell r="I8">
            <v>3107553</v>
          </cell>
          <cell r="J8">
            <v>2550385</v>
          </cell>
          <cell r="K8">
            <v>2541142</v>
          </cell>
          <cell r="L8">
            <v>2485173</v>
          </cell>
          <cell r="M8">
            <v>2429914</v>
          </cell>
          <cell r="N8">
            <v>2645733</v>
          </cell>
          <cell r="O8">
            <v>2400232</v>
          </cell>
          <cell r="P8">
            <v>2213601</v>
          </cell>
          <cell r="Q8">
            <v>2384545</v>
          </cell>
          <cell r="R8">
            <v>2755268</v>
          </cell>
          <cell r="S8">
            <v>2861197</v>
          </cell>
          <cell r="T8">
            <v>2940221</v>
          </cell>
          <cell r="U8">
            <v>3170691</v>
          </cell>
          <cell r="V8">
            <v>2664943</v>
          </cell>
          <cell r="W8">
            <v>2816059</v>
          </cell>
          <cell r="X8">
            <v>2775442</v>
          </cell>
          <cell r="Y8">
            <v>2887448</v>
          </cell>
          <cell r="Z8">
            <v>2761980</v>
          </cell>
          <cell r="AA8">
            <v>2784562</v>
          </cell>
          <cell r="AB8">
            <v>2749771</v>
          </cell>
          <cell r="AC8">
            <v>2810387</v>
          </cell>
          <cell r="AD8">
            <v>3241013</v>
          </cell>
          <cell r="AE8">
            <v>3368305</v>
          </cell>
          <cell r="AF8">
            <v>3517446</v>
          </cell>
          <cell r="AG8">
            <v>3866984</v>
          </cell>
          <cell r="AH8">
            <v>3138356</v>
          </cell>
          <cell r="AI8">
            <v>3123652</v>
          </cell>
          <cell r="AJ8">
            <v>3132990</v>
          </cell>
          <cell r="AK8">
            <v>3107044</v>
          </cell>
          <cell r="AL8">
            <v>2960996</v>
          </cell>
          <cell r="AM8">
            <v>3056372</v>
          </cell>
          <cell r="AN8">
            <v>3064902</v>
          </cell>
          <cell r="AO8">
            <v>3067140</v>
          </cell>
          <cell r="AP8">
            <v>3424296</v>
          </cell>
          <cell r="AQ8">
            <v>3530807</v>
          </cell>
          <cell r="AR8">
            <v>3645976</v>
          </cell>
          <cell r="AS8">
            <v>3585230</v>
          </cell>
          <cell r="AT8">
            <v>3070867</v>
          </cell>
          <cell r="AU8">
            <v>3101295</v>
          </cell>
          <cell r="AV8">
            <v>3116791.5300000003</v>
          </cell>
          <cell r="AW8">
            <v>3223427.83</v>
          </cell>
          <cell r="AX8">
            <v>3378059.33</v>
          </cell>
          <cell r="AY8">
            <v>3527052</v>
          </cell>
          <cell r="AZ8">
            <v>3286298</v>
          </cell>
          <cell r="BA8">
            <v>3351332</v>
          </cell>
          <cell r="BB8">
            <v>3745488</v>
          </cell>
          <cell r="BC8">
            <v>3857097</v>
          </cell>
          <cell r="BD8">
            <v>4162844</v>
          </cell>
          <cell r="BE8">
            <v>4111374</v>
          </cell>
          <cell r="BF8">
            <v>3638310</v>
          </cell>
          <cell r="BG8">
            <v>3535852</v>
          </cell>
          <cell r="BH8">
            <v>4099375</v>
          </cell>
          <cell r="BI8">
            <v>3852787</v>
          </cell>
          <cell r="BJ8">
            <v>4078474</v>
          </cell>
          <cell r="BK8">
            <v>4193643</v>
          </cell>
          <cell r="BL8">
            <v>4055517</v>
          </cell>
          <cell r="BM8">
            <v>4411462</v>
          </cell>
          <cell r="BN8">
            <v>4522090</v>
          </cell>
          <cell r="BO8">
            <v>4925892</v>
          </cell>
          <cell r="BP8">
            <v>4876791</v>
          </cell>
          <cell r="BQ8">
            <v>4562979</v>
          </cell>
          <cell r="BR8">
            <v>4292679</v>
          </cell>
          <cell r="BS8">
            <v>4658882</v>
          </cell>
          <cell r="BT8">
            <v>4848117</v>
          </cell>
          <cell r="BU8">
            <v>4521653</v>
          </cell>
          <cell r="BV8">
            <v>4636224</v>
          </cell>
          <cell r="BW8">
            <v>4800735</v>
          </cell>
          <cell r="BX8">
            <v>4746000</v>
          </cell>
          <cell r="BY8">
            <v>4879000</v>
          </cell>
          <cell r="BZ8">
            <v>4971000</v>
          </cell>
          <cell r="CA8">
            <v>5103000</v>
          </cell>
          <cell r="CB8"/>
          <cell r="CC8"/>
          <cell r="CQ8">
            <v>19699000</v>
          </cell>
          <cell r="CR8">
            <v>2823000</v>
          </cell>
        </row>
        <row r="9">
          <cell r="C9">
            <v>628221</v>
          </cell>
          <cell r="D9">
            <v>823808</v>
          </cell>
          <cell r="E9">
            <v>817685</v>
          </cell>
          <cell r="F9">
            <v>802957</v>
          </cell>
          <cell r="G9">
            <v>986003</v>
          </cell>
          <cell r="H9">
            <v>1081016</v>
          </cell>
          <cell r="I9">
            <v>829104</v>
          </cell>
          <cell r="J9">
            <v>626459</v>
          </cell>
          <cell r="K9">
            <v>782457</v>
          </cell>
          <cell r="L9">
            <v>665015</v>
          </cell>
          <cell r="M9">
            <v>667387</v>
          </cell>
          <cell r="N9">
            <v>667798</v>
          </cell>
          <cell r="O9">
            <v>714652</v>
          </cell>
          <cell r="P9">
            <v>653651</v>
          </cell>
          <cell r="Q9">
            <v>717922</v>
          </cell>
          <cell r="R9">
            <v>865071</v>
          </cell>
          <cell r="S9">
            <v>1233072</v>
          </cell>
          <cell r="T9">
            <v>966268</v>
          </cell>
          <cell r="U9">
            <v>1074498</v>
          </cell>
          <cell r="V9">
            <v>669509</v>
          </cell>
          <cell r="W9">
            <v>671150</v>
          </cell>
          <cell r="X9">
            <v>895616</v>
          </cell>
          <cell r="Y9">
            <v>789248</v>
          </cell>
          <cell r="Z9">
            <v>958169</v>
          </cell>
          <cell r="AA9">
            <v>1122601</v>
          </cell>
          <cell r="AB9">
            <v>1099067</v>
          </cell>
          <cell r="AC9">
            <v>966814</v>
          </cell>
          <cell r="AD9">
            <v>1184077</v>
          </cell>
          <cell r="AE9">
            <v>1142166</v>
          </cell>
          <cell r="AF9">
            <v>1177195</v>
          </cell>
          <cell r="AG9">
            <v>990377</v>
          </cell>
          <cell r="AH9">
            <v>927594</v>
          </cell>
          <cell r="AI9">
            <v>903011</v>
          </cell>
          <cell r="AJ9">
            <v>1045206</v>
          </cell>
          <cell r="AK9">
            <v>907437</v>
          </cell>
          <cell r="AL9">
            <v>1315215</v>
          </cell>
          <cell r="AM9">
            <v>1152791</v>
          </cell>
          <cell r="AN9">
            <v>1130858</v>
          </cell>
          <cell r="AO9">
            <v>1234381</v>
          </cell>
          <cell r="AP9">
            <v>1276822</v>
          </cell>
          <cell r="AQ9">
            <v>1268495</v>
          </cell>
          <cell r="AR9">
            <v>1455760</v>
          </cell>
          <cell r="AS9">
            <v>1199567</v>
          </cell>
          <cell r="AT9">
            <v>926619</v>
          </cell>
          <cell r="AU9">
            <v>943321</v>
          </cell>
          <cell r="AV9">
            <v>1250176</v>
          </cell>
          <cell r="AW9">
            <v>1001862</v>
          </cell>
          <cell r="AX9">
            <v>1265452</v>
          </cell>
          <cell r="AY9">
            <v>1434030</v>
          </cell>
          <cell r="AZ9">
            <v>1084079</v>
          </cell>
          <cell r="BA9">
            <v>1306395</v>
          </cell>
          <cell r="BB9">
            <v>1334961</v>
          </cell>
          <cell r="BC9">
            <v>1404134</v>
          </cell>
          <cell r="BD9">
            <v>1570551</v>
          </cell>
          <cell r="BE9">
            <v>991234</v>
          </cell>
          <cell r="BF9">
            <v>918194</v>
          </cell>
          <cell r="BG9">
            <v>1105560</v>
          </cell>
          <cell r="BH9">
            <v>1075607</v>
          </cell>
          <cell r="BI9">
            <v>1112694</v>
          </cell>
          <cell r="BJ9">
            <v>1463170</v>
          </cell>
          <cell r="BK9">
            <v>1527162</v>
          </cell>
          <cell r="BL9">
            <v>1352567</v>
          </cell>
          <cell r="BM9">
            <v>1475794</v>
          </cell>
          <cell r="BN9">
            <v>1377199</v>
          </cell>
          <cell r="BO9">
            <v>1543315</v>
          </cell>
          <cell r="BP9">
            <v>1640766</v>
          </cell>
          <cell r="BQ9">
            <v>1256770</v>
          </cell>
          <cell r="BR9">
            <v>849156</v>
          </cell>
          <cell r="BS9">
            <v>1123199</v>
          </cell>
          <cell r="BT9">
            <v>1157718</v>
          </cell>
          <cell r="BU9">
            <v>1215060</v>
          </cell>
          <cell r="BV9">
            <v>1280015</v>
          </cell>
          <cell r="BW9">
            <v>1276019</v>
          </cell>
          <cell r="BX9">
            <v>1356000</v>
          </cell>
          <cell r="BY9">
            <v>1165000</v>
          </cell>
          <cell r="BZ9">
            <v>1364000</v>
          </cell>
          <cell r="CA9">
            <v>1411000</v>
          </cell>
          <cell r="CQ9">
            <v>5296000</v>
          </cell>
        </row>
        <row r="10">
          <cell r="C10">
            <v>13725</v>
          </cell>
          <cell r="D10">
            <v>8775</v>
          </cell>
          <cell r="E10">
            <v>18450</v>
          </cell>
          <cell r="F10">
            <v>39074</v>
          </cell>
          <cell r="G10">
            <v>51039</v>
          </cell>
          <cell r="H10">
            <v>96140</v>
          </cell>
          <cell r="I10">
            <v>43648</v>
          </cell>
          <cell r="J10">
            <v>62220</v>
          </cell>
          <cell r="K10">
            <v>39860</v>
          </cell>
          <cell r="L10">
            <v>29311</v>
          </cell>
          <cell r="M10">
            <v>73644</v>
          </cell>
          <cell r="N10">
            <v>51787</v>
          </cell>
          <cell r="O10">
            <v>81125</v>
          </cell>
          <cell r="P10">
            <v>30285</v>
          </cell>
          <cell r="Q10">
            <v>48405</v>
          </cell>
          <cell r="R10">
            <v>68094</v>
          </cell>
          <cell r="S10">
            <v>121960</v>
          </cell>
          <cell r="T10">
            <v>84115</v>
          </cell>
          <cell r="U10">
            <v>33810</v>
          </cell>
          <cell r="V10">
            <v>57925</v>
          </cell>
          <cell r="W10">
            <v>2451</v>
          </cell>
          <cell r="X10">
            <v>22385</v>
          </cell>
          <cell r="Y10">
            <v>15437</v>
          </cell>
          <cell r="Z10">
            <v>9404</v>
          </cell>
          <cell r="AA10">
            <v>15085</v>
          </cell>
          <cell r="AB10">
            <v>3000</v>
          </cell>
          <cell r="AC10">
            <v>25914</v>
          </cell>
          <cell r="AD10">
            <v>29304</v>
          </cell>
          <cell r="AE10">
            <v>25710</v>
          </cell>
          <cell r="AF10">
            <v>24650</v>
          </cell>
          <cell r="AG10">
            <v>27377</v>
          </cell>
          <cell r="AH10">
            <v>76548</v>
          </cell>
          <cell r="AI10">
            <v>21480</v>
          </cell>
          <cell r="AJ10">
            <v>7757</v>
          </cell>
          <cell r="AK10">
            <v>16521</v>
          </cell>
          <cell r="AL10">
            <v>53995</v>
          </cell>
          <cell r="AM10">
            <v>43347</v>
          </cell>
          <cell r="AN10">
            <v>20745</v>
          </cell>
          <cell r="AO10">
            <v>7676</v>
          </cell>
          <cell r="AP10">
            <v>32266</v>
          </cell>
          <cell r="AQ10">
            <v>28719</v>
          </cell>
          <cell r="AR10">
            <v>16265</v>
          </cell>
          <cell r="AS10">
            <v>30819</v>
          </cell>
          <cell r="AT10">
            <v>28480</v>
          </cell>
          <cell r="AU10">
            <v>50533</v>
          </cell>
          <cell r="AV10">
            <v>20557</v>
          </cell>
          <cell r="AW10">
            <v>35945</v>
          </cell>
          <cell r="AX10">
            <v>6228</v>
          </cell>
          <cell r="AY10">
            <v>16778</v>
          </cell>
          <cell r="AZ10">
            <v>9091</v>
          </cell>
          <cell r="BA10">
            <v>48361</v>
          </cell>
          <cell r="BB10">
            <v>37416</v>
          </cell>
          <cell r="BC10">
            <v>29090</v>
          </cell>
          <cell r="BD10">
            <v>26236</v>
          </cell>
          <cell r="BE10">
            <v>34060</v>
          </cell>
          <cell r="BF10">
            <v>9336</v>
          </cell>
          <cell r="BG10">
            <v>7776</v>
          </cell>
          <cell r="BH10">
            <v>65264</v>
          </cell>
          <cell r="BI10">
            <v>26999</v>
          </cell>
          <cell r="BJ10">
            <v>47065</v>
          </cell>
          <cell r="BK10">
            <v>19432</v>
          </cell>
          <cell r="BL10">
            <v>15332</v>
          </cell>
          <cell r="BM10">
            <v>28505</v>
          </cell>
          <cell r="BN10">
            <v>35467</v>
          </cell>
          <cell r="BO10">
            <v>32821</v>
          </cell>
          <cell r="BP10">
            <v>32529</v>
          </cell>
          <cell r="BQ10">
            <v>63979</v>
          </cell>
          <cell r="BR10">
            <v>8457</v>
          </cell>
          <cell r="BS10">
            <v>30780</v>
          </cell>
          <cell r="BT10">
            <v>56168</v>
          </cell>
          <cell r="BU10">
            <v>27184</v>
          </cell>
          <cell r="BV10">
            <v>76439</v>
          </cell>
          <cell r="BW10">
            <v>104024</v>
          </cell>
          <cell r="BX10">
            <v>53000</v>
          </cell>
          <cell r="BY10">
            <v>51000</v>
          </cell>
          <cell r="BZ10">
            <v>56000</v>
          </cell>
          <cell r="CA10">
            <v>46000</v>
          </cell>
          <cell r="CQ10">
            <v>206000</v>
          </cell>
          <cell r="CR10" t="str">
            <v>NOT USED</v>
          </cell>
        </row>
        <row r="11">
          <cell r="C11">
            <v>16475</v>
          </cell>
          <cell r="D11">
            <v>10292</v>
          </cell>
          <cell r="E11">
            <v>0</v>
          </cell>
          <cell r="F11">
            <v>6912</v>
          </cell>
          <cell r="G11">
            <v>12580</v>
          </cell>
          <cell r="H11">
            <v>74841</v>
          </cell>
          <cell r="I11">
            <v>46691</v>
          </cell>
          <cell r="J11">
            <v>36590</v>
          </cell>
          <cell r="K11">
            <v>61993</v>
          </cell>
          <cell r="L11">
            <v>50328</v>
          </cell>
          <cell r="M11">
            <v>89106</v>
          </cell>
          <cell r="N11">
            <v>124854</v>
          </cell>
          <cell r="O11">
            <v>78056</v>
          </cell>
          <cell r="P11">
            <v>30527</v>
          </cell>
          <cell r="Q11">
            <v>86190</v>
          </cell>
          <cell r="R11">
            <v>57274</v>
          </cell>
          <cell r="S11">
            <v>57757</v>
          </cell>
          <cell r="T11">
            <v>101939</v>
          </cell>
          <cell r="U11">
            <v>153018</v>
          </cell>
          <cell r="V11">
            <v>51708</v>
          </cell>
          <cell r="W11">
            <v>127003</v>
          </cell>
          <cell r="X11">
            <v>45541</v>
          </cell>
          <cell r="Y11">
            <v>63100</v>
          </cell>
          <cell r="Z11">
            <v>56354</v>
          </cell>
          <cell r="AA11">
            <v>78400</v>
          </cell>
          <cell r="AB11">
            <v>116846</v>
          </cell>
          <cell r="AC11">
            <v>75890</v>
          </cell>
          <cell r="AD11">
            <v>76318</v>
          </cell>
          <cell r="AE11">
            <v>68048</v>
          </cell>
          <cell r="AF11">
            <v>77183</v>
          </cell>
          <cell r="AG11">
            <v>163213</v>
          </cell>
          <cell r="AH11">
            <v>72400</v>
          </cell>
          <cell r="AI11">
            <v>67300</v>
          </cell>
          <cell r="AJ11">
            <v>60682</v>
          </cell>
          <cell r="AK11">
            <v>119875</v>
          </cell>
          <cell r="AL11">
            <v>84483</v>
          </cell>
          <cell r="AM11">
            <v>93555</v>
          </cell>
          <cell r="AN11">
            <v>112486</v>
          </cell>
          <cell r="AO11">
            <v>49310</v>
          </cell>
          <cell r="AP11">
            <v>68412</v>
          </cell>
          <cell r="AQ11">
            <v>98842</v>
          </cell>
          <cell r="AR11">
            <v>81076</v>
          </cell>
          <cell r="AS11">
            <v>97055</v>
          </cell>
          <cell r="AT11">
            <v>39312</v>
          </cell>
          <cell r="AU11">
            <v>63155</v>
          </cell>
          <cell r="AV11">
            <v>89188</v>
          </cell>
          <cell r="AW11">
            <v>31748</v>
          </cell>
          <cell r="AX11">
            <v>46107</v>
          </cell>
          <cell r="AY11">
            <v>68116</v>
          </cell>
          <cell r="AZ11">
            <v>96895</v>
          </cell>
          <cell r="BA11">
            <v>130035</v>
          </cell>
          <cell r="BB11">
            <v>129548</v>
          </cell>
          <cell r="BC11">
            <v>92641</v>
          </cell>
          <cell r="BD11">
            <v>112736</v>
          </cell>
          <cell r="BE11">
            <v>153287</v>
          </cell>
          <cell r="BF11">
            <v>104295</v>
          </cell>
          <cell r="BG11">
            <v>123911</v>
          </cell>
          <cell r="BH11">
            <v>116183</v>
          </cell>
          <cell r="BI11">
            <v>126344</v>
          </cell>
          <cell r="BJ11">
            <v>110049</v>
          </cell>
          <cell r="BK11">
            <v>173872</v>
          </cell>
          <cell r="BL11">
            <v>155584</v>
          </cell>
          <cell r="BM11">
            <v>117349</v>
          </cell>
          <cell r="BN11">
            <v>88020</v>
          </cell>
          <cell r="BO11">
            <v>172291</v>
          </cell>
          <cell r="BP11">
            <v>166983</v>
          </cell>
          <cell r="BQ11">
            <v>277686</v>
          </cell>
          <cell r="BR11">
            <v>150717</v>
          </cell>
          <cell r="BS11">
            <v>125933</v>
          </cell>
          <cell r="BT11">
            <v>218053</v>
          </cell>
          <cell r="BU11">
            <v>112735</v>
          </cell>
          <cell r="BV11">
            <v>143418</v>
          </cell>
          <cell r="BW11">
            <v>163177</v>
          </cell>
          <cell r="BX11">
            <v>144000</v>
          </cell>
          <cell r="BY11">
            <v>68000</v>
          </cell>
          <cell r="BZ11">
            <v>235000</v>
          </cell>
          <cell r="CA11">
            <v>217000</v>
          </cell>
          <cell r="CQ11">
            <v>664000</v>
          </cell>
          <cell r="CR11" t="str">
            <v>NOT USED</v>
          </cell>
        </row>
        <row r="12">
          <cell r="C12">
            <v>369451</v>
          </cell>
          <cell r="D12">
            <v>228963</v>
          </cell>
          <cell r="E12">
            <v>200364</v>
          </cell>
          <cell r="F12">
            <v>230177</v>
          </cell>
          <cell r="G12">
            <v>425839</v>
          </cell>
          <cell r="H12">
            <v>394647</v>
          </cell>
          <cell r="I12">
            <v>456202</v>
          </cell>
          <cell r="J12">
            <v>272531</v>
          </cell>
          <cell r="K12">
            <v>235462</v>
          </cell>
          <cell r="L12">
            <v>427350</v>
          </cell>
          <cell r="M12">
            <v>406976</v>
          </cell>
          <cell r="N12">
            <v>364050</v>
          </cell>
          <cell r="O12">
            <v>397541</v>
          </cell>
          <cell r="P12">
            <v>339280</v>
          </cell>
          <cell r="Q12">
            <v>485206</v>
          </cell>
          <cell r="R12">
            <v>463965</v>
          </cell>
          <cell r="S12">
            <v>619995</v>
          </cell>
          <cell r="T12">
            <v>700846</v>
          </cell>
          <cell r="U12">
            <v>503555</v>
          </cell>
          <cell r="V12">
            <v>428702</v>
          </cell>
          <cell r="W12">
            <v>399682</v>
          </cell>
          <cell r="X12">
            <v>417057</v>
          </cell>
          <cell r="Y12">
            <v>420716</v>
          </cell>
          <cell r="Z12">
            <v>438180</v>
          </cell>
          <cell r="AA12">
            <v>540335</v>
          </cell>
          <cell r="AB12">
            <v>512702</v>
          </cell>
          <cell r="AC12">
            <v>483453</v>
          </cell>
          <cell r="AD12">
            <v>434561</v>
          </cell>
          <cell r="AE12">
            <v>522683</v>
          </cell>
          <cell r="AF12">
            <v>699636</v>
          </cell>
          <cell r="AG12">
            <v>632570</v>
          </cell>
          <cell r="AH12">
            <v>469784</v>
          </cell>
          <cell r="AI12">
            <v>548528</v>
          </cell>
          <cell r="AJ12">
            <v>396006</v>
          </cell>
          <cell r="AK12">
            <v>576727</v>
          </cell>
          <cell r="AL12">
            <v>628015</v>
          </cell>
          <cell r="AM12">
            <v>603644</v>
          </cell>
          <cell r="AN12">
            <v>448349</v>
          </cell>
          <cell r="AO12">
            <v>584555</v>
          </cell>
          <cell r="AP12">
            <v>379035</v>
          </cell>
          <cell r="AQ12">
            <v>689674</v>
          </cell>
          <cell r="AR12">
            <v>660998</v>
          </cell>
          <cell r="AS12">
            <v>744231</v>
          </cell>
          <cell r="AT12">
            <v>568077</v>
          </cell>
          <cell r="AU12">
            <v>536038</v>
          </cell>
          <cell r="AV12">
            <v>493725</v>
          </cell>
          <cell r="AW12">
            <v>541323</v>
          </cell>
          <cell r="AX12">
            <v>491892</v>
          </cell>
          <cell r="AY12">
            <v>610148</v>
          </cell>
          <cell r="AZ12">
            <v>543520</v>
          </cell>
          <cell r="BA12">
            <v>483340</v>
          </cell>
          <cell r="BB12">
            <v>438287</v>
          </cell>
          <cell r="BC12">
            <v>742159</v>
          </cell>
          <cell r="BD12">
            <v>901524</v>
          </cell>
          <cell r="BE12">
            <v>780911</v>
          </cell>
          <cell r="BF12">
            <v>498604</v>
          </cell>
          <cell r="BG12">
            <v>645513</v>
          </cell>
          <cell r="BH12">
            <v>579876</v>
          </cell>
          <cell r="BI12">
            <v>637669</v>
          </cell>
          <cell r="BJ12">
            <v>815783</v>
          </cell>
          <cell r="BK12">
            <v>816287</v>
          </cell>
          <cell r="BL12">
            <v>687751</v>
          </cell>
          <cell r="BM12">
            <v>592050</v>
          </cell>
          <cell r="BN12">
            <v>850936</v>
          </cell>
          <cell r="BO12">
            <v>1125960</v>
          </cell>
          <cell r="BP12">
            <v>1029030</v>
          </cell>
          <cell r="BQ12">
            <v>1138616</v>
          </cell>
          <cell r="BR12">
            <v>677385</v>
          </cell>
          <cell r="BS12">
            <v>610224</v>
          </cell>
          <cell r="BT12">
            <v>739487</v>
          </cell>
          <cell r="BU12">
            <v>863395</v>
          </cell>
          <cell r="BV12">
            <v>770164</v>
          </cell>
          <cell r="BW12">
            <v>926362</v>
          </cell>
          <cell r="BX12">
            <v>962000</v>
          </cell>
          <cell r="BY12">
            <v>947000</v>
          </cell>
          <cell r="BZ12">
            <v>931000</v>
          </cell>
          <cell r="CA12">
            <v>854000</v>
          </cell>
          <cell r="CQ12">
            <v>3694000</v>
          </cell>
          <cell r="CR12" t="str">
            <v>NOT USED</v>
          </cell>
        </row>
        <row r="13">
          <cell r="C13">
            <v>1027872</v>
          </cell>
          <cell r="D13">
            <v>1071838</v>
          </cell>
          <cell r="E13">
            <v>1036499</v>
          </cell>
          <cell r="F13">
            <v>1079120</v>
          </cell>
          <cell r="G13">
            <v>1475461</v>
          </cell>
          <cell r="H13">
            <v>1646644</v>
          </cell>
          <cell r="I13">
            <v>1375645</v>
          </cell>
          <cell r="J13">
            <v>997800</v>
          </cell>
          <cell r="K13">
            <v>1119772</v>
          </cell>
          <cell r="L13">
            <v>1172004</v>
          </cell>
          <cell r="M13">
            <v>1237113</v>
          </cell>
          <cell r="N13">
            <v>1208489</v>
          </cell>
          <cell r="O13">
            <v>1271374</v>
          </cell>
          <cell r="P13">
            <v>1053743</v>
          </cell>
          <cell r="Q13">
            <v>1337723</v>
          </cell>
          <cell r="R13">
            <v>1454404</v>
          </cell>
          <cell r="S13">
            <v>2032784</v>
          </cell>
          <cell r="T13">
            <v>1853168</v>
          </cell>
          <cell r="U13">
            <v>1764881</v>
          </cell>
          <cell r="V13">
            <v>1207844</v>
          </cell>
          <cell r="W13">
            <v>1200286</v>
          </cell>
          <cell r="X13">
            <v>1380599</v>
          </cell>
          <cell r="Y13">
            <v>1288501</v>
          </cell>
          <cell r="Z13">
            <v>1462107</v>
          </cell>
          <cell r="AA13">
            <v>1756421</v>
          </cell>
          <cell r="AB13">
            <v>1731615</v>
          </cell>
          <cell r="AC13">
            <v>1552071</v>
          </cell>
          <cell r="AD13">
            <v>1724260</v>
          </cell>
          <cell r="AE13">
            <v>1758607</v>
          </cell>
          <cell r="AF13">
            <v>1978664</v>
          </cell>
          <cell r="AG13">
            <v>1813537</v>
          </cell>
          <cell r="AH13">
            <v>1546326</v>
          </cell>
          <cell r="AI13">
            <v>1540319</v>
          </cell>
          <cell r="AJ13">
            <v>1509651</v>
          </cell>
          <cell r="AK13">
            <v>1620560</v>
          </cell>
          <cell r="AL13">
            <v>2081708</v>
          </cell>
          <cell r="AM13">
            <v>1893337</v>
          </cell>
          <cell r="AN13">
            <v>1712438</v>
          </cell>
          <cell r="AO13">
            <v>1875922</v>
          </cell>
          <cell r="AP13">
            <v>1756535</v>
          </cell>
          <cell r="AQ13">
            <v>2085730</v>
          </cell>
          <cell r="AR13">
            <v>2214099</v>
          </cell>
          <cell r="AS13">
            <v>2071672</v>
          </cell>
          <cell r="AT13">
            <v>1562488</v>
          </cell>
          <cell r="AU13">
            <v>1593047</v>
          </cell>
          <cell r="AV13">
            <v>1853646</v>
          </cell>
          <cell r="AW13">
            <v>1610878</v>
          </cell>
          <cell r="AX13">
            <v>1809679</v>
          </cell>
          <cell r="AY13">
            <v>2129072</v>
          </cell>
          <cell r="AZ13">
            <v>1733585</v>
          </cell>
          <cell r="BA13">
            <v>1968131</v>
          </cell>
          <cell r="BB13">
            <v>1940212</v>
          </cell>
          <cell r="BC13">
            <v>2268024</v>
          </cell>
          <cell r="BD13">
            <v>2611047</v>
          </cell>
          <cell r="BE13">
            <v>1959492</v>
          </cell>
          <cell r="BF13">
            <v>1530429</v>
          </cell>
          <cell r="BG13">
            <v>1882760</v>
          </cell>
          <cell r="BH13">
            <v>1836930</v>
          </cell>
          <cell r="BI13">
            <v>1903706</v>
          </cell>
          <cell r="BJ13">
            <v>2436067</v>
          </cell>
          <cell r="BK13">
            <v>2536753</v>
          </cell>
          <cell r="BL13">
            <v>2211234</v>
          </cell>
          <cell r="BM13">
            <v>2213698</v>
          </cell>
          <cell r="BN13">
            <v>2351622</v>
          </cell>
          <cell r="BO13">
            <v>2874387</v>
          </cell>
          <cell r="BP13">
            <v>2869308</v>
          </cell>
          <cell r="BQ13">
            <v>2737051</v>
          </cell>
          <cell r="BR13">
            <v>1685715</v>
          </cell>
          <cell r="BS13">
            <v>1890136</v>
          </cell>
          <cell r="BT13">
            <v>2171426</v>
          </cell>
          <cell r="BU13">
            <v>2218374</v>
          </cell>
          <cell r="BV13">
            <v>2270036</v>
          </cell>
          <cell r="BW13">
            <v>2469582</v>
          </cell>
          <cell r="BX13">
            <v>2515000</v>
          </cell>
          <cell r="BY13">
            <v>2231000</v>
          </cell>
          <cell r="BZ13">
            <v>2586000</v>
          </cell>
          <cell r="CA13">
            <v>2528000</v>
          </cell>
          <cell r="CB13"/>
          <cell r="CC13"/>
          <cell r="CQ13">
            <v>9860000</v>
          </cell>
          <cell r="CR13">
            <v>0</v>
          </cell>
        </row>
        <row r="14">
          <cell r="C14">
            <v>3577585</v>
          </cell>
          <cell r="D14">
            <v>3575307</v>
          </cell>
          <cell r="E14">
            <v>3743422</v>
          </cell>
          <cell r="F14">
            <v>3712234</v>
          </cell>
          <cell r="G14">
            <v>4121925</v>
          </cell>
          <cell r="H14">
            <v>4395330</v>
          </cell>
          <cell r="I14">
            <v>4483198</v>
          </cell>
          <cell r="J14">
            <v>3548185</v>
          </cell>
          <cell r="K14">
            <v>3660914</v>
          </cell>
          <cell r="L14">
            <v>3657177</v>
          </cell>
          <cell r="M14">
            <v>3667027</v>
          </cell>
          <cell r="N14">
            <v>3854222</v>
          </cell>
          <cell r="O14">
            <v>3671606</v>
          </cell>
          <cell r="P14">
            <v>3267344</v>
          </cell>
          <cell r="Q14">
            <v>3722268</v>
          </cell>
          <cell r="R14">
            <v>4209672</v>
          </cell>
          <cell r="S14">
            <v>4893981</v>
          </cell>
          <cell r="T14">
            <v>4793389</v>
          </cell>
          <cell r="U14">
            <v>4935572</v>
          </cell>
          <cell r="V14">
            <v>3872787</v>
          </cell>
          <cell r="W14">
            <v>4016345</v>
          </cell>
          <cell r="X14">
            <v>4156041</v>
          </cell>
          <cell r="Y14">
            <v>4175949</v>
          </cell>
          <cell r="Z14">
            <v>4224087</v>
          </cell>
          <cell r="AA14">
            <v>4540983</v>
          </cell>
          <cell r="AB14">
            <v>4481386</v>
          </cell>
          <cell r="AC14">
            <v>4362458</v>
          </cell>
          <cell r="AD14">
            <v>4965273</v>
          </cell>
          <cell r="AE14">
            <v>5126912</v>
          </cell>
          <cell r="AF14">
            <v>5496110</v>
          </cell>
          <cell r="AG14">
            <v>5680521</v>
          </cell>
          <cell r="AH14">
            <v>4684682</v>
          </cell>
          <cell r="AI14">
            <v>4663971</v>
          </cell>
          <cell r="AJ14">
            <v>4642641</v>
          </cell>
          <cell r="AK14">
            <v>4727604</v>
          </cell>
          <cell r="AL14">
            <v>5042704</v>
          </cell>
          <cell r="AM14">
            <v>4949709</v>
          </cell>
          <cell r="AN14">
            <v>4777340</v>
          </cell>
          <cell r="AO14">
            <v>4943062</v>
          </cell>
          <cell r="AP14">
            <v>5180831</v>
          </cell>
          <cell r="AQ14">
            <v>5616537</v>
          </cell>
          <cell r="AR14">
            <v>5860075</v>
          </cell>
          <cell r="AS14">
            <v>5656902</v>
          </cell>
          <cell r="AT14">
            <v>4633355</v>
          </cell>
          <cell r="AU14">
            <v>4694342</v>
          </cell>
          <cell r="AV14">
            <v>4970437.53</v>
          </cell>
          <cell r="AW14">
            <v>4834305.83</v>
          </cell>
          <cell r="AX14">
            <v>5187738.33</v>
          </cell>
          <cell r="AY14">
            <v>5656124</v>
          </cell>
          <cell r="AZ14">
            <v>5019883</v>
          </cell>
          <cell r="BA14">
            <v>5319463</v>
          </cell>
          <cell r="BB14">
            <v>5685700</v>
          </cell>
          <cell r="BC14">
            <v>6125121</v>
          </cell>
          <cell r="BD14">
            <v>6773891</v>
          </cell>
          <cell r="BE14">
            <v>6070866</v>
          </cell>
          <cell r="BF14">
            <v>5168739</v>
          </cell>
          <cell r="BG14">
            <v>5418612</v>
          </cell>
          <cell r="BH14">
            <v>5936305</v>
          </cell>
          <cell r="BI14">
            <v>5756493</v>
          </cell>
          <cell r="BJ14">
            <v>6514541</v>
          </cell>
          <cell r="BK14">
            <v>6730396</v>
          </cell>
          <cell r="BL14">
            <v>6266751</v>
          </cell>
          <cell r="BM14">
            <v>6625160</v>
          </cell>
          <cell r="BN14">
            <v>6873712</v>
          </cell>
          <cell r="BO14">
            <v>7800279</v>
          </cell>
          <cell r="BP14">
            <v>7746099</v>
          </cell>
          <cell r="BQ14">
            <v>7300030</v>
          </cell>
          <cell r="BR14">
            <v>5978394</v>
          </cell>
          <cell r="BS14">
            <v>6549018</v>
          </cell>
          <cell r="BT14">
            <v>7019543</v>
          </cell>
          <cell r="BU14">
            <v>6740027</v>
          </cell>
          <cell r="BV14">
            <v>6906260</v>
          </cell>
          <cell r="BW14">
            <v>7270317</v>
          </cell>
          <cell r="BX14">
            <v>7261000</v>
          </cell>
          <cell r="BY14">
            <v>7110000</v>
          </cell>
          <cell r="BZ14">
            <v>7557000</v>
          </cell>
          <cell r="CA14">
            <v>7631000</v>
          </cell>
          <cell r="CB14"/>
          <cell r="CC14"/>
          <cell r="CQ14">
            <v>29559000</v>
          </cell>
          <cell r="CR14">
            <v>2823000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204215</v>
          </cell>
          <cell r="J15">
            <v>139516</v>
          </cell>
          <cell r="K15">
            <v>151047</v>
          </cell>
          <cell r="L15">
            <v>127870</v>
          </cell>
          <cell r="M15">
            <v>125605</v>
          </cell>
          <cell r="N15">
            <v>140814</v>
          </cell>
          <cell r="O15">
            <v>100360</v>
          </cell>
          <cell r="P15">
            <v>114847</v>
          </cell>
          <cell r="Q15">
            <v>140489</v>
          </cell>
          <cell r="R15">
            <v>153152</v>
          </cell>
          <cell r="S15">
            <v>78382</v>
          </cell>
          <cell r="T15">
            <v>87818</v>
          </cell>
          <cell r="U15">
            <v>142673</v>
          </cell>
          <cell r="V15">
            <v>191826</v>
          </cell>
          <cell r="W15">
            <v>193632</v>
          </cell>
          <cell r="X15">
            <v>161298</v>
          </cell>
          <cell r="Y15">
            <v>153640</v>
          </cell>
          <cell r="Z15">
            <v>197904</v>
          </cell>
          <cell r="AA15">
            <v>168606.75</v>
          </cell>
          <cell r="AB15">
            <v>162360</v>
          </cell>
          <cell r="AC15">
            <v>185211</v>
          </cell>
          <cell r="AD15">
            <v>202495</v>
          </cell>
          <cell r="AE15">
            <v>181834</v>
          </cell>
          <cell r="AF15">
            <v>187364</v>
          </cell>
          <cell r="AG15">
            <v>228270</v>
          </cell>
          <cell r="AH15">
            <v>224119</v>
          </cell>
          <cell r="AI15">
            <v>309052</v>
          </cell>
          <cell r="AJ15">
            <v>206095</v>
          </cell>
          <cell r="AK15">
            <v>219843</v>
          </cell>
          <cell r="AL15">
            <v>222353</v>
          </cell>
          <cell r="AM15">
            <v>244653</v>
          </cell>
          <cell r="AN15">
            <v>246717</v>
          </cell>
          <cell r="AO15">
            <v>222105</v>
          </cell>
          <cell r="AP15">
            <v>232038</v>
          </cell>
          <cell r="AQ15">
            <v>281584</v>
          </cell>
          <cell r="AR15">
            <v>252984</v>
          </cell>
          <cell r="AS15">
            <v>230968</v>
          </cell>
          <cell r="AT15">
            <v>279180</v>
          </cell>
          <cell r="AU15">
            <v>280590</v>
          </cell>
          <cell r="AV15">
            <v>231413</v>
          </cell>
          <cell r="AW15">
            <v>204475</v>
          </cell>
          <cell r="AX15">
            <v>274902</v>
          </cell>
          <cell r="AY15">
            <v>289389</v>
          </cell>
          <cell r="AZ15">
            <v>308715</v>
          </cell>
          <cell r="BA15">
            <v>268469</v>
          </cell>
          <cell r="BB15">
            <v>327021</v>
          </cell>
          <cell r="BC15">
            <v>340679</v>
          </cell>
          <cell r="BD15">
            <v>316585</v>
          </cell>
          <cell r="BE15">
            <v>345963</v>
          </cell>
          <cell r="BF15">
            <v>371397</v>
          </cell>
          <cell r="BG15">
            <v>311749</v>
          </cell>
          <cell r="BH15">
            <v>403462</v>
          </cell>
          <cell r="BI15">
            <v>333832</v>
          </cell>
          <cell r="BJ15">
            <v>387889</v>
          </cell>
          <cell r="BK15">
            <v>461170</v>
          </cell>
          <cell r="BL15">
            <v>380404</v>
          </cell>
          <cell r="BM15">
            <v>406474</v>
          </cell>
          <cell r="BN15">
            <v>398222</v>
          </cell>
          <cell r="BO15">
            <v>453943</v>
          </cell>
          <cell r="BP15">
            <v>416389</v>
          </cell>
          <cell r="BQ15">
            <v>359959</v>
          </cell>
          <cell r="BR15">
            <v>397280</v>
          </cell>
          <cell r="BS15">
            <v>377017</v>
          </cell>
          <cell r="BT15">
            <v>353750</v>
          </cell>
          <cell r="BU15">
            <v>355253</v>
          </cell>
          <cell r="BV15">
            <v>353459</v>
          </cell>
          <cell r="BW15">
            <v>396378</v>
          </cell>
          <cell r="BX15">
            <v>377427</v>
          </cell>
          <cell r="BY15">
            <v>429217</v>
          </cell>
          <cell r="BZ15">
            <v>399953</v>
          </cell>
          <cell r="CA15">
            <v>305763</v>
          </cell>
          <cell r="CQ15">
            <v>1512360</v>
          </cell>
          <cell r="CR15">
            <v>232038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89968</v>
          </cell>
          <cell r="J16">
            <v>62674</v>
          </cell>
          <cell r="K16">
            <v>70545</v>
          </cell>
          <cell r="L16">
            <v>47726</v>
          </cell>
          <cell r="M16">
            <v>50701</v>
          </cell>
          <cell r="N16">
            <v>54186</v>
          </cell>
          <cell r="O16">
            <v>87681</v>
          </cell>
          <cell r="P16">
            <v>56987</v>
          </cell>
          <cell r="Q16">
            <v>79909</v>
          </cell>
          <cell r="R16">
            <v>78641</v>
          </cell>
          <cell r="S16">
            <v>82021</v>
          </cell>
          <cell r="T16">
            <v>111494</v>
          </cell>
          <cell r="U16">
            <v>180927.3</v>
          </cell>
          <cell r="V16">
            <v>93673</v>
          </cell>
          <cell r="W16">
            <v>95033.27</v>
          </cell>
          <cell r="X16">
            <v>141150</v>
          </cell>
          <cell r="Y16">
            <v>157082</v>
          </cell>
          <cell r="Z16">
            <v>123537</v>
          </cell>
          <cell r="AA16">
            <v>97115.839999999997</v>
          </cell>
          <cell r="AB16">
            <v>138551.84</v>
          </cell>
          <cell r="AC16">
            <v>134930.84</v>
          </cell>
          <cell r="AD16">
            <v>128532</v>
          </cell>
          <cell r="AE16">
            <v>165451</v>
          </cell>
          <cell r="AF16">
            <v>198385</v>
          </cell>
          <cell r="AG16">
            <v>274889.3</v>
          </cell>
          <cell r="AH16">
            <v>186015</v>
          </cell>
          <cell r="AI16">
            <v>151275.81</v>
          </cell>
          <cell r="AJ16">
            <v>217397</v>
          </cell>
          <cell r="AK16">
            <v>205084</v>
          </cell>
          <cell r="AL16">
            <v>151698</v>
          </cell>
          <cell r="AM16">
            <v>184272.63</v>
          </cell>
          <cell r="AN16">
            <v>168324</v>
          </cell>
          <cell r="AO16">
            <v>162808</v>
          </cell>
          <cell r="AP16">
            <v>181199</v>
          </cell>
          <cell r="AQ16">
            <v>235091</v>
          </cell>
          <cell r="AR16">
            <v>274034</v>
          </cell>
          <cell r="AS16">
            <v>305490</v>
          </cell>
          <cell r="AT16">
            <v>198493.64</v>
          </cell>
          <cell r="AU16">
            <v>222029</v>
          </cell>
          <cell r="AV16">
            <v>227221</v>
          </cell>
          <cell r="AW16">
            <v>223933.5</v>
          </cell>
          <cell r="AX16">
            <v>193318</v>
          </cell>
          <cell r="AY16">
            <v>260808</v>
          </cell>
          <cell r="AZ16">
            <v>242693</v>
          </cell>
          <cell r="BA16">
            <v>238618</v>
          </cell>
          <cell r="BB16">
            <v>233875</v>
          </cell>
          <cell r="BC16">
            <v>302874.5</v>
          </cell>
          <cell r="BD16">
            <v>276293</v>
          </cell>
          <cell r="BE16">
            <v>377337</v>
          </cell>
          <cell r="BF16">
            <v>275250</v>
          </cell>
          <cell r="BG16">
            <v>259305</v>
          </cell>
          <cell r="BH16">
            <v>301407</v>
          </cell>
          <cell r="BI16">
            <v>283172</v>
          </cell>
          <cell r="BJ16">
            <v>308158</v>
          </cell>
          <cell r="BK16">
            <v>277253</v>
          </cell>
          <cell r="BL16">
            <v>258519.58</v>
          </cell>
          <cell r="BM16">
            <v>268913</v>
          </cell>
          <cell r="BN16">
            <v>272264</v>
          </cell>
          <cell r="BO16">
            <v>357994</v>
          </cell>
          <cell r="BP16">
            <v>361140</v>
          </cell>
          <cell r="BQ16">
            <v>404574</v>
          </cell>
          <cell r="BR16">
            <v>323748</v>
          </cell>
          <cell r="BS16">
            <v>317635.44</v>
          </cell>
          <cell r="BT16">
            <v>350200</v>
          </cell>
          <cell r="BU16">
            <v>262202</v>
          </cell>
          <cell r="BV16">
            <v>300893.39</v>
          </cell>
          <cell r="BW16">
            <v>327112</v>
          </cell>
          <cell r="BX16">
            <v>272090</v>
          </cell>
          <cell r="BY16">
            <v>269804</v>
          </cell>
          <cell r="BZ16">
            <v>293584</v>
          </cell>
          <cell r="CA16">
            <v>360354</v>
          </cell>
          <cell r="CQ16">
            <v>1195832</v>
          </cell>
          <cell r="CR16">
            <v>181199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294183</v>
          </cell>
          <cell r="J17">
            <v>202190</v>
          </cell>
          <cell r="K17">
            <v>221592</v>
          </cell>
          <cell r="L17">
            <v>175596</v>
          </cell>
          <cell r="M17">
            <v>176306</v>
          </cell>
          <cell r="N17">
            <v>195000</v>
          </cell>
          <cell r="O17">
            <v>188041</v>
          </cell>
          <cell r="P17">
            <v>171834</v>
          </cell>
          <cell r="Q17">
            <v>220398</v>
          </cell>
          <cell r="R17">
            <v>231793</v>
          </cell>
          <cell r="S17">
            <v>160403</v>
          </cell>
          <cell r="T17">
            <v>199312</v>
          </cell>
          <cell r="U17">
            <v>323600.3</v>
          </cell>
          <cell r="V17">
            <v>285499</v>
          </cell>
          <cell r="W17">
            <v>288665.27</v>
          </cell>
          <cell r="X17">
            <v>302448</v>
          </cell>
          <cell r="Y17">
            <v>310722</v>
          </cell>
          <cell r="Z17">
            <v>321441</v>
          </cell>
          <cell r="AA17">
            <v>265722.58999999997</v>
          </cell>
          <cell r="AB17">
            <v>300911.83999999997</v>
          </cell>
          <cell r="AC17">
            <v>320141.83999999997</v>
          </cell>
          <cell r="AD17">
            <v>331027</v>
          </cell>
          <cell r="AE17">
            <v>347285</v>
          </cell>
          <cell r="AF17">
            <v>385749</v>
          </cell>
          <cell r="AG17">
            <v>503159.3</v>
          </cell>
          <cell r="AH17">
            <v>410134</v>
          </cell>
          <cell r="AI17">
            <v>460327.81</v>
          </cell>
          <cell r="AJ17">
            <v>423492</v>
          </cell>
          <cell r="AK17">
            <v>424927</v>
          </cell>
          <cell r="AL17">
            <v>374051</v>
          </cell>
          <cell r="AM17">
            <v>428925.63</v>
          </cell>
          <cell r="AN17">
            <v>415041</v>
          </cell>
          <cell r="AO17">
            <v>384913</v>
          </cell>
          <cell r="AP17">
            <v>413237</v>
          </cell>
          <cell r="AQ17">
            <v>516675</v>
          </cell>
          <cell r="AR17">
            <v>527018</v>
          </cell>
          <cell r="AS17">
            <v>536458</v>
          </cell>
          <cell r="AT17">
            <v>477673.64</v>
          </cell>
          <cell r="AU17">
            <v>502619</v>
          </cell>
          <cell r="AV17">
            <v>458634</v>
          </cell>
          <cell r="AW17">
            <v>428408.5</v>
          </cell>
          <cell r="AX17">
            <v>468220</v>
          </cell>
          <cell r="AY17">
            <v>550197</v>
          </cell>
          <cell r="AZ17">
            <v>551408</v>
          </cell>
          <cell r="BA17">
            <v>507087</v>
          </cell>
          <cell r="BB17">
            <v>560896</v>
          </cell>
          <cell r="BC17">
            <v>643553.5</v>
          </cell>
          <cell r="BD17">
            <v>592878</v>
          </cell>
          <cell r="BE17">
            <v>723300</v>
          </cell>
          <cell r="BF17">
            <v>646647</v>
          </cell>
          <cell r="BG17">
            <v>571054</v>
          </cell>
          <cell r="BH17">
            <v>704869</v>
          </cell>
          <cell r="BI17">
            <v>617004</v>
          </cell>
          <cell r="BJ17">
            <v>696047</v>
          </cell>
          <cell r="BK17">
            <v>738423</v>
          </cell>
          <cell r="BL17">
            <v>638923.57999999996</v>
          </cell>
          <cell r="BM17">
            <v>675387</v>
          </cell>
          <cell r="BN17">
            <v>670486</v>
          </cell>
          <cell r="BO17">
            <v>811937</v>
          </cell>
          <cell r="BP17">
            <v>777529</v>
          </cell>
          <cell r="BQ17">
            <v>764533</v>
          </cell>
          <cell r="BR17">
            <v>721028</v>
          </cell>
          <cell r="BS17">
            <v>694652.44</v>
          </cell>
          <cell r="BT17">
            <v>703950</v>
          </cell>
          <cell r="BU17">
            <v>617455</v>
          </cell>
          <cell r="BV17">
            <v>654352.39</v>
          </cell>
          <cell r="BW17">
            <v>723490</v>
          </cell>
          <cell r="BX17">
            <v>649517</v>
          </cell>
          <cell r="BY17">
            <v>699021</v>
          </cell>
          <cell r="BZ17">
            <v>693537</v>
          </cell>
          <cell r="CA17">
            <v>666117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Q17">
            <v>2708192</v>
          </cell>
          <cell r="CR17">
            <v>413237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23994</v>
          </cell>
          <cell r="J18">
            <v>49988</v>
          </cell>
          <cell r="K18">
            <v>55767</v>
          </cell>
          <cell r="L18">
            <v>66766</v>
          </cell>
          <cell r="M18">
            <v>81923</v>
          </cell>
          <cell r="N18">
            <v>56476</v>
          </cell>
          <cell r="O18">
            <v>49881</v>
          </cell>
          <cell r="P18">
            <v>47838</v>
          </cell>
          <cell r="Q18">
            <v>67450</v>
          </cell>
          <cell r="R18">
            <v>120644</v>
          </cell>
          <cell r="S18">
            <v>101789</v>
          </cell>
          <cell r="T18">
            <v>59548</v>
          </cell>
          <cell r="U18">
            <v>123260</v>
          </cell>
          <cell r="V18">
            <v>90895</v>
          </cell>
          <cell r="W18">
            <v>52757</v>
          </cell>
          <cell r="X18">
            <v>76101</v>
          </cell>
          <cell r="Y18">
            <v>100532</v>
          </cell>
          <cell r="Z18">
            <v>58437</v>
          </cell>
          <cell r="AA18">
            <v>119822</v>
          </cell>
          <cell r="AB18">
            <v>96607.13</v>
          </cell>
          <cell r="AC18">
            <v>117522.14</v>
          </cell>
          <cell r="AD18">
            <v>146391</v>
          </cell>
          <cell r="AE18">
            <v>182750</v>
          </cell>
          <cell r="AF18">
            <v>161008.5</v>
          </cell>
          <cell r="AG18">
            <v>139276</v>
          </cell>
          <cell r="AH18">
            <v>119391</v>
          </cell>
          <cell r="AI18">
            <v>114060.4</v>
          </cell>
          <cell r="AJ18">
            <v>166314</v>
          </cell>
          <cell r="AK18">
            <v>116475</v>
          </cell>
          <cell r="AL18">
            <v>176231</v>
          </cell>
          <cell r="AM18">
            <v>162004.75</v>
          </cell>
          <cell r="AN18">
            <v>158495.45000000001</v>
          </cell>
          <cell r="AO18">
            <v>198852</v>
          </cell>
          <cell r="AP18">
            <v>208404</v>
          </cell>
          <cell r="AQ18">
            <v>244732</v>
          </cell>
          <cell r="AR18">
            <v>197884</v>
          </cell>
          <cell r="AS18">
            <v>207139</v>
          </cell>
          <cell r="AT18">
            <v>139333.79999999999</v>
          </cell>
          <cell r="AU18">
            <v>174486</v>
          </cell>
          <cell r="AV18">
            <v>232214</v>
          </cell>
          <cell r="AW18">
            <v>152762.20000000001</v>
          </cell>
          <cell r="AX18">
            <v>196745</v>
          </cell>
          <cell r="AY18">
            <v>208773</v>
          </cell>
          <cell r="AZ18">
            <v>142269</v>
          </cell>
          <cell r="BA18">
            <v>224355</v>
          </cell>
          <cell r="BB18">
            <v>264400</v>
          </cell>
          <cell r="BC18">
            <v>294866</v>
          </cell>
          <cell r="BD18">
            <v>291322</v>
          </cell>
          <cell r="BE18">
            <v>163023</v>
          </cell>
          <cell r="BF18">
            <v>166595</v>
          </cell>
          <cell r="BG18">
            <v>168697</v>
          </cell>
          <cell r="BH18">
            <v>193206</v>
          </cell>
          <cell r="BI18">
            <v>139798</v>
          </cell>
          <cell r="BJ18">
            <v>231581</v>
          </cell>
          <cell r="BK18">
            <v>186835</v>
          </cell>
          <cell r="BL18">
            <v>234060</v>
          </cell>
          <cell r="BM18">
            <v>271256</v>
          </cell>
          <cell r="BN18">
            <v>258074</v>
          </cell>
          <cell r="BO18">
            <v>334938</v>
          </cell>
          <cell r="BP18">
            <v>407460</v>
          </cell>
          <cell r="BQ18">
            <v>295267</v>
          </cell>
          <cell r="BR18">
            <v>175363</v>
          </cell>
          <cell r="BS18">
            <v>210195</v>
          </cell>
          <cell r="BT18">
            <v>286488</v>
          </cell>
          <cell r="BU18">
            <v>310648</v>
          </cell>
          <cell r="BV18">
            <v>251729</v>
          </cell>
          <cell r="BW18">
            <v>244630</v>
          </cell>
          <cell r="BX18">
            <v>204367</v>
          </cell>
          <cell r="BY18">
            <v>208524</v>
          </cell>
          <cell r="BZ18">
            <v>282568</v>
          </cell>
          <cell r="CA18">
            <v>390401</v>
          </cell>
          <cell r="CQ18">
            <v>1085860</v>
          </cell>
          <cell r="CR18" t="str">
            <v>NOT USED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3780</v>
          </cell>
          <cell r="J19">
            <v>11340</v>
          </cell>
          <cell r="K19">
            <v>0</v>
          </cell>
          <cell r="L19">
            <v>4420</v>
          </cell>
          <cell r="M19">
            <v>9690</v>
          </cell>
          <cell r="N19">
            <v>1190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4320</v>
          </cell>
          <cell r="T19">
            <v>720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3672</v>
          </cell>
          <cell r="AH19">
            <v>14144</v>
          </cell>
          <cell r="AI19">
            <v>2176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2550</v>
          </cell>
          <cell r="AS19">
            <v>9650</v>
          </cell>
          <cell r="AT19">
            <v>1949</v>
          </cell>
          <cell r="AU19">
            <v>7137</v>
          </cell>
          <cell r="AV19">
            <v>8869</v>
          </cell>
          <cell r="AW19">
            <v>4800</v>
          </cell>
          <cell r="AX19">
            <v>0</v>
          </cell>
          <cell r="AY19">
            <v>6650</v>
          </cell>
          <cell r="AZ19">
            <v>2194</v>
          </cell>
          <cell r="BA19">
            <v>4576</v>
          </cell>
          <cell r="BB19">
            <v>2706</v>
          </cell>
          <cell r="BC19">
            <v>1070</v>
          </cell>
          <cell r="BD19">
            <v>120</v>
          </cell>
          <cell r="BE19">
            <v>14978</v>
          </cell>
          <cell r="BF19">
            <v>6400</v>
          </cell>
          <cell r="BG19">
            <v>2020</v>
          </cell>
          <cell r="BH19">
            <v>2970</v>
          </cell>
          <cell r="BI19">
            <v>2116</v>
          </cell>
          <cell r="BJ19">
            <v>2118</v>
          </cell>
          <cell r="BK19">
            <v>6747</v>
          </cell>
          <cell r="BL19">
            <v>0</v>
          </cell>
          <cell r="BM19">
            <v>0</v>
          </cell>
          <cell r="BN19">
            <v>9362</v>
          </cell>
          <cell r="BO19">
            <v>6040</v>
          </cell>
          <cell r="BP19">
            <v>9060</v>
          </cell>
          <cell r="BQ19">
            <v>16726</v>
          </cell>
          <cell r="BR19">
            <v>1777</v>
          </cell>
          <cell r="BS19">
            <v>7540</v>
          </cell>
          <cell r="BT19">
            <v>8730</v>
          </cell>
          <cell r="BU19">
            <v>10940</v>
          </cell>
          <cell r="BV19">
            <v>22020</v>
          </cell>
          <cell r="BW19">
            <v>35391</v>
          </cell>
          <cell r="BX19">
            <v>14460</v>
          </cell>
          <cell r="BY19">
            <v>8240</v>
          </cell>
          <cell r="BZ19">
            <v>18700</v>
          </cell>
          <cell r="CA19">
            <v>19606</v>
          </cell>
          <cell r="CQ19">
            <v>61006</v>
          </cell>
          <cell r="CR19" t="str">
            <v>NOT USED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4180</v>
          </cell>
          <cell r="K20">
            <v>21330</v>
          </cell>
          <cell r="L20">
            <v>8990</v>
          </cell>
          <cell r="M20">
            <v>19113</v>
          </cell>
          <cell r="N20">
            <v>26071</v>
          </cell>
          <cell r="O20">
            <v>13995</v>
          </cell>
          <cell r="P20">
            <v>12542</v>
          </cell>
          <cell r="Q20">
            <v>22772</v>
          </cell>
          <cell r="R20">
            <v>14800</v>
          </cell>
          <cell r="S20">
            <v>23970</v>
          </cell>
          <cell r="T20">
            <v>25848</v>
          </cell>
          <cell r="U20">
            <v>38286</v>
          </cell>
          <cell r="V20">
            <v>19008</v>
          </cell>
          <cell r="W20">
            <v>11320</v>
          </cell>
          <cell r="X20">
            <v>7800</v>
          </cell>
          <cell r="Y20">
            <v>15468</v>
          </cell>
          <cell r="Z20">
            <v>17760</v>
          </cell>
          <cell r="AA20">
            <v>17348</v>
          </cell>
          <cell r="AB20">
            <v>24115</v>
          </cell>
          <cell r="AC20">
            <v>18780</v>
          </cell>
          <cell r="AD20">
            <v>19970</v>
          </cell>
          <cell r="AE20">
            <v>18350</v>
          </cell>
          <cell r="AF20">
            <v>19170</v>
          </cell>
          <cell r="AG20">
            <v>28340</v>
          </cell>
          <cell r="AH20">
            <v>14496</v>
          </cell>
          <cell r="AI20">
            <v>1310</v>
          </cell>
          <cell r="AJ20">
            <v>9685</v>
          </cell>
          <cell r="AK20">
            <v>33043</v>
          </cell>
          <cell r="AL20">
            <v>18653</v>
          </cell>
          <cell r="AM20">
            <v>12860</v>
          </cell>
          <cell r="AN20">
            <v>13975</v>
          </cell>
          <cell r="AO20">
            <v>15690</v>
          </cell>
          <cell r="AP20">
            <v>17792</v>
          </cell>
          <cell r="AQ20">
            <v>12908</v>
          </cell>
          <cell r="AR20">
            <v>24086</v>
          </cell>
          <cell r="AS20">
            <v>25086</v>
          </cell>
          <cell r="AT20">
            <v>8400</v>
          </cell>
          <cell r="AU20">
            <v>8000</v>
          </cell>
          <cell r="AV20">
            <v>8000</v>
          </cell>
          <cell r="AW20">
            <v>0</v>
          </cell>
          <cell r="AX20">
            <v>1760</v>
          </cell>
          <cell r="AY20">
            <v>10994</v>
          </cell>
          <cell r="AZ20">
            <v>10719</v>
          </cell>
          <cell r="BA20">
            <v>33294</v>
          </cell>
          <cell r="BB20">
            <v>36484</v>
          </cell>
          <cell r="BC20">
            <v>32632</v>
          </cell>
          <cell r="BD20">
            <v>31816</v>
          </cell>
          <cell r="BE20">
            <v>33362</v>
          </cell>
          <cell r="BF20">
            <v>16782</v>
          </cell>
          <cell r="BG20">
            <v>19014</v>
          </cell>
          <cell r="BH20">
            <v>13416</v>
          </cell>
          <cell r="BI20">
            <v>15960</v>
          </cell>
          <cell r="BJ20">
            <v>17753</v>
          </cell>
          <cell r="BK20">
            <v>24001</v>
          </cell>
          <cell r="BL20">
            <v>20952</v>
          </cell>
          <cell r="BM20">
            <v>19759</v>
          </cell>
          <cell r="BN20">
            <v>11314</v>
          </cell>
          <cell r="BO20">
            <v>24686</v>
          </cell>
          <cell r="BP20">
            <v>41474</v>
          </cell>
          <cell r="BQ20">
            <v>42572</v>
          </cell>
          <cell r="BR20">
            <v>5130</v>
          </cell>
          <cell r="BS20">
            <v>17360</v>
          </cell>
          <cell r="BT20">
            <v>37440</v>
          </cell>
          <cell r="BU20">
            <v>15430</v>
          </cell>
          <cell r="BV20">
            <v>20232</v>
          </cell>
          <cell r="BW20">
            <v>18778</v>
          </cell>
          <cell r="BX20">
            <v>26171</v>
          </cell>
          <cell r="BY20">
            <v>20200</v>
          </cell>
          <cell r="BZ20">
            <v>64519</v>
          </cell>
          <cell r="CA20">
            <v>54620</v>
          </cell>
          <cell r="CQ20">
            <v>165510</v>
          </cell>
          <cell r="CR20" t="str">
            <v>NOT USED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22145</v>
          </cell>
          <cell r="J21">
            <v>33185</v>
          </cell>
          <cell r="K21">
            <v>30384</v>
          </cell>
          <cell r="L21">
            <v>41722</v>
          </cell>
          <cell r="M21">
            <v>28201</v>
          </cell>
          <cell r="N21">
            <v>48836</v>
          </cell>
          <cell r="O21">
            <v>15878</v>
          </cell>
          <cell r="P21">
            <v>25388</v>
          </cell>
          <cell r="Q21">
            <v>38687</v>
          </cell>
          <cell r="R21">
            <v>39466</v>
          </cell>
          <cell r="S21">
            <v>41834</v>
          </cell>
          <cell r="T21">
            <v>44532</v>
          </cell>
          <cell r="U21">
            <v>33761</v>
          </cell>
          <cell r="V21">
            <v>36504</v>
          </cell>
          <cell r="W21">
            <v>48287</v>
          </cell>
          <cell r="X21">
            <v>62069</v>
          </cell>
          <cell r="Y21">
            <v>45469</v>
          </cell>
          <cell r="Z21">
            <v>40206</v>
          </cell>
          <cell r="AA21">
            <v>44745</v>
          </cell>
          <cell r="AB21">
            <v>57460</v>
          </cell>
          <cell r="AC21">
            <v>26015</v>
          </cell>
          <cell r="AD21">
            <v>47967</v>
          </cell>
          <cell r="AE21">
            <v>33603</v>
          </cell>
          <cell r="AF21">
            <v>55253</v>
          </cell>
          <cell r="AG21">
            <v>44480</v>
          </cell>
          <cell r="AH21">
            <v>49651</v>
          </cell>
          <cell r="AI21">
            <v>64208</v>
          </cell>
          <cell r="AJ21">
            <v>51946</v>
          </cell>
          <cell r="AK21">
            <v>94666</v>
          </cell>
          <cell r="AL21">
            <v>117479</v>
          </cell>
          <cell r="AM21">
            <v>77350</v>
          </cell>
          <cell r="AN21">
            <v>84438</v>
          </cell>
          <cell r="AO21">
            <v>68317.34</v>
          </cell>
          <cell r="AP21">
            <v>61419</v>
          </cell>
          <cell r="AQ21">
            <v>141634</v>
          </cell>
          <cell r="AR21">
            <v>95797</v>
          </cell>
          <cell r="AS21">
            <v>139828</v>
          </cell>
          <cell r="AT21">
            <v>135945</v>
          </cell>
          <cell r="AU21">
            <v>112032</v>
          </cell>
          <cell r="AV21">
            <v>53139</v>
          </cell>
          <cell r="AW21">
            <v>47945</v>
          </cell>
          <cell r="AX21">
            <v>69351</v>
          </cell>
          <cell r="AY21">
            <v>82342</v>
          </cell>
          <cell r="AZ21">
            <v>91026</v>
          </cell>
          <cell r="BA21">
            <v>98426</v>
          </cell>
          <cell r="BB21">
            <v>48052</v>
          </cell>
          <cell r="BC21">
            <v>103757</v>
          </cell>
          <cell r="BD21">
            <v>146573</v>
          </cell>
          <cell r="BE21">
            <v>114695</v>
          </cell>
          <cell r="BF21">
            <v>88778</v>
          </cell>
          <cell r="BG21">
            <v>125801</v>
          </cell>
          <cell r="BH21">
            <v>95609</v>
          </cell>
          <cell r="BI21">
            <v>74718</v>
          </cell>
          <cell r="BJ21">
            <v>40513</v>
          </cell>
          <cell r="BK21">
            <v>57354</v>
          </cell>
          <cell r="BL21">
            <v>106334</v>
          </cell>
          <cell r="BM21">
            <v>71846</v>
          </cell>
          <cell r="BN21">
            <v>81963</v>
          </cell>
          <cell r="BO21">
            <v>141914</v>
          </cell>
          <cell r="BP21">
            <v>166116</v>
          </cell>
          <cell r="BQ21">
            <v>181688</v>
          </cell>
          <cell r="BR21">
            <v>127553</v>
          </cell>
          <cell r="BS21">
            <v>79022</v>
          </cell>
          <cell r="BT21">
            <v>90137</v>
          </cell>
          <cell r="BU21">
            <v>129463</v>
          </cell>
          <cell r="BV21">
            <v>156512</v>
          </cell>
          <cell r="BW21">
            <v>170784</v>
          </cell>
          <cell r="BX21">
            <v>145673</v>
          </cell>
          <cell r="BY21">
            <v>108874</v>
          </cell>
          <cell r="BZ21">
            <v>97608</v>
          </cell>
          <cell r="CA21">
            <v>106144</v>
          </cell>
          <cell r="CQ21">
            <v>458299</v>
          </cell>
          <cell r="CR21">
            <v>61419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49919</v>
          </cell>
          <cell r="J22">
            <v>98693</v>
          </cell>
          <cell r="K22">
            <v>107481</v>
          </cell>
          <cell r="L22">
            <v>121898</v>
          </cell>
          <cell r="M22">
            <v>138927</v>
          </cell>
          <cell r="N22">
            <v>132573</v>
          </cell>
          <cell r="O22">
            <v>79754</v>
          </cell>
          <cell r="P22">
            <v>85768</v>
          </cell>
          <cell r="Q22">
            <v>128909</v>
          </cell>
          <cell r="R22">
            <v>174910</v>
          </cell>
          <cell r="S22">
            <v>171913</v>
          </cell>
          <cell r="T22">
            <v>130648</v>
          </cell>
          <cell r="U22">
            <v>195307</v>
          </cell>
          <cell r="V22">
            <v>146407</v>
          </cell>
          <cell r="W22">
            <v>112364</v>
          </cell>
          <cell r="X22">
            <v>145970</v>
          </cell>
          <cell r="Y22">
            <v>161469</v>
          </cell>
          <cell r="Z22">
            <v>116403</v>
          </cell>
          <cell r="AA22">
            <v>181915</v>
          </cell>
          <cell r="AB22">
            <v>178182.13</v>
          </cell>
          <cell r="AC22">
            <v>162317.14000000001</v>
          </cell>
          <cell r="AD22">
            <v>214328</v>
          </cell>
          <cell r="AE22">
            <v>234703</v>
          </cell>
          <cell r="AF22">
            <v>235431.5</v>
          </cell>
          <cell r="AG22">
            <v>215768</v>
          </cell>
          <cell r="AH22">
            <v>197682</v>
          </cell>
          <cell r="AI22">
            <v>181754.4</v>
          </cell>
          <cell r="AJ22">
            <v>227945</v>
          </cell>
          <cell r="AK22">
            <v>244184</v>
          </cell>
          <cell r="AL22">
            <v>312363</v>
          </cell>
          <cell r="AM22">
            <v>252214.75</v>
          </cell>
          <cell r="AN22">
            <v>256908.45</v>
          </cell>
          <cell r="AO22">
            <v>282859.33999999997</v>
          </cell>
          <cell r="AP22">
            <v>287615</v>
          </cell>
          <cell r="AQ22">
            <v>399274</v>
          </cell>
          <cell r="AR22">
            <v>320317</v>
          </cell>
          <cell r="AS22">
            <v>381703</v>
          </cell>
          <cell r="AT22">
            <v>285627.8</v>
          </cell>
          <cell r="AU22">
            <v>301655</v>
          </cell>
          <cell r="AV22">
            <v>302222</v>
          </cell>
          <cell r="AW22">
            <v>205507.20000000001</v>
          </cell>
          <cell r="AX22">
            <v>267856</v>
          </cell>
          <cell r="AY22">
            <v>308759</v>
          </cell>
          <cell r="AZ22">
            <v>246208</v>
          </cell>
          <cell r="BA22">
            <v>360651</v>
          </cell>
          <cell r="BB22">
            <v>351642</v>
          </cell>
          <cell r="BC22">
            <v>432325</v>
          </cell>
          <cell r="BD22">
            <v>469831</v>
          </cell>
          <cell r="BE22">
            <v>326058</v>
          </cell>
          <cell r="BF22">
            <v>278555</v>
          </cell>
          <cell r="BG22">
            <v>315532</v>
          </cell>
          <cell r="BH22">
            <v>305201</v>
          </cell>
          <cell r="BI22">
            <v>232592</v>
          </cell>
          <cell r="BJ22">
            <v>291965</v>
          </cell>
          <cell r="BK22">
            <v>274937</v>
          </cell>
          <cell r="BL22">
            <v>361346</v>
          </cell>
          <cell r="BM22">
            <v>362861</v>
          </cell>
          <cell r="BN22">
            <v>360713</v>
          </cell>
          <cell r="BO22">
            <v>507578</v>
          </cell>
          <cell r="BP22">
            <v>624110</v>
          </cell>
          <cell r="BQ22">
            <v>536253</v>
          </cell>
          <cell r="BR22">
            <v>309823</v>
          </cell>
          <cell r="BS22">
            <v>314117</v>
          </cell>
          <cell r="BT22">
            <v>422795</v>
          </cell>
          <cell r="BU22">
            <v>466481</v>
          </cell>
          <cell r="BV22">
            <v>450493</v>
          </cell>
          <cell r="BW22">
            <v>469583</v>
          </cell>
          <cell r="BX22">
            <v>390671</v>
          </cell>
          <cell r="BY22">
            <v>345838</v>
          </cell>
          <cell r="BZ22">
            <v>463395</v>
          </cell>
          <cell r="CA22">
            <v>570771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Q22">
            <v>1770675</v>
          </cell>
          <cell r="CR22">
            <v>61419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344102</v>
          </cell>
          <cell r="J23">
            <v>300883</v>
          </cell>
          <cell r="K23">
            <v>329073</v>
          </cell>
          <cell r="L23">
            <v>297494</v>
          </cell>
          <cell r="M23">
            <v>315233</v>
          </cell>
          <cell r="N23">
            <v>327573</v>
          </cell>
          <cell r="O23">
            <v>267795</v>
          </cell>
          <cell r="P23">
            <v>257602</v>
          </cell>
          <cell r="Q23">
            <v>349307</v>
          </cell>
          <cell r="R23">
            <v>406703</v>
          </cell>
          <cell r="S23">
            <v>332316</v>
          </cell>
          <cell r="T23">
            <v>329960</v>
          </cell>
          <cell r="U23">
            <v>518907.3</v>
          </cell>
          <cell r="V23">
            <v>431906</v>
          </cell>
          <cell r="W23">
            <v>401029.27</v>
          </cell>
          <cell r="X23">
            <v>448418</v>
          </cell>
          <cell r="Y23">
            <v>472191</v>
          </cell>
          <cell r="Z23">
            <v>437844</v>
          </cell>
          <cell r="AA23">
            <v>447637.58999999997</v>
          </cell>
          <cell r="AB23">
            <v>479093.97</v>
          </cell>
          <cell r="AC23">
            <v>482458.98</v>
          </cell>
          <cell r="AD23">
            <v>545355</v>
          </cell>
          <cell r="AE23">
            <v>581988</v>
          </cell>
          <cell r="AF23">
            <v>621180.5</v>
          </cell>
          <cell r="AG23">
            <v>718927.3</v>
          </cell>
          <cell r="AH23">
            <v>607816</v>
          </cell>
          <cell r="AI23">
            <v>642082.21</v>
          </cell>
          <cell r="AJ23">
            <v>651437</v>
          </cell>
          <cell r="AK23">
            <v>669111</v>
          </cell>
          <cell r="AL23">
            <v>686414</v>
          </cell>
          <cell r="AM23">
            <v>681140.38</v>
          </cell>
          <cell r="AN23">
            <v>671949.45</v>
          </cell>
          <cell r="AO23">
            <v>667772.34</v>
          </cell>
          <cell r="AP23">
            <v>700852</v>
          </cell>
          <cell r="AQ23">
            <v>915949</v>
          </cell>
          <cell r="AR23">
            <v>847335</v>
          </cell>
          <cell r="AS23">
            <v>918161</v>
          </cell>
          <cell r="AT23">
            <v>763301.44</v>
          </cell>
          <cell r="AU23">
            <v>804274</v>
          </cell>
          <cell r="AV23">
            <v>760856</v>
          </cell>
          <cell r="AW23">
            <v>633915.69999999995</v>
          </cell>
          <cell r="AX23">
            <v>736076</v>
          </cell>
          <cell r="AY23">
            <v>858956</v>
          </cell>
          <cell r="AZ23">
            <v>797616</v>
          </cell>
          <cell r="BA23">
            <v>867738</v>
          </cell>
          <cell r="BB23">
            <v>912538</v>
          </cell>
          <cell r="BC23">
            <v>1075878.5</v>
          </cell>
          <cell r="BD23">
            <v>1062709</v>
          </cell>
          <cell r="BE23">
            <v>1049358</v>
          </cell>
          <cell r="BF23">
            <v>925202</v>
          </cell>
          <cell r="BG23">
            <v>886586</v>
          </cell>
          <cell r="BH23">
            <v>1010070</v>
          </cell>
          <cell r="BI23">
            <v>849596</v>
          </cell>
          <cell r="BJ23">
            <v>988012</v>
          </cell>
          <cell r="BK23">
            <v>1013360</v>
          </cell>
          <cell r="BL23">
            <v>1000269.58</v>
          </cell>
          <cell r="BM23">
            <v>1038248</v>
          </cell>
          <cell r="BN23">
            <v>1031199</v>
          </cell>
          <cell r="BO23">
            <v>1319515</v>
          </cell>
          <cell r="BP23">
            <v>1401639</v>
          </cell>
          <cell r="BQ23">
            <v>1300786</v>
          </cell>
          <cell r="BR23">
            <v>1030851</v>
          </cell>
          <cell r="BS23">
            <v>1008769.44</v>
          </cell>
          <cell r="BT23">
            <v>1126745</v>
          </cell>
          <cell r="BU23">
            <v>1083936</v>
          </cell>
          <cell r="BV23">
            <v>1104845.3900000001</v>
          </cell>
          <cell r="BW23">
            <v>1193073</v>
          </cell>
          <cell r="BX23">
            <v>1040188</v>
          </cell>
          <cell r="BY23">
            <v>1044859</v>
          </cell>
          <cell r="BZ23">
            <v>1156932</v>
          </cell>
          <cell r="CA23">
            <v>1236888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Q23">
            <v>4478867</v>
          </cell>
          <cell r="CR23">
            <v>474656</v>
          </cell>
        </row>
        <row r="24">
          <cell r="O24">
            <v>2.6280577540435796E-2</v>
          </cell>
          <cell r="P24">
            <v>-8.6136099641233602E-2</v>
          </cell>
          <cell r="Q24">
            <v>-5.6509792377135142E-3</v>
          </cell>
          <cell r="R24">
            <v>0.13399963472130258</v>
          </cell>
          <cell r="S24">
            <v>0.18730471806255572</v>
          </cell>
          <cell r="T24">
            <v>9.0564075962441953E-2</v>
          </cell>
          <cell r="U24">
            <v>0.10090430982526313</v>
          </cell>
          <cell r="V24">
            <v>9.1483955881669077E-2</v>
          </cell>
          <cell r="W24">
            <v>9.7088049596357626E-2</v>
          </cell>
          <cell r="X24">
            <v>0.13640685151415968</v>
          </cell>
          <cell r="Y24">
            <v>0.13878327048041916</v>
          </cell>
          <cell r="Z24">
            <v>9.5963595246978506E-2</v>
          </cell>
          <cell r="AA24">
            <v>0.23678384881166442</v>
          </cell>
          <cell r="AB24">
            <v>0.3715684666199825</v>
          </cell>
          <cell r="AC24">
            <v>0.17198922807277714</v>
          </cell>
          <cell r="AD24">
            <v>0.17949165635707484</v>
          </cell>
          <cell r="AE24">
            <v>5.8612814393844193E-2</v>
          </cell>
          <cell r="AF24">
            <v>0.14660212221457511</v>
          </cell>
          <cell r="AG24">
            <v>0.15093468396368243</v>
          </cell>
          <cell r="AH24">
            <v>0.20964101563034579</v>
          </cell>
          <cell r="AI24">
            <v>0.16124760198638313</v>
          </cell>
          <cell r="AJ24">
            <v>0.11708257931045435</v>
          </cell>
          <cell r="AK24">
            <v>0.13210290642917336</v>
          </cell>
          <cell r="AL24">
            <v>0.19379738154067375</v>
          </cell>
          <cell r="AM24">
            <v>9.000826473034583E-2</v>
          </cell>
          <cell r="AN24">
            <v>6.6040729363638834E-2</v>
          </cell>
          <cell r="AO24">
            <v>0.13309102345512552</v>
          </cell>
          <cell r="AP24">
            <v>4.3413121494024598E-2</v>
          </cell>
          <cell r="AQ24">
            <v>9.550095652119639E-2</v>
          </cell>
          <cell r="AR24">
            <v>6.6222291766358382E-2</v>
          </cell>
          <cell r="AS24">
            <v>-4.1578932636636675E-3</v>
          </cell>
          <cell r="AT24">
            <v>-1.0956346663444819E-2</v>
          </cell>
          <cell r="AU24">
            <v>6.5118329423574893E-3</v>
          </cell>
          <cell r="AV24">
            <v>7.0605616501469806E-2</v>
          </cell>
          <cell r="AW24">
            <v>2.2569959328234784E-2</v>
          </cell>
          <cell r="AX24">
            <v>2.8761222153828595E-2</v>
          </cell>
          <cell r="AY24">
            <v>0.14271849112745821</v>
          </cell>
          <cell r="AZ24">
            <v>5.0769465853382843E-2</v>
          </cell>
          <cell r="BA24">
            <v>7.6147335396561891E-2</v>
          </cell>
          <cell r="BB24">
            <v>9.74494246193323E-2</v>
          </cell>
          <cell r="BC24">
            <v>9.0551170587855112E-2</v>
          </cell>
          <cell r="BD24">
            <v>0.15593930111815976</v>
          </cell>
          <cell r="BE24">
            <v>7.3178570178518212E-2</v>
          </cell>
          <cell r="BF24">
            <v>0.1155499632555675</v>
          </cell>
          <cell r="BG24">
            <v>0.15428573376204802</v>
          </cell>
          <cell r="BH24">
            <v>0.1943224241669525</v>
          </cell>
          <cell r="BI24">
            <v>0.1907589636297379</v>
          </cell>
          <cell r="BJ24">
            <v>0.25575743909967025</v>
          </cell>
          <cell r="BK24">
            <v>0.18993077238052064</v>
          </cell>
          <cell r="BL24">
            <v>0.2483858687543116</v>
          </cell>
          <cell r="BM24">
            <v>0.24545654326385952</v>
          </cell>
          <cell r="BN24">
            <v>0.208947359164219</v>
          </cell>
          <cell r="BO24">
            <v>0.27348978085494147</v>
          </cell>
          <cell r="BP24">
            <v>0.14352282905054126</v>
          </cell>
          <cell r="BQ24">
            <v>0.20246930174377098</v>
          </cell>
          <cell r="BR24">
            <v>0.15664458971520906</v>
          </cell>
          <cell r="BS24">
            <v>0.20861541664175254</v>
          </cell>
          <cell r="BT24">
            <v>0.18247681006956348</v>
          </cell>
          <cell r="BU24">
            <v>0.17085645722143672</v>
          </cell>
          <cell r="BV24">
            <v>6.012994622337936E-2</v>
          </cell>
          <cell r="BW24">
            <v>8.0221282670440194E-2</v>
          </cell>
          <cell r="BX24">
            <v>0.15865462023303623</v>
          </cell>
          <cell r="BY24">
            <v>7.318162882103979E-2</v>
          </cell>
          <cell r="BZ24">
            <v>9.9405968710938139E-2</v>
          </cell>
        </row>
        <row r="25">
          <cell r="O25">
            <v>-0.10596415759272292</v>
          </cell>
          <cell r="P25">
            <v>-0.14468064303232273</v>
          </cell>
          <cell r="Q25">
            <v>-0.20728913017444414</v>
          </cell>
          <cell r="R25">
            <v>-1.4030983253697598E-2</v>
          </cell>
          <cell r="S25">
            <v>0.12181529703960217</v>
          </cell>
          <cell r="T25">
            <v>0.11163024559353114</v>
          </cell>
          <cell r="U25">
            <v>0.1193785223713779</v>
          </cell>
          <cell r="V25">
            <v>0.20990161947944239</v>
          </cell>
          <cell r="W25">
            <v>0.23514414133705994</v>
          </cell>
          <cell r="X25">
            <v>3.8768794052400794E-2</v>
          </cell>
          <cell r="Y25">
            <v>0.21943296556744737</v>
          </cell>
          <cell r="Z25">
            <v>6.7491777009361556E-2</v>
          </cell>
          <cell r="AA25">
            <v>0.11648416877467947</v>
          </cell>
          <cell r="AB25">
            <v>9.1951165143435237E-2</v>
          </cell>
          <cell r="AC25">
            <v>0.15227261282492874</v>
          </cell>
          <cell r="AD25">
            <v>0.10908519734586515</v>
          </cell>
          <cell r="AE25">
            <v>0.24507229959352303</v>
          </cell>
          <cell r="AF25">
            <v>0.17816780980684466</v>
          </cell>
          <cell r="AG25">
            <v>0.11298168860035988</v>
          </cell>
          <cell r="AH25">
            <v>0.10947472981237712</v>
          </cell>
          <cell r="AI25">
            <v>8.288790046473056E-2</v>
          </cell>
          <cell r="AJ25">
            <v>6.2504839900397E-2</v>
          </cell>
          <cell r="AK25">
            <v>5.6778238199872239E-2</v>
          </cell>
          <cell r="AL25">
            <v>5.3567783944643054E-3</v>
          </cell>
          <cell r="AM25">
            <v>5.4632884829685389E-2</v>
          </cell>
          <cell r="AN25">
            <v>-3.1736061493526375E-2</v>
          </cell>
          <cell r="AO25">
            <v>3.5946064296658607E-2</v>
          </cell>
          <cell r="AP25">
            <v>7.4604890841749288E-2</v>
          </cell>
          <cell r="AQ25">
            <v>6.99797703547589E-2</v>
          </cell>
          <cell r="AR25">
            <v>2.2199745702049849E-2</v>
          </cell>
          <cell r="AS25">
            <v>-0.11109948759305682</v>
          </cell>
          <cell r="AT25">
            <v>-0.15222088213749269</v>
          </cell>
          <cell r="AU25">
            <v>-0.10242750408722387</v>
          </cell>
          <cell r="AV25">
            <v>-0.10207489444130419</v>
          </cell>
          <cell r="AW25">
            <v>-1.3235900312601124E-2</v>
          </cell>
          <cell r="AX25">
            <v>6.9875287019945068E-2</v>
          </cell>
          <cell r="AY25">
            <v>0.11796190932452859</v>
          </cell>
          <cell r="AZ25">
            <v>0.20981107119720982</v>
          </cell>
          <cell r="BA25">
            <v>3.6553273671163969E-2</v>
          </cell>
          <cell r="BB25">
            <v>9.7459566064394584E-2</v>
          </cell>
          <cell r="BC25">
            <v>1.5610105725264511E-2</v>
          </cell>
          <cell r="BD25">
            <v>0.12170369507497399</v>
          </cell>
          <cell r="BE25">
            <v>0.14526803653847389</v>
          </cell>
          <cell r="BF25">
            <v>0.43288807041583571</v>
          </cell>
          <cell r="BG25">
            <v>0.19208754182590168</v>
          </cell>
          <cell r="BH25">
            <v>0.5483545422570143</v>
          </cell>
          <cell r="BI25">
            <v>0.24297175552565703</v>
          </cell>
          <cell r="BJ25">
            <v>0.32478681525519049</v>
          </cell>
          <cell r="BK25">
            <v>0.34273850371339243</v>
          </cell>
          <cell r="BL25">
            <v>0.24274626216527798</v>
          </cell>
          <cell r="BM25">
            <v>0.63259948899233487</v>
          </cell>
          <cell r="BN25">
            <v>0.15578753585111538</v>
          </cell>
          <cell r="BO25">
            <v>0.34463350861750797</v>
          </cell>
          <cell r="BP25">
            <v>0.17768272208624364</v>
          </cell>
          <cell r="BQ25">
            <v>5.0928598697514288E-2</v>
          </cell>
          <cell r="BR25">
            <v>6.5668221711792207E-2</v>
          </cell>
          <cell r="BS25">
            <v>0.33987364380904206</v>
          </cell>
          <cell r="BT25">
            <v>0.19480601177401852</v>
          </cell>
          <cell r="BU25">
            <v>0.34907290099676691</v>
          </cell>
          <cell r="BV25">
            <v>0.12254526552889197</v>
          </cell>
          <cell r="BW25">
            <v>0.21127553840114846</v>
          </cell>
          <cell r="BX25">
            <v>0.23149388298111409</v>
          </cell>
          <cell r="BY25">
            <v>0.15568607019371952</v>
          </cell>
          <cell r="BZ25">
            <v>0.13289406438403631</v>
          </cell>
          <cell r="CA25">
            <v>6.4156171430445871E-2</v>
          </cell>
          <cell r="CB25">
            <v>-1</v>
          </cell>
          <cell r="CC25">
            <v>-1</v>
          </cell>
          <cell r="CD25">
            <v>-1</v>
          </cell>
          <cell r="CE25">
            <v>-1</v>
          </cell>
          <cell r="CF25">
            <v>-1</v>
          </cell>
          <cell r="CG25">
            <v>-1</v>
          </cell>
          <cell r="CH25">
            <v>-1</v>
          </cell>
          <cell r="CI25">
            <v>-1</v>
          </cell>
          <cell r="CJ25">
            <v>-1</v>
          </cell>
          <cell r="CK25">
            <v>-1</v>
          </cell>
          <cell r="CL25">
            <v>-1</v>
          </cell>
          <cell r="CM25">
            <v>-1</v>
          </cell>
          <cell r="CN25" t="e">
            <v>#DIV/0!</v>
          </cell>
          <cell r="CO25" t="e">
            <v>#DIV/0!</v>
          </cell>
        </row>
        <row r="26">
          <cell r="O26">
            <v>-2.0458158468195563E-2</v>
          </cell>
          <cell r="P26">
            <v>-8.7998439065978457E-2</v>
          </cell>
          <cell r="Q26">
            <v>-4.313748948859749E-2</v>
          </cell>
          <cell r="R26">
            <v>0.1028615679405645</v>
          </cell>
          <cell r="S26">
            <v>5.3523190823907073E-2</v>
          </cell>
          <cell r="T26">
            <v>4.1020490648768476E-2</v>
          </cell>
          <cell r="U26">
            <v>-4.7784514900045504E-2</v>
          </cell>
          <cell r="V26">
            <v>-6.2693219658197172E-2</v>
          </cell>
          <cell r="W26">
            <v>1.5558042156045979E-2</v>
          </cell>
          <cell r="X26">
            <v>0.18069726677571751</v>
          </cell>
          <cell r="Y26">
            <v>0.16721584788634813</v>
          </cell>
          <cell r="Z26">
            <v>2.6151920348188112E-2</v>
          </cell>
          <cell r="AA26">
            <v>0.19223598127123584</v>
          </cell>
          <cell r="AB26">
            <v>0.37774764812576095</v>
          </cell>
          <cell r="AC26">
            <v>0.19735706560987615</v>
          </cell>
          <cell r="AD26">
            <v>0.23245422943838878</v>
          </cell>
          <cell r="AE26">
            <v>0.16191076075024222</v>
          </cell>
          <cell r="AF26">
            <v>0.20956466289081158</v>
          </cell>
          <cell r="AG26">
            <v>0.30577043821615807</v>
          </cell>
          <cell r="AH26">
            <v>0.23504017119064866</v>
          </cell>
          <cell r="AI26">
            <v>0.13260137286152221</v>
          </cell>
          <cell r="AJ26">
            <v>0.17660491883354368</v>
          </cell>
          <cell r="AK26">
            <v>8.9680178592965537E-2</v>
          </cell>
          <cell r="AL26">
            <v>0.12444824563444964</v>
          </cell>
          <cell r="AM26">
            <v>0.12723356190642576</v>
          </cell>
          <cell r="AN26">
            <v>0.21921304842395153</v>
          </cell>
          <cell r="AO26">
            <v>0.12940591159730275</v>
          </cell>
          <cell r="AP26">
            <v>4.2976640603674045E-2</v>
          </cell>
          <cell r="AQ26">
            <v>3.2427760637465733E-2</v>
          </cell>
          <cell r="AR26">
            <v>4.6732562708883707E-2</v>
          </cell>
          <cell r="AS26">
            <v>-4.6521368096214301E-2</v>
          </cell>
          <cell r="AT26">
            <v>7.7362264433930697E-2</v>
          </cell>
          <cell r="AU26">
            <v>7.3670525635593717E-2</v>
          </cell>
          <cell r="AV26">
            <v>5.7872439851390747E-2</v>
          </cell>
          <cell r="AW26">
            <v>7.2220957467529517E-2</v>
          </cell>
          <cell r="AX26">
            <v>0.19070084299619813</v>
          </cell>
          <cell r="AY26">
            <v>0.17723576885758552</v>
          </cell>
          <cell r="AZ26">
            <v>-5.8674801650935313E-3</v>
          </cell>
          <cell r="BA26">
            <v>0.12799117492803858</v>
          </cell>
          <cell r="BB26">
            <v>9.0961341520550271E-2</v>
          </cell>
          <cell r="BC26">
            <v>0.15033366189457953</v>
          </cell>
          <cell r="BD26">
            <v>0.15568626066205818</v>
          </cell>
          <cell r="BE26">
            <v>0.14770696788797733</v>
          </cell>
          <cell r="BF26">
            <v>3.7117513773296168E-2</v>
          </cell>
          <cell r="BG26">
            <v>0.10326370016087848</v>
          </cell>
          <cell r="BH26">
            <v>0.1865368104257413</v>
          </cell>
          <cell r="BI26">
            <v>0.16512579814020401</v>
          </cell>
          <cell r="BJ26">
            <v>0.1332289244401533</v>
          </cell>
          <cell r="BK26">
            <v>9.4854304490449709E-2</v>
          </cell>
          <cell r="BL26">
            <v>0.22807328063916293</v>
          </cell>
          <cell r="BM26">
            <v>0.13329131294402291</v>
          </cell>
          <cell r="BN26">
            <v>0.24752128599069939</v>
          </cell>
          <cell r="BO26">
            <v>0.23213081052599754</v>
          </cell>
          <cell r="BP26">
            <v>0.16734295943248498</v>
          </cell>
          <cell r="BQ26">
            <v>0.14759655581829248</v>
          </cell>
          <cell r="BR26">
            <v>0.27375026107443967</v>
          </cell>
          <cell r="BS26">
            <v>0.30055210972656282</v>
          </cell>
          <cell r="BT26">
            <v>0.17388682013847384</v>
          </cell>
          <cell r="BU26">
            <v>5.5472243032257361E-2</v>
          </cell>
          <cell r="BV26">
            <v>0.14723709685116129</v>
          </cell>
          <cell r="BW26">
            <v>9.4819080973179565E-2</v>
          </cell>
          <cell r="BX26">
            <v>0.12744531198938167</v>
          </cell>
          <cell r="BY26">
            <v>6.4543067438657842E-2</v>
          </cell>
          <cell r="BZ26">
            <v>7.4994069063894553E-2</v>
          </cell>
          <cell r="CA26">
            <v>1.5462226347476663E-2</v>
          </cell>
          <cell r="CB26">
            <v>-1</v>
          </cell>
          <cell r="CC26">
            <v>-1</v>
          </cell>
          <cell r="CD26">
            <v>-1</v>
          </cell>
          <cell r="CE26">
            <v>-1</v>
          </cell>
          <cell r="CF26">
            <v>-1</v>
          </cell>
          <cell r="CG26">
            <v>-1</v>
          </cell>
          <cell r="CH26">
            <v>-1</v>
          </cell>
          <cell r="CI26">
            <v>-1</v>
          </cell>
          <cell r="CJ26">
            <v>-1</v>
          </cell>
          <cell r="CK26">
            <v>-1</v>
          </cell>
          <cell r="CL26">
            <v>-1</v>
          </cell>
          <cell r="CM26">
            <v>-1</v>
          </cell>
          <cell r="CN26" t="e">
            <v>#DIV/0!</v>
          </cell>
          <cell r="CO26" t="e">
            <v>#DIV/0!</v>
          </cell>
        </row>
        <row r="27">
          <cell r="O27">
            <v>0.13758056480124034</v>
          </cell>
          <cell r="P27">
            <v>-0.20654934159415786</v>
          </cell>
          <cell r="Q27">
            <v>-0.1220066406990467</v>
          </cell>
          <cell r="R27">
            <v>7.7356570775271902E-2</v>
          </cell>
          <cell r="S27">
            <v>0.25057631670491876</v>
          </cell>
          <cell r="T27">
            <v>-0.10614829012706566</v>
          </cell>
          <cell r="U27">
            <v>0.29597493197475827</v>
          </cell>
          <cell r="V27">
            <v>6.8719581010090042E-2</v>
          </cell>
          <cell r="W27">
            <v>-0.1422531845200439</v>
          </cell>
          <cell r="X27">
            <v>0.34676059938497628</v>
          </cell>
          <cell r="Y27">
            <v>0.18259420695938039</v>
          </cell>
          <cell r="Z27">
            <v>0.43481861281405454</v>
          </cell>
          <cell r="AA27">
            <v>0.57083587536311375</v>
          </cell>
          <cell r="AB27">
            <v>0.68142785676148276</v>
          </cell>
          <cell r="AC27">
            <v>0.34668390159376644</v>
          </cell>
          <cell r="AD27">
            <v>0.36876279519253335</v>
          </cell>
          <cell r="AE27">
            <v>3.5480491001336496E-2</v>
          </cell>
          <cell r="AF27">
            <v>0.2182903707874006</v>
          </cell>
          <cell r="AG27">
            <v>-7.8288652003074929E-2</v>
          </cell>
          <cell r="AH27">
            <v>0.38548398901284375</v>
          </cell>
          <cell r="AI27">
            <v>0.34546822617894657</v>
          </cell>
          <cell r="AJ27">
            <v>0.16702470701729313</v>
          </cell>
          <cell r="AK27">
            <v>0.14974887487836522</v>
          </cell>
          <cell r="AL27">
            <v>0.37263363769856883</v>
          </cell>
          <cell r="AM27">
            <v>2.6892903177531464E-2</v>
          </cell>
          <cell r="AN27">
            <v>2.892544312585129E-2</v>
          </cell>
          <cell r="AO27">
            <v>0.27675126756542623</v>
          </cell>
          <cell r="AP27">
            <v>7.8326831785432871E-2</v>
          </cell>
          <cell r="AQ27">
            <v>0.11060476323056369</v>
          </cell>
          <cell r="AR27">
            <v>0.23663454228059072</v>
          </cell>
          <cell r="AS27">
            <v>0.21122259503199287</v>
          </cell>
          <cell r="AT27">
            <v>-1.0511064107788536E-3</v>
          </cell>
          <cell r="AU27">
            <v>4.4639544811746479E-2</v>
          </cell>
          <cell r="AV27">
            <v>0.19610488267384613</v>
          </cell>
          <cell r="AW27">
            <v>0.10405681055544352</v>
          </cell>
          <cell r="AX27">
            <v>-3.7836399371965798E-2</v>
          </cell>
          <cell r="AY27">
            <v>0.24396356321310628</v>
          </cell>
          <cell r="AZ27">
            <v>-4.1365936306768845E-2</v>
          </cell>
          <cell r="BA27">
            <v>5.8340172118657045E-2</v>
          </cell>
          <cell r="BB27">
            <v>4.5534146498102321E-2</v>
          </cell>
          <cell r="BC27">
            <v>0.1069290773712155</v>
          </cell>
          <cell r="BD27">
            <v>7.8852970269824699E-2</v>
          </cell>
          <cell r="BE27">
            <v>-0.17367350052143815</v>
          </cell>
          <cell r="BF27">
            <v>-9.092194310714544E-3</v>
          </cell>
          <cell r="BG27">
            <v>0.17198705424770572</v>
          </cell>
          <cell r="BH27">
            <v>-0.13963553931606429</v>
          </cell>
          <cell r="BI27">
            <v>0.11062601436125934</v>
          </cell>
          <cell r="BJ27">
            <v>0.15624298669566289</v>
          </cell>
          <cell r="BK27">
            <v>6.4944248028283927E-2</v>
          </cell>
          <cell r="BL27">
            <v>0.24766460746864388</v>
          </cell>
          <cell r="BM27">
            <v>0.12966905109097937</v>
          </cell>
          <cell r="BN27">
            <v>3.1639875621834644E-2</v>
          </cell>
          <cell r="BO27">
            <v>9.9122305990738777E-2</v>
          </cell>
          <cell r="BP27">
            <v>4.4707239688491489E-2</v>
          </cell>
          <cell r="BQ27">
            <v>0.267884273541868</v>
          </cell>
          <cell r="BR27">
            <v>-7.5188903434350474E-2</v>
          </cell>
          <cell r="BS27">
            <v>1.5954810231918665E-2</v>
          </cell>
          <cell r="BT27">
            <v>7.6339220551744275E-2</v>
          </cell>
          <cell r="BU27">
            <v>9.1998339166024082E-2</v>
          </cell>
          <cell r="BV27">
            <v>-0.12517684206209806</v>
          </cell>
          <cell r="BW27">
            <v>-0.16445079173001947</v>
          </cell>
          <cell r="BX27">
            <v>2.5381367429487783E-3</v>
          </cell>
          <cell r="BY27">
            <v>-0.21059443255630528</v>
          </cell>
          <cell r="BZ27">
            <v>-9.5839453847991474E-3</v>
          </cell>
          <cell r="CA27">
            <v>-8.573427978086133E-2</v>
          </cell>
          <cell r="CB27">
            <v>-1</v>
          </cell>
          <cell r="CC27">
            <v>-1</v>
          </cell>
          <cell r="CD27">
            <v>-1</v>
          </cell>
          <cell r="CE27">
            <v>-1</v>
          </cell>
          <cell r="CF27">
            <v>-1</v>
          </cell>
          <cell r="CG27">
            <v>-1</v>
          </cell>
          <cell r="CH27">
            <v>-1</v>
          </cell>
          <cell r="CI27">
            <v>-1</v>
          </cell>
          <cell r="CJ27">
            <v>-1</v>
          </cell>
          <cell r="CK27">
            <v>-1</v>
          </cell>
          <cell r="CL27">
            <v>-1</v>
          </cell>
          <cell r="CM27">
            <v>-1</v>
          </cell>
          <cell r="CN27" t="e">
            <v>#DIV/0!</v>
          </cell>
          <cell r="CO27" t="e">
            <v>#DIV/0!</v>
          </cell>
        </row>
        <row r="28">
          <cell r="O28">
            <v>4.9107468123861571</v>
          </cell>
          <cell r="P28">
            <v>2.4512820512820515</v>
          </cell>
          <cell r="Q28">
            <v>1.6235772357723577</v>
          </cell>
          <cell r="R28">
            <v>0.74269335107744283</v>
          </cell>
          <cell r="S28">
            <v>1.3895452497110052</v>
          </cell>
          <cell r="T28">
            <v>-0.12507801123361764</v>
          </cell>
          <cell r="U28">
            <v>-0.22539406158357772</v>
          </cell>
          <cell r="V28">
            <v>-6.9029251044680162E-2</v>
          </cell>
          <cell r="W28">
            <v>-0.93850978424485698</v>
          </cell>
          <cell r="X28">
            <v>-0.23629354167377434</v>
          </cell>
          <cell r="Y28">
            <v>-0.79038346640595292</v>
          </cell>
          <cell r="Z28">
            <v>-0.81841002568212096</v>
          </cell>
          <cell r="AA28">
            <v>-0.81405238828967641</v>
          </cell>
          <cell r="AB28">
            <v>-0.90094105993065876</v>
          </cell>
          <cell r="AC28">
            <v>-0.46464208242950106</v>
          </cell>
          <cell r="AD28">
            <v>-0.56965371398361087</v>
          </cell>
          <cell r="AE28">
            <v>-0.73543784847490978</v>
          </cell>
          <cell r="AF28">
            <v>-0.70694882006776438</v>
          </cell>
          <cell r="AG28">
            <v>-0.19026915113871637</v>
          </cell>
          <cell r="AH28">
            <v>0.32150194216659472</v>
          </cell>
          <cell r="AI28">
            <v>7.7637698898408809</v>
          </cell>
          <cell r="AJ28">
            <v>-0.65347330801876258</v>
          </cell>
          <cell r="AK28">
            <v>7.0220897842845117E-2</v>
          </cell>
          <cell r="AL28">
            <v>4.741705657167163</v>
          </cell>
          <cell r="AM28">
            <v>1.8735167384819358</v>
          </cell>
          <cell r="AN28">
            <v>5.915</v>
          </cell>
          <cell r="AO28">
            <v>-0.70378945743613486</v>
          </cell>
          <cell r="AP28">
            <v>0.10107835107835107</v>
          </cell>
          <cell r="AQ28">
            <v>0.11703617269544925</v>
          </cell>
          <cell r="AR28">
            <v>-0.34016227180527381</v>
          </cell>
          <cell r="AS28">
            <v>0.12572597435803776</v>
          </cell>
          <cell r="AT28">
            <v>-0.62794586403302499</v>
          </cell>
          <cell r="AU28">
            <v>1.3525605214152701</v>
          </cell>
          <cell r="AV28">
            <v>1.6501224700270722</v>
          </cell>
          <cell r="AW28">
            <v>1.1757157557048605</v>
          </cell>
          <cell r="AX28">
            <v>-0.88465598666543199</v>
          </cell>
          <cell r="AY28">
            <v>-0.61293745818626433</v>
          </cell>
          <cell r="AZ28">
            <v>-0.5617739214268499</v>
          </cell>
          <cell r="BA28">
            <v>5.300286607608129</v>
          </cell>
          <cell r="BB28">
            <v>0.15961073575900328</v>
          </cell>
          <cell r="BC28">
            <v>1.2918277098784776E-2</v>
          </cell>
          <cell r="BD28">
            <v>0.61303412234860133</v>
          </cell>
          <cell r="BE28">
            <v>0.10516239981829391</v>
          </cell>
          <cell r="BF28">
            <v>-0.67219101123595504</v>
          </cell>
          <cell r="BG28">
            <v>-0.84612035699443933</v>
          </cell>
          <cell r="BH28">
            <v>2.17478231259425</v>
          </cell>
          <cell r="BI28">
            <v>-0.24888023369036028</v>
          </cell>
          <cell r="BJ28">
            <v>6.5570006422607579</v>
          </cell>
          <cell r="BK28">
            <v>0.15818333532006199</v>
          </cell>
          <cell r="BL28">
            <v>0.68650313496865034</v>
          </cell>
          <cell r="BM28">
            <v>-0.41057877215111349</v>
          </cell>
          <cell r="BN28">
            <v>-5.2090014966859097E-2</v>
          </cell>
          <cell r="BO28">
            <v>0.12825713303540737</v>
          </cell>
          <cell r="BP28">
            <v>0.23986125933831376</v>
          </cell>
          <cell r="BQ28">
            <v>0.87842043452730478</v>
          </cell>
          <cell r="BR28">
            <v>-9.4151670951156813E-2</v>
          </cell>
          <cell r="BS28">
            <v>2.9583333333333335</v>
          </cell>
          <cell r="BT28">
            <v>-0.13937239519490072</v>
          </cell>
          <cell r="BU28">
            <v>6.8521056335419835E-3</v>
          </cell>
          <cell r="BV28">
            <v>0.62411558482949114</v>
          </cell>
          <cell r="BW28">
            <v>4.3532317826265956</v>
          </cell>
          <cell r="BX28">
            <v>2.4568223323767282</v>
          </cell>
          <cell r="BY28">
            <v>0.78915979652692514</v>
          </cell>
          <cell r="BZ28">
            <v>0.57893252882961621</v>
          </cell>
          <cell r="CA28">
            <v>0.40154169586545202</v>
          </cell>
          <cell r="CB28">
            <v>-1</v>
          </cell>
          <cell r="CC28">
            <v>-1</v>
          </cell>
          <cell r="CD28">
            <v>-1</v>
          </cell>
          <cell r="CE28">
            <v>-1</v>
          </cell>
          <cell r="CF28">
            <v>-1</v>
          </cell>
          <cell r="CG28">
            <v>-1</v>
          </cell>
          <cell r="CH28">
            <v>-1</v>
          </cell>
          <cell r="CI28">
            <v>-1</v>
          </cell>
          <cell r="CJ28">
            <v>-1</v>
          </cell>
          <cell r="CK28">
            <v>-1</v>
          </cell>
          <cell r="CL28">
            <v>-1</v>
          </cell>
          <cell r="CM28">
            <v>-1</v>
          </cell>
          <cell r="CN28" t="e">
            <v>#DIV/0!</v>
          </cell>
          <cell r="CO28" t="e">
            <v>#DIV/0!</v>
          </cell>
        </row>
        <row r="29">
          <cell r="O29">
            <v>3.7378452200303491</v>
          </cell>
          <cell r="P29">
            <v>1.9660901671200932</v>
          </cell>
          <cell r="Q29">
            <v>0</v>
          </cell>
          <cell r="R29">
            <v>7.2861689814814818</v>
          </cell>
          <cell r="S29">
            <v>3.5911764705882354</v>
          </cell>
          <cell r="T29">
            <v>0.36207426410657262</v>
          </cell>
          <cell r="U29">
            <v>2.2772482919620485</v>
          </cell>
          <cell r="V29">
            <v>0.41317299808690899</v>
          </cell>
          <cell r="W29">
            <v>1.0486667849595923</v>
          </cell>
          <cell r="X29">
            <v>-9.5116038785566681E-2</v>
          </cell>
          <cell r="Y29">
            <v>-0.29185464502951541</v>
          </cell>
          <cell r="Z29">
            <v>-0.54864081246896379</v>
          </cell>
          <cell r="AA29">
            <v>4.4070923439581836E-3</v>
          </cell>
          <cell r="AB29">
            <v>2.8276280014413468</v>
          </cell>
          <cell r="AC29">
            <v>-0.11950342267084349</v>
          </cell>
          <cell r="AD29">
            <v>0.33250689667213745</v>
          </cell>
          <cell r="AE29">
            <v>0.18447980331388403</v>
          </cell>
          <cell r="AF29">
            <v>-0.24285111684438732</v>
          </cell>
          <cell r="AG29">
            <v>6.6626148557686019E-2</v>
          </cell>
          <cell r="AH29">
            <v>0.40017018643149999</v>
          </cell>
          <cell r="AI29">
            <v>-0.4700912576868263</v>
          </cell>
          <cell r="AJ29">
            <v>0.33246964273950946</v>
          </cell>
          <cell r="AK29">
            <v>0.89976228209191755</v>
          </cell>
          <cell r="AL29">
            <v>0.49914824147354225</v>
          </cell>
          <cell r="AM29">
            <v>0.19330357142857144</v>
          </cell>
          <cell r="AN29">
            <v>-3.7314071512931549E-2</v>
          </cell>
          <cell r="AO29">
            <v>-0.35024377388325206</v>
          </cell>
          <cell r="AP29">
            <v>-0.10359286144815116</v>
          </cell>
          <cell r="AQ29">
            <v>0.45253350576063955</v>
          </cell>
          <cell r="AR29">
            <v>5.0438568078462871E-2</v>
          </cell>
          <cell r="AS29">
            <v>-0.4053476132415923</v>
          </cell>
          <cell r="AT29">
            <v>-0.45701657458563538</v>
          </cell>
          <cell r="AU29">
            <v>-6.158989598811293E-2</v>
          </cell>
          <cell r="AV29">
            <v>0.46976039023104049</v>
          </cell>
          <cell r="AW29">
            <v>-0.73515745568300317</v>
          </cell>
          <cell r="AX29">
            <v>-0.4542452327687227</v>
          </cell>
          <cell r="AY29">
            <v>-0.27191491635936083</v>
          </cell>
          <cell r="AZ29">
            <v>-0.13860391515388581</v>
          </cell>
          <cell r="BA29">
            <v>1.637091867775299</v>
          </cell>
          <cell r="BB29">
            <v>0.89364438987312167</v>
          </cell>
          <cell r="BC29">
            <v>-6.2736488537261492E-2</v>
          </cell>
          <cell r="BD29">
            <v>0.39049780452908384</v>
          </cell>
          <cell r="BE29">
            <v>0.57938282417186127</v>
          </cell>
          <cell r="BF29">
            <v>1.6530067155067154</v>
          </cell>
          <cell r="BG29">
            <v>0.9620140923125643</v>
          </cell>
          <cell r="BH29">
            <v>0.30267524779118266</v>
          </cell>
          <cell r="BI29">
            <v>2.9795892654655409</v>
          </cell>
          <cell r="BJ29">
            <v>1.3868176198841824</v>
          </cell>
          <cell r="BK29">
            <v>1.5525867637559458</v>
          </cell>
          <cell r="BL29">
            <v>0.60569688838433355</v>
          </cell>
          <cell r="BM29">
            <v>-9.7558349675087475E-2</v>
          </cell>
          <cell r="BN29">
            <v>-0.32056071880692871</v>
          </cell>
          <cell r="BO29">
            <v>0.8597705119763388</v>
          </cell>
          <cell r="BP29">
            <v>0.48118613397672438</v>
          </cell>
          <cell r="BQ29">
            <v>0.81154305322695341</v>
          </cell>
          <cell r="BR29">
            <v>0.44510283330936284</v>
          </cell>
          <cell r="BS29">
            <v>1.6318163843403732E-2</v>
          </cell>
          <cell r="BT29">
            <v>0.87680641746210719</v>
          </cell>
          <cell r="BU29">
            <v>-0.10771386057113912</v>
          </cell>
          <cell r="BV29">
            <v>0.30321947496115365</v>
          </cell>
          <cell r="BW29">
            <v>-6.1510766540903657E-2</v>
          </cell>
          <cell r="BX29">
            <v>-7.4454956807897987E-2</v>
          </cell>
          <cell r="BY29">
            <v>-0.42053191761327324</v>
          </cell>
          <cell r="BZ29">
            <v>1.6698477618723018</v>
          </cell>
          <cell r="CA29">
            <v>0.25949701377320927</v>
          </cell>
          <cell r="CB29">
            <v>-1</v>
          </cell>
          <cell r="CC29">
            <v>-1</v>
          </cell>
          <cell r="CD29">
            <v>-1</v>
          </cell>
          <cell r="CE29">
            <v>-1</v>
          </cell>
          <cell r="CF29">
            <v>-1</v>
          </cell>
          <cell r="CG29">
            <v>-1</v>
          </cell>
          <cell r="CH29">
            <v>-1</v>
          </cell>
          <cell r="CI29">
            <v>-1</v>
          </cell>
          <cell r="CJ29">
            <v>-1</v>
          </cell>
          <cell r="CK29">
            <v>-1</v>
          </cell>
          <cell r="CL29">
            <v>-1</v>
          </cell>
          <cell r="CM29">
            <v>-1</v>
          </cell>
          <cell r="CN29" t="e">
            <v>#DIV/0!</v>
          </cell>
          <cell r="CO29" t="e">
            <v>#DIV/0!</v>
          </cell>
        </row>
        <row r="30">
          <cell r="O30">
            <v>7.6031733572246393E-2</v>
          </cell>
          <cell r="P30">
            <v>0.48181147172250538</v>
          </cell>
          <cell r="Q30">
            <v>1.4216226467828552</v>
          </cell>
          <cell r="R30">
            <v>1.0156879271169579</v>
          </cell>
          <cell r="S30">
            <v>0.45593757265069662</v>
          </cell>
          <cell r="T30">
            <v>0.77588072378606709</v>
          </cell>
          <cell r="U30">
            <v>0.10379831741202362</v>
          </cell>
          <cell r="V30">
            <v>0.57303939735296172</v>
          </cell>
          <cell r="W30">
            <v>0.69743737843048981</v>
          </cell>
          <cell r="X30">
            <v>-2.4085644085644085E-2</v>
          </cell>
          <cell r="Y30">
            <v>3.376120459191697E-2</v>
          </cell>
          <cell r="Z30">
            <v>0.20362587556654305</v>
          </cell>
          <cell r="AA30">
            <v>0.359193139827087</v>
          </cell>
          <cell r="AB30">
            <v>0.51114713510964394</v>
          </cell>
          <cell r="AC30">
            <v>-3.6128984390135324E-3</v>
          </cell>
          <cell r="AD30">
            <v>-6.3375470132445336E-2</v>
          </cell>
          <cell r="AE30">
            <v>-0.15695610448471359</v>
          </cell>
          <cell r="AF30">
            <v>-1.7264848483118974E-3</v>
          </cell>
          <cell r="AG30">
            <v>0.25620835857056329</v>
          </cell>
          <cell r="AH30">
            <v>9.5828804157666633E-2</v>
          </cell>
          <cell r="AI30">
            <v>0.37241106679810448</v>
          </cell>
          <cell r="AJ30">
            <v>-5.0475114912350114E-2</v>
          </cell>
          <cell r="AK30">
            <v>0.37082259766683462</v>
          </cell>
          <cell r="AL30">
            <v>0.43323520014605871</v>
          </cell>
          <cell r="AM30">
            <v>0.11716620244848104</v>
          </cell>
          <cell r="AN30">
            <v>-0.12551735706121686</v>
          </cell>
          <cell r="AO30">
            <v>0.20912477531424978</v>
          </cell>
          <cell r="AP30">
            <v>-0.12777492688023084</v>
          </cell>
          <cell r="AQ30">
            <v>0.31948810273148354</v>
          </cell>
          <cell r="AR30">
            <v>-5.5225860304501197E-2</v>
          </cell>
          <cell r="AS30">
            <v>0.17651959466936465</v>
          </cell>
          <cell r="AT30">
            <v>0.20923019941079304</v>
          </cell>
          <cell r="AU30">
            <v>-2.2770031794183705E-2</v>
          </cell>
          <cell r="AV30">
            <v>0.2467614127058681</v>
          </cell>
          <cell r="AW30">
            <v>-6.1387796999273485E-2</v>
          </cell>
          <cell r="AX30">
            <v>-0.21675119224859279</v>
          </cell>
          <cell r="AY30">
            <v>1.0774562490474518E-2</v>
          </cell>
          <cell r="AZ30">
            <v>0.21226990580998284</v>
          </cell>
          <cell r="BA30">
            <v>-0.1731488055016209</v>
          </cell>
          <cell r="BB30">
            <v>0.1563232946825491</v>
          </cell>
          <cell r="BC30">
            <v>7.6101172437992443E-2</v>
          </cell>
          <cell r="BD30">
            <v>0.36388309798214213</v>
          </cell>
          <cell r="BE30">
            <v>4.9285772831284907E-2</v>
          </cell>
          <cell r="BF30">
            <v>-0.12229504098916168</v>
          </cell>
          <cell r="BG30">
            <v>0.20422992399792553</v>
          </cell>
          <cell r="BH30">
            <v>0.17449187300622818</v>
          </cell>
          <cell r="BI30">
            <v>0.17798246148787322</v>
          </cell>
          <cell r="BJ30">
            <v>0.65845958055833398</v>
          </cell>
          <cell r="BK30">
            <v>0.3378508165232042</v>
          </cell>
          <cell r="BL30">
            <v>0.26536465999411246</v>
          </cell>
          <cell r="BM30">
            <v>0.22491413911532254</v>
          </cell>
          <cell r="BN30">
            <v>0.94150408294108656</v>
          </cell>
          <cell r="BO30">
            <v>0.51714120559071575</v>
          </cell>
          <cell r="BP30">
            <v>0.14143383869980167</v>
          </cell>
          <cell r="BQ30">
            <v>0.45806116189937135</v>
          </cell>
          <cell r="BR30">
            <v>0.35856310819808906</v>
          </cell>
          <cell r="BS30">
            <v>-5.4668147659303529E-2</v>
          </cell>
          <cell r="BT30">
            <v>0.27525022591036702</v>
          </cell>
          <cell r="BU30">
            <v>0.35398615896334934</v>
          </cell>
          <cell r="BV30">
            <v>-5.5920508272420483E-2</v>
          </cell>
          <cell r="BW30">
            <v>0.13484840503401377</v>
          </cell>
          <cell r="BX30">
            <v>0.398762051963574</v>
          </cell>
          <cell r="BY30">
            <v>0.59952706697069502</v>
          </cell>
          <cell r="BZ30">
            <v>9.4089332217699093E-2</v>
          </cell>
          <cell r="CA30">
            <v>-0.24153611140715478</v>
          </cell>
          <cell r="CB30">
            <v>-1</v>
          </cell>
          <cell r="CC30">
            <v>-1</v>
          </cell>
          <cell r="CD30">
            <v>-1</v>
          </cell>
          <cell r="CE30">
            <v>-1</v>
          </cell>
          <cell r="CF30">
            <v>-1</v>
          </cell>
          <cell r="CG30">
            <v>-1</v>
          </cell>
          <cell r="CH30">
            <v>-1</v>
          </cell>
          <cell r="CI30">
            <v>-1</v>
          </cell>
          <cell r="CJ30">
            <v>-1</v>
          </cell>
          <cell r="CK30">
            <v>-1</v>
          </cell>
          <cell r="CL30">
            <v>-1</v>
          </cell>
          <cell r="CM30">
            <v>-1</v>
          </cell>
          <cell r="CN30" t="e">
            <v>#DIV/0!</v>
          </cell>
          <cell r="CO30" t="e">
            <v>#DIV/0!</v>
          </cell>
        </row>
        <row r="31">
          <cell r="O31">
            <v>0.23689914697549888</v>
          </cell>
          <cell r="P31">
            <v>-1.6882215409418214E-2</v>
          </cell>
          <cell r="Q31">
            <v>0.2906167782120388</v>
          </cell>
          <cell r="R31">
            <v>0.34776855215360664</v>
          </cell>
          <cell r="S31">
            <v>0.37772804567521606</v>
          </cell>
          <cell r="T31">
            <v>0.12542115964349307</v>
          </cell>
          <cell r="U31">
            <v>0.28294799893867967</v>
          </cell>
          <cell r="V31">
            <v>0.21050711565443977</v>
          </cell>
          <cell r="W31">
            <v>7.1902137220791376E-2</v>
          </cell>
          <cell r="X31">
            <v>0.17798147446595747</v>
          </cell>
          <cell r="Y31">
            <v>4.1538646833393554E-2</v>
          </cell>
          <cell r="Z31">
            <v>0.20986372238390255</v>
          </cell>
          <cell r="AA31">
            <v>0.38151401554538633</v>
          </cell>
          <cell r="AB31">
            <v>0.64329917256864344</v>
          </cell>
          <cell r="AC31">
            <v>0.16023347135393501</v>
          </cell>
          <cell r="AD31">
            <v>0.1855440441582944</v>
          </cell>
          <cell r="AE31">
            <v>-0.13487758660044549</v>
          </cell>
          <cell r="AF31">
            <v>6.7719710247532872E-2</v>
          </cell>
          <cell r="AG31">
            <v>2.7568997569807824E-2</v>
          </cell>
          <cell r="AH31">
            <v>0.28023652061027748</v>
          </cell>
          <cell r="AI31">
            <v>0.28329331509323613</v>
          </cell>
          <cell r="AJ31">
            <v>9.3475368300281261E-2</v>
          </cell>
          <cell r="AK31">
            <v>0.25770954000035701</v>
          </cell>
          <cell r="AL31">
            <v>0.42377267874375812</v>
          </cell>
          <cell r="AM31">
            <v>7.7951698368443553E-2</v>
          </cell>
          <cell r="AN31">
            <v>-1.1074632640627391E-2</v>
          </cell>
          <cell r="AO31">
            <v>0.20865733590795782</v>
          </cell>
          <cell r="AP31">
            <v>1.8718174753227471E-2</v>
          </cell>
          <cell r="AQ31">
            <v>0.18601256562722654</v>
          </cell>
          <cell r="AR31">
            <v>0.11898685173430153</v>
          </cell>
          <cell r="AS31">
            <v>0.14233787344840496</v>
          </cell>
          <cell r="AT31">
            <v>1.0451871080224998E-2</v>
          </cell>
          <cell r="AU31">
            <v>3.4231870151572502E-2</v>
          </cell>
          <cell r="AV31">
            <v>0.22786392351609744</v>
          </cell>
          <cell r="AW31">
            <v>-5.974477958236659E-3</v>
          </cell>
          <cell r="AX31">
            <v>-0.13067586808524539</v>
          </cell>
          <cell r="AY31">
            <v>0.12450768141118036</v>
          </cell>
          <cell r="AZ31">
            <v>1.2349060228749887E-2</v>
          </cell>
          <cell r="BA31">
            <v>4.9153962691412541E-2</v>
          </cell>
          <cell r="BB31">
            <v>0.1045677996737896</v>
          </cell>
          <cell r="BC31">
            <v>8.7400574379234125E-2</v>
          </cell>
          <cell r="BD31">
            <v>0.17928195622688958</v>
          </cell>
          <cell r="BE31">
            <v>-5.4149498569271586E-2</v>
          </cell>
          <cell r="BF31">
            <v>-2.0517917577606997E-2</v>
          </cell>
          <cell r="BG31">
            <v>0.18186092437950668</v>
          </cell>
          <cell r="BH31">
            <v>-9.0179030947656665E-3</v>
          </cell>
          <cell r="BI31">
            <v>0.18178161226362269</v>
          </cell>
          <cell r="BJ31">
            <v>0.34613210409138856</v>
          </cell>
          <cell r="BK31">
            <v>0.19148295595451914</v>
          </cell>
          <cell r="BL31">
            <v>0.27552672640799269</v>
          </cell>
          <cell r="BM31">
            <v>0.12477167424322873</v>
          </cell>
          <cell r="BN31">
            <v>0.21204383850836919</v>
          </cell>
          <cell r="BO31">
            <v>0.26735299097364051</v>
          </cell>
          <cell r="BP31">
            <v>9.8910896663292544E-2</v>
          </cell>
          <cell r="BQ31">
            <v>0.39681662390048034</v>
          </cell>
          <cell r="BR31">
            <v>0.10146566746970948</v>
          </cell>
          <cell r="BS31">
            <v>3.9176528075803609E-3</v>
          </cell>
          <cell r="BT31">
            <v>0.18209512610714615</v>
          </cell>
          <cell r="BU31">
            <v>0.1652923298030263</v>
          </cell>
          <cell r="BV31">
            <v>-6.8155350407029039E-2</v>
          </cell>
          <cell r="BW31">
            <v>-2.6479125086281557E-2</v>
          </cell>
          <cell r="BX31">
            <v>0.13737397308471197</v>
          </cell>
          <cell r="BY31">
            <v>7.8158809376888804E-3</v>
          </cell>
          <cell r="BZ31">
            <v>9.9666528038945032E-2</v>
          </cell>
          <cell r="CA31">
            <v>-0.12050812921155014</v>
          </cell>
          <cell r="CB31" t="e">
            <v>#VALUE!</v>
          </cell>
          <cell r="CC31" t="e">
            <v>#VALUE!</v>
          </cell>
          <cell r="CD31">
            <v>-1</v>
          </cell>
          <cell r="CE31">
            <v>-1</v>
          </cell>
          <cell r="CF31">
            <v>-1</v>
          </cell>
          <cell r="CG31">
            <v>-1</v>
          </cell>
          <cell r="CH31">
            <v>-1</v>
          </cell>
          <cell r="CI31">
            <v>-1</v>
          </cell>
          <cell r="CJ31">
            <v>-1</v>
          </cell>
          <cell r="CK31">
            <v>-1</v>
          </cell>
          <cell r="CL31">
            <v>-1</v>
          </cell>
          <cell r="CM31">
            <v>-1</v>
          </cell>
          <cell r="CN31" t="e">
            <v>#VALUE!</v>
          </cell>
          <cell r="CO31" t="e">
            <v>#VALUE!</v>
          </cell>
        </row>
        <row r="32">
          <cell r="I32">
            <v>0</v>
          </cell>
          <cell r="J32">
            <v>0</v>
          </cell>
          <cell r="K32">
            <v>10.8</v>
          </cell>
          <cell r="L32">
            <v>9.1</v>
          </cell>
          <cell r="M32">
            <v>9.1</v>
          </cell>
          <cell r="N32">
            <v>10</v>
          </cell>
          <cell r="O32">
            <v>9.6</v>
          </cell>
          <cell r="P32">
            <v>9.6</v>
          </cell>
          <cell r="Q32">
            <v>7.4</v>
          </cell>
          <cell r="R32">
            <v>7.6</v>
          </cell>
          <cell r="S32">
            <v>0.08</v>
          </cell>
          <cell r="T32">
            <v>9.0999999999999998E-2</v>
          </cell>
          <cell r="U32">
            <v>8.8000000000000009E-2</v>
          </cell>
          <cell r="V32">
            <v>8.8000000000000009E-2</v>
          </cell>
          <cell r="W32">
            <v>9.5000000000000001E-2</v>
          </cell>
          <cell r="X32">
            <v>0.10300000000000001</v>
          </cell>
          <cell r="Y32">
            <v>0.10300000000000001</v>
          </cell>
          <cell r="Z32">
            <v>8.5999999999999993E-2</v>
          </cell>
          <cell r="AA32">
            <v>8.5999999999999993E-2</v>
          </cell>
          <cell r="AB32">
            <v>8.5999999999999993E-2</v>
          </cell>
          <cell r="AC32">
            <v>8.5999999999999993E-2</v>
          </cell>
          <cell r="AD32">
            <v>9.6999999999999989E-2</v>
          </cell>
          <cell r="AE32">
            <v>9.6999999999999989E-2</v>
          </cell>
          <cell r="AF32">
            <v>0.10099999999999999</v>
          </cell>
          <cell r="AG32">
            <v>0.10099999999999999</v>
          </cell>
          <cell r="AH32">
            <v>0.10299999999999999</v>
          </cell>
          <cell r="AI32">
            <v>0.115</v>
          </cell>
          <cell r="AJ32">
            <v>0.115</v>
          </cell>
          <cell r="AK32">
            <v>0.113</v>
          </cell>
          <cell r="AL32">
            <v>0.113</v>
          </cell>
          <cell r="AM32">
            <v>0.11</v>
          </cell>
          <cell r="AN32">
            <v>0.11</v>
          </cell>
          <cell r="AO32">
            <v>0.11</v>
          </cell>
          <cell r="AP32">
            <v>0.11899999999999999</v>
          </cell>
          <cell r="AQ32">
            <v>0.11899999999999999</v>
          </cell>
          <cell r="AR32">
            <v>0.11899999999999999</v>
          </cell>
          <cell r="AS32">
            <v>0.11600000000000001</v>
          </cell>
          <cell r="AT32">
            <v>0.11600000000000001</v>
          </cell>
          <cell r="AU32">
            <v>0.113</v>
          </cell>
          <cell r="AV32">
            <v>0.11799999999999999</v>
          </cell>
          <cell r="AW32">
            <v>0.11799999999999999</v>
          </cell>
          <cell r="AX32">
            <v>0.12</v>
          </cell>
          <cell r="AY32">
            <v>0.122</v>
          </cell>
          <cell r="AZ32">
            <v>0.122</v>
          </cell>
          <cell r="BA32">
            <v>0.122</v>
          </cell>
          <cell r="BB32">
            <v>0.122</v>
          </cell>
          <cell r="BC32">
            <v>0.11799999999999999</v>
          </cell>
          <cell r="BD32">
            <v>0.126</v>
          </cell>
          <cell r="BE32">
            <v>0.113</v>
          </cell>
          <cell r="BF32">
            <v>0.113</v>
          </cell>
          <cell r="BG32">
            <v>0.10299999999999999</v>
          </cell>
          <cell r="BH32">
            <v>0.10299999999999999</v>
          </cell>
          <cell r="BI32">
            <v>0.1</v>
          </cell>
          <cell r="BJ32">
            <v>0.1</v>
          </cell>
          <cell r="BK32">
            <v>0.11600000000000001</v>
          </cell>
          <cell r="BL32">
            <v>0.11600000000000001</v>
          </cell>
          <cell r="BM32">
            <v>0.112</v>
          </cell>
          <cell r="BN32">
            <v>0.112</v>
          </cell>
          <cell r="BO32">
            <v>0.11</v>
          </cell>
          <cell r="BP32">
            <v>0.10199999999999999</v>
          </cell>
          <cell r="BQ32">
            <v>0.10199999999999999</v>
          </cell>
          <cell r="BR32">
            <v>0.107</v>
          </cell>
          <cell r="BS32">
            <v>9.8000000000000004E-2</v>
          </cell>
          <cell r="BT32">
            <v>9.6000000000000002E-2</v>
          </cell>
          <cell r="BU32">
            <v>9.6000000000000002E-2</v>
          </cell>
          <cell r="BV32">
            <v>9.9000000000000005E-2</v>
          </cell>
          <cell r="BW32">
            <v>9.9000000000000005E-2</v>
          </cell>
          <cell r="BX32">
            <v>0.105</v>
          </cell>
          <cell r="BY32">
            <v>9.8000000000000004E-2</v>
          </cell>
          <cell r="BZ32">
            <v>0.10100000000000001</v>
          </cell>
          <cell r="CA32">
            <v>0.10100000000000001</v>
          </cell>
        </row>
        <row r="33">
          <cell r="AE33">
            <v>0.16200000000000001</v>
          </cell>
          <cell r="AF33">
            <v>0.16200000000000001</v>
          </cell>
          <cell r="AG33">
            <v>0.16200000000000001</v>
          </cell>
          <cell r="AH33">
            <v>0.16200000000000001</v>
          </cell>
          <cell r="AI33">
            <v>0.186</v>
          </cell>
          <cell r="AJ33">
            <v>0.19</v>
          </cell>
          <cell r="AK33">
            <v>0.19</v>
          </cell>
          <cell r="AL33">
            <v>0.19</v>
          </cell>
          <cell r="AM33">
            <v>0.19900000000000001</v>
          </cell>
          <cell r="AN33">
            <v>0.19900000000000001</v>
          </cell>
          <cell r="AO33">
            <v>0.19900000000000001</v>
          </cell>
          <cell r="AP33">
            <v>0.17899999999999999</v>
          </cell>
          <cell r="AQ33">
            <v>0.22800000000000001</v>
          </cell>
          <cell r="AR33">
            <v>0.22800000000000001</v>
          </cell>
          <cell r="AS33">
            <v>0.23200000000000001</v>
          </cell>
          <cell r="AT33">
            <v>0.23200000000000001</v>
          </cell>
          <cell r="AU33">
            <v>0.28699999999999998</v>
          </cell>
          <cell r="AV33">
            <v>0.29899999999999999</v>
          </cell>
          <cell r="AW33">
            <v>0.29899999999999999</v>
          </cell>
          <cell r="AX33">
            <v>0.24399999999999999</v>
          </cell>
          <cell r="AY33">
            <v>0.31900000000000001</v>
          </cell>
          <cell r="AZ33">
            <v>0.31900000000000001</v>
          </cell>
          <cell r="BA33">
            <v>0.31900000000000001</v>
          </cell>
          <cell r="BB33">
            <v>0.31900000000000001</v>
          </cell>
          <cell r="BC33">
            <v>0.27</v>
          </cell>
          <cell r="BD33">
            <v>0.23400000000000001</v>
          </cell>
          <cell r="BE33">
            <v>0.20399999999999999</v>
          </cell>
          <cell r="BF33">
            <v>0.20399999999999999</v>
          </cell>
          <cell r="BG33">
            <v>0.218</v>
          </cell>
          <cell r="BH33">
            <v>0.218</v>
          </cell>
          <cell r="BI33">
            <v>0.23</v>
          </cell>
          <cell r="BJ33">
            <v>0.23</v>
          </cell>
          <cell r="BK33">
            <v>0.27</v>
          </cell>
          <cell r="BL33">
            <v>0.24399999999999999</v>
          </cell>
          <cell r="BM33">
            <v>0.22500000000000001</v>
          </cell>
          <cell r="BN33">
            <v>0.22500000000000001</v>
          </cell>
          <cell r="BO33">
            <v>0.22500000000000001</v>
          </cell>
          <cell r="BP33">
            <v>0.23100000000000001</v>
          </cell>
          <cell r="BQ33">
            <v>0.23100000000000001</v>
          </cell>
          <cell r="BR33">
            <v>0.21</v>
          </cell>
          <cell r="BS33">
            <v>0.19700000000000001</v>
          </cell>
          <cell r="BT33">
            <v>0.19900000000000001</v>
          </cell>
          <cell r="BU33">
            <v>0.19900000000000001</v>
          </cell>
          <cell r="BV33">
            <v>0.19500000000000001</v>
          </cell>
          <cell r="BW33">
            <v>0.19500000000000001</v>
          </cell>
          <cell r="BX33">
            <v>0.19800000000000001</v>
          </cell>
          <cell r="BY33">
            <v>0.17100000000000001</v>
          </cell>
          <cell r="BZ33">
            <v>0.161</v>
          </cell>
          <cell r="CA33">
            <v>0.17899999999999999</v>
          </cell>
        </row>
        <row r="34">
          <cell r="I34">
            <v>0</v>
          </cell>
          <cell r="J34">
            <v>0</v>
          </cell>
          <cell r="K34">
            <v>19.600000000000001</v>
          </cell>
          <cell r="L34">
            <v>17.399999999999999</v>
          </cell>
          <cell r="M34">
            <v>17.399999999999999</v>
          </cell>
          <cell r="N34">
            <v>18.2</v>
          </cell>
          <cell r="O34">
            <v>16</v>
          </cell>
          <cell r="P34">
            <v>18.399999999999999</v>
          </cell>
          <cell r="Q34">
            <v>12.2</v>
          </cell>
          <cell r="R34">
            <v>14</v>
          </cell>
          <cell r="S34">
            <v>0.122</v>
          </cell>
          <cell r="T34">
            <v>0.14099999999999999</v>
          </cell>
          <cell r="U34">
            <v>0.13300000000000001</v>
          </cell>
          <cell r="V34">
            <v>0.13300000000000001</v>
          </cell>
          <cell r="W34">
            <v>0.14599999999999999</v>
          </cell>
          <cell r="X34">
            <v>0.155</v>
          </cell>
          <cell r="Y34">
            <v>0.155</v>
          </cell>
          <cell r="Z34">
            <v>0.13800000000000001</v>
          </cell>
          <cell r="AA34">
            <v>0.13800000000000001</v>
          </cell>
          <cell r="AB34">
            <v>0.13800000000000001</v>
          </cell>
          <cell r="AC34">
            <v>0.13800000000000001</v>
          </cell>
          <cell r="AD34">
            <v>0.14000000000000001</v>
          </cell>
          <cell r="AE34">
            <v>0.193</v>
          </cell>
          <cell r="AF34">
            <v>0.193</v>
          </cell>
          <cell r="AG34">
            <v>0.193</v>
          </cell>
          <cell r="AH34">
            <v>0.193</v>
          </cell>
          <cell r="AI34">
            <v>0.28699999999999998</v>
          </cell>
          <cell r="AJ34">
            <v>0.28999999999999998</v>
          </cell>
          <cell r="AK34">
            <v>0.27100000000000002</v>
          </cell>
          <cell r="AL34">
            <v>0.27100000000000002</v>
          </cell>
          <cell r="AM34">
            <v>0.26200000000000001</v>
          </cell>
          <cell r="AN34">
            <v>0.26200000000000001</v>
          </cell>
          <cell r="AO34">
            <v>0.26200000000000001</v>
          </cell>
          <cell r="AP34">
            <v>0.311</v>
          </cell>
          <cell r="AQ34">
            <v>0.17</v>
          </cell>
          <cell r="AR34">
            <v>0.17</v>
          </cell>
          <cell r="AS34">
            <v>0.17599999999999999</v>
          </cell>
          <cell r="AT34">
            <v>0.17599999999999999</v>
          </cell>
          <cell r="AU34">
            <v>0.17299999999999999</v>
          </cell>
          <cell r="AV34">
            <v>0.17699999999999999</v>
          </cell>
          <cell r="AW34">
            <v>0.17699999999999999</v>
          </cell>
          <cell r="AX34">
            <v>0.17499999999999999</v>
          </cell>
          <cell r="AY34">
            <v>0.189</v>
          </cell>
          <cell r="AZ34">
            <v>0.189</v>
          </cell>
          <cell r="BA34">
            <v>0.189</v>
          </cell>
          <cell r="BB34">
            <v>0.189</v>
          </cell>
          <cell r="BC34">
            <v>0.159</v>
          </cell>
          <cell r="BD34">
            <v>0.17299999999999999</v>
          </cell>
          <cell r="BE34">
            <v>0.156</v>
          </cell>
          <cell r="BF34">
            <v>0.156</v>
          </cell>
          <cell r="BG34">
            <v>0.155</v>
          </cell>
          <cell r="BH34">
            <v>0.151</v>
          </cell>
          <cell r="BI34">
            <v>0.151</v>
          </cell>
          <cell r="BJ34">
            <v>0.16200000000000001</v>
          </cell>
          <cell r="BK34">
            <v>0.17100000000000001</v>
          </cell>
          <cell r="BL34">
            <v>0.17100000000000001</v>
          </cell>
          <cell r="BM34">
            <v>0.16600000000000001</v>
          </cell>
          <cell r="BN34">
            <v>0.16600000000000001</v>
          </cell>
          <cell r="BO34">
            <v>0.16600000000000001</v>
          </cell>
          <cell r="BP34">
            <v>0.154</v>
          </cell>
          <cell r="BQ34">
            <v>0.154</v>
          </cell>
          <cell r="BR34">
            <v>0.16700000000000001</v>
          </cell>
          <cell r="BS34">
            <v>0.154</v>
          </cell>
          <cell r="BT34">
            <v>0.14899999999999999</v>
          </cell>
          <cell r="BU34">
            <v>0.14899999999999999</v>
          </cell>
          <cell r="BV34">
            <v>0.14799999999999999</v>
          </cell>
          <cell r="BW34">
            <v>0.14799999999999999</v>
          </cell>
          <cell r="BX34">
            <v>0.158</v>
          </cell>
          <cell r="BY34">
            <v>0.152</v>
          </cell>
          <cell r="BZ34">
            <v>0.151</v>
          </cell>
          <cell r="CA34">
            <v>0.153</v>
          </cell>
        </row>
        <row r="36">
          <cell r="K36">
            <v>0.71893228424853906</v>
          </cell>
          <cell r="L36">
            <v>0.65682883265608105</v>
          </cell>
          <cell r="M36">
            <v>0.73600875224891249</v>
          </cell>
          <cell r="N36">
            <v>0.67971741086778614</v>
          </cell>
          <cell r="O36">
            <v>0.61643097707622063</v>
          </cell>
          <cell r="P36">
            <v>0.59459226958706957</v>
          </cell>
          <cell r="Q36">
            <v>1.1597719635494343</v>
          </cell>
          <cell r="R36">
            <v>8.7393634021986581E-3</v>
          </cell>
          <cell r="S36">
            <v>0.53514643985812094</v>
          </cell>
          <cell r="T36">
            <v>0.50215609248064053</v>
          </cell>
          <cell r="U36">
            <v>0.75696244103183896</v>
          </cell>
          <cell r="V36">
            <v>1.1840237345447744</v>
          </cell>
          <cell r="W36">
            <v>1.0017021051791557</v>
          </cell>
          <cell r="X36">
            <v>0.89538781847793614</v>
          </cell>
          <cell r="Y36">
            <v>0.8287813472627289</v>
          </cell>
          <cell r="Z36">
            <v>1.1802252303700604</v>
          </cell>
          <cell r="AA36">
            <v>1.0754475883421861</v>
          </cell>
          <cell r="AB36">
            <v>1.026394146503768</v>
          </cell>
          <cell r="AC36">
            <v>1.1730663197738085</v>
          </cell>
          <cell r="AD36">
            <v>1.0398163469533297</v>
          </cell>
          <cell r="AE36">
            <v>0.66408573825532147</v>
          </cell>
          <cell r="AF36">
            <v>0.66434855480007216</v>
          </cell>
          <cell r="AG36">
            <v>0.74987295325040304</v>
          </cell>
          <cell r="AH36">
            <v>0.85922821624200829</v>
          </cell>
          <cell r="AI36">
            <v>0.75107009723812335</v>
          </cell>
          <cell r="AJ36">
            <v>0.57550942196843968</v>
          </cell>
          <cell r="AK36">
            <v>0.64184011555229992</v>
          </cell>
          <cell r="AL36">
            <v>0.67164981717310346</v>
          </cell>
          <cell r="AM36">
            <v>0.77936576440992988</v>
          </cell>
          <cell r="AN36">
            <v>0.84843433796649725</v>
          </cell>
          <cell r="AO36">
            <v>0.71524490848062927</v>
          </cell>
          <cell r="AP36">
            <v>0.499137597064643</v>
          </cell>
          <cell r="AQ36">
            <v>1.0911635645983639</v>
          </cell>
          <cell r="AR36">
            <v>0.99626648167230236</v>
          </cell>
          <cell r="AS36">
            <v>0.9360135787620526</v>
          </cell>
          <cell r="AT36">
            <v>1.3844461997006368</v>
          </cell>
          <cell r="AU36">
            <v>1.260338954504661</v>
          </cell>
          <cell r="AV36">
            <v>1.1791182250304788</v>
          </cell>
          <cell r="AW36">
            <v>0.92626897173032086</v>
          </cell>
          <cell r="AX36">
            <v>1.2019209171083935</v>
          </cell>
          <cell r="AY36">
            <v>1.1431027731431769</v>
          </cell>
          <cell r="AZ36">
            <v>1.2164627813338376</v>
          </cell>
          <cell r="BA36">
            <v>1.1562145869741878</v>
          </cell>
          <cell r="BB36">
            <v>1.0547435277618487</v>
          </cell>
          <cell r="BC36">
            <v>1.3897991097581974</v>
          </cell>
          <cell r="BD36">
            <v>1.0921881638749156</v>
          </cell>
          <cell r="BE36">
            <v>1.3811502270734044</v>
          </cell>
          <cell r="BF36">
            <v>1.4501267852106863</v>
          </cell>
          <cell r="BG36">
            <v>1.3110718575662106</v>
          </cell>
          <cell r="BH36">
            <v>1.5563172932189815</v>
          </cell>
          <cell r="BI36">
            <v>1.4261326496117097</v>
          </cell>
          <cell r="BJ36">
            <v>1.3828736280053575</v>
          </cell>
          <cell r="BK36">
            <v>1.4994726825678466</v>
          </cell>
          <cell r="BL36">
            <v>1.3331204708571243</v>
          </cell>
          <cell r="BM36">
            <v>1.2208185798307689</v>
          </cell>
          <cell r="BN36">
            <v>1.2652378791903358</v>
          </cell>
          <cell r="BO36">
            <v>1.319146699930231</v>
          </cell>
          <cell r="BP36">
            <v>1.3702615095365416</v>
          </cell>
          <cell r="BQ36">
            <v>1.3851441377775102</v>
          </cell>
          <cell r="BR36">
            <v>1.3597228542017454</v>
          </cell>
          <cell r="BS36">
            <v>1.1910486262312707</v>
          </cell>
          <cell r="BT36">
            <v>1.1574046808946139</v>
          </cell>
          <cell r="BU36">
            <v>1.1400528186102132</v>
          </cell>
          <cell r="BV36">
            <v>1.2287499460990725</v>
          </cell>
          <cell r="BW36">
            <v>1.2293583647400552</v>
          </cell>
          <cell r="BX36">
            <v>1.1624226184976438</v>
          </cell>
          <cell r="BY36">
            <v>1.2182036465192319</v>
          </cell>
          <cell r="BZ36">
            <v>1.2330984004834313</v>
          </cell>
          <cell r="CA36">
            <v>0.90591612891756879</v>
          </cell>
          <cell r="CB36" t="e">
            <v>#DIV/0!</v>
          </cell>
          <cell r="CC36" t="e">
            <v>#DIV/0!</v>
          </cell>
          <cell r="CD36" t="e">
            <v>#DIV/0!</v>
          </cell>
          <cell r="CE36" t="e">
            <v>#DIV/0!</v>
          </cell>
          <cell r="CF36" t="e">
            <v>#DIV/0!</v>
          </cell>
          <cell r="CG36" t="e">
            <v>#DIV/0!</v>
          </cell>
          <cell r="CH36" t="e">
            <v>#DIV/0!</v>
          </cell>
          <cell r="CI36" t="e">
            <v>#DIV/0!</v>
          </cell>
          <cell r="CJ36" t="e">
            <v>#DIV/0!</v>
          </cell>
          <cell r="CK36" t="e">
            <v>#DIV/0!</v>
          </cell>
          <cell r="CL36" t="e">
            <v>#DIV/0!</v>
          </cell>
          <cell r="CM36" t="e">
            <v>#DIV/0!</v>
          </cell>
          <cell r="CN36" t="e">
            <v>#DIV/0!</v>
          </cell>
          <cell r="CO36" t="e">
            <v>#DIV/0!</v>
          </cell>
        </row>
        <row r="37">
          <cell r="K37">
            <v>0.24497788562800848</v>
          </cell>
          <cell r="L37">
            <v>0.20074678341829721</v>
          </cell>
          <cell r="M37">
            <v>0.20107627383332474</v>
          </cell>
          <cell r="N37">
            <v>0.19750114578438493</v>
          </cell>
          <cell r="O37">
            <v>0.39637953772584666</v>
          </cell>
          <cell r="P37">
            <v>0.26606432454073237</v>
          </cell>
          <cell r="Q37">
            <v>0.47066350248354527</v>
          </cell>
          <cell r="R37">
            <v>3.7421301586159548E-3</v>
          </cell>
          <cell r="S37">
            <v>0.40484662131972526</v>
          </cell>
          <cell r="T37">
            <v>0.46516055344384943</v>
          </cell>
          <cell r="U37">
            <v>0.77577635144986301</v>
          </cell>
          <cell r="V37">
            <v>0.48680147654470513</v>
          </cell>
          <cell r="W37">
            <v>0.43624934032353674</v>
          </cell>
          <cell r="X37">
            <v>0.56448633503157808</v>
          </cell>
          <cell r="Y37">
            <v>0.59915211976542881</v>
          </cell>
          <cell r="Z37">
            <v>0.57870897376526809</v>
          </cell>
          <cell r="AA37">
            <v>0.42689905599221384</v>
          </cell>
          <cell r="AB37">
            <v>0.62612805492203949</v>
          </cell>
          <cell r="AC37">
            <v>0.5867905531979708</v>
          </cell>
          <cell r="AD37">
            <v>0.49626120701604276</v>
          </cell>
          <cell r="AE37">
            <v>0.43971135920922699</v>
          </cell>
          <cell r="AF37">
            <v>0.49991126912010353</v>
          </cell>
          <cell r="AG37">
            <v>0.6220392218757167</v>
          </cell>
          <cell r="AH37">
            <v>0.53938476089166199</v>
          </cell>
          <cell r="AI37">
            <v>0.31190509743333178</v>
          </cell>
          <cell r="AJ37">
            <v>0.39493819586109236</v>
          </cell>
          <cell r="AK37">
            <v>0.41058758520154365</v>
          </cell>
          <cell r="AL37">
            <v>0.32182023346802252</v>
          </cell>
          <cell r="AM37">
            <v>0.37849473443019832</v>
          </cell>
          <cell r="AN37">
            <v>0.32862084050959023</v>
          </cell>
          <cell r="AO37">
            <v>0.33019870767144233</v>
          </cell>
          <cell r="AP37">
            <v>0.30195896191081967</v>
          </cell>
          <cell r="AQ37">
            <v>0.68704155536030986</v>
          </cell>
          <cell r="AR37">
            <v>0.74896443915290489</v>
          </cell>
          <cell r="AS37">
            <v>0.79504298338249046</v>
          </cell>
          <cell r="AT37">
            <v>0.58584156721424263</v>
          </cell>
          <cell r="AU37">
            <v>0.70733875048153683</v>
          </cell>
          <cell r="AV37">
            <v>0.63931587223157182</v>
          </cell>
          <cell r="AW37">
            <v>0.64018402859787571</v>
          </cell>
          <cell r="AX37">
            <v>0.53337709910793185</v>
          </cell>
          <cell r="AY37">
            <v>0.63080620190407455</v>
          </cell>
          <cell r="AZ37">
            <v>0.66069575398419333</v>
          </cell>
          <cell r="BA37">
            <v>0.59475296322843807</v>
          </cell>
          <cell r="BB37">
            <v>0.58784814343304681</v>
          </cell>
          <cell r="BC37">
            <v>0.82269277112148165</v>
          </cell>
          <cell r="BD37">
            <v>0.64208052560746731</v>
          </cell>
          <cell r="BE37">
            <v>0.96533944868226063</v>
          </cell>
          <cell r="BF37">
            <v>0.88373288462241584</v>
          </cell>
          <cell r="BG37">
            <v>0.83572561758706654</v>
          </cell>
          <cell r="BH37">
            <v>0.83779054979975998</v>
          </cell>
          <cell r="BI37">
            <v>0.81444090128579771</v>
          </cell>
          <cell r="BJ37">
            <v>0.81047738606133113</v>
          </cell>
          <cell r="BK37">
            <v>0.67695634549511974</v>
          </cell>
          <cell r="BL37">
            <v>0.63340154539055649</v>
          </cell>
          <cell r="BM37">
            <v>0.67337558722386248</v>
          </cell>
          <cell r="BN37">
            <v>0.62456453917607124</v>
          </cell>
          <cell r="BO37">
            <v>0.75593236097799243</v>
          </cell>
          <cell r="BP37">
            <v>0.80764800301729456</v>
          </cell>
          <cell r="BQ37">
            <v>0.91361510750946473</v>
          </cell>
          <cell r="BR37">
            <v>0.76229772481508462</v>
          </cell>
          <cell r="BS37">
            <v>0.7922550129206466</v>
          </cell>
          <cell r="BT37">
            <v>0.840354861749111</v>
          </cell>
          <cell r="BU37">
            <v>0.72408429827830312</v>
          </cell>
          <cell r="BV37">
            <v>0.7550578367937324</v>
          </cell>
          <cell r="BW37">
            <v>0.84289392329737456</v>
          </cell>
          <cell r="BX37">
            <v>0.63994374120956399</v>
          </cell>
          <cell r="BY37">
            <v>0.69309891284243408</v>
          </cell>
          <cell r="BZ37">
            <v>0.6887229545385235</v>
          </cell>
          <cell r="CA37">
            <v>0.81299789505032249</v>
          </cell>
          <cell r="CB37" t="e">
            <v>#DIV/0!</v>
          </cell>
          <cell r="CC37" t="e">
            <v>#DIV/0!</v>
          </cell>
          <cell r="CD37" t="e">
            <v>#DIV/0!</v>
          </cell>
          <cell r="CE37" t="e">
            <v>#DIV/0!</v>
          </cell>
          <cell r="CF37" t="e">
            <v>#DIV/0!</v>
          </cell>
          <cell r="CG37" t="e">
            <v>#DIV/0!</v>
          </cell>
          <cell r="CH37" t="e">
            <v>#DIV/0!</v>
          </cell>
          <cell r="CI37" t="e">
            <v>#DIV/0!</v>
          </cell>
          <cell r="CJ37" t="e">
            <v>#DIV/0!</v>
          </cell>
          <cell r="CK37" t="e">
            <v>#DIV/0!</v>
          </cell>
          <cell r="CL37" t="e">
            <v>#DIV/0!</v>
          </cell>
          <cell r="CM37" t="e">
            <v>#DIV/0!</v>
          </cell>
          <cell r="CN37" t="e">
            <v>#DIV/0!</v>
          </cell>
          <cell r="CO37" t="e">
            <v>#DIV/0!</v>
          </cell>
        </row>
        <row r="38">
          <cell r="K38">
            <v>0.44490682872953513</v>
          </cell>
          <cell r="L38">
            <v>0.4060773289397171</v>
          </cell>
          <cell r="M38">
            <v>0.41699124889326061</v>
          </cell>
          <cell r="N38">
            <v>0.40496473810039463</v>
          </cell>
          <cell r="O38">
            <v>0.48966737902836066</v>
          </cell>
          <cell r="P38">
            <v>0.42186005380216296</v>
          </cell>
          <cell r="Q38">
            <v>0.75760406434206851</v>
          </cell>
          <cell r="R38">
            <v>6.0168634878971583E-3</v>
          </cell>
          <cell r="S38">
            <v>0.45952050436393937</v>
          </cell>
          <cell r="T38">
            <v>0.4807666783170188</v>
          </cell>
          <cell r="U38">
            <v>0.7673674168835799</v>
          </cell>
          <cell r="V38">
            <v>0.80549903789926869</v>
          </cell>
          <cell r="W38">
            <v>0.70210154814286352</v>
          </cell>
          <cell r="X38">
            <v>0.70305105253679911</v>
          </cell>
          <cell r="Y38">
            <v>0.69426637796286861</v>
          </cell>
          <cell r="Z38">
            <v>0.84333797083818562</v>
          </cell>
          <cell r="AA38">
            <v>0.69150049971692251</v>
          </cell>
          <cell r="AB38">
            <v>0.7929826082645226</v>
          </cell>
          <cell r="AC38">
            <v>0.8254622604634525</v>
          </cell>
          <cell r="AD38">
            <v>0.72954924013836764</v>
          </cell>
          <cell r="AE38">
            <v>0.53421651099817857</v>
          </cell>
          <cell r="AF38">
            <v>0.56822463852047334</v>
          </cell>
          <cell r="AG38">
            <v>0.6741799307112073</v>
          </cell>
          <cell r="AH38">
            <v>0.67712096146018874</v>
          </cell>
          <cell r="AI38">
            <v>0.51347898279576099</v>
          </cell>
          <cell r="AJ38">
            <v>0.46610976778710128</v>
          </cell>
          <cell r="AK38">
            <v>0.50465854682556788</v>
          </cell>
          <cell r="AL38">
            <v>0.46614787477589509</v>
          </cell>
          <cell r="AM38">
            <v>0.5356418411079672</v>
          </cell>
          <cell r="AN38">
            <v>0.51686023050605634</v>
          </cell>
          <cell r="AO38">
            <v>0.47899136908855133</v>
          </cell>
          <cell r="AP38">
            <v>0.38803197340567075</v>
          </cell>
          <cell r="AQ38">
            <v>0.86078471745477814</v>
          </cell>
          <cell r="AR38">
            <v>0.85028148357338096</v>
          </cell>
          <cell r="AS38">
            <v>0.85017051017140277</v>
          </cell>
          <cell r="AT38">
            <v>0.88380733282401136</v>
          </cell>
          <cell r="AU38">
            <v>0.93680612090379145</v>
          </cell>
          <cell r="AV38">
            <v>0.83135253591146707</v>
          </cell>
          <cell r="AW38">
            <v>0.75087364547873792</v>
          </cell>
          <cell r="AX38">
            <v>0.79203548421479542</v>
          </cell>
          <cell r="AY38">
            <v>0.825362154596881</v>
          </cell>
          <cell r="AZ38">
            <v>0.8877778720927455</v>
          </cell>
          <cell r="BA38">
            <v>0.80057720333288374</v>
          </cell>
          <cell r="BB38">
            <v>0.79234099901099764</v>
          </cell>
          <cell r="BC38">
            <v>1.0493659582085118</v>
          </cell>
          <cell r="BD38">
            <v>0.82324498886524355</v>
          </cell>
          <cell r="BE38">
            <v>1.1277345387547961</v>
          </cell>
          <cell r="BF38">
            <v>1.1393127789888924</v>
          </cell>
          <cell r="BG38">
            <v>1.0419608498428976</v>
          </cell>
          <cell r="BH38">
            <v>1.1387117847273196</v>
          </cell>
          <cell r="BI38">
            <v>1.0605619270668254</v>
          </cell>
          <cell r="BJ38">
            <v>1.0534789285779649</v>
          </cell>
          <cell r="BK38">
            <v>1.0297164441262017</v>
          </cell>
          <cell r="BL38">
            <v>0.92131168595233648</v>
          </cell>
          <cell r="BM38">
            <v>0.92227846132238445</v>
          </cell>
          <cell r="BN38">
            <v>0.89318706375959489</v>
          </cell>
          <cell r="BO38">
            <v>0.99295452417307395</v>
          </cell>
          <cell r="BP38">
            <v>1.0352893143031165</v>
          </cell>
          <cell r="BQ38">
            <v>1.0879953644318767</v>
          </cell>
          <cell r="BR38">
            <v>1.0057898422248055</v>
          </cell>
          <cell r="BS38">
            <v>0.96820012395036603</v>
          </cell>
          <cell r="BT38">
            <v>0.97450136708650026</v>
          </cell>
          <cell r="BU38">
            <v>0.91647751134167166</v>
          </cell>
          <cell r="BV38">
            <v>0.95364243238299806</v>
          </cell>
          <cell r="BW38">
            <v>1.0182703160965865</v>
          </cell>
          <cell r="BX38">
            <v>0.86617511348664022</v>
          </cell>
          <cell r="BY38">
            <v>0.94257478344354428</v>
          </cell>
          <cell r="BZ38">
            <v>0.92395096859800085</v>
          </cell>
          <cell r="CA38">
            <v>0.85316595774112114</v>
          </cell>
          <cell r="CB38" t="e">
            <v>#VALUE!</v>
          </cell>
          <cell r="CC38" t="e">
            <v>#VALUE!</v>
          </cell>
          <cell r="CD38" t="e">
            <v>#DIV/0!</v>
          </cell>
          <cell r="CE38" t="e">
            <v>#DIV/0!</v>
          </cell>
          <cell r="CF38" t="e">
            <v>#DIV/0!</v>
          </cell>
          <cell r="CG38" t="e">
            <v>#DIV/0!</v>
          </cell>
          <cell r="CH38" t="e">
            <v>#DIV/0!</v>
          </cell>
          <cell r="CI38" t="e">
            <v>#DIV/0!</v>
          </cell>
          <cell r="CJ38" t="e">
            <v>#DIV/0!</v>
          </cell>
          <cell r="CK38" t="e">
            <v>#DIV/0!</v>
          </cell>
          <cell r="CL38" t="e">
            <v>#DIV/0!</v>
          </cell>
          <cell r="CM38" t="e">
            <v>#DIV/0!</v>
          </cell>
          <cell r="CN38" t="e">
            <v>#DIV/0!</v>
          </cell>
          <cell r="CO38" t="e">
            <v>#DIV/0!</v>
          </cell>
        </row>
        <row r="39">
          <cell r="K39">
            <v>0.36363085793095545</v>
          </cell>
          <cell r="L39">
            <v>0.57699847924958225</v>
          </cell>
          <cell r="M39">
            <v>0.70547049774787318</v>
          </cell>
          <cell r="N39">
            <v>0.46467298840022336</v>
          </cell>
          <cell r="O39">
            <v>0.4362350486670436</v>
          </cell>
          <cell r="P39">
            <v>0.39774915120573917</v>
          </cell>
          <cell r="Q39">
            <v>0.77009598878292684</v>
          </cell>
          <cell r="R39">
            <v>9.9615275178899423E-3</v>
          </cell>
          <cell r="S39">
            <v>0.6766320746669866</v>
          </cell>
          <cell r="T39">
            <v>0.43706946844431549</v>
          </cell>
          <cell r="U39">
            <v>0.86251153310032502</v>
          </cell>
          <cell r="V39">
            <v>1.0207794856104682</v>
          </cell>
          <cell r="W39">
            <v>0.53840321100870625</v>
          </cell>
          <cell r="X39">
            <v>0.54819721124721654</v>
          </cell>
          <cell r="Y39">
            <v>0.82178674939574992</v>
          </cell>
          <cell r="Z39">
            <v>0.44194345855389849</v>
          </cell>
          <cell r="AA39">
            <v>0.77344966049276687</v>
          </cell>
          <cell r="AB39">
            <v>0.63695085619590674</v>
          </cell>
          <cell r="AC39">
            <v>0.88084130985373343</v>
          </cell>
          <cell r="AD39">
            <v>0.88309290696466525</v>
          </cell>
          <cell r="AE39">
            <v>0.82903114933367361</v>
          </cell>
          <cell r="AF39">
            <v>0.70866843016024283</v>
          </cell>
          <cell r="AG39">
            <v>0.72864909594980687</v>
          </cell>
          <cell r="AH39">
            <v>0.66689329341994474</v>
          </cell>
          <cell r="AI39">
            <v>0.44010869913620043</v>
          </cell>
          <cell r="AJ39">
            <v>0.54869236468613647</v>
          </cell>
          <cell r="AK39">
            <v>0.47363844318721809</v>
          </cell>
          <cell r="AL39">
            <v>0.494443032499576</v>
          </cell>
          <cell r="AM39">
            <v>0.53638408042569308</v>
          </cell>
          <cell r="AN39">
            <v>0.53494290675651146</v>
          </cell>
          <cell r="AO39">
            <v>0.61486453472359115</v>
          </cell>
          <cell r="AP39">
            <v>0.52482595440777369</v>
          </cell>
          <cell r="AQ39">
            <v>1.1348881942774705</v>
          </cell>
          <cell r="AR39">
            <v>0.79959851171330754</v>
          </cell>
          <cell r="AS39">
            <v>0.98112580319701725</v>
          </cell>
          <cell r="AT39">
            <v>0.8543633555774468</v>
          </cell>
          <cell r="AU39">
            <v>1.0691902283270729</v>
          </cell>
          <cell r="AV39">
            <v>1.0494070457478457</v>
          </cell>
          <cell r="AW39">
            <v>0.86145923973177774</v>
          </cell>
          <cell r="AX39">
            <v>0.88842337983356379</v>
          </cell>
          <cell r="AY39">
            <v>0.77029005503305203</v>
          </cell>
          <cell r="AZ39">
            <v>0.69436455437844635</v>
          </cell>
          <cell r="BA39">
            <v>0.90865587518590618</v>
          </cell>
          <cell r="BB39">
            <v>1.0479270922085355</v>
          </cell>
          <cell r="BC39">
            <v>1.3207451316285255</v>
          </cell>
          <cell r="BD39">
            <v>1.0721983536553681</v>
          </cell>
          <cell r="BE39">
            <v>1.0542608816578434</v>
          </cell>
          <cell r="BF39">
            <v>1.1630621270305259</v>
          </cell>
          <cell r="BG39">
            <v>0.98444927632646262</v>
          </cell>
          <cell r="BH39">
            <v>1.1895701067163327</v>
          </cell>
          <cell r="BI39">
            <v>0.83204777731921253</v>
          </cell>
          <cell r="BJ39">
            <v>0.97699675750528814</v>
          </cell>
          <cell r="BK39">
            <v>0.71544625860340061</v>
          </cell>
          <cell r="BL39">
            <v>1.011980870318854</v>
          </cell>
          <cell r="BM39">
            <v>1.1072495816872994</v>
          </cell>
          <cell r="BN39">
            <v>1.1288583934510623</v>
          </cell>
          <cell r="BO39">
            <v>1.3073797605678183</v>
          </cell>
          <cell r="BP39">
            <v>1.6125664207109094</v>
          </cell>
          <cell r="BQ39">
            <v>1.5255919395101585</v>
          </cell>
          <cell r="BR39">
            <v>1.2366135837365304</v>
          </cell>
          <cell r="BS39">
            <v>1.2151921408428936</v>
          </cell>
          <cell r="BT39">
            <v>1.6608001733008877</v>
          </cell>
          <cell r="BU39">
            <v>1.7158707438647216</v>
          </cell>
          <cell r="BV39">
            <v>1.3287903826295957</v>
          </cell>
          <cell r="BW39">
            <v>1.2953611234671314</v>
          </cell>
          <cell r="BX39">
            <v>0.95388054964340385</v>
          </cell>
          <cell r="BY39">
            <v>1.1775694601310143</v>
          </cell>
          <cell r="BZ39">
            <v>1.3719290749839779</v>
          </cell>
          <cell r="CA39">
            <v>1.8083915824775458</v>
          </cell>
          <cell r="CB39" t="e">
            <v>#DIV/0!</v>
          </cell>
          <cell r="CC39" t="e">
            <v>#DIV/0!</v>
          </cell>
          <cell r="CD39" t="e">
            <v>#DIV/0!</v>
          </cell>
          <cell r="CE39" t="e">
            <v>#DIV/0!</v>
          </cell>
          <cell r="CF39" t="e">
            <v>#DIV/0!</v>
          </cell>
          <cell r="CG39" t="e">
            <v>#DIV/0!</v>
          </cell>
          <cell r="CH39" t="e">
            <v>#DIV/0!</v>
          </cell>
          <cell r="CI39" t="e">
            <v>#DIV/0!</v>
          </cell>
          <cell r="CJ39" t="e">
            <v>#DIV/0!</v>
          </cell>
          <cell r="CK39" t="e">
            <v>#DIV/0!</v>
          </cell>
          <cell r="CL39" t="e">
            <v>#DIV/0!</v>
          </cell>
          <cell r="CM39" t="e">
            <v>#DIV/0!</v>
          </cell>
          <cell r="CN39" t="e">
            <v>#DIV/0!</v>
          </cell>
          <cell r="CO39" t="e">
            <v>#DIV/0!</v>
          </cell>
        </row>
        <row r="40">
          <cell r="K40">
            <v>0</v>
          </cell>
          <cell r="L40">
            <v>0.86664729455067091</v>
          </cell>
          <cell r="M40">
            <v>0.7562008469449486</v>
          </cell>
          <cell r="N40">
            <v>0.1262568122977106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0.29033975127561312</v>
          </cell>
          <cell r="T40">
            <v>6.0707162559869285E-2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0.69495951841879289</v>
          </cell>
          <cell r="AH40">
            <v>0.95737281304886146</v>
          </cell>
          <cell r="AI40">
            <v>0.35297400060991835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0.92222563787273271</v>
          </cell>
          <cell r="AS40">
            <v>1.7790825612299379</v>
          </cell>
          <cell r="AT40">
            <v>0.38882948161389175</v>
          </cell>
          <cell r="AU40">
            <v>0.81638405121634594</v>
          </cell>
          <cell r="AV40">
            <v>2.4374833211445428</v>
          </cell>
          <cell r="AW40">
            <v>0.75444829789391044</v>
          </cell>
          <cell r="AX40">
            <v>0</v>
          </cell>
          <cell r="AY40">
            <v>2.0971024666339959</v>
          </cell>
          <cell r="AZ40">
            <v>1.2769184477467395</v>
          </cell>
          <cell r="BA40">
            <v>0.50064391165691802</v>
          </cell>
          <cell r="BB40">
            <v>0.38265609144377588</v>
          </cell>
          <cell r="BC40">
            <v>0.23133584559737619</v>
          </cell>
          <cell r="BD40">
            <v>2.6438543165768786E-2</v>
          </cell>
          <cell r="BE40">
            <v>2.8189318999653703</v>
          </cell>
          <cell r="BF40">
            <v>4.3943488673565794</v>
          </cell>
          <cell r="BG40">
            <v>1.6759591132350991</v>
          </cell>
          <cell r="BH40">
            <v>0.30137402200578317</v>
          </cell>
          <cell r="BI40">
            <v>0.51902829857078348</v>
          </cell>
          <cell r="BJ40">
            <v>0.27778761444967753</v>
          </cell>
          <cell r="BK40">
            <v>2.0304724346890279</v>
          </cell>
          <cell r="BL40">
            <v>0</v>
          </cell>
          <cell r="BM40">
            <v>0</v>
          </cell>
          <cell r="BN40">
            <v>1.590142678023114</v>
          </cell>
          <cell r="BO40">
            <v>1.1086055320884403</v>
          </cell>
          <cell r="BP40">
            <v>1.8085760039093988</v>
          </cell>
          <cell r="BQ40">
            <v>1.6975943608119792</v>
          </cell>
          <cell r="BR40">
            <v>1.2582143269332211</v>
          </cell>
          <cell r="BS40">
            <v>1.5906770292735204</v>
          </cell>
          <cell r="BT40">
            <v>1.0431313920176193</v>
          </cell>
          <cell r="BU40">
            <v>2.7009571362546465</v>
          </cell>
          <cell r="BV40">
            <v>1.9464381243054434</v>
          </cell>
          <cell r="BW40">
            <v>2.2987808426745597</v>
          </cell>
          <cell r="BX40">
            <v>1.7267733460711727</v>
          </cell>
          <cell r="BY40">
            <v>1.0629514963880289</v>
          </cell>
          <cell r="BZ40">
            <v>2.2114474929044463</v>
          </cell>
          <cell r="CA40">
            <v>2.7857345836885479</v>
          </cell>
          <cell r="CB40" t="e">
            <v>#DIV/0!</v>
          </cell>
          <cell r="CC40" t="e">
            <v>#DIV/0!</v>
          </cell>
          <cell r="CD40" t="e">
            <v>#DIV/0!</v>
          </cell>
          <cell r="CE40" t="e">
            <v>#DIV/0!</v>
          </cell>
          <cell r="CF40" t="e">
            <v>#DIV/0!</v>
          </cell>
          <cell r="CG40" t="e">
            <v>#DIV/0!</v>
          </cell>
          <cell r="CH40" t="e">
            <v>#DIV/0!</v>
          </cell>
          <cell r="CI40" t="e">
            <v>#DIV/0!</v>
          </cell>
          <cell r="CJ40" t="e">
            <v>#DIV/0!</v>
          </cell>
          <cell r="CK40" t="e">
            <v>#DIV/0!</v>
          </cell>
          <cell r="CL40" t="e">
            <v>#DIV/0!</v>
          </cell>
          <cell r="CM40" t="e">
            <v>#DIV/0!</v>
          </cell>
          <cell r="CN40" t="e">
            <v>#DIV/0!</v>
          </cell>
          <cell r="CO40" t="e">
            <v>#DIV/0!</v>
          </cell>
        </row>
        <row r="41">
          <cell r="K41">
            <v>1.7554648204191585</v>
          </cell>
          <cell r="L41">
            <v>1.0265988449107191</v>
          </cell>
          <cell r="M41">
            <v>1.2327433347497014</v>
          </cell>
          <cell r="N41">
            <v>1.1473180895065656</v>
          </cell>
          <cell r="O41">
            <v>1.1205897048273035</v>
          </cell>
          <cell r="P41">
            <v>2.2328772391083587</v>
          </cell>
          <cell r="Q41">
            <v>2.1656310210571763</v>
          </cell>
          <cell r="R41">
            <v>1.8457639716849831E-2</v>
          </cell>
          <cell r="S41">
            <v>3.4017592644366155</v>
          </cell>
          <cell r="T41">
            <v>1.7983220252913039</v>
          </cell>
          <cell r="U41">
            <v>1.8812470536416326</v>
          </cell>
          <cell r="V41">
            <v>2.7639300153377175</v>
          </cell>
          <cell r="W41">
            <v>0.61049145748795286</v>
          </cell>
          <cell r="X41">
            <v>1.1049950735636302</v>
          </cell>
          <cell r="Y41">
            <v>1.5815142375134195</v>
          </cell>
          <cell r="Z41">
            <v>2.2837003970244001</v>
          </cell>
          <cell r="AA41">
            <v>1.6034457261165334</v>
          </cell>
          <cell r="AB41">
            <v>1.4955272479297039</v>
          </cell>
          <cell r="AC41">
            <v>1.7932132892573345</v>
          </cell>
          <cell r="AD41">
            <v>1.8690591622272219</v>
          </cell>
          <cell r="AE41">
            <v>1.3972154979904463</v>
          </cell>
          <cell r="AF41">
            <v>1.2868951047570878</v>
          </cell>
          <cell r="AG41">
            <v>0.89967942650611143</v>
          </cell>
          <cell r="AH41">
            <v>1.0374144791457933</v>
          </cell>
          <cell r="AI41">
            <v>6.7822584402876515E-2</v>
          </cell>
          <cell r="AJ41">
            <v>0.55035351049961989</v>
          </cell>
          <cell r="AK41">
            <v>1.0171419336716827</v>
          </cell>
          <cell r="AL41">
            <v>0.8147231786582273</v>
          </cell>
          <cell r="AM41">
            <v>0.52465362049755604</v>
          </cell>
          <cell r="AN41">
            <v>0.47418962943378329</v>
          </cell>
          <cell r="AO41">
            <v>1.2144696042021113</v>
          </cell>
          <cell r="AP41">
            <v>0.83624222673557391</v>
          </cell>
          <cell r="AQ41">
            <v>0.76818975501007547</v>
          </cell>
          <cell r="AR41">
            <v>1.7475251978535753</v>
          </cell>
          <cell r="AS41">
            <v>1.4685909114325995</v>
          </cell>
          <cell r="AT41">
            <v>1.2140637140637141</v>
          </cell>
          <cell r="AU41">
            <v>0.73221082363192136</v>
          </cell>
          <cell r="AV41">
            <v>0.50676929758481359</v>
          </cell>
          <cell r="AW41">
            <v>0</v>
          </cell>
          <cell r="AX41">
            <v>0.2181261599571184</v>
          </cell>
          <cell r="AY41">
            <v>0.85397428165647093</v>
          </cell>
          <cell r="AZ41">
            <v>0.5853169483903784</v>
          </cell>
          <cell r="BA41">
            <v>1.3547024274905231</v>
          </cell>
          <cell r="BB41">
            <v>1.490081182550383</v>
          </cell>
          <cell r="BC41">
            <v>2.2153550199427436</v>
          </cell>
          <cell r="BD41">
            <v>1.6313113331222242</v>
          </cell>
          <cell r="BE41">
            <v>1.3951540206212814</v>
          </cell>
          <cell r="BF41">
            <v>1.0314676933402664</v>
          </cell>
          <cell r="BG41">
            <v>0.98999255709287692</v>
          </cell>
          <cell r="BH41">
            <v>0.76472187944196057</v>
          </cell>
          <cell r="BI41">
            <v>0.83656813333763846</v>
          </cell>
          <cell r="BJ41">
            <v>0.99579659745282934</v>
          </cell>
          <cell r="BK41">
            <v>0.80724167862679908</v>
          </cell>
          <cell r="BL41">
            <v>0.78752516833012176</v>
          </cell>
          <cell r="BM41">
            <v>1.0143258185577015</v>
          </cell>
          <cell r="BN41">
            <v>0.77433113503776518</v>
          </cell>
          <cell r="BO41">
            <v>0.86313761817793122</v>
          </cell>
          <cell r="BP41">
            <v>1.6128090183532953</v>
          </cell>
          <cell r="BQ41">
            <v>0.99551852971182719</v>
          </cell>
          <cell r="BR41">
            <v>0.20381617783164138</v>
          </cell>
          <cell r="BS41">
            <v>0.89513688014478121</v>
          </cell>
          <cell r="BT41">
            <v>1.1523582238503249</v>
          </cell>
          <cell r="BU41">
            <v>0.91858825546516842</v>
          </cell>
          <cell r="BV41">
            <v>0.95317674701015709</v>
          </cell>
          <cell r="BW41">
            <v>0.77755062526200625</v>
          </cell>
          <cell r="BX41">
            <v>1.1502725035161745</v>
          </cell>
          <cell r="BY41">
            <v>1.9543343653250775</v>
          </cell>
          <cell r="BZ41">
            <v>1.8182048752994222</v>
          </cell>
          <cell r="CA41">
            <v>1.6451311707478691</v>
          </cell>
          <cell r="CB41" t="e">
            <v>#DIV/0!</v>
          </cell>
          <cell r="CC41" t="e">
            <v>#DIV/0!</v>
          </cell>
          <cell r="CD41" t="e">
            <v>#DIV/0!</v>
          </cell>
          <cell r="CE41" t="e">
            <v>#DIV/0!</v>
          </cell>
          <cell r="CF41" t="e">
            <v>#DIV/0!</v>
          </cell>
          <cell r="CG41" t="e">
            <v>#DIV/0!</v>
          </cell>
          <cell r="CH41" t="e">
            <v>#DIV/0!</v>
          </cell>
          <cell r="CI41" t="e">
            <v>#DIV/0!</v>
          </cell>
          <cell r="CJ41" t="e">
            <v>#DIV/0!</v>
          </cell>
          <cell r="CK41" t="e">
            <v>#DIV/0!</v>
          </cell>
          <cell r="CL41" t="e">
            <v>#DIV/0!</v>
          </cell>
          <cell r="CM41" t="e">
            <v>#DIV/0!</v>
          </cell>
          <cell r="CN41" t="e">
            <v>#DIV/0!</v>
          </cell>
          <cell r="CO41" t="e">
            <v>#DIV/0!</v>
          </cell>
        </row>
        <row r="42">
          <cell r="K42">
            <v>0.65836698984662201</v>
          </cell>
          <cell r="L42">
            <v>0.56108952660676803</v>
          </cell>
          <cell r="M42">
            <v>0.39824145070883343</v>
          </cell>
          <cell r="N42">
            <v>0.73706817835371607</v>
          </cell>
          <cell r="O42">
            <v>0.24962834022151173</v>
          </cell>
          <cell r="P42">
            <v>0.40667961821965704</v>
          </cell>
          <cell r="Q42">
            <v>0.65355036289132695</v>
          </cell>
          <cell r="R42">
            <v>6.0758893451014623E-3</v>
          </cell>
          <cell r="S42">
            <v>0.5530716204876851</v>
          </cell>
          <cell r="T42">
            <v>0.45064077876458247</v>
          </cell>
          <cell r="U42">
            <v>0.50410005910607159</v>
          </cell>
          <cell r="V42">
            <v>0.64022599711112571</v>
          </cell>
          <cell r="W42">
            <v>0.82749004636768431</v>
          </cell>
          <cell r="X42">
            <v>0.96016890087043882</v>
          </cell>
          <cell r="Y42">
            <v>0.6972598786278017</v>
          </cell>
          <cell r="Z42">
            <v>0.664904436731381</v>
          </cell>
          <cell r="AA42">
            <v>0.60007056813788229</v>
          </cell>
          <cell r="AB42">
            <v>0.81212246411015143</v>
          </cell>
          <cell r="AC42">
            <v>0.38993344286543502</v>
          </cell>
          <cell r="AD42">
            <v>0.78843114907096712</v>
          </cell>
          <cell r="AE42">
            <v>0.33310593283147805</v>
          </cell>
          <cell r="AF42">
            <v>0.409191313902178</v>
          </cell>
          <cell r="AG42">
            <v>0.36433330895161536</v>
          </cell>
          <cell r="AH42">
            <v>0.54761138599337766</v>
          </cell>
          <cell r="AI42">
            <v>0.40785749197014687</v>
          </cell>
          <cell r="AJ42">
            <v>0.45232682820723552</v>
          </cell>
          <cell r="AK42">
            <v>0.60569564665835318</v>
          </cell>
          <cell r="AL42">
            <v>0.69027307471708499</v>
          </cell>
          <cell r="AM42">
            <v>0.48907801226151143</v>
          </cell>
          <cell r="AN42">
            <v>0.71882047857381548</v>
          </cell>
          <cell r="AO42">
            <v>0.44607129544160978</v>
          </cell>
          <cell r="AP42">
            <v>0.52103036917621692</v>
          </cell>
          <cell r="AQ42">
            <v>1.2080217268892088</v>
          </cell>
          <cell r="AR42">
            <v>0.85251659567182103</v>
          </cell>
          <cell r="AS42">
            <v>1.0675143506885265</v>
          </cell>
          <cell r="AT42">
            <v>1.3597008376105224</v>
          </cell>
          <cell r="AU42">
            <v>1.2080931109900823</v>
          </cell>
          <cell r="AV42">
            <v>0.60807198133181606</v>
          </cell>
          <cell r="AW42">
            <v>0.50039570868906236</v>
          </cell>
          <cell r="AX42">
            <v>0.80564723266779825</v>
          </cell>
          <cell r="AY42">
            <v>0.7140430808131103</v>
          </cell>
          <cell r="AZ42">
            <v>0.88611099429468576</v>
          </cell>
          <cell r="BA42">
            <v>1.077445456143681</v>
          </cell>
          <cell r="BB42">
            <v>0.58008425128599805</v>
          </cell>
          <cell r="BC42">
            <v>0.87927216193251434</v>
          </cell>
          <cell r="BD42">
            <v>0.9397894837702313</v>
          </cell>
          <cell r="BE42">
            <v>0.94149571330709769</v>
          </cell>
          <cell r="BF42">
            <v>1.1413661815583982</v>
          </cell>
          <cell r="BG42">
            <v>1.257324569510931</v>
          </cell>
          <cell r="BH42">
            <v>1.0919096245239734</v>
          </cell>
          <cell r="BI42">
            <v>0.77598439324003543</v>
          </cell>
          <cell r="BJ42">
            <v>0.30655241272934131</v>
          </cell>
          <cell r="BK42">
            <v>0.41088919555490877</v>
          </cell>
          <cell r="BL42">
            <v>0.90415900130998195</v>
          </cell>
          <cell r="BM42">
            <v>0.73103154955774452</v>
          </cell>
          <cell r="BN42">
            <v>0.58024694224735207</v>
          </cell>
          <cell r="BO42">
            <v>0.75926641662033401</v>
          </cell>
          <cell r="BP42">
            <v>1.0482447787482627</v>
          </cell>
          <cell r="BQ42">
            <v>1.0361633841367133</v>
          </cell>
          <cell r="BR42">
            <v>1.1275573258363805</v>
          </cell>
          <cell r="BS42">
            <v>0.84088772340955154</v>
          </cell>
          <cell r="BT42">
            <v>0.81806212783298726</v>
          </cell>
          <cell r="BU42">
            <v>1.0063518952864825</v>
          </cell>
          <cell r="BV42">
            <v>1.3731017205601841</v>
          </cell>
          <cell r="BW42">
            <v>1.2456749585431461</v>
          </cell>
          <cell r="BX42">
            <v>0.95840022105844891</v>
          </cell>
          <cell r="BY42">
            <v>0.75636358583893737</v>
          </cell>
          <cell r="BZ42">
            <v>0.69431857790170792</v>
          </cell>
          <cell r="CA42">
            <v>0.81235554331022031</v>
          </cell>
          <cell r="CB42" t="e">
            <v>#DIV/0!</v>
          </cell>
          <cell r="CC42" t="e">
            <v>#DIV/0!</v>
          </cell>
          <cell r="CD42" t="e">
            <v>#DIV/0!</v>
          </cell>
          <cell r="CE42" t="e">
            <v>#DIV/0!</v>
          </cell>
          <cell r="CF42" t="e">
            <v>#DIV/0!</v>
          </cell>
          <cell r="CG42" t="e">
            <v>#DIV/0!</v>
          </cell>
          <cell r="CH42" t="e">
            <v>#DIV/0!</v>
          </cell>
          <cell r="CI42" t="e">
            <v>#DIV/0!</v>
          </cell>
          <cell r="CJ42" t="e">
            <v>#DIV/0!</v>
          </cell>
          <cell r="CK42" t="e">
            <v>#DIV/0!</v>
          </cell>
          <cell r="CL42" t="e">
            <v>#DIV/0!</v>
          </cell>
          <cell r="CM42" t="e">
            <v>#DIV/0!</v>
          </cell>
          <cell r="CN42" t="e">
            <v>#DIV/0!</v>
          </cell>
          <cell r="CO42" t="e">
            <v>#DIV/0!</v>
          </cell>
        </row>
        <row r="43">
          <cell r="K43">
            <v>0.48971795060029338</v>
          </cell>
          <cell r="L43">
            <v>0.5977481462442148</v>
          </cell>
          <cell r="M43">
            <v>0.64539862929478442</v>
          </cell>
          <cell r="N43">
            <v>0.60275523974407452</v>
          </cell>
          <cell r="O43">
            <v>0.39206598530408837</v>
          </cell>
          <cell r="P43">
            <v>0.44235685056281149</v>
          </cell>
          <cell r="Q43">
            <v>0.7898729015954602</v>
          </cell>
          <cell r="R43">
            <v>8.5901657507621194E-3</v>
          </cell>
          <cell r="S43">
            <v>0.69319856453989803</v>
          </cell>
          <cell r="T43">
            <v>0.49999868348886228</v>
          </cell>
          <cell r="U43">
            <v>0.83205252037419308</v>
          </cell>
          <cell r="V43">
            <v>0.91137970737793583</v>
          </cell>
          <cell r="W43">
            <v>0.64119421400913146</v>
          </cell>
          <cell r="X43">
            <v>0.68212561032122354</v>
          </cell>
          <cell r="Y43">
            <v>0.80848636040714572</v>
          </cell>
          <cell r="Z43">
            <v>0.57690716206132653</v>
          </cell>
          <cell r="AA43">
            <v>0.75051746573353384</v>
          </cell>
          <cell r="AB43">
            <v>0.74564776527834631</v>
          </cell>
          <cell r="AC43">
            <v>0.75783334616798459</v>
          </cell>
          <cell r="AD43">
            <v>0.88786742470061686</v>
          </cell>
          <cell r="AE43">
            <v>0.69150055709277503</v>
          </cell>
          <cell r="AF43">
            <v>0.61650302002068946</v>
          </cell>
          <cell r="AG43">
            <v>0.61645773530790848</v>
          </cell>
          <cell r="AH43">
            <v>0.66238236138919804</v>
          </cell>
          <cell r="AI43">
            <v>0.41114249212954901</v>
          </cell>
          <cell r="AJ43">
            <v>0.52066155779005241</v>
          </cell>
          <cell r="AK43">
            <v>0.55601024983937941</v>
          </cell>
          <cell r="AL43">
            <v>0.55369484880202358</v>
          </cell>
          <cell r="AM43">
            <v>0.50844182391050929</v>
          </cell>
          <cell r="AN43">
            <v>0.57261436796744469</v>
          </cell>
          <cell r="AO43">
            <v>0.57551209566640693</v>
          </cell>
          <cell r="AP43">
            <v>0.52649510197917149</v>
          </cell>
          <cell r="AQ43">
            <v>1.126066455502531</v>
          </cell>
          <cell r="AR43">
            <v>0.85100876115242519</v>
          </cell>
          <cell r="AS43">
            <v>1.0468679624257824</v>
          </cell>
          <cell r="AT43">
            <v>1.0386545223212769</v>
          </cell>
          <cell r="AU43">
            <v>1.094550581515306</v>
          </cell>
          <cell r="AV43">
            <v>0.9211407823034562</v>
          </cell>
          <cell r="AW43">
            <v>0.72076074483520425</v>
          </cell>
          <cell r="AX43">
            <v>0.84578851513760966</v>
          </cell>
          <cell r="AY43">
            <v>0.76730401914331814</v>
          </cell>
          <cell r="AZ43">
            <v>0.75144156801531548</v>
          </cell>
          <cell r="BA43">
            <v>0.96955250905877155</v>
          </cell>
          <cell r="BB43">
            <v>0.9589362824988622</v>
          </cell>
          <cell r="BC43">
            <v>1.1988520215097831</v>
          </cell>
          <cell r="BD43">
            <v>1.0401138421359823</v>
          </cell>
          <cell r="BE43">
            <v>1.0666618616536248</v>
          </cell>
          <cell r="BF43">
            <v>1.1667375450667585</v>
          </cell>
          <cell r="BG43">
            <v>1.0812266686038821</v>
          </cell>
          <cell r="BH43">
            <v>1.1003133900021715</v>
          </cell>
          <cell r="BI43">
            <v>0.80912933554914845</v>
          </cell>
          <cell r="BJ43">
            <v>0.73982082037142372</v>
          </cell>
          <cell r="BK43">
            <v>0.63380972189657103</v>
          </cell>
          <cell r="BL43">
            <v>0.95563585894752723</v>
          </cell>
          <cell r="BM43">
            <v>0.98744708562514705</v>
          </cell>
          <cell r="BN43">
            <v>0.92403025635840808</v>
          </cell>
          <cell r="BO43">
            <v>1.0637742221839728</v>
          </cell>
          <cell r="BP43">
            <v>1.4124180247161815</v>
          </cell>
          <cell r="BQ43">
            <v>1.2722314409422175</v>
          </cell>
          <cell r="BR43">
            <v>1.1005582467440698</v>
          </cell>
          <cell r="BS43">
            <v>1.0791396911231674</v>
          </cell>
          <cell r="BT43">
            <v>1.3067681493960512</v>
          </cell>
          <cell r="BU43">
            <v>1.4112791469981856</v>
          </cell>
          <cell r="BV43">
            <v>1.340891343406722</v>
          </cell>
          <cell r="BW43">
            <v>1.2847753620281117</v>
          </cell>
          <cell r="BX43">
            <v>0.98314165639076923</v>
          </cell>
          <cell r="BY43">
            <v>1.0198341550874048</v>
          </cell>
          <cell r="BZ43">
            <v>1.1867134801247676</v>
          </cell>
          <cell r="CA43">
            <v>1.4756841027550263</v>
          </cell>
          <cell r="CB43" t="e">
            <v>#VALUE!</v>
          </cell>
          <cell r="CC43" t="e">
            <v>#VALUE!</v>
          </cell>
          <cell r="CD43" t="e">
            <v>#DIV/0!</v>
          </cell>
          <cell r="CE43" t="e">
            <v>#DIV/0!</v>
          </cell>
          <cell r="CF43" t="e">
            <v>#DIV/0!</v>
          </cell>
          <cell r="CG43" t="e">
            <v>#DIV/0!</v>
          </cell>
          <cell r="CH43" t="e">
            <v>#DIV/0!</v>
          </cell>
          <cell r="CI43" t="e">
            <v>#DIV/0!</v>
          </cell>
          <cell r="CJ43" t="e">
            <v>#DIV/0!</v>
          </cell>
          <cell r="CK43" t="e">
            <v>#DIV/0!</v>
          </cell>
          <cell r="CL43" t="e">
            <v>#DIV/0!</v>
          </cell>
          <cell r="CM43" t="e">
            <v>#DIV/0!</v>
          </cell>
          <cell r="CN43" t="e">
            <v>#DIV/0!</v>
          </cell>
          <cell r="CO43" t="e">
            <v>#DIV/0!</v>
          </cell>
        </row>
        <row r="44">
          <cell r="C44"/>
          <cell r="K44">
            <v>0.45861330737379252</v>
          </cell>
          <cell r="L44">
            <v>0.46750147236076028</v>
          </cell>
          <cell r="M44">
            <v>0.49404705993328579</v>
          </cell>
          <cell r="N44">
            <v>0.46698183144397193</v>
          </cell>
          <cell r="O44">
            <v>0.45587075859991516</v>
          </cell>
          <cell r="P44">
            <v>0.42847042482797359</v>
          </cell>
          <cell r="Q44">
            <v>0.76920096326958221</v>
          </cell>
          <cell r="R44">
            <v>6.905916389006758E-3</v>
          </cell>
          <cell r="S44">
            <v>0.55658198087492827</v>
          </cell>
          <cell r="T44">
            <v>0.4882019473010914</v>
          </cell>
          <cell r="U44">
            <v>0.79049776735432908</v>
          </cell>
          <cell r="V44">
            <v>0.8385210789631824</v>
          </cell>
          <cell r="W44">
            <v>0.68389937167195758</v>
          </cell>
          <cell r="X44">
            <v>0.69609981105545149</v>
          </cell>
          <cell r="Y44">
            <v>0.72950928001924753</v>
          </cell>
          <cell r="Z44">
            <v>0.75111677593185266</v>
          </cell>
          <cell r="AA44">
            <v>0.71432785636368001</v>
          </cell>
          <cell r="AB44">
            <v>0.77469234624792604</v>
          </cell>
          <cell r="AC44">
            <v>0.80140131210830934</v>
          </cell>
          <cell r="AD44">
            <v>0.78452742822859023</v>
          </cell>
          <cell r="AE44">
            <v>0.58816727599088381</v>
          </cell>
          <cell r="AF44">
            <v>0.58560542155661044</v>
          </cell>
          <cell r="AG44">
            <v>0.65575180817013889</v>
          </cell>
          <cell r="AH44">
            <v>0.67225602495150472</v>
          </cell>
          <cell r="AI44">
            <v>0.47968142252652068</v>
          </cell>
          <cell r="AJ44">
            <v>0.4838484135987729</v>
          </cell>
          <cell r="AK44">
            <v>0.52226123009516123</v>
          </cell>
          <cell r="AL44">
            <v>0.50228865087657126</v>
          </cell>
          <cell r="AM44">
            <v>0.52523743168499226</v>
          </cell>
          <cell r="AN44">
            <v>0.53684530664593855</v>
          </cell>
          <cell r="AO44">
            <v>0.51562157005373943</v>
          </cell>
          <cell r="AP44">
            <v>0.43497720893812764</v>
          </cell>
          <cell r="AQ44">
            <v>0.95929845990823992</v>
          </cell>
          <cell r="AR44">
            <v>0.85055626923064365</v>
          </cell>
          <cell r="AS44">
            <v>0.92220509806186557</v>
          </cell>
          <cell r="AT44">
            <v>0.93602583872809231</v>
          </cell>
          <cell r="AU44">
            <v>0.99033744430199966</v>
          </cell>
          <cell r="AV44">
            <v>0.86483764114958184</v>
          </cell>
          <cell r="AW44">
            <v>0.74083948320835991</v>
          </cell>
          <cell r="AX44">
            <v>0.81078657092339734</v>
          </cell>
          <cell r="AY44">
            <v>0.80350797485004577</v>
          </cell>
          <cell r="AZ44">
            <v>0.84069498755060157</v>
          </cell>
          <cell r="BA44">
            <v>0.86309583302042869</v>
          </cell>
          <cell r="BB44">
            <v>0.84919066891383399</v>
          </cell>
          <cell r="BC44">
            <v>1.1047180041897753</v>
          </cell>
          <cell r="BD44">
            <v>0.90683871198922106</v>
          </cell>
          <cell r="BE44">
            <v>1.1080221250401254</v>
          </cell>
          <cell r="BF44">
            <v>1.1474330685457423</v>
          </cell>
          <cell r="BG44">
            <v>1.0556042169875524</v>
          </cell>
          <cell r="BH44">
            <v>1.1268297868814432</v>
          </cell>
          <cell r="BI44">
            <v>0.97741169426575181</v>
          </cell>
          <cell r="BJ44">
            <v>0.9361886748694711</v>
          </cell>
          <cell r="BK44">
            <v>0.88049527417777929</v>
          </cell>
          <cell r="BL44">
            <v>0.93342303014789307</v>
          </cell>
          <cell r="BM44">
            <v>0.94405358121107796</v>
          </cell>
          <cell r="BN44">
            <v>0.90373908139804204</v>
          </cell>
          <cell r="BO44">
            <v>1.0190514393355257</v>
          </cell>
          <cell r="BP44">
            <v>1.1749852342517115</v>
          </cell>
          <cell r="BQ44">
            <v>1.1570722774649334</v>
          </cell>
          <cell r="BR44">
            <v>1.0325114870384782</v>
          </cell>
          <cell r="BS44">
            <v>1.0002187975496339</v>
          </cell>
          <cell r="BT44">
            <v>1.0772848004301381</v>
          </cell>
          <cell r="BU44">
            <v>1.0793336962943261</v>
          </cell>
          <cell r="BV44">
            <v>1.0809282526366013</v>
          </cell>
          <cell r="BW44">
            <v>1.1087967765441389</v>
          </cell>
          <cell r="BX44">
            <v>0.90668893464128619</v>
          </cell>
          <cell r="BY44">
            <v>0.96681749204234213</v>
          </cell>
          <cell r="BZ44">
            <v>1.0138681122804434</v>
          </cell>
          <cell r="CA44">
            <v>1.0593939580812013</v>
          </cell>
          <cell r="CB44" t="e">
            <v>#VALUE!</v>
          </cell>
          <cell r="CC44" t="e">
            <v>#VALUE!</v>
          </cell>
          <cell r="CD44" t="e">
            <v>#DIV/0!</v>
          </cell>
          <cell r="CE44" t="e">
            <v>#DIV/0!</v>
          </cell>
          <cell r="CF44" t="e">
            <v>#DIV/0!</v>
          </cell>
          <cell r="CG44" t="e">
            <v>#DIV/0!</v>
          </cell>
          <cell r="CH44" t="e">
            <v>#DIV/0!</v>
          </cell>
          <cell r="CI44" t="e">
            <v>#DIV/0!</v>
          </cell>
          <cell r="CJ44" t="e">
            <v>#DIV/0!</v>
          </cell>
          <cell r="CK44" t="e">
            <v>#DIV/0!</v>
          </cell>
          <cell r="CL44" t="e">
            <v>#DIV/0!</v>
          </cell>
          <cell r="CM44" t="e">
            <v>#DIV/0!</v>
          </cell>
          <cell r="CN44" t="e">
            <v>#DIV/0!</v>
          </cell>
          <cell r="CO44" t="e">
            <v>#DIV/0!</v>
          </cell>
        </row>
        <row r="46">
          <cell r="I46">
            <v>0.16130535578172456</v>
          </cell>
          <cell r="J46">
            <v>0.13857301066244207</v>
          </cell>
          <cell r="K46">
            <v>0.14091072771271365</v>
          </cell>
          <cell r="L46">
            <v>0.11428821688215809</v>
          </cell>
          <cell r="M46">
            <v>0.12806552289131076</v>
          </cell>
          <cell r="N46">
            <v>0.12370856877793708</v>
          </cell>
          <cell r="O46">
            <v>9.8629447710472051E-2</v>
          </cell>
          <cell r="P46">
            <v>0.10940497760402079</v>
          </cell>
          <cell r="Q46">
            <v>0.14149217955303098</v>
          </cell>
          <cell r="R46">
            <v>0.12211189018604778</v>
          </cell>
          <cell r="S46">
            <v>6.528786566269075E-2</v>
          </cell>
          <cell r="T46">
            <v>7.0804009039770313E-2</v>
          </cell>
          <cell r="U46">
            <v>0.10067600465723459</v>
          </cell>
          <cell r="V46">
            <v>0.15747515669445505</v>
          </cell>
          <cell r="W46">
            <v>0.14624850735615672</v>
          </cell>
          <cell r="X46">
            <v>0.1387851118640801</v>
          </cell>
          <cell r="Y46">
            <v>0.12846110882572298</v>
          </cell>
          <cell r="Z46">
            <v>0.16287108179106835</v>
          </cell>
          <cell r="AA46">
            <v>0.14841176719122171</v>
          </cell>
          <cell r="AB46">
            <v>0.14164239221752001</v>
          </cell>
          <cell r="AC46">
            <v>0.1618831521287856</v>
          </cell>
          <cell r="AD46">
            <v>0.14557428857346616</v>
          </cell>
          <cell r="AE46">
            <v>0.12816854748327705</v>
          </cell>
          <cell r="AF46">
            <v>0.12821927107641393</v>
          </cell>
          <cell r="AG46">
            <v>0.14472547997732779</v>
          </cell>
          <cell r="AH46">
            <v>0.16583104573470761</v>
          </cell>
          <cell r="AI46">
            <v>0.21555711790734139</v>
          </cell>
          <cell r="AJ46">
            <v>0.16689773237084748</v>
          </cell>
          <cell r="AK46">
            <v>0.17393867131467328</v>
          </cell>
          <cell r="AL46">
            <v>0.18201710045391103</v>
          </cell>
          <cell r="AM46">
            <v>0.20419383027540164</v>
          </cell>
          <cell r="AN46">
            <v>0.22228979654722228</v>
          </cell>
          <cell r="AO46">
            <v>0.18739416602192488</v>
          </cell>
          <cell r="AP46">
            <v>0.15523179268710396</v>
          </cell>
          <cell r="AQ46">
            <v>0.18549780598172189</v>
          </cell>
          <cell r="AR46">
            <v>0.16936530188429141</v>
          </cell>
          <cell r="AS46">
            <v>0.16473838986212125</v>
          </cell>
          <cell r="AT46">
            <v>0.24366253114731207</v>
          </cell>
          <cell r="AU46">
            <v>0.21803863912930635</v>
          </cell>
          <cell r="AV46">
            <v>0.20870392583039474</v>
          </cell>
          <cell r="AW46">
            <v>0.16394960799626679</v>
          </cell>
          <cell r="AX46">
            <v>0.21033616049396886</v>
          </cell>
          <cell r="AY46">
            <v>0.21604642412406044</v>
          </cell>
          <cell r="AZ46">
            <v>0.22991146567209531</v>
          </cell>
          <cell r="BA46">
            <v>0.21852455693812151</v>
          </cell>
          <cell r="BB46">
            <v>0.19934652674698941</v>
          </cell>
          <cell r="BC46">
            <v>0.22097805845155338</v>
          </cell>
          <cell r="BD46">
            <v>0.1889485523503604</v>
          </cell>
          <cell r="BE46">
            <v>0.21545943542345108</v>
          </cell>
          <cell r="BF46">
            <v>0.22621977849286706</v>
          </cell>
          <cell r="BG46">
            <v>0.20321613792276264</v>
          </cell>
          <cell r="BH46">
            <v>0.23500391127606621</v>
          </cell>
          <cell r="BI46">
            <v>0.21534603009136816</v>
          </cell>
          <cell r="BJ46">
            <v>0.22402552773686793</v>
          </cell>
          <cell r="BK46">
            <v>0.25640982871910178</v>
          </cell>
          <cell r="BL46">
            <v>0.22796360051656825</v>
          </cell>
          <cell r="BM46">
            <v>0.20265588425190764</v>
          </cell>
          <cell r="BN46">
            <v>0.21002948794559576</v>
          </cell>
          <cell r="BO46">
            <v>0.21897835218841835</v>
          </cell>
          <cell r="BP46">
            <v>0.2110202724686274</v>
          </cell>
          <cell r="BQ46">
            <v>0.21331219721773656</v>
          </cell>
          <cell r="BR46">
            <v>0.22707371665169152</v>
          </cell>
          <cell r="BS46">
            <v>0.1834214884396157</v>
          </cell>
          <cell r="BT46">
            <v>0.17245329745329746</v>
          </cell>
          <cell r="BU46">
            <v>0.16986786997292178</v>
          </cell>
          <cell r="BV46">
            <v>0.18185499202266273</v>
          </cell>
          <cell r="BW46">
            <v>0.18194503798152817</v>
          </cell>
          <cell r="BX46">
            <v>0.18366277372262774</v>
          </cell>
          <cell r="BY46">
            <v>0.18516695427092322</v>
          </cell>
          <cell r="BZ46">
            <v>0.18619785847299813</v>
          </cell>
          <cell r="CA46">
            <v>0.13860516772438802</v>
          </cell>
          <cell r="CB46" t="e">
            <v>#DIV/0!</v>
          </cell>
          <cell r="CC46" t="e">
            <v>#DIV/0!</v>
          </cell>
          <cell r="CD46" t="e">
            <v>#DIV/0!</v>
          </cell>
          <cell r="CE46" t="e">
            <v>#DIV/0!</v>
          </cell>
          <cell r="CF46" t="e">
            <v>#DIV/0!</v>
          </cell>
          <cell r="CG46" t="e">
            <v>#DIV/0!</v>
          </cell>
          <cell r="CH46" t="e">
            <v>#DIV/0!</v>
          </cell>
          <cell r="CI46" t="e">
            <v>#DIV/0!</v>
          </cell>
          <cell r="CJ46" t="e">
            <v>#DIV/0!</v>
          </cell>
          <cell r="CK46" t="e">
            <v>#DIV/0!</v>
          </cell>
          <cell r="CL46" t="e">
            <v>#DIV/0!</v>
          </cell>
          <cell r="CM46" t="e">
            <v>#DIV/0!</v>
          </cell>
          <cell r="CN46" t="e">
            <v>#DIV/0!</v>
          </cell>
          <cell r="CO46" t="e">
            <v>#DIV/0!</v>
          </cell>
        </row>
        <row r="47">
          <cell r="I47">
            <v>4.8854815920171074E-2</v>
          </cell>
          <cell r="J47">
            <v>4.0603013773176641E-2</v>
          </cell>
          <cell r="K47">
            <v>4.8015665583089666E-2</v>
          </cell>
          <cell r="L47">
            <v>3.4929940314783713E-2</v>
          </cell>
          <cell r="M47">
            <v>3.4987271646998504E-2</v>
          </cell>
          <cell r="N47">
            <v>3.5945208532758059E-2</v>
          </cell>
          <cell r="O47">
            <v>6.3413529897605098E-2</v>
          </cell>
          <cell r="P47">
            <v>4.8963834966263095E-2</v>
          </cell>
          <cell r="Q47">
            <v>5.742094730299252E-2</v>
          </cell>
          <cell r="R47">
            <v>5.2389822220623369E-2</v>
          </cell>
          <cell r="S47">
            <v>4.9391287801006482E-2</v>
          </cell>
          <cell r="T47">
            <v>6.5587638035582763E-2</v>
          </cell>
          <cell r="U47">
            <v>0.10317825474283178</v>
          </cell>
          <cell r="V47">
            <v>6.4744596380445787E-2</v>
          </cell>
          <cell r="W47">
            <v>6.369240368723636E-2</v>
          </cell>
          <cell r="X47">
            <v>8.7495381929894603E-2</v>
          </cell>
          <cell r="Y47">
            <v>9.2868578563641474E-2</v>
          </cell>
          <cell r="Z47">
            <v>7.9861838379607003E-2</v>
          </cell>
          <cell r="AA47">
            <v>5.8912069726925517E-2</v>
          </cell>
          <cell r="AB47">
            <v>8.6405671579241464E-2</v>
          </cell>
          <cell r="AC47">
            <v>8.0977096341319971E-2</v>
          </cell>
          <cell r="AD47">
            <v>6.9476568982245995E-2</v>
          </cell>
          <cell r="AE47">
            <v>8.4864292327380811E-2</v>
          </cell>
          <cell r="AF47">
            <v>9.6482874940179986E-2</v>
          </cell>
          <cell r="AG47">
            <v>0.12005356982201332</v>
          </cell>
          <cell r="AH47">
            <v>0.10410125885209076</v>
          </cell>
          <cell r="AI47">
            <v>8.951676296336622E-2</v>
          </cell>
          <cell r="AJ47">
            <v>0.11453207679971678</v>
          </cell>
          <cell r="AK47">
            <v>0.11126923558961833</v>
          </cell>
          <cell r="AL47">
            <v>8.7213283269834102E-2</v>
          </cell>
          <cell r="AM47">
            <v>9.9165620420711961E-2</v>
          </cell>
          <cell r="AN47">
            <v>8.6098660213512646E-2</v>
          </cell>
          <cell r="AO47">
            <v>8.6512061409917893E-2</v>
          </cell>
          <cell r="AP47">
            <v>9.3909237154264913E-2</v>
          </cell>
          <cell r="AQ47">
            <v>0.11679706441125269</v>
          </cell>
          <cell r="AR47">
            <v>0.12732395465599383</v>
          </cell>
          <cell r="AS47">
            <v>0.13992756507531831</v>
          </cell>
          <cell r="AT47">
            <v>0.10310811582970669</v>
          </cell>
          <cell r="AU47">
            <v>0.12236960383330586</v>
          </cell>
          <cell r="AV47">
            <v>0.11315890938498821</v>
          </cell>
          <cell r="AW47">
            <v>0.11331257306182399</v>
          </cell>
          <cell r="AX47">
            <v>9.3340992343888068E-2</v>
          </cell>
          <cell r="AY47">
            <v>0.1192223721598701</v>
          </cell>
          <cell r="AZ47">
            <v>0.12487149750301255</v>
          </cell>
          <cell r="BA47">
            <v>0.11240831005017479</v>
          </cell>
          <cell r="BB47">
            <v>0.11110329910884584</v>
          </cell>
          <cell r="BC47">
            <v>0.13080815060831558</v>
          </cell>
          <cell r="BD47">
            <v>0.11107993093009184</v>
          </cell>
          <cell r="BE47">
            <v>0.15059295399443265</v>
          </cell>
          <cell r="BF47">
            <v>0.13786233000109688</v>
          </cell>
          <cell r="BG47">
            <v>0.12953747072599531</v>
          </cell>
          <cell r="BH47">
            <v>0.12650637301976375</v>
          </cell>
          <cell r="BI47">
            <v>0.12298057609415546</v>
          </cell>
          <cell r="BJ47">
            <v>0.13129733654193565</v>
          </cell>
          <cell r="BK47">
            <v>0.11575953507966549</v>
          </cell>
          <cell r="BL47">
            <v>0.10831166426178516</v>
          </cell>
          <cell r="BM47">
            <v>0.11178034747916119</v>
          </cell>
          <cell r="BN47">
            <v>0.10367771350322784</v>
          </cell>
          <cell r="BO47">
            <v>0.12548477192234675</v>
          </cell>
          <cell r="BP47">
            <v>0.12437779246466336</v>
          </cell>
          <cell r="BQ47">
            <v>0.14069672655645757</v>
          </cell>
          <cell r="BR47">
            <v>0.12730372004411913</v>
          </cell>
          <cell r="BS47">
            <v>0.12200727198977958</v>
          </cell>
          <cell r="BT47">
            <v>0.12521287440061754</v>
          </cell>
          <cell r="BU47">
            <v>0.10788856044346716</v>
          </cell>
          <cell r="BV47">
            <v>0.11174855984547238</v>
          </cell>
          <cell r="BW47">
            <v>0.12474830064801143</v>
          </cell>
          <cell r="BX47">
            <v>0.10111111111111111</v>
          </cell>
          <cell r="BY47">
            <v>0.10535103475204997</v>
          </cell>
          <cell r="BZ47">
            <v>0.10399716613531704</v>
          </cell>
          <cell r="CA47">
            <v>0.12438867794269934</v>
          </cell>
          <cell r="CB47" t="e">
            <v>#DIV/0!</v>
          </cell>
          <cell r="CC47" t="e">
            <v>#DIV/0!</v>
          </cell>
          <cell r="CD47" t="e">
            <v>#DIV/0!</v>
          </cell>
          <cell r="CE47" t="e">
            <v>#DIV/0!</v>
          </cell>
          <cell r="CF47" t="e">
            <v>#DIV/0!</v>
          </cell>
          <cell r="CG47" t="e">
            <v>#DIV/0!</v>
          </cell>
          <cell r="CH47" t="e">
            <v>#DIV/0!</v>
          </cell>
          <cell r="CI47" t="e">
            <v>#DIV/0!</v>
          </cell>
          <cell r="CJ47" t="e">
            <v>#DIV/0!</v>
          </cell>
          <cell r="CK47" t="e">
            <v>#DIV/0!</v>
          </cell>
          <cell r="CL47" t="e">
            <v>#DIV/0!</v>
          </cell>
          <cell r="CM47" t="e">
            <v>#DIV/0!</v>
          </cell>
          <cell r="CN47" t="e">
            <v>#DIV/0!</v>
          </cell>
          <cell r="CO47" t="e">
            <v>#DIV/0!</v>
          </cell>
        </row>
        <row r="48">
          <cell r="I48">
            <v>9.4667090150996613E-2</v>
          </cell>
          <cell r="J48">
            <v>7.9278226620686676E-2</v>
          </cell>
          <cell r="K48">
            <v>8.7201738430988898E-2</v>
          </cell>
          <cell r="L48">
            <v>7.0657455235510772E-2</v>
          </cell>
          <cell r="M48">
            <v>7.2556477307427342E-2</v>
          </cell>
          <cell r="N48">
            <v>7.3703582334271822E-2</v>
          </cell>
          <cell r="O48">
            <v>7.834284352512591E-2</v>
          </cell>
          <cell r="P48">
            <v>7.7626455716274065E-2</v>
          </cell>
          <cell r="Q48">
            <v>9.2427695849732344E-2</v>
          </cell>
          <cell r="R48">
            <v>8.4127206500420285E-2</v>
          </cell>
          <cell r="S48">
            <v>5.6061501532400602E-2</v>
          </cell>
          <cell r="T48">
            <v>6.7788101642699647E-2</v>
          </cell>
          <cell r="U48">
            <v>0.10205986644551614</v>
          </cell>
          <cell r="V48">
            <v>0.10713137204060275</v>
          </cell>
          <cell r="W48">
            <v>0.10250682602885806</v>
          </cell>
          <cell r="X48">
            <v>0.10897291314320386</v>
          </cell>
          <cell r="Y48">
            <v>0.10761128858424464</v>
          </cell>
          <cell r="Z48">
            <v>0.11638063997566962</v>
          </cell>
          <cell r="AA48">
            <v>9.5427068960935321E-2</v>
          </cell>
          <cell r="AB48">
            <v>0.10943159994050412</v>
          </cell>
          <cell r="AC48">
            <v>0.11391379194395646</v>
          </cell>
          <cell r="AD48">
            <v>0.10213689361937148</v>
          </cell>
          <cell r="AE48">
            <v>0.10310378662264848</v>
          </cell>
          <cell r="AF48">
            <v>0.10966735523445136</v>
          </cell>
          <cell r="AG48">
            <v>0.13011672662726301</v>
          </cell>
          <cell r="AH48">
            <v>0.13068434556181643</v>
          </cell>
          <cell r="AI48">
            <v>0.14736846806238338</v>
          </cell>
          <cell r="AJ48">
            <v>0.13517183265825936</v>
          </cell>
          <cell r="AK48">
            <v>0.1367624661897289</v>
          </cell>
          <cell r="AL48">
            <v>0.12632607406426757</v>
          </cell>
          <cell r="AM48">
            <v>0.1403381623702874</v>
          </cell>
          <cell r="AN48">
            <v>0.13541738039258677</v>
          </cell>
          <cell r="AO48">
            <v>0.12549573870120045</v>
          </cell>
          <cell r="AP48">
            <v>0.1206779437291636</v>
          </cell>
          <cell r="AQ48">
            <v>0.14633340196731229</v>
          </cell>
          <cell r="AR48">
            <v>0.14454785220747476</v>
          </cell>
          <cell r="AS48">
            <v>0.14963000979016688</v>
          </cell>
          <cell r="AT48">
            <v>0.15555009057702598</v>
          </cell>
          <cell r="AU48">
            <v>0.16206745891635591</v>
          </cell>
          <cell r="AV48">
            <v>0.14714939885632966</v>
          </cell>
          <cell r="AW48">
            <v>0.13290463524973661</v>
          </cell>
          <cell r="AX48">
            <v>0.13860620973758919</v>
          </cell>
          <cell r="AY48">
            <v>0.1559934472188105</v>
          </cell>
          <cell r="AZ48">
            <v>0.16779001782552891</v>
          </cell>
          <cell r="BA48">
            <v>0.15130909142991503</v>
          </cell>
          <cell r="BB48">
            <v>0.14975244881307856</v>
          </cell>
          <cell r="BC48">
            <v>0.16684918735515336</v>
          </cell>
          <cell r="BD48">
            <v>0.14242138307368712</v>
          </cell>
          <cell r="BE48">
            <v>0.17592658804574821</v>
          </cell>
          <cell r="BF48">
            <v>0.1777327935222672</v>
          </cell>
          <cell r="BG48">
            <v>0.16150393172564914</v>
          </cell>
          <cell r="BH48">
            <v>0.17194547949382527</v>
          </cell>
          <cell r="BI48">
            <v>0.16014485098709064</v>
          </cell>
          <cell r="BJ48">
            <v>0.17066358642963031</v>
          </cell>
          <cell r="BK48">
            <v>0.1760815119455805</v>
          </cell>
          <cell r="BL48">
            <v>0.15754429829784955</v>
          </cell>
          <cell r="BM48">
            <v>0.15309822457951583</v>
          </cell>
          <cell r="BN48">
            <v>0.14826905258409276</v>
          </cell>
          <cell r="BO48">
            <v>0.16483045101273028</v>
          </cell>
          <cell r="BP48">
            <v>0.15943455440267995</v>
          </cell>
          <cell r="BQ48">
            <v>0.167551286122509</v>
          </cell>
          <cell r="BR48">
            <v>0.16796690365154254</v>
          </cell>
          <cell r="BS48">
            <v>0.14910281908835638</v>
          </cell>
          <cell r="BT48">
            <v>0.14520070369588853</v>
          </cell>
          <cell r="BU48">
            <v>0.13655514918990908</v>
          </cell>
          <cell r="BV48">
            <v>0.14113907999268371</v>
          </cell>
          <cell r="BW48">
            <v>0.15070400678229479</v>
          </cell>
          <cell r="BX48">
            <v>0.13685566793088916</v>
          </cell>
          <cell r="BY48">
            <v>0.14327136708341873</v>
          </cell>
          <cell r="BZ48">
            <v>0.13951659625829813</v>
          </cell>
          <cell r="CA48">
            <v>0.13053439153439153</v>
          </cell>
          <cell r="CB48" t="e">
            <v>#VALUE!</v>
          </cell>
          <cell r="CC48" t="e">
            <v>#VALUE!</v>
          </cell>
          <cell r="CD48" t="e">
            <v>#DIV/0!</v>
          </cell>
          <cell r="CE48" t="e">
            <v>#DIV/0!</v>
          </cell>
          <cell r="CF48" t="e">
            <v>#DIV/0!</v>
          </cell>
          <cell r="CG48" t="e">
            <v>#DIV/0!</v>
          </cell>
          <cell r="CH48" t="e">
            <v>#DIV/0!</v>
          </cell>
          <cell r="CI48" t="e">
            <v>#DIV/0!</v>
          </cell>
          <cell r="CJ48" t="e">
            <v>#DIV/0!</v>
          </cell>
          <cell r="CK48" t="e">
            <v>#DIV/0!</v>
          </cell>
          <cell r="CL48" t="e">
            <v>#DIV/0!</v>
          </cell>
          <cell r="CM48" t="e">
            <v>#DIV/0!</v>
          </cell>
          <cell r="CN48" t="e">
            <v>#DIV/0!</v>
          </cell>
          <cell r="CO48" t="e">
            <v>#DIV/0!</v>
          </cell>
        </row>
        <row r="49">
          <cell r="I49">
            <v>2.8939674636716262E-2</v>
          </cell>
          <cell r="J49">
            <v>7.9794527654642997E-2</v>
          </cell>
          <cell r="K49">
            <v>7.1271648154467279E-2</v>
          </cell>
          <cell r="L49">
            <v>0.10039773538942731</v>
          </cell>
          <cell r="M49">
            <v>0.12275186660812992</v>
          </cell>
          <cell r="N49">
            <v>8.4570483888840642E-2</v>
          </cell>
          <cell r="O49">
            <v>6.9797607786726973E-2</v>
          </cell>
          <cell r="P49">
            <v>7.3185843821856E-2</v>
          </cell>
          <cell r="Q49">
            <v>9.3951710631517069E-2</v>
          </cell>
          <cell r="R49">
            <v>0.1394613852504592</v>
          </cell>
          <cell r="S49">
            <v>8.2549113109372366E-2</v>
          </cell>
          <cell r="T49">
            <v>6.1626795050648477E-2</v>
          </cell>
          <cell r="U49">
            <v>0.11471403390234323</v>
          </cell>
          <cell r="V49">
            <v>0.13576367158619226</v>
          </cell>
          <cell r="W49">
            <v>7.8606868807271107E-2</v>
          </cell>
          <cell r="X49">
            <v>8.497056774331857E-2</v>
          </cell>
          <cell r="Y49">
            <v>0.12737694615634124</v>
          </cell>
          <cell r="Z49">
            <v>6.0988197280438E-2</v>
          </cell>
          <cell r="AA49">
            <v>0.10673605314800183</v>
          </cell>
          <cell r="AB49">
            <v>8.7899218155035139E-2</v>
          </cell>
          <cell r="AC49">
            <v>0.12155610075981522</v>
          </cell>
          <cell r="AD49">
            <v>0.12363300697505314</v>
          </cell>
          <cell r="AE49">
            <v>0.160003011821399</v>
          </cell>
          <cell r="AF49">
            <v>0.13677300702092687</v>
          </cell>
          <cell r="AG49">
            <v>0.14062927551831272</v>
          </cell>
          <cell r="AH49">
            <v>0.12871040563004935</v>
          </cell>
          <cell r="AI49">
            <v>0.12631119665208951</v>
          </cell>
          <cell r="AJ49">
            <v>0.15912078575897956</v>
          </cell>
          <cell r="AK49">
            <v>0.12835601810373612</v>
          </cell>
          <cell r="AL49">
            <v>0.1339940618073851</v>
          </cell>
          <cell r="AM49">
            <v>0.14053262907153161</v>
          </cell>
          <cell r="AN49">
            <v>0.140155041570206</v>
          </cell>
          <cell r="AO49">
            <v>0.16109450809758089</v>
          </cell>
          <cell r="AP49">
            <v>0.16322087182081763</v>
          </cell>
          <cell r="AQ49">
            <v>0.19293099302716998</v>
          </cell>
          <cell r="AR49">
            <v>0.13593174699126229</v>
          </cell>
          <cell r="AS49">
            <v>0.17267814136267504</v>
          </cell>
          <cell r="AT49">
            <v>0.15036795058163063</v>
          </cell>
          <cell r="AU49">
            <v>0.18496990950058359</v>
          </cell>
          <cell r="AV49">
            <v>0.18574504709736869</v>
          </cell>
          <cell r="AW49">
            <v>0.15247828543252465</v>
          </cell>
          <cell r="AX49">
            <v>0.15547409147087365</v>
          </cell>
          <cell r="AY49">
            <v>0.14558482040124684</v>
          </cell>
          <cell r="AZ49">
            <v>0.13123490077752636</v>
          </cell>
          <cell r="BA49">
            <v>0.17173596041013628</v>
          </cell>
          <cell r="BB49">
            <v>0.19805822042741322</v>
          </cell>
          <cell r="BC49">
            <v>0.20999847592893556</v>
          </cell>
          <cell r="BD49">
            <v>0.18549031518237866</v>
          </cell>
          <cell r="BE49">
            <v>0.16446469753862358</v>
          </cell>
          <cell r="BF49">
            <v>0.18143769181676203</v>
          </cell>
          <cell r="BG49">
            <v>0.1525896378306017</v>
          </cell>
          <cell r="BH49">
            <v>0.17962508611416622</v>
          </cell>
          <cell r="BI49">
            <v>0.12563921437520109</v>
          </cell>
          <cell r="BJ49">
            <v>0.15827347471585668</v>
          </cell>
          <cell r="BK49">
            <v>0.12234131022118151</v>
          </cell>
          <cell r="BL49">
            <v>0.17304872882452405</v>
          </cell>
          <cell r="BM49">
            <v>0.18380343056009171</v>
          </cell>
          <cell r="BN49">
            <v>0.18739049331287636</v>
          </cell>
          <cell r="BO49">
            <v>0.21702504025425787</v>
          </cell>
          <cell r="BP49">
            <v>0.24833522878948003</v>
          </cell>
          <cell r="BQ49">
            <v>0.23494115868456439</v>
          </cell>
          <cell r="BR49">
            <v>0.2065144684840006</v>
          </cell>
          <cell r="BS49">
            <v>0.18713958968980562</v>
          </cell>
          <cell r="BT49">
            <v>0.24745922582183225</v>
          </cell>
          <cell r="BU49">
            <v>0.25566474083584351</v>
          </cell>
          <cell r="BV49">
            <v>0.19666097662918014</v>
          </cell>
          <cell r="BW49">
            <v>0.19171344627313544</v>
          </cell>
          <cell r="BX49">
            <v>0.15071312684365781</v>
          </cell>
          <cell r="BY49">
            <v>0.17899055793991417</v>
          </cell>
          <cell r="BZ49">
            <v>0.20716129032258065</v>
          </cell>
          <cell r="CA49">
            <v>0.27668391211906451</v>
          </cell>
          <cell r="CB49" t="e">
            <v>#DIV/0!</v>
          </cell>
          <cell r="CC49" t="e">
            <v>#DIV/0!</v>
          </cell>
          <cell r="CD49" t="e">
            <v>#DIV/0!</v>
          </cell>
          <cell r="CE49" t="e">
            <v>#DIV/0!</v>
          </cell>
          <cell r="CF49" t="e">
            <v>#DIV/0!</v>
          </cell>
          <cell r="CG49" t="e">
            <v>#DIV/0!</v>
          </cell>
          <cell r="CH49" t="e">
            <v>#DIV/0!</v>
          </cell>
          <cell r="CI49" t="e">
            <v>#DIV/0!</v>
          </cell>
          <cell r="CJ49" t="e">
            <v>#DIV/0!</v>
          </cell>
          <cell r="CK49" t="e">
            <v>#DIV/0!</v>
          </cell>
          <cell r="CL49" t="e">
            <v>#DIV/0!</v>
          </cell>
          <cell r="CM49" t="e">
            <v>#DIV/0!</v>
          </cell>
          <cell r="CN49" t="e">
            <v>#DIV/0!</v>
          </cell>
          <cell r="CO49" t="e">
            <v>#DIV/0!</v>
          </cell>
        </row>
        <row r="50">
          <cell r="I50">
            <v>8.6601906158357778E-2</v>
          </cell>
          <cell r="J50">
            <v>0.18225650916104147</v>
          </cell>
          <cell r="K50">
            <v>0</v>
          </cell>
          <cell r="L50">
            <v>0.15079662925181672</v>
          </cell>
          <cell r="M50">
            <v>0.13157894736842105</v>
          </cell>
          <cell r="N50">
            <v>2.2978739838183326E-2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3.5421449655624798E-2</v>
          </cell>
          <cell r="T50">
            <v>8.5597099209415682E-3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0.13412718705482704</v>
          </cell>
          <cell r="AH50">
            <v>0.18477295291843027</v>
          </cell>
          <cell r="AI50">
            <v>0.10130353817504656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0.15677835843836457</v>
          </cell>
          <cell r="AS50">
            <v>0.31311853077646906</v>
          </cell>
          <cell r="AT50">
            <v>6.843398876404494E-2</v>
          </cell>
          <cell r="AU50">
            <v>0.14123444086042783</v>
          </cell>
          <cell r="AV50">
            <v>0.43143454784258406</v>
          </cell>
          <cell r="AW50">
            <v>0.13353734872722214</v>
          </cell>
          <cell r="AX50">
            <v>0</v>
          </cell>
          <cell r="AY50">
            <v>0.39635236619382525</v>
          </cell>
          <cell r="AZ50">
            <v>0.24133758662413377</v>
          </cell>
          <cell r="BA50">
            <v>9.4621699303157503E-2</v>
          </cell>
          <cell r="BB50">
            <v>7.2322001282873638E-2</v>
          </cell>
          <cell r="BC50">
            <v>3.6782399449982815E-2</v>
          </cell>
          <cell r="BD50">
            <v>4.5738679676779999E-3</v>
          </cell>
          <cell r="BE50">
            <v>0.43975337639459777</v>
          </cell>
          <cell r="BF50">
            <v>0.68551842330762636</v>
          </cell>
          <cell r="BG50">
            <v>0.25977366255144035</v>
          </cell>
          <cell r="BH50">
            <v>4.5507477322873253E-2</v>
          </cell>
          <cell r="BI50">
            <v>7.8373273084188302E-2</v>
          </cell>
          <cell r="BJ50">
            <v>4.5001593540847762E-2</v>
          </cell>
          <cell r="BK50">
            <v>0.34721078633182378</v>
          </cell>
          <cell r="BL50">
            <v>0</v>
          </cell>
          <cell r="BM50">
            <v>0</v>
          </cell>
          <cell r="BN50">
            <v>0.26396368455183694</v>
          </cell>
          <cell r="BO50">
            <v>0.1840285183266811</v>
          </cell>
          <cell r="BP50">
            <v>0.27852070460204742</v>
          </cell>
          <cell r="BQ50">
            <v>0.26142953156504478</v>
          </cell>
          <cell r="BR50">
            <v>0.21012179259784794</v>
          </cell>
          <cell r="BS50">
            <v>0.24496426250812214</v>
          </cell>
          <cell r="BT50">
            <v>0.15542657741062527</v>
          </cell>
          <cell r="BU50">
            <v>0.40244261330194231</v>
          </cell>
          <cell r="BV50">
            <v>0.2880728423972056</v>
          </cell>
          <cell r="BW50">
            <v>0.34021956471583481</v>
          </cell>
          <cell r="BX50">
            <v>0.2728301886792453</v>
          </cell>
          <cell r="BY50">
            <v>0.16156862745098038</v>
          </cell>
          <cell r="BZ50">
            <v>0.33392857142857141</v>
          </cell>
          <cell r="CA50">
            <v>0.42621739130434783</v>
          </cell>
          <cell r="CB50" t="e">
            <v>#DIV/0!</v>
          </cell>
          <cell r="CC50" t="e">
            <v>#DIV/0!</v>
          </cell>
          <cell r="CD50" t="e">
            <v>#DIV/0!</v>
          </cell>
          <cell r="CE50" t="e">
            <v>#DIV/0!</v>
          </cell>
          <cell r="CF50" t="e">
            <v>#DIV/0!</v>
          </cell>
          <cell r="CG50" t="e">
            <v>#DIV/0!</v>
          </cell>
          <cell r="CH50" t="e">
            <v>#DIV/0!</v>
          </cell>
          <cell r="CI50" t="e">
            <v>#DIV/0!</v>
          </cell>
          <cell r="CJ50" t="e">
            <v>#DIV/0!</v>
          </cell>
          <cell r="CK50" t="e">
            <v>#DIV/0!</v>
          </cell>
          <cell r="CL50" t="e">
            <v>#DIV/0!</v>
          </cell>
          <cell r="CM50" t="e">
            <v>#DIV/0!</v>
          </cell>
          <cell r="CN50" t="e">
            <v>#DIV/0!</v>
          </cell>
          <cell r="CO50" t="e">
            <v>#DIV/0!</v>
          </cell>
        </row>
        <row r="51">
          <cell r="I51">
            <v>0</v>
          </cell>
          <cell r="J51">
            <v>0.11423886307734353</v>
          </cell>
          <cell r="K51">
            <v>0.34407110480215508</v>
          </cell>
          <cell r="L51">
            <v>0.17862819901446511</v>
          </cell>
          <cell r="M51">
            <v>0.21449734024644804</v>
          </cell>
          <cell r="N51">
            <v>0.20881189229019495</v>
          </cell>
          <cell r="O51">
            <v>0.17929435277236855</v>
          </cell>
          <cell r="P51">
            <v>0.410849411995938</v>
          </cell>
          <cell r="Q51">
            <v>0.26420698456897551</v>
          </cell>
          <cell r="R51">
            <v>0.25840695603589764</v>
          </cell>
          <cell r="S51">
            <v>0.41501463026126706</v>
          </cell>
          <cell r="T51">
            <v>0.25356340556607382</v>
          </cell>
          <cell r="U51">
            <v>0.25020585813433716</v>
          </cell>
          <cell r="V51">
            <v>0.36760269203991647</v>
          </cell>
          <cell r="W51">
            <v>8.9131752793241106E-2</v>
          </cell>
          <cell r="X51">
            <v>0.1712742364023627</v>
          </cell>
          <cell r="Y51">
            <v>0.24513470681458002</v>
          </cell>
          <cell r="Z51">
            <v>0.31515065478936721</v>
          </cell>
          <cell r="AA51">
            <v>0.22127551020408162</v>
          </cell>
          <cell r="AB51">
            <v>0.20638276021429916</v>
          </cell>
          <cell r="AC51">
            <v>0.24746343391751219</v>
          </cell>
          <cell r="AD51">
            <v>0.26166828271181108</v>
          </cell>
          <cell r="AE51">
            <v>0.26966259111215612</v>
          </cell>
          <cell r="AF51">
            <v>0.24837075521811797</v>
          </cell>
          <cell r="AG51">
            <v>0.17363812931567951</v>
          </cell>
          <cell r="AH51">
            <v>0.20022099447513811</v>
          </cell>
          <cell r="AI51">
            <v>1.9465081723625557E-2</v>
          </cell>
          <cell r="AJ51">
            <v>0.15960251804488976</v>
          </cell>
          <cell r="AK51">
            <v>0.27564546402502604</v>
          </cell>
          <cell r="AL51">
            <v>0.22078998141637962</v>
          </cell>
          <cell r="AM51">
            <v>0.13745924857035968</v>
          </cell>
          <cell r="AN51">
            <v>0.12423768291165123</v>
          </cell>
          <cell r="AO51">
            <v>0.31819103630095313</v>
          </cell>
          <cell r="AP51">
            <v>0.2600713325147635</v>
          </cell>
          <cell r="AQ51">
            <v>0.13059225835171284</v>
          </cell>
          <cell r="AR51">
            <v>0.29707928363510783</v>
          </cell>
          <cell r="AS51">
            <v>0.25847200041213747</v>
          </cell>
          <cell r="AT51">
            <v>0.21367521367521367</v>
          </cell>
          <cell r="AU51">
            <v>0.12667247248832239</v>
          </cell>
          <cell r="AV51">
            <v>8.9698165672512001E-2</v>
          </cell>
          <cell r="AW51">
            <v>0</v>
          </cell>
          <cell r="AX51">
            <v>3.8172077992495716E-2</v>
          </cell>
          <cell r="AY51">
            <v>0.161401139233073</v>
          </cell>
          <cell r="AZ51">
            <v>0.11062490324578152</v>
          </cell>
          <cell r="BA51">
            <v>0.25603875879570887</v>
          </cell>
          <cell r="BB51">
            <v>0.2816253435020224</v>
          </cell>
          <cell r="BC51">
            <v>0.35224144817089625</v>
          </cell>
          <cell r="BD51">
            <v>0.28221686063014478</v>
          </cell>
          <cell r="BE51">
            <v>0.21764402721691989</v>
          </cell>
          <cell r="BF51">
            <v>0.16090896016108155</v>
          </cell>
          <cell r="BG51">
            <v>0.15344884634939593</v>
          </cell>
          <cell r="BH51">
            <v>0.11547300379573604</v>
          </cell>
          <cell r="BI51">
            <v>0.1263217881339834</v>
          </cell>
          <cell r="BJ51">
            <v>0.16131904878735837</v>
          </cell>
          <cell r="BK51">
            <v>0.13803832704518265</v>
          </cell>
          <cell r="BL51">
            <v>0.13466680378445084</v>
          </cell>
          <cell r="BM51">
            <v>0.16837808588057845</v>
          </cell>
          <cell r="BN51">
            <v>0.12853896841626902</v>
          </cell>
          <cell r="BO51">
            <v>0.1432808446175366</v>
          </cell>
          <cell r="BP51">
            <v>0.24837258882640748</v>
          </cell>
          <cell r="BQ51">
            <v>0.15330985357562138</v>
          </cell>
          <cell r="BR51">
            <v>3.4037301697884111E-2</v>
          </cell>
          <cell r="BS51">
            <v>0.13785107954229631</v>
          </cell>
          <cell r="BT51">
            <v>0.17170137535369842</v>
          </cell>
          <cell r="BU51">
            <v>0.13686965006431009</v>
          </cell>
          <cell r="BV51">
            <v>0.14107015855750324</v>
          </cell>
          <cell r="BW51">
            <v>0.11507749253877692</v>
          </cell>
          <cell r="BX51">
            <v>0.18174305555555556</v>
          </cell>
          <cell r="BY51">
            <v>0.29705882352941176</v>
          </cell>
          <cell r="BZ51">
            <v>0.27454893617021275</v>
          </cell>
          <cell r="CA51">
            <v>0.25170506912442397</v>
          </cell>
          <cell r="CB51" t="e">
            <v>#DIV/0!</v>
          </cell>
          <cell r="CC51" t="e">
            <v>#DIV/0!</v>
          </cell>
          <cell r="CD51" t="e">
            <v>#DIV/0!</v>
          </cell>
          <cell r="CE51" t="e">
            <v>#DIV/0!</v>
          </cell>
          <cell r="CF51" t="e">
            <v>#DIV/0!</v>
          </cell>
          <cell r="CG51" t="e">
            <v>#DIV/0!</v>
          </cell>
          <cell r="CH51" t="e">
            <v>#DIV/0!</v>
          </cell>
          <cell r="CI51" t="e">
            <v>#DIV/0!</v>
          </cell>
          <cell r="CJ51" t="e">
            <v>#DIV/0!</v>
          </cell>
          <cell r="CK51" t="e">
            <v>#DIV/0!</v>
          </cell>
          <cell r="CL51" t="e">
            <v>#DIV/0!</v>
          </cell>
          <cell r="CM51" t="e">
            <v>#DIV/0!</v>
          </cell>
          <cell r="CN51" t="e">
            <v>#DIV/0!</v>
          </cell>
          <cell r="CO51" t="e">
            <v>#DIV/0!</v>
          </cell>
        </row>
        <row r="52">
          <cell r="I52">
            <v>4.8542093195558106E-2</v>
          </cell>
          <cell r="J52">
            <v>0.12176596423893062</v>
          </cell>
          <cell r="K52">
            <v>0.12903993000993791</v>
          </cell>
          <cell r="L52">
            <v>9.7629577629577635E-2</v>
          </cell>
          <cell r="M52">
            <v>6.9294012423337006E-2</v>
          </cell>
          <cell r="N52">
            <v>0.13414640846037632</v>
          </cell>
          <cell r="O52">
            <v>3.9940534435441877E-2</v>
          </cell>
          <cell r="P52">
            <v>7.4829049752416887E-2</v>
          </cell>
          <cell r="Q52">
            <v>7.973314427274189E-2</v>
          </cell>
          <cell r="R52">
            <v>8.5062450831420472E-2</v>
          </cell>
          <cell r="S52">
            <v>6.7474737699497578E-2</v>
          </cell>
          <cell r="T52">
            <v>6.3540349805806126E-2</v>
          </cell>
          <cell r="U52">
            <v>6.7045307861107531E-2</v>
          </cell>
          <cell r="V52">
            <v>8.515005761577972E-2</v>
          </cell>
          <cell r="W52">
            <v>0.1208135467696819</v>
          </cell>
          <cell r="X52">
            <v>0.14882617963491801</v>
          </cell>
          <cell r="Y52">
            <v>0.10807528118730926</v>
          </cell>
          <cell r="Z52">
            <v>9.1756812268930579E-2</v>
          </cell>
          <cell r="AA52">
            <v>8.2809738403027758E-2</v>
          </cell>
          <cell r="AB52">
            <v>0.11207290004720091</v>
          </cell>
          <cell r="AC52">
            <v>5.3810815115430038E-2</v>
          </cell>
          <cell r="AD52">
            <v>0.11038036086993541</v>
          </cell>
          <cell r="AE52">
            <v>6.4289445036475268E-2</v>
          </cell>
          <cell r="AF52">
            <v>7.8973923583120359E-2</v>
          </cell>
          <cell r="AG52">
            <v>7.0316328627661767E-2</v>
          </cell>
          <cell r="AH52">
            <v>0.10568899749672189</v>
          </cell>
          <cell r="AI52">
            <v>0.11705510019543214</v>
          </cell>
          <cell r="AJ52">
            <v>0.13117478018009829</v>
          </cell>
          <cell r="AK52">
            <v>0.16414352024441373</v>
          </cell>
          <cell r="AL52">
            <v>0.18706400324833006</v>
          </cell>
          <cell r="AM52">
            <v>0.128138439212516</v>
          </cell>
          <cell r="AN52">
            <v>0.18833096538633967</v>
          </cell>
          <cell r="AO52">
            <v>0.11687067940570177</v>
          </cell>
          <cell r="AP52">
            <v>0.16204044481380347</v>
          </cell>
          <cell r="AQ52">
            <v>0.20536369357116552</v>
          </cell>
          <cell r="AR52">
            <v>0.14492782126420958</v>
          </cell>
          <cell r="AS52">
            <v>0.18788252572118067</v>
          </cell>
          <cell r="AT52">
            <v>0.23930734741945195</v>
          </cell>
          <cell r="AU52">
            <v>0.20900010820128423</v>
          </cell>
          <cell r="AV52">
            <v>0.10762874069573143</v>
          </cell>
          <cell r="AW52">
            <v>8.8570040437964029E-2</v>
          </cell>
          <cell r="AX52">
            <v>0.14098826571686468</v>
          </cell>
          <cell r="AY52">
            <v>0.13495414227367786</v>
          </cell>
          <cell r="AZ52">
            <v>0.16747497792169561</v>
          </cell>
          <cell r="BA52">
            <v>0.2036371912111557</v>
          </cell>
          <cell r="BB52">
            <v>0.10963592349305364</v>
          </cell>
          <cell r="BC52">
            <v>0.13980427374726978</v>
          </cell>
          <cell r="BD52">
            <v>0.16258358069225001</v>
          </cell>
          <cell r="BE52">
            <v>0.14687333127590724</v>
          </cell>
          <cell r="BF52">
            <v>0.17805312432311013</v>
          </cell>
          <cell r="BG52">
            <v>0.19488530827419431</v>
          </cell>
          <cell r="BH52">
            <v>0.16487835330311998</v>
          </cell>
          <cell r="BI52">
            <v>0.11717364337924535</v>
          </cell>
          <cell r="BJ52">
            <v>4.9661490862153296E-2</v>
          </cell>
          <cell r="BK52">
            <v>7.0262052439889408E-2</v>
          </cell>
          <cell r="BL52">
            <v>0.15461118922400693</v>
          </cell>
          <cell r="BM52">
            <v>0.1213512372265856</v>
          </cell>
          <cell r="BN52">
            <v>9.6320992413060441E-2</v>
          </cell>
          <cell r="BO52">
            <v>0.12603822515897545</v>
          </cell>
          <cell r="BP52">
            <v>0.16142969592723244</v>
          </cell>
          <cell r="BQ52">
            <v>0.15956916115705383</v>
          </cell>
          <cell r="BR52">
            <v>0.18830207341467556</v>
          </cell>
          <cell r="BS52">
            <v>0.12949670940507094</v>
          </cell>
          <cell r="BT52">
            <v>0.12189125704711509</v>
          </cell>
          <cell r="BU52">
            <v>0.14994643239768587</v>
          </cell>
          <cell r="BV52">
            <v>0.20321905464290724</v>
          </cell>
          <cell r="BW52">
            <v>0.18435989386438562</v>
          </cell>
          <cell r="BX52">
            <v>0.15142723492723492</v>
          </cell>
          <cell r="BY52">
            <v>0.11496726504751847</v>
          </cell>
          <cell r="BZ52">
            <v>0.10484210526315789</v>
          </cell>
          <cell r="CA52">
            <v>0.1242903981264637</v>
          </cell>
          <cell r="CB52" t="e">
            <v>#DIV/0!</v>
          </cell>
          <cell r="CC52" t="e">
            <v>#DIV/0!</v>
          </cell>
          <cell r="CD52" t="e">
            <v>#DIV/0!</v>
          </cell>
          <cell r="CE52" t="e">
            <v>#DIV/0!</v>
          </cell>
          <cell r="CF52" t="e">
            <v>#DIV/0!</v>
          </cell>
          <cell r="CG52" t="e">
            <v>#DIV/0!</v>
          </cell>
          <cell r="CH52" t="e">
            <v>#DIV/0!</v>
          </cell>
          <cell r="CI52" t="e">
            <v>#DIV/0!</v>
          </cell>
          <cell r="CJ52" t="e">
            <v>#DIV/0!</v>
          </cell>
          <cell r="CK52" t="e">
            <v>#DIV/0!</v>
          </cell>
          <cell r="CL52" t="e">
            <v>#DIV/0!</v>
          </cell>
          <cell r="CM52" t="e">
            <v>#DIV/0!</v>
          </cell>
          <cell r="CN52" t="e">
            <v>#DIV/0!</v>
          </cell>
          <cell r="CO52" t="e">
            <v>#DIV/0!</v>
          </cell>
        </row>
        <row r="53">
          <cell r="I53">
            <v>3.6287705040181154E-2</v>
          </cell>
          <cell r="J53">
            <v>9.8910603327320101E-2</v>
          </cell>
          <cell r="K53">
            <v>9.5984718317657522E-2</v>
          </cell>
          <cell r="L53">
            <v>0.10400817744649336</v>
          </cell>
          <cell r="M53">
            <v>0.11229936149729249</v>
          </cell>
          <cell r="N53">
            <v>0.10970145363342157</v>
          </cell>
          <cell r="O53">
            <v>6.2730557648654137E-2</v>
          </cell>
          <cell r="P53">
            <v>8.1393660503557314E-2</v>
          </cell>
          <cell r="Q53">
            <v>9.6364493994646125E-2</v>
          </cell>
          <cell r="R53">
            <v>0.12026232051066967</v>
          </cell>
          <cell r="S53">
            <v>8.4570224873867561E-2</v>
          </cell>
          <cell r="T53">
            <v>7.0499814371929578E-2</v>
          </cell>
          <cell r="U53">
            <v>0.11066298520976768</v>
          </cell>
          <cell r="V53">
            <v>0.12121350108126547</v>
          </cell>
          <cell r="W53">
            <v>9.3614355245333195E-2</v>
          </cell>
          <cell r="X53">
            <v>0.10572946959978965</v>
          </cell>
          <cell r="Y53">
            <v>0.12531538586310759</v>
          </cell>
          <cell r="Z53">
            <v>7.9613188364463072E-2</v>
          </cell>
          <cell r="AA53">
            <v>0.10357141027122768</v>
          </cell>
          <cell r="AB53">
            <v>0.1028993916084118</v>
          </cell>
          <cell r="AC53">
            <v>0.10458100177118188</v>
          </cell>
          <cell r="AD53">
            <v>0.12430143945808637</v>
          </cell>
          <cell r="AE53">
            <v>0.13345960751890559</v>
          </cell>
          <cell r="AF53">
            <v>0.11898508286399308</v>
          </cell>
          <cell r="AG53">
            <v>0.11897634291442634</v>
          </cell>
          <cell r="AH53">
            <v>0.12783979574811521</v>
          </cell>
          <cell r="AI53">
            <v>0.11799789524118055</v>
          </cell>
          <cell r="AJ53">
            <v>0.1509918517591152</v>
          </cell>
          <cell r="AK53">
            <v>0.15067877770647184</v>
          </cell>
          <cell r="AL53">
            <v>0.15005130402534841</v>
          </cell>
          <cell r="AM53">
            <v>0.13321175786455344</v>
          </cell>
          <cell r="AN53">
            <v>0.15002496440747051</v>
          </cell>
          <cell r="AO53">
            <v>0.15078416906459863</v>
          </cell>
          <cell r="AP53">
            <v>0.16373997671552232</v>
          </cell>
          <cell r="AQ53">
            <v>0.19143129743543028</v>
          </cell>
          <cell r="AR53">
            <v>0.14467148939591229</v>
          </cell>
          <cell r="AS53">
            <v>0.18424876138693769</v>
          </cell>
          <cell r="AT53">
            <v>0.18280319592854471</v>
          </cell>
          <cell r="AU53">
            <v>0.18935725060214795</v>
          </cell>
          <cell r="AV53">
            <v>0.16304191846771174</v>
          </cell>
          <cell r="AW53">
            <v>0.12757465183583114</v>
          </cell>
          <cell r="AX53">
            <v>0.14801299014908167</v>
          </cell>
          <cell r="AY53">
            <v>0.14502045961808713</v>
          </cell>
          <cell r="AZ53">
            <v>0.14202245635489463</v>
          </cell>
          <cell r="BA53">
            <v>0.18324542421210782</v>
          </cell>
          <cell r="BB53">
            <v>0.18123895739228496</v>
          </cell>
          <cell r="BC53">
            <v>0.19061747142005553</v>
          </cell>
          <cell r="BD53">
            <v>0.17993969468952492</v>
          </cell>
          <cell r="BE53">
            <v>0.16639925041796547</v>
          </cell>
          <cell r="BF53">
            <v>0.18201105703041434</v>
          </cell>
          <cell r="BG53">
            <v>0.16759013363360173</v>
          </cell>
          <cell r="BH53">
            <v>0.16614732189032788</v>
          </cell>
          <cell r="BI53">
            <v>0.12217852966792141</v>
          </cell>
          <cell r="BJ53">
            <v>0.11985097290017065</v>
          </cell>
          <cell r="BK53">
            <v>0.10838146244431365</v>
          </cell>
          <cell r="BL53">
            <v>0.16341373188002717</v>
          </cell>
          <cell r="BM53">
            <v>0.16391621621377442</v>
          </cell>
          <cell r="BN53">
            <v>0.15338902255549575</v>
          </cell>
          <cell r="BO53">
            <v>0.17658652088253948</v>
          </cell>
          <cell r="BP53">
            <v>0.21751237580629196</v>
          </cell>
          <cell r="BQ53">
            <v>0.1959236419051015</v>
          </cell>
          <cell r="BR53">
            <v>0.18379322720625965</v>
          </cell>
          <cell r="BS53">
            <v>0.16618751243296778</v>
          </cell>
          <cell r="BT53">
            <v>0.19470845426001163</v>
          </cell>
          <cell r="BU53">
            <v>0.21028059290272966</v>
          </cell>
          <cell r="BV53">
            <v>0.19845191882419486</v>
          </cell>
          <cell r="BW53">
            <v>0.19014675358016053</v>
          </cell>
          <cell r="BX53">
            <v>0.15533638170974154</v>
          </cell>
          <cell r="BY53">
            <v>0.15501479157328552</v>
          </cell>
          <cell r="BZ53">
            <v>0.17919373549883991</v>
          </cell>
          <cell r="CA53">
            <v>0.225779667721519</v>
          </cell>
          <cell r="CB53" t="e">
            <v>#VALUE!</v>
          </cell>
          <cell r="CC53" t="e">
            <v>#VALUE!</v>
          </cell>
          <cell r="CD53" t="e">
            <v>#DIV/0!</v>
          </cell>
          <cell r="CE53" t="e">
            <v>#DIV/0!</v>
          </cell>
          <cell r="CF53" t="e">
            <v>#DIV/0!</v>
          </cell>
          <cell r="CG53" t="e">
            <v>#DIV/0!</v>
          </cell>
          <cell r="CH53" t="e">
            <v>#DIV/0!</v>
          </cell>
          <cell r="CI53" t="e">
            <v>#DIV/0!</v>
          </cell>
          <cell r="CJ53" t="e">
            <v>#DIV/0!</v>
          </cell>
          <cell r="CK53" t="e">
            <v>#DIV/0!</v>
          </cell>
          <cell r="CL53" t="e">
            <v>#DIV/0!</v>
          </cell>
          <cell r="CM53" t="e">
            <v>#DIV/0!</v>
          </cell>
          <cell r="CN53" t="e">
            <v>#DIV/0!</v>
          </cell>
          <cell r="CO53" t="e">
            <v>#DIV/0!</v>
          </cell>
        </row>
        <row r="54">
          <cell r="I54">
            <v>7.6753692341939836E-2</v>
          </cell>
          <cell r="J54">
            <v>8.4799129695886766E-2</v>
          </cell>
          <cell r="K54">
            <v>8.9888208245263335E-2</v>
          </cell>
          <cell r="L54">
            <v>8.1345256190772278E-2</v>
          </cell>
          <cell r="M54">
            <v>8.5964188428391722E-2</v>
          </cell>
          <cell r="N54">
            <v>8.4990693322802888E-2</v>
          </cell>
          <cell r="O54">
            <v>7.2936747570409244E-2</v>
          </cell>
          <cell r="P54">
            <v>7.8841407577530859E-2</v>
          </cell>
          <cell r="Q54">
            <v>9.3842517518889015E-2</v>
          </cell>
          <cell r="R54">
            <v>9.6611564986535767E-2</v>
          </cell>
          <cell r="S54">
            <v>6.790300166674125E-2</v>
          </cell>
          <cell r="T54">
            <v>6.8836474569453882E-2</v>
          </cell>
          <cell r="U54">
            <v>0.10513620305812578</v>
          </cell>
          <cell r="V54">
            <v>0.11152330350210327</v>
          </cell>
          <cell r="W54">
            <v>9.9849308264105804E-2</v>
          </cell>
          <cell r="X54">
            <v>0.10789547071359498</v>
          </cell>
          <cell r="Y54">
            <v>0.11307393840298337</v>
          </cell>
          <cell r="Z54">
            <v>0.10365411507859568</v>
          </cell>
          <cell r="AA54">
            <v>9.8577244178187848E-2</v>
          </cell>
          <cell r="AB54">
            <v>0.1069075437822138</v>
          </cell>
          <cell r="AC54">
            <v>0.1105933810709467</v>
          </cell>
          <cell r="AD54">
            <v>0.10983383995200265</v>
          </cell>
          <cell r="AE54">
            <v>0.11351628426624058</v>
          </cell>
          <cell r="AF54">
            <v>0.11302184636042582</v>
          </cell>
          <cell r="AG54">
            <v>0.12656009897683682</v>
          </cell>
          <cell r="AH54">
            <v>0.12974541281564042</v>
          </cell>
          <cell r="AI54">
            <v>0.13766856826511142</v>
          </cell>
          <cell r="AJ54">
            <v>0.14031603994364414</v>
          </cell>
          <cell r="AK54">
            <v>0.14153279335578869</v>
          </cell>
          <cell r="AL54">
            <v>0.13612022438755081</v>
          </cell>
          <cell r="AM54">
            <v>0.13761220710146799</v>
          </cell>
          <cell r="AN54">
            <v>0.1406534703412359</v>
          </cell>
          <cell r="AO54">
            <v>0.13509285135407972</v>
          </cell>
          <cell r="AP54">
            <v>0.13527791197975769</v>
          </cell>
          <cell r="AQ54">
            <v>0.1630807381844008</v>
          </cell>
          <cell r="AR54">
            <v>0.14459456576920943</v>
          </cell>
          <cell r="AS54">
            <v>0.16230809725888834</v>
          </cell>
          <cell r="AT54">
            <v>0.16474054761614423</v>
          </cell>
          <cell r="AU54">
            <v>0.17132837786424593</v>
          </cell>
          <cell r="AV54">
            <v>0.15307626248347597</v>
          </cell>
          <cell r="AW54">
            <v>0.1311285885278797</v>
          </cell>
          <cell r="AX54">
            <v>0.14188764991159453</v>
          </cell>
          <cell r="AY54">
            <v>0.15186300724665866</v>
          </cell>
          <cell r="AZ54">
            <v>0.15889135264706369</v>
          </cell>
          <cell r="BA54">
            <v>0.16312511244086103</v>
          </cell>
          <cell r="BB54">
            <v>0.16049703642471463</v>
          </cell>
          <cell r="BC54">
            <v>0.17565016266617428</v>
          </cell>
          <cell r="BD54">
            <v>0.15688309717413523</v>
          </cell>
          <cell r="BE54">
            <v>0.17285145150625958</v>
          </cell>
          <cell r="BF54">
            <v>0.1789995586931358</v>
          </cell>
          <cell r="BG54">
            <v>0.1636186536330706</v>
          </cell>
          <cell r="BH54">
            <v>0.17015129781909791</v>
          </cell>
          <cell r="BI54">
            <v>0.14758916583412851</v>
          </cell>
          <cell r="BJ54">
            <v>0.15166256532885433</v>
          </cell>
          <cell r="BK54">
            <v>0.15056469188440028</v>
          </cell>
          <cell r="BL54">
            <v>0.15961533815528972</v>
          </cell>
          <cell r="BM54">
            <v>0.15671289448103895</v>
          </cell>
          <cell r="BN54">
            <v>0.15002068751207498</v>
          </cell>
          <cell r="BO54">
            <v>0.16916253892969726</v>
          </cell>
          <cell r="BP54">
            <v>0.18094772607476356</v>
          </cell>
          <cell r="BQ54">
            <v>0.17818913072959974</v>
          </cell>
          <cell r="BR54">
            <v>0.17242941833542585</v>
          </cell>
          <cell r="BS54">
            <v>0.15403369482264362</v>
          </cell>
          <cell r="BT54">
            <v>0.16051543526409057</v>
          </cell>
          <cell r="BU54">
            <v>0.16082072074785458</v>
          </cell>
          <cell r="BV54">
            <v>0.159977381390217</v>
          </cell>
          <cell r="BW54">
            <v>0.16410192292853254</v>
          </cell>
          <cell r="BX54">
            <v>0.14325685167332322</v>
          </cell>
          <cell r="BY54">
            <v>0.146956258790436</v>
          </cell>
          <cell r="BZ54">
            <v>0.15309408495434695</v>
          </cell>
          <cell r="CA54">
            <v>0.1620872755864238</v>
          </cell>
          <cell r="CB54" t="e">
            <v>#VALUE!</v>
          </cell>
          <cell r="CC54" t="e">
            <v>#VALUE!</v>
          </cell>
          <cell r="CD54" t="e">
            <v>#DIV/0!</v>
          </cell>
          <cell r="CE54" t="e">
            <v>#DIV/0!</v>
          </cell>
          <cell r="CF54" t="e">
            <v>#DIV/0!</v>
          </cell>
          <cell r="CG54" t="e">
            <v>#DIV/0!</v>
          </cell>
          <cell r="CH54" t="e">
            <v>#DIV/0!</v>
          </cell>
          <cell r="CI54" t="e">
            <v>#DIV/0!</v>
          </cell>
          <cell r="CJ54" t="e">
            <v>#DIV/0!</v>
          </cell>
          <cell r="CK54" t="e">
            <v>#DIV/0!</v>
          </cell>
          <cell r="CL54" t="e">
            <v>#DIV/0!</v>
          </cell>
          <cell r="CM54" t="e">
            <v>#DIV/0!</v>
          </cell>
          <cell r="CN54" t="e">
            <v>#DIV/0!</v>
          </cell>
          <cell r="CO54" t="e">
            <v>#DIV/0!</v>
          </cell>
        </row>
        <row r="57">
          <cell r="BC57">
            <v>1.0841538324977122</v>
          </cell>
          <cell r="BD57">
            <v>1.0550050686973009</v>
          </cell>
          <cell r="BE57">
            <v>1.0750413882752494</v>
          </cell>
          <cell r="BF57">
            <v>1.3297112659171575</v>
          </cell>
          <cell r="BG57">
            <v>1.2126213579616081</v>
          </cell>
          <cell r="BH57">
            <v>1.2486358663393664</v>
          </cell>
          <cell r="BI57">
            <v>1.1113861504162914</v>
          </cell>
          <cell r="BJ57">
            <v>1.1937254213918114</v>
          </cell>
          <cell r="BK57">
            <v>1.1288648376517689</v>
          </cell>
          <cell r="BL57">
            <v>1.0924055183019759</v>
          </cell>
          <cell r="BM57">
            <v>1.2498772110722307</v>
          </cell>
          <cell r="BN57">
            <v>1.030917937734066</v>
          </cell>
          <cell r="BO57">
            <v>1.4503501347218968</v>
          </cell>
          <cell r="BP57">
            <v>1.3222682275041024</v>
          </cell>
          <cell r="BQ57">
            <v>1.3546412798856298</v>
          </cell>
          <cell r="BR57">
            <v>1.3047540254627883</v>
          </cell>
          <cell r="BS57">
            <v>1.3321741640091673</v>
          </cell>
          <cell r="BT57">
            <v>1.3958964351362999</v>
          </cell>
          <cell r="BU57">
            <v>1.4031743831431598</v>
          </cell>
          <cell r="BV57">
            <v>1.4073998270169017</v>
          </cell>
          <cell r="BW57">
            <v>1.4452932848011251</v>
          </cell>
          <cell r="BX57">
            <v>1.2426026478834427</v>
          </cell>
          <cell r="BY57">
            <v>1.6845376251499957</v>
          </cell>
          <cell r="BZ57">
            <v>1.3817240919091127</v>
          </cell>
          <cell r="CA57">
            <v>1.0875175366398915</v>
          </cell>
          <cell r="CB57">
            <v>1.1714378924474855</v>
          </cell>
          <cell r="CC57">
            <v>1.3815205688570229</v>
          </cell>
          <cell r="CD57">
            <v>1.2383331029475941</v>
          </cell>
          <cell r="CE57">
            <v>1.0941926553946613</v>
          </cell>
          <cell r="CF57">
            <v>1.0801182110190852</v>
          </cell>
          <cell r="CG57">
            <v>0.99482477846246165</v>
          </cell>
          <cell r="CH57">
            <v>1.135346475664877</v>
          </cell>
          <cell r="CI57">
            <v>1.0388218663942519</v>
          </cell>
          <cell r="CJ57">
            <v>1.2499349932272992</v>
          </cell>
          <cell r="CK57">
            <v>1.0869784505184501</v>
          </cell>
          <cell r="CL57">
            <v>1.2009361184980372</v>
          </cell>
        </row>
        <row r="58">
          <cell r="BC58">
            <v>0.9</v>
          </cell>
          <cell r="BD58">
            <v>0.8553421924699538</v>
          </cell>
          <cell r="BE58">
            <v>0.70494358285751135</v>
          </cell>
          <cell r="BF58">
            <v>0.9</v>
          </cell>
          <cell r="BG58">
            <v>0.9</v>
          </cell>
          <cell r="BH58">
            <v>0.9</v>
          </cell>
          <cell r="BI58">
            <v>0.61869555630813555</v>
          </cell>
          <cell r="BJ58">
            <v>0.61731547862017611</v>
          </cell>
          <cell r="BK58">
            <v>0.59218547331260463</v>
          </cell>
          <cell r="BL58">
            <v>0.69169292313084918</v>
          </cell>
          <cell r="BM58">
            <v>0.69038892543718144</v>
          </cell>
          <cell r="BN58">
            <v>0.69767285559519199</v>
          </cell>
          <cell r="BO58">
            <v>0.9</v>
          </cell>
          <cell r="BP58">
            <v>0.8553421924699538</v>
          </cell>
          <cell r="BQ58">
            <v>0.83485637429815907</v>
          </cell>
          <cell r="BR58">
            <v>0.9</v>
          </cell>
          <cell r="BS58">
            <v>0.9</v>
          </cell>
          <cell r="BT58">
            <v>0.9</v>
          </cell>
          <cell r="BU58">
            <v>0.7815486950020788</v>
          </cell>
          <cell r="BV58">
            <v>0.80054357394087095</v>
          </cell>
          <cell r="BW58">
            <v>0.75344039203033664</v>
          </cell>
          <cell r="BX58">
            <v>0.80714589029377215</v>
          </cell>
          <cell r="BY58">
            <v>0.87907228215509359</v>
          </cell>
          <cell r="BZ58">
            <v>0.83075436189910612</v>
          </cell>
          <cell r="CA58">
            <v>0.68686369375927236</v>
          </cell>
          <cell r="CB58">
            <v>0.69029943242148106</v>
          </cell>
          <cell r="CC58">
            <v>0.77327567857477986</v>
          </cell>
          <cell r="CD58">
            <v>0.74879715754010046</v>
          </cell>
          <cell r="CE58">
            <v>0.74795174657967312</v>
          </cell>
          <cell r="CF58">
            <v>0.6994453568760266</v>
          </cell>
          <cell r="CG58">
            <v>0.70932041379853283</v>
          </cell>
          <cell r="CH58">
            <v>0.6415512296729291</v>
          </cell>
          <cell r="CI58">
            <v>0.67150005199290608</v>
          </cell>
          <cell r="CJ58">
            <v>0.66730210348663654</v>
          </cell>
          <cell r="CK58">
            <v>0.66966685063676057</v>
          </cell>
          <cell r="CL58">
            <v>0.66587977205637572</v>
          </cell>
        </row>
        <row r="60">
          <cell r="BC60">
            <v>1.2223783467993028</v>
          </cell>
          <cell r="BD60">
            <v>1.0166072854250954</v>
          </cell>
          <cell r="BE60">
            <v>1.0777893531408496</v>
          </cell>
          <cell r="BF60">
            <v>1.0409931920394684</v>
          </cell>
          <cell r="BG60">
            <v>1.1458963774331363</v>
          </cell>
          <cell r="BH60">
            <v>1.1338436917096129</v>
          </cell>
          <cell r="BI60">
            <v>1.0667026433077913</v>
          </cell>
          <cell r="BJ60">
            <v>0.99285559086234088</v>
          </cell>
          <cell r="BK60">
            <v>0.76163149639519345</v>
          </cell>
          <cell r="BL60">
            <v>1.0901631697274987</v>
          </cell>
          <cell r="BM60">
            <v>1.0353966115134674</v>
          </cell>
          <cell r="BN60">
            <v>0.95609826048845803</v>
          </cell>
          <cell r="BO60">
            <v>1.2127375765381627</v>
          </cell>
          <cell r="BP60">
            <v>1.112248397309755</v>
          </cell>
          <cell r="BQ60">
            <v>1.2166923046885121</v>
          </cell>
          <cell r="BR60">
            <v>1.1986511388706675</v>
          </cell>
          <cell r="BS60">
            <v>1.1592743868697348</v>
          </cell>
          <cell r="BT60">
            <v>1.2754698041935693</v>
          </cell>
          <cell r="BU60">
            <v>1.2681847066271426</v>
          </cell>
          <cell r="BV60">
            <v>1.0684451623187121</v>
          </cell>
          <cell r="BW60">
            <v>0.94404641609778761</v>
          </cell>
          <cell r="BX60">
            <v>1.2406215463606456</v>
          </cell>
          <cell r="BY60">
            <v>1.3582238558287443</v>
          </cell>
          <cell r="BZ60">
            <v>1.3764781523651186</v>
          </cell>
          <cell r="CA60">
            <v>1.2449241803990101</v>
          </cell>
          <cell r="CB60">
            <v>1.2059383870740894</v>
          </cell>
          <cell r="CC60">
            <v>1.4638746900534128</v>
          </cell>
          <cell r="CD60">
            <v>1.3136964856896551</v>
          </cell>
          <cell r="CE60">
            <v>1.1875511513269568</v>
          </cell>
          <cell r="CF60">
            <v>1.314945397174752</v>
          </cell>
          <cell r="CG60">
            <v>1.2301097227914435</v>
          </cell>
          <cell r="CH60">
            <v>1.1759335694573698</v>
          </cell>
          <cell r="CI60">
            <v>1.0560171732762256</v>
          </cell>
          <cell r="CJ60">
            <v>1.2664624559717363</v>
          </cell>
          <cell r="CK60">
            <v>1.0915603127023392</v>
          </cell>
          <cell r="CL60">
            <v>1.1339458113356897</v>
          </cell>
        </row>
        <row r="61">
          <cell r="BC61">
            <v>0.8</v>
          </cell>
          <cell r="BD61">
            <v>0.8</v>
          </cell>
          <cell r="BE61">
            <v>0.8</v>
          </cell>
          <cell r="BF61">
            <v>0.8</v>
          </cell>
          <cell r="BG61">
            <v>0.80441995589570636</v>
          </cell>
          <cell r="BH61">
            <v>1.4177114105211535</v>
          </cell>
          <cell r="BI61">
            <v>0.8</v>
          </cell>
          <cell r="BJ61">
            <v>3.2635085939153181</v>
          </cell>
          <cell r="BK61">
            <v>2.006610227788086</v>
          </cell>
          <cell r="BL61">
            <v>0.8</v>
          </cell>
          <cell r="BM61">
            <v>0.8</v>
          </cell>
          <cell r="BN61">
            <v>0.8</v>
          </cell>
          <cell r="BO61">
            <v>1.5193237852807286</v>
          </cell>
          <cell r="BP61">
            <v>1.2043080279656417</v>
          </cell>
          <cell r="BQ61">
            <v>1.1826087842185133</v>
          </cell>
          <cell r="BR61">
            <v>3.0745604867537324</v>
          </cell>
          <cell r="BS61">
            <v>3.7939085293078247</v>
          </cell>
          <cell r="BT61">
            <v>1.215459028224583</v>
          </cell>
          <cell r="BU61">
            <v>1.2501864290309996</v>
          </cell>
          <cell r="BV61">
            <v>1.2383922174363677</v>
          </cell>
          <cell r="BW61">
            <v>1.2383922174363677</v>
          </cell>
          <cell r="BX61">
            <v>1.1933597731659544</v>
          </cell>
          <cell r="BY61">
            <v>3.7471547293674594</v>
          </cell>
          <cell r="BZ61">
            <v>1.2268184583949062</v>
          </cell>
          <cell r="CA61">
            <v>1.7636099729685426</v>
          </cell>
          <cell r="CB61">
            <v>1.7635975133952866</v>
          </cell>
          <cell r="CC61">
            <v>1.7959400487186132</v>
          </cell>
          <cell r="CD61">
            <v>1.7960099238504625</v>
          </cell>
          <cell r="CE61">
            <v>1.8643437577379758</v>
          </cell>
          <cell r="CF61">
            <v>1.7022472094638399</v>
          </cell>
          <cell r="CG61">
            <v>1.7022775683115547</v>
          </cell>
          <cell r="CH61">
            <v>1.6589673029794563</v>
          </cell>
          <cell r="CI61">
            <v>1.6312272827561505</v>
          </cell>
          <cell r="CJ61">
            <v>1.6327908821038446</v>
          </cell>
          <cell r="CK61">
            <v>1.6465118138862298</v>
          </cell>
          <cell r="CL61">
            <v>1.703781790021403</v>
          </cell>
        </row>
        <row r="62">
          <cell r="BC62">
            <v>0.58458491913438038</v>
          </cell>
          <cell r="BD62">
            <v>1.5087538057588004</v>
          </cell>
          <cell r="BE62">
            <v>1.3079609143402045</v>
          </cell>
          <cell r="BF62">
            <v>0.76270379900366669</v>
          </cell>
          <cell r="BG62">
            <v>0.43115500823452285</v>
          </cell>
          <cell r="BH62">
            <v>0.57684562355801128</v>
          </cell>
          <cell r="BI62">
            <v>0.64121853571103282</v>
          </cell>
          <cell r="BJ62">
            <v>2.3871128769431742</v>
          </cell>
          <cell r="BK62">
            <v>2.2440532041593992</v>
          </cell>
          <cell r="BL62">
            <v>1.1896677487240905</v>
          </cell>
          <cell r="BM62">
            <v>0.92415699324152045</v>
          </cell>
          <cell r="BN62">
            <v>1.026872652076581</v>
          </cell>
          <cell r="BO62">
            <v>1.2762319796358121</v>
          </cell>
          <cell r="BP62">
            <v>1.2946311300630648</v>
          </cell>
          <cell r="BQ62">
            <v>1.2869386920971133</v>
          </cell>
          <cell r="BR62">
            <v>1.1530435646130504</v>
          </cell>
          <cell r="BS62">
            <v>1.1242996011077393</v>
          </cell>
          <cell r="BT62">
            <v>1.1242996011077393</v>
          </cell>
          <cell r="BU62">
            <v>1.1564224468536746</v>
          </cell>
          <cell r="BV62">
            <v>1.1455128011286402</v>
          </cell>
          <cell r="BW62">
            <v>0.85472794960345144</v>
          </cell>
          <cell r="BX62">
            <v>1.4343266504398491</v>
          </cell>
          <cell r="BY62">
            <v>1.4745414163400317</v>
          </cell>
          <cell r="BZ62">
            <v>1.4745414163400317</v>
          </cell>
          <cell r="CA62">
            <v>1.1909946349069953</v>
          </cell>
          <cell r="CB62">
            <v>1.1956413169651678</v>
          </cell>
          <cell r="CC62">
            <v>1.179617379720109</v>
          </cell>
          <cell r="CD62">
            <v>1.2365704171146537</v>
          </cell>
          <cell r="CE62">
            <v>1.3035354141822151</v>
          </cell>
          <cell r="CF62">
            <v>1.1292538418242966</v>
          </cell>
          <cell r="CG62">
            <v>1.2345548501110044</v>
          </cell>
          <cell r="CH62">
            <v>1.1276379314002842</v>
          </cell>
          <cell r="CI62">
            <v>1.1946400155084544</v>
          </cell>
          <cell r="CJ62">
            <v>0.85600814594505303</v>
          </cell>
          <cell r="CK62">
            <v>1.0596781181529369</v>
          </cell>
          <cell r="CL62">
            <v>1.4619116140569188</v>
          </cell>
        </row>
        <row r="63">
          <cell r="BC63">
            <v>1.2361218317044009</v>
          </cell>
          <cell r="BD63">
            <v>0.96838211101171701</v>
          </cell>
          <cell r="BE63">
            <v>1.1051190647355125</v>
          </cell>
          <cell r="BF63">
            <v>1.2433256498472931</v>
          </cell>
          <cell r="BG63">
            <v>1.1026644304053417</v>
          </cell>
          <cell r="BH63">
            <v>0.91888702533778466</v>
          </cell>
          <cell r="BI63">
            <v>0.9845218128619122</v>
          </cell>
          <cell r="BJ63">
            <v>1.1979794675602662</v>
          </cell>
          <cell r="BK63">
            <v>0.91711646231625299</v>
          </cell>
          <cell r="BL63">
            <v>0.95122763458651793</v>
          </cell>
          <cell r="BM63">
            <v>0.91681978793545005</v>
          </cell>
          <cell r="BN63">
            <v>1.3437043115175706</v>
          </cell>
          <cell r="BO63">
            <v>1.0494217868555091</v>
          </cell>
          <cell r="BP63">
            <v>0.90138289746221123</v>
          </cell>
          <cell r="BQ63">
            <v>1.0071471008843775</v>
          </cell>
          <cell r="BR63">
            <v>1.3816542203913091</v>
          </cell>
          <cell r="BS63">
            <v>1.2339622649663697</v>
          </cell>
          <cell r="BT63">
            <v>1.0683837358363695</v>
          </cell>
          <cell r="BU63">
            <v>1.0944857103601329</v>
          </cell>
          <cell r="BV63">
            <v>0.95798717524173949</v>
          </cell>
          <cell r="BW63">
            <v>0.86165611678516096</v>
          </cell>
          <cell r="BX63">
            <v>1.0385708458923151</v>
          </cell>
          <cell r="BY63">
            <v>1.3428909453209041</v>
          </cell>
          <cell r="BZ63">
            <v>1.3170661194493485</v>
          </cell>
          <cell r="CA63">
            <v>0.96309682667343421</v>
          </cell>
          <cell r="CB63">
            <v>1.0149914101113275</v>
          </cell>
          <cell r="CC63">
            <v>1.0004942182361127</v>
          </cell>
          <cell r="CD63">
            <v>1.2355567875586586</v>
          </cell>
          <cell r="CE63">
            <v>1.265591875845206</v>
          </cell>
          <cell r="CF63">
            <v>1.0503959069878952</v>
          </cell>
          <cell r="CG63">
            <v>1.0330034482105763</v>
          </cell>
          <cell r="CH63">
            <v>1.0735389132997879</v>
          </cell>
          <cell r="CI63">
            <v>1.1517722954776906</v>
          </cell>
          <cell r="CJ63">
            <v>1.0780398275352849</v>
          </cell>
          <cell r="CK63">
            <v>1.3128339559303428</v>
          </cell>
          <cell r="CL63">
            <v>1.1005669724261649</v>
          </cell>
        </row>
        <row r="65">
          <cell r="BC65">
            <v>0.97729107465416898</v>
          </cell>
          <cell r="BD65">
            <v>0.89913628881343421</v>
          </cell>
          <cell r="BE65">
            <v>0.94395869521070475</v>
          </cell>
          <cell r="BF65">
            <v>0.93943642012478656</v>
          </cell>
          <cell r="BG65">
            <v>0.95219270398095046</v>
          </cell>
          <cell r="BH65">
            <v>0.90730154576568789</v>
          </cell>
          <cell r="BI65">
            <v>0.8752114175144442</v>
          </cell>
          <cell r="BJ65">
            <v>0.92810220632035223</v>
          </cell>
          <cell r="BK65">
            <v>0.82138229478827229</v>
          </cell>
          <cell r="BL65">
            <v>0.92794604793959223</v>
          </cell>
          <cell r="BM65">
            <v>0.94530235247055128</v>
          </cell>
          <cell r="BN65">
            <v>0.90824041868370586</v>
          </cell>
          <cell r="BO65">
            <v>1.1007393769921201</v>
          </cell>
          <cell r="BP65">
            <v>0.99677350402270748</v>
          </cell>
          <cell r="BQ65">
            <v>1.0691911182172869</v>
          </cell>
          <cell r="BR65">
            <v>1.0972058787138999</v>
          </cell>
          <cell r="BS65">
            <v>1.0812685811382998</v>
          </cell>
          <cell r="BT65">
            <v>1.0814251475887289</v>
          </cell>
          <cell r="BU65">
            <v>1.0863720433565458</v>
          </cell>
          <cell r="BV65">
            <v>1.0507860218611427</v>
          </cell>
          <cell r="BW65">
            <v>0.99980968461604414</v>
          </cell>
          <cell r="BX65">
            <v>1.0765129413732355</v>
          </cell>
          <cell r="BY65">
            <v>1.2628434686643513</v>
          </cell>
          <cell r="BZ65">
            <v>1.1581769479588209</v>
          </cell>
          <cell r="CA65">
            <v>0.95724943544324947</v>
          </cell>
          <cell r="CB65">
            <v>0.97842489262645105</v>
          </cell>
          <cell r="CC65">
            <v>1.0906427577867703</v>
          </cell>
          <cell r="CD65">
            <v>1.0399051653218363</v>
          </cell>
          <cell r="CE65">
            <v>0.99489132373437195</v>
          </cell>
          <cell r="CF65">
            <v>0.96896093788136295</v>
          </cell>
          <cell r="CG65">
            <v>0.94459481385021049</v>
          </cell>
          <cell r="CH65">
            <v>0.94770346089999147</v>
          </cell>
          <cell r="CI65">
            <v>0.93426822034516166</v>
          </cell>
          <cell r="CJ65">
            <v>0.9997765237652908</v>
          </cell>
          <cell r="CK65">
            <v>0.95105210277463825</v>
          </cell>
          <cell r="CL65">
            <v>0.97045614641724887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4</v>
          </cell>
          <cell r="J66">
            <v>4</v>
          </cell>
          <cell r="K66">
            <v>4</v>
          </cell>
          <cell r="L66">
            <v>4</v>
          </cell>
          <cell r="M66">
            <v>4</v>
          </cell>
          <cell r="N66">
            <v>5</v>
          </cell>
          <cell r="O66">
            <v>6</v>
          </cell>
          <cell r="P66">
            <v>6</v>
          </cell>
          <cell r="Q66">
            <v>6</v>
          </cell>
          <cell r="R66">
            <v>6</v>
          </cell>
          <cell r="S66">
            <v>6</v>
          </cell>
          <cell r="T66">
            <v>6</v>
          </cell>
          <cell r="U66">
            <v>4</v>
          </cell>
          <cell r="V66">
            <v>4</v>
          </cell>
          <cell r="W66">
            <v>4</v>
          </cell>
          <cell r="X66">
            <v>4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4</v>
          </cell>
          <cell r="J67">
            <v>4</v>
          </cell>
          <cell r="K67">
            <v>5</v>
          </cell>
          <cell r="L67">
            <v>6</v>
          </cell>
          <cell r="M67">
            <v>5</v>
          </cell>
          <cell r="N67">
            <v>6</v>
          </cell>
          <cell r="O67">
            <v>6</v>
          </cell>
          <cell r="P67">
            <v>6</v>
          </cell>
          <cell r="Q67">
            <v>6</v>
          </cell>
          <cell r="R67">
            <v>6</v>
          </cell>
          <cell r="S67">
            <v>6</v>
          </cell>
          <cell r="T67">
            <v>6</v>
          </cell>
          <cell r="U67">
            <v>4</v>
          </cell>
          <cell r="V67">
            <v>4</v>
          </cell>
          <cell r="W67">
            <v>5</v>
          </cell>
          <cell r="X67">
            <v>5</v>
          </cell>
          <cell r="AR67">
            <v>0.36407211752461643</v>
          </cell>
          <cell r="AS67">
            <v>0.27712635199692642</v>
          </cell>
          <cell r="AT67">
            <v>0.25581004777761684</v>
          </cell>
          <cell r="AU67">
            <v>0.25260284037459946</v>
          </cell>
          <cell r="AV67">
            <v>0.16796558991890237</v>
          </cell>
          <cell r="AW67">
            <v>-5.2600091763549017E-2</v>
          </cell>
          <cell r="AX67">
            <v>7.2349922932807315E-2</v>
          </cell>
          <cell r="AY67">
            <v>0.26105576063483416</v>
          </cell>
          <cell r="AZ67">
            <v>0.18701786272762044</v>
          </cell>
          <cell r="BA67">
            <v>0.29945184611869374</v>
          </cell>
          <cell r="BB67">
            <v>0.30204094445046886</v>
          </cell>
          <cell r="BC67">
            <v>0.17460524548855885</v>
          </cell>
          <cell r="BD67">
            <v>0.2541780995710079</v>
          </cell>
          <cell r="BE67">
            <v>0.14289106158941622</v>
          </cell>
          <cell r="BF67">
            <v>0.2121056656201252</v>
          </cell>
          <cell r="BG67">
            <v>0.10234323128685001</v>
          </cell>
          <cell r="BH67">
            <v>0.32754423964587254</v>
          </cell>
          <cell r="BI67">
            <v>0.3402349870810899</v>
          </cell>
          <cell r="BJ67">
            <v>0.3422690048310229</v>
          </cell>
          <cell r="BK67">
            <v>0.17975775243435055</v>
          </cell>
          <cell r="BL67">
            <v>0.2540741158652785</v>
          </cell>
          <cell r="BM67">
            <v>0.19649940419804135</v>
          </cell>
          <cell r="BN67">
            <v>0.13003403693873569</v>
          </cell>
          <cell r="BO67">
            <v>0.2264535447078829</v>
          </cell>
          <cell r="BP67">
            <v>0.31893020572894365</v>
          </cell>
          <cell r="BQ67">
            <v>0.23960173744327484</v>
          </cell>
          <cell r="BR67">
            <v>0.11419019846476769</v>
          </cell>
          <cell r="BS67">
            <v>0.1378134100921963</v>
          </cell>
          <cell r="BT67">
            <v>0.11551179621214372</v>
          </cell>
          <cell r="BU67">
            <v>0.27582521574960334</v>
          </cell>
          <cell r="BV67">
            <v>0.11825098278158579</v>
          </cell>
          <cell r="BW67">
            <v>0.17734368832399147</v>
          </cell>
          <cell r="BX67">
            <v>3.9907661692560964E-2</v>
          </cell>
          <cell r="BY67">
            <v>6.3674574860726916E-3</v>
          </cell>
          <cell r="BZ67">
            <v>0.12192893903116664</v>
          </cell>
          <cell r="CA67">
            <v>-6.2619219940660012E-2</v>
          </cell>
          <cell r="CB67">
            <v>-1</v>
          </cell>
          <cell r="CC67">
            <v>-1</v>
          </cell>
          <cell r="CD67">
            <v>-1</v>
          </cell>
          <cell r="CE67">
            <v>-1</v>
          </cell>
          <cell r="CF67">
            <v>-1</v>
          </cell>
          <cell r="CG67">
            <v>-1</v>
          </cell>
          <cell r="CH67">
            <v>-1</v>
          </cell>
          <cell r="CI67">
            <v>-1</v>
          </cell>
          <cell r="CJ67">
            <v>-1</v>
          </cell>
          <cell r="CK67">
            <v>-1</v>
          </cell>
          <cell r="CL67">
            <v>-1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4</v>
          </cell>
          <cell r="J68">
            <v>4</v>
          </cell>
          <cell r="K68">
            <v>4</v>
          </cell>
          <cell r="L68">
            <v>4</v>
          </cell>
          <cell r="M68">
            <v>4</v>
          </cell>
          <cell r="N68">
            <v>4</v>
          </cell>
          <cell r="O68">
            <v>6</v>
          </cell>
          <cell r="P68">
            <v>6</v>
          </cell>
          <cell r="Q68">
            <v>6</v>
          </cell>
          <cell r="R68">
            <v>6</v>
          </cell>
          <cell r="S68">
            <v>6</v>
          </cell>
          <cell r="T68">
            <v>6</v>
          </cell>
          <cell r="U68">
            <v>4</v>
          </cell>
          <cell r="V68">
            <v>4</v>
          </cell>
          <cell r="W68">
            <v>5</v>
          </cell>
          <cell r="X68">
            <v>6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4</v>
          </cell>
          <cell r="J69">
            <v>4</v>
          </cell>
          <cell r="K69">
            <v>4</v>
          </cell>
          <cell r="L69">
            <v>4</v>
          </cell>
          <cell r="M69">
            <v>4</v>
          </cell>
          <cell r="N69">
            <v>4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4</v>
          </cell>
          <cell r="J70">
            <v>4</v>
          </cell>
          <cell r="K70">
            <v>4</v>
          </cell>
          <cell r="L70">
            <v>4</v>
          </cell>
          <cell r="M70">
            <v>4</v>
          </cell>
          <cell r="N70">
            <v>4</v>
          </cell>
          <cell r="O70">
            <v>6</v>
          </cell>
          <cell r="P70">
            <v>6</v>
          </cell>
          <cell r="Q70">
            <v>6</v>
          </cell>
          <cell r="R70">
            <v>6</v>
          </cell>
          <cell r="S70">
            <v>6</v>
          </cell>
          <cell r="T70">
            <v>6</v>
          </cell>
          <cell r="U70">
            <v>3</v>
          </cell>
          <cell r="V70">
            <v>3</v>
          </cell>
          <cell r="W70">
            <v>4</v>
          </cell>
          <cell r="X70">
            <v>5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4</v>
          </cell>
          <cell r="J71">
            <v>4</v>
          </cell>
          <cell r="K71">
            <v>4</v>
          </cell>
          <cell r="L71">
            <v>4</v>
          </cell>
          <cell r="M71">
            <v>4</v>
          </cell>
          <cell r="N71">
            <v>4</v>
          </cell>
          <cell r="O71">
            <v>6</v>
          </cell>
          <cell r="P71">
            <v>6</v>
          </cell>
          <cell r="Q71">
            <v>6</v>
          </cell>
          <cell r="R71">
            <v>6</v>
          </cell>
          <cell r="S71">
            <v>6</v>
          </cell>
          <cell r="T71">
            <v>6</v>
          </cell>
          <cell r="U71">
            <v>5</v>
          </cell>
          <cell r="V71">
            <v>5</v>
          </cell>
          <cell r="W71">
            <v>5</v>
          </cell>
          <cell r="X71">
            <v>5</v>
          </cell>
        </row>
        <row r="72">
          <cell r="G72">
            <v>0</v>
          </cell>
          <cell r="H72">
            <v>0</v>
          </cell>
          <cell r="I72">
            <v>6.0999999999999999E-2</v>
          </cell>
          <cell r="J72">
            <v>0.121</v>
          </cell>
          <cell r="K72">
            <v>0.157</v>
          </cell>
          <cell r="L72">
            <v>-2.7E-2</v>
          </cell>
          <cell r="M72">
            <v>0.11</v>
          </cell>
          <cell r="N72">
            <v>9.4E-2</v>
          </cell>
          <cell r="O72">
            <v>2.6280577540435796E-2</v>
          </cell>
          <cell r="P72">
            <v>-8.6136099641233602E-2</v>
          </cell>
          <cell r="Q72">
            <v>-5.6509792377135142E-3</v>
          </cell>
          <cell r="R72">
            <v>0.13399963472130258</v>
          </cell>
          <cell r="S72">
            <v>0.18730471806255572</v>
          </cell>
          <cell r="T72">
            <v>9.0564075962441953E-2</v>
          </cell>
          <cell r="U72">
            <v>0.10090430982526313</v>
          </cell>
          <cell r="V72">
            <v>9.1483955881669077E-2</v>
          </cell>
          <cell r="W72">
            <v>9.7088049596357626E-2</v>
          </cell>
          <cell r="X72">
            <v>13.6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 00-01"/>
      <sheetName val="4AM"/>
      <sheetName val="Advert"/>
      <sheetName val="Rent HLP"/>
      <sheetName val="Program Costs"/>
      <sheetName val="Salaries"/>
      <sheetName val="FBT"/>
      <sheetName val="Depn"/>
      <sheetName val="Capex"/>
      <sheetName val="Last Year 99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 01-02"/>
      <sheetName val="4GC"/>
      <sheetName val="Revenue"/>
      <sheetName val="Advert"/>
      <sheetName val="Rent HLP"/>
      <sheetName val="Program Costs"/>
      <sheetName val="Salaries"/>
      <sheetName val="FBT"/>
      <sheetName val="Depn"/>
      <sheetName val="Capex"/>
      <sheetName val="LY00-0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Input Macro"/>
      <sheetName val="Input Micro"/>
      <sheetName val="Reports"/>
      <sheetName val="Report KPI  list"/>
      <sheetName val="Micro line data"/>
      <sheetName val="Macroline data"/>
      <sheetName val="Total kg rev trans"/>
      <sheetName val="Macro trucks"/>
      <sheetName val="POS"/>
      <sheetName val="primanja"/>
      <sheetName val="naknade"/>
      <sheetName val="otpremnine"/>
      <sheetName val="prijevoz"/>
      <sheetName val="osiguranje-adenda"/>
      <sheetName val="Macro line norm"/>
      <sheetName val="Micro line norm"/>
      <sheetName val="Control_Panel"/>
      <sheetName val="Input_Macro"/>
      <sheetName val="Input_Micro"/>
      <sheetName val="Report_KPI__list"/>
      <sheetName val="Micro_line_data"/>
      <sheetName val="Macroline_data"/>
      <sheetName val="Total_kg_rev_trans"/>
      <sheetName val="Macro_trucks"/>
      <sheetName val="Macro_line_norm"/>
      <sheetName val="Micro_line_n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aluation"/>
      <sheetName val="Competitor store roll out"/>
      <sheetName val="EBIT valuation discounted"/>
      <sheetName val="Sensitivty"/>
      <sheetName val="Input_P&amp;L"/>
      <sheetName val="Input_BS"/>
      <sheetName val="Input_CF"/>
      <sheetName val="store number summary"/>
      <sheetName val="P&amp;L"/>
      <sheetName val="CF"/>
      <sheetName val="BS"/>
      <sheetName val="closure costs"/>
      <sheetName val="Fixed cost recon"/>
      <sheetName val="Depreciation &amp; Capex schedule"/>
      <sheetName val="Sales Forecasts"/>
      <sheetName val="Franchise roll out &amp; valuation"/>
      <sheetName val="new store scenario selection"/>
      <sheetName val="new store consolidated P&amp;L"/>
      <sheetName val="Erina "/>
      <sheetName val="Leeton"/>
      <sheetName val="Leumeah"/>
      <sheetName val="Rosebery"/>
      <sheetName val="Tamworth"/>
      <sheetName val="Chipping Norton"/>
      <sheetName val="Fairymeadow"/>
      <sheetName val="Warners Bay"/>
      <sheetName val="Plumpton"/>
      <sheetName val="2009 new store pro-forma"/>
      <sheetName val="2010 new store pro-forma"/>
      <sheetName val="2011 new store pro-forma"/>
      <sheetName val="Summary table for report"/>
      <sheetName val="Competitor_store_roll_out"/>
      <sheetName val="EBIT_valuation_discounted"/>
      <sheetName val="store_number_summary"/>
      <sheetName val="closure_costs"/>
      <sheetName val="Fixed_cost_recon"/>
      <sheetName val="Depreciation_&amp;_Capex_schedule"/>
      <sheetName val="Sales_Forecasts"/>
      <sheetName val="Franchise_roll_out_&amp;_valuation"/>
      <sheetName val="new_store_scenario_selection"/>
      <sheetName val="new_store_consolidated_P&amp;L"/>
      <sheetName val="Erina_"/>
      <sheetName val="Chipping_Norton"/>
      <sheetName val="Warners_Bay"/>
      <sheetName val="2009_new_store_pro-forma"/>
      <sheetName val="2010_new_store_pro-forma"/>
      <sheetName val="2011_new_store_pro-forma"/>
      <sheetName val="Summary_table_for_report"/>
    </sheetNames>
    <sheetDataSet>
      <sheetData sheetId="0"/>
      <sheetData sheetId="1"/>
      <sheetData sheetId="2"/>
      <sheetData sheetId="3"/>
      <sheetData sheetId="4" refreshError="1">
        <row r="20">
          <cell r="D20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"/>
      <sheetName val="korekty HB I"/>
      <sheetName val="dane stare"/>
      <sheetName val="Załącznik 1"/>
      <sheetName val="Załącznik 2"/>
      <sheetName val="Majatek"/>
      <sheetName val="wskazniki"/>
      <sheetName val="Str. Bil"/>
      <sheetName val="Str. GuV"/>
      <sheetName val="Dyn.bilansu"/>
      <sheetName val="Dyn. GuV"/>
      <sheetName val="ic bilans"/>
      <sheetName val="ic GuV"/>
      <sheetName val="ryzyko"/>
      <sheetName val="istotność"/>
      <sheetName val="Analiza"/>
      <sheetName val="Przepływy"/>
      <sheetName val="Ueberleitung"/>
      <sheetName val="tłumaczenie"/>
      <sheetName val="B HBII"/>
      <sheetName val="GuV HBII"/>
      <sheetName val="AS HB II"/>
      <sheetName val="korekty_HB_I"/>
      <sheetName val="dane_stare"/>
      <sheetName val="Załącznik_1"/>
      <sheetName val="Załącznik_2"/>
      <sheetName val="Str__Bil"/>
      <sheetName val="Str__GuV"/>
      <sheetName val="Dyn_bilansu"/>
      <sheetName val="Dyn__GuV"/>
      <sheetName val="ic_bilans"/>
      <sheetName val="ic_GuV"/>
      <sheetName val="B_HBII"/>
      <sheetName val="GuV_HBII"/>
      <sheetName val="AS_HB_II"/>
    </sheetNames>
    <sheetDataSet>
      <sheetData sheetId="0">
        <row r="8">
          <cell r="B8" t="str">
            <v>Spółka wzorcowa</v>
          </cell>
        </row>
        <row r="9">
          <cell r="B9" t="str">
            <v>31.12.1999</v>
          </cell>
        </row>
        <row r="10">
          <cell r="B10">
            <v>1999</v>
          </cell>
        </row>
        <row r="19">
          <cell r="B19">
            <v>1</v>
          </cell>
        </row>
        <row r="22">
          <cell r="B22">
            <v>1</v>
          </cell>
        </row>
        <row r="28">
          <cell r="B28">
            <v>2.0914999999999999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s"/>
      <sheetName val="Data"/>
      <sheetName val="reports"/>
      <sheetName val="Valuation"/>
      <sheetName val="Sensitivty"/>
    </sheetNames>
    <sheetDataSet>
      <sheetData sheetId="0" refreshError="1"/>
      <sheetData sheetId="1">
        <row r="3">
          <cell r="B3" t="str">
            <v>NSW</v>
          </cell>
          <cell r="C3" t="str">
            <v>Full Time</v>
          </cell>
          <cell r="D3" t="str">
            <v>Senior Manager</v>
          </cell>
        </row>
        <row r="4">
          <cell r="B4" t="str">
            <v>ACT</v>
          </cell>
          <cell r="C4" t="str">
            <v>Part Time</v>
          </cell>
          <cell r="D4" t="str">
            <v>Manager</v>
          </cell>
        </row>
        <row r="5">
          <cell r="B5" t="str">
            <v>VIC</v>
          </cell>
          <cell r="C5" t="str">
            <v>Casual</v>
          </cell>
          <cell r="D5" t="str">
            <v>Supervisor</v>
          </cell>
        </row>
        <row r="6">
          <cell r="B6" t="str">
            <v>QLD</v>
          </cell>
          <cell r="C6" t="str">
            <v>Contract</v>
          </cell>
          <cell r="D6" t="str">
            <v>Team Leader</v>
          </cell>
        </row>
        <row r="7">
          <cell r="B7" t="str">
            <v>WA</v>
          </cell>
          <cell r="D7" t="str">
            <v>Employee</v>
          </cell>
        </row>
        <row r="8">
          <cell r="B8" t="str">
            <v>SA</v>
          </cell>
          <cell r="D8" t="str">
            <v>Specialist</v>
          </cell>
        </row>
        <row r="9">
          <cell r="B9" t="str">
            <v>NT</v>
          </cell>
        </row>
        <row r="10">
          <cell r="B10" t="str">
            <v>NZ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Assumptions"/>
      <sheetName val="Initial Acquisition"/>
      <sheetName val="N Acquisition"/>
      <sheetName val="EBIT"/>
      <sheetName val="Cash Flow"/>
      <sheetName val="IRR- 3 yr"/>
      <sheetName val="IRR- 5 yr"/>
      <sheetName val="Sensitivity"/>
      <sheetName val="Sheet1"/>
      <sheetName val="Not used"/>
      <sheetName val="Questions"/>
      <sheetName val="Sheet2"/>
      <sheetName val="Sheet3"/>
      <sheetName val="Cover_Sheet"/>
      <sheetName val="Initial_Acquisition"/>
      <sheetName val="N_Acquisition"/>
      <sheetName val="Cash_Flow"/>
      <sheetName val="IRR-_3_yr"/>
      <sheetName val="IRR-_5_yr"/>
      <sheetName val="Not_used"/>
    </sheetNames>
    <sheetDataSet>
      <sheetData sheetId="0" refreshError="1"/>
      <sheetData sheetId="1" refreshError="1">
        <row r="33">
          <cell r="C33">
            <v>0.08</v>
          </cell>
        </row>
        <row r="34">
          <cell r="C34">
            <v>0.3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9">
          <cell r="C39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eport"/>
      <sheetName val="Master"/>
      <sheetName val="4gc"/>
      <sheetName val="Completed V2"/>
    </sheetNames>
    <sheetDataSet>
      <sheetData sheetId="0"/>
      <sheetData sheetId="1">
        <row r="2">
          <cell r="C2" t="str">
            <v>Spain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structions"/>
      <sheetName val="Assumptions"/>
      <sheetName val="LW"/>
      <sheetName val="TW (2.0)"/>
      <sheetName val="GL24"/>
      <sheetName val="KPI"/>
      <sheetName val="Wk 3"/>
      <sheetName val="Wk 4"/>
      <sheetName val="FINAL"/>
      <sheetName val="Graphs"/>
      <sheetName val="AUR &amp; Fill"/>
      <sheetName val="Revenue"/>
      <sheetName val="TW"/>
      <sheetName val="FY LY"/>
      <sheetName val="FY BP"/>
      <sheetName val="FY FC"/>
      <sheetName val="Pr Mth Dtl"/>
      <sheetName val="S&amp;W"/>
      <sheetName val="AUR &amp; Fill YTD"/>
      <sheetName val="Sheet2"/>
      <sheetName val="Weekly Reporting Template v2.0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a</v>
          </cell>
          <cell r="C11">
            <v>256744</v>
          </cell>
          <cell r="D11">
            <v>167872</v>
          </cell>
          <cell r="E11">
            <v>204613</v>
          </cell>
          <cell r="F11">
            <v>192131</v>
          </cell>
          <cell r="G11">
            <v>359000</v>
          </cell>
          <cell r="H11">
            <v>280000</v>
          </cell>
          <cell r="I11">
            <v>295460</v>
          </cell>
          <cell r="J11">
            <v>306590</v>
          </cell>
          <cell r="K11">
            <v>275187</v>
          </cell>
          <cell r="L11">
            <v>270489</v>
          </cell>
          <cell r="M11">
            <v>258383</v>
          </cell>
          <cell r="N11">
            <v>291379</v>
          </cell>
          <cell r="O11">
            <v>3157849</v>
          </cell>
          <cell r="P11" t="str">
            <v>a</v>
          </cell>
          <cell r="Q11">
            <v>315515</v>
          </cell>
          <cell r="R11">
            <v>290624</v>
          </cell>
          <cell r="S11">
            <v>232199</v>
          </cell>
          <cell r="T11">
            <v>258485</v>
          </cell>
          <cell r="U11">
            <v>357529</v>
          </cell>
          <cell r="V11">
            <v>261426</v>
          </cell>
          <cell r="W11">
            <v>295460</v>
          </cell>
          <cell r="X11">
            <v>306590</v>
          </cell>
          <cell r="Y11">
            <v>275187</v>
          </cell>
          <cell r="Z11">
            <v>270489</v>
          </cell>
          <cell r="AA11">
            <v>258383</v>
          </cell>
          <cell r="AB11">
            <v>291379</v>
          </cell>
          <cell r="AC11">
            <v>3413267</v>
          </cell>
          <cell r="AD11" t="str">
            <v>a</v>
          </cell>
          <cell r="AE11">
            <v>331419</v>
          </cell>
          <cell r="AF11">
            <v>274147</v>
          </cell>
          <cell r="AG11">
            <v>182737</v>
          </cell>
          <cell r="AH11">
            <v>245816</v>
          </cell>
          <cell r="AI11">
            <v>364098</v>
          </cell>
          <cell r="AJ11">
            <v>244706</v>
          </cell>
          <cell r="AK11">
            <v>293645</v>
          </cell>
          <cell r="AL11">
            <v>322170</v>
          </cell>
          <cell r="AM11">
            <v>252387</v>
          </cell>
          <cell r="AN11">
            <v>303330</v>
          </cell>
          <cell r="AO11">
            <v>224489</v>
          </cell>
          <cell r="AP11">
            <v>332305</v>
          </cell>
          <cell r="AQ11">
            <v>3371249</v>
          </cell>
        </row>
        <row r="12">
          <cell r="B12" t="str">
            <v>b</v>
          </cell>
          <cell r="C12">
            <v>214441</v>
          </cell>
          <cell r="D12">
            <v>244401</v>
          </cell>
          <cell r="E12">
            <v>230977</v>
          </cell>
          <cell r="F12">
            <v>171572</v>
          </cell>
          <cell r="G12">
            <v>180000</v>
          </cell>
          <cell r="H12">
            <v>200000</v>
          </cell>
          <cell r="I12">
            <v>203833</v>
          </cell>
          <cell r="J12">
            <v>208059</v>
          </cell>
          <cell r="K12">
            <v>219473</v>
          </cell>
          <cell r="L12">
            <v>222808</v>
          </cell>
          <cell r="M12">
            <v>228297</v>
          </cell>
          <cell r="N12">
            <v>249659</v>
          </cell>
          <cell r="O12">
            <v>2573520</v>
          </cell>
          <cell r="P12" t="str">
            <v>b</v>
          </cell>
          <cell r="Q12">
            <v>237194</v>
          </cell>
          <cell r="R12">
            <v>250472</v>
          </cell>
          <cell r="S12">
            <v>235251</v>
          </cell>
          <cell r="T12">
            <v>193401</v>
          </cell>
          <cell r="U12">
            <v>204324</v>
          </cell>
          <cell r="V12">
            <v>221699</v>
          </cell>
          <cell r="W12">
            <v>203833</v>
          </cell>
          <cell r="X12">
            <v>208059</v>
          </cell>
          <cell r="Y12">
            <v>219473</v>
          </cell>
          <cell r="Z12">
            <v>222808</v>
          </cell>
          <cell r="AA12">
            <v>228297</v>
          </cell>
          <cell r="AB12">
            <v>249659</v>
          </cell>
          <cell r="AC12">
            <v>2674470</v>
          </cell>
          <cell r="AD12" t="str">
            <v>b</v>
          </cell>
          <cell r="AE12">
            <v>156137</v>
          </cell>
          <cell r="AF12">
            <v>192754</v>
          </cell>
          <cell r="AG12">
            <v>217580</v>
          </cell>
          <cell r="AH12">
            <v>156892</v>
          </cell>
          <cell r="AI12">
            <v>215414</v>
          </cell>
          <cell r="AJ12">
            <v>204930</v>
          </cell>
          <cell r="AK12">
            <v>127314</v>
          </cell>
          <cell r="AL12">
            <v>147342</v>
          </cell>
          <cell r="AM12">
            <v>151325</v>
          </cell>
          <cell r="AN12">
            <v>148072</v>
          </cell>
          <cell r="AO12">
            <v>162521</v>
          </cell>
          <cell r="AP12">
            <v>202422</v>
          </cell>
          <cell r="AQ12">
            <v>2082702</v>
          </cell>
        </row>
        <row r="14">
          <cell r="B14" t="str">
            <v>c</v>
          </cell>
          <cell r="C14">
            <v>193350</v>
          </cell>
          <cell r="D14">
            <v>328265</v>
          </cell>
          <cell r="E14">
            <v>274600</v>
          </cell>
          <cell r="F14">
            <v>176894</v>
          </cell>
          <cell r="G14">
            <v>205000</v>
          </cell>
          <cell r="H14">
            <v>253796</v>
          </cell>
          <cell r="I14">
            <v>292799</v>
          </cell>
          <cell r="J14">
            <v>289073</v>
          </cell>
          <cell r="K14">
            <v>300711</v>
          </cell>
          <cell r="L14">
            <v>279786</v>
          </cell>
          <cell r="M14">
            <v>264259</v>
          </cell>
          <cell r="N14">
            <v>294902</v>
          </cell>
          <cell r="O14">
            <v>3153435</v>
          </cell>
          <cell r="P14" t="str">
            <v>c</v>
          </cell>
          <cell r="Q14">
            <v>295529</v>
          </cell>
          <cell r="R14">
            <v>270558</v>
          </cell>
          <cell r="S14">
            <v>265894</v>
          </cell>
          <cell r="T14">
            <v>171428</v>
          </cell>
          <cell r="U14">
            <v>227542</v>
          </cell>
          <cell r="V14">
            <v>253796</v>
          </cell>
          <cell r="W14">
            <v>292799</v>
          </cell>
          <cell r="X14">
            <v>289073</v>
          </cell>
          <cell r="Y14">
            <v>300711</v>
          </cell>
          <cell r="Z14">
            <v>279786</v>
          </cell>
          <cell r="AA14">
            <v>264259</v>
          </cell>
          <cell r="AB14">
            <v>294902</v>
          </cell>
          <cell r="AC14">
            <v>3206277</v>
          </cell>
          <cell r="AD14" t="str">
            <v>c</v>
          </cell>
          <cell r="AE14">
            <v>387366</v>
          </cell>
          <cell r="AF14">
            <v>345549</v>
          </cell>
          <cell r="AG14">
            <v>328436</v>
          </cell>
          <cell r="AH14">
            <v>176092</v>
          </cell>
          <cell r="AI14">
            <v>198375</v>
          </cell>
          <cell r="AJ14">
            <v>222968</v>
          </cell>
          <cell r="AK14">
            <v>274673</v>
          </cell>
          <cell r="AL14">
            <v>214318</v>
          </cell>
          <cell r="AM14">
            <v>287587</v>
          </cell>
          <cell r="AN14">
            <v>202985</v>
          </cell>
          <cell r="AO14">
            <v>227175</v>
          </cell>
          <cell r="AP14">
            <v>248190</v>
          </cell>
          <cell r="AQ14">
            <v>3113714</v>
          </cell>
        </row>
        <row r="15">
          <cell r="B15" t="str">
            <v>d</v>
          </cell>
          <cell r="C15">
            <v>33416</v>
          </cell>
          <cell r="D15">
            <v>21413</v>
          </cell>
          <cell r="E15">
            <v>45044</v>
          </cell>
          <cell r="F15">
            <v>26332</v>
          </cell>
          <cell r="G15">
            <v>21000</v>
          </cell>
          <cell r="H15">
            <v>19200</v>
          </cell>
          <cell r="I15">
            <v>12480</v>
          </cell>
          <cell r="J15">
            <v>14168</v>
          </cell>
          <cell r="K15">
            <v>16163</v>
          </cell>
          <cell r="L15">
            <v>21888</v>
          </cell>
          <cell r="M15">
            <v>12084</v>
          </cell>
          <cell r="N15">
            <v>33060</v>
          </cell>
          <cell r="O15">
            <v>276248</v>
          </cell>
          <cell r="P15" t="str">
            <v>d</v>
          </cell>
          <cell r="Q15">
            <v>39840</v>
          </cell>
          <cell r="R15">
            <v>20880</v>
          </cell>
          <cell r="S15">
            <v>29520</v>
          </cell>
          <cell r="T15">
            <v>22080</v>
          </cell>
          <cell r="U15">
            <v>23760</v>
          </cell>
          <cell r="V15">
            <v>19200</v>
          </cell>
          <cell r="W15">
            <v>12480</v>
          </cell>
          <cell r="X15">
            <v>14168</v>
          </cell>
          <cell r="Y15">
            <v>16163</v>
          </cell>
          <cell r="Z15">
            <v>21888</v>
          </cell>
          <cell r="AA15">
            <v>12084</v>
          </cell>
          <cell r="AB15">
            <v>33060</v>
          </cell>
          <cell r="AC15">
            <v>265123</v>
          </cell>
          <cell r="AD15" t="str">
            <v>d</v>
          </cell>
          <cell r="AE15">
            <v>62326</v>
          </cell>
          <cell r="AF15">
            <v>33710</v>
          </cell>
          <cell r="AG15">
            <v>25796</v>
          </cell>
          <cell r="AH15">
            <v>5544</v>
          </cell>
          <cell r="AI15">
            <v>10948</v>
          </cell>
          <cell r="AJ15">
            <v>24410</v>
          </cell>
          <cell r="AK15">
            <v>11160</v>
          </cell>
          <cell r="AL15">
            <v>11878</v>
          </cell>
          <cell r="AM15">
            <v>17608</v>
          </cell>
          <cell r="AN15">
            <v>5568</v>
          </cell>
          <cell r="AO15">
            <v>15308</v>
          </cell>
          <cell r="AP15">
            <v>15100</v>
          </cell>
          <cell r="AQ15">
            <v>239356</v>
          </cell>
        </row>
        <row r="16">
          <cell r="B16" t="str">
            <v>e</v>
          </cell>
          <cell r="C16">
            <v>102511</v>
          </cell>
          <cell r="D16">
            <v>122379</v>
          </cell>
          <cell r="E16">
            <v>117843</v>
          </cell>
          <cell r="F16">
            <v>94714</v>
          </cell>
          <cell r="G16">
            <v>110000</v>
          </cell>
          <cell r="H16">
            <v>130000</v>
          </cell>
          <cell r="I16">
            <v>133547</v>
          </cell>
          <cell r="J16">
            <v>146644</v>
          </cell>
          <cell r="K16">
            <v>181911</v>
          </cell>
          <cell r="L16">
            <v>148553</v>
          </cell>
          <cell r="M16">
            <v>147798</v>
          </cell>
          <cell r="N16">
            <v>152847</v>
          </cell>
          <cell r="O16">
            <v>1588747</v>
          </cell>
          <cell r="P16" t="str">
            <v>e</v>
          </cell>
          <cell r="Q16">
            <v>131188</v>
          </cell>
          <cell r="R16">
            <v>122750</v>
          </cell>
          <cell r="S16">
            <v>126165</v>
          </cell>
          <cell r="T16">
            <v>114553</v>
          </cell>
          <cell r="U16">
            <v>131393</v>
          </cell>
          <cell r="V16">
            <v>123666</v>
          </cell>
          <cell r="W16">
            <v>133547</v>
          </cell>
          <cell r="X16">
            <v>146644</v>
          </cell>
          <cell r="Y16">
            <v>181911</v>
          </cell>
          <cell r="Z16">
            <v>148553</v>
          </cell>
          <cell r="AA16">
            <v>147798</v>
          </cell>
          <cell r="AB16">
            <v>152847</v>
          </cell>
          <cell r="AC16">
            <v>1661014</v>
          </cell>
          <cell r="AD16" t="str">
            <v>e</v>
          </cell>
          <cell r="AE16">
            <v>101515</v>
          </cell>
          <cell r="AF16">
            <v>90404</v>
          </cell>
          <cell r="AG16">
            <v>92505</v>
          </cell>
          <cell r="AH16">
            <v>107947</v>
          </cell>
          <cell r="AI16">
            <v>122587</v>
          </cell>
          <cell r="AJ16">
            <v>151602</v>
          </cell>
          <cell r="AK16">
            <v>118499</v>
          </cell>
          <cell r="AL16">
            <v>121683</v>
          </cell>
          <cell r="AM16">
            <v>108973</v>
          </cell>
          <cell r="AN16">
            <v>117844</v>
          </cell>
          <cell r="AO16">
            <v>96247</v>
          </cell>
          <cell r="AP16">
            <v>118478</v>
          </cell>
          <cell r="AQ16">
            <v>1348285</v>
          </cell>
        </row>
        <row r="17">
          <cell r="B17" t="str">
            <v>f</v>
          </cell>
          <cell r="P17" t="str">
            <v>f</v>
          </cell>
          <cell r="AD17" t="str">
            <v>f</v>
          </cell>
        </row>
        <row r="18">
          <cell r="B18" t="str">
            <v>g</v>
          </cell>
          <cell r="C18">
            <v>13304</v>
          </cell>
          <cell r="D18">
            <v>22930</v>
          </cell>
          <cell r="E18">
            <v>10797</v>
          </cell>
          <cell r="F18">
            <v>6680</v>
          </cell>
          <cell r="G18">
            <v>5000</v>
          </cell>
          <cell r="H18">
            <v>23328</v>
          </cell>
          <cell r="I18">
            <v>19440</v>
          </cell>
          <cell r="J18">
            <v>8476</v>
          </cell>
          <cell r="K18">
            <v>26598</v>
          </cell>
          <cell r="L18">
            <v>20856</v>
          </cell>
          <cell r="M18">
            <v>19457</v>
          </cell>
          <cell r="N18">
            <v>15101</v>
          </cell>
          <cell r="O18">
            <v>191966</v>
          </cell>
          <cell r="P18" t="str">
            <v>g</v>
          </cell>
          <cell r="Q18">
            <v>22680</v>
          </cell>
          <cell r="R18">
            <v>15984</v>
          </cell>
          <cell r="S18">
            <v>16200</v>
          </cell>
          <cell r="T18">
            <v>21528</v>
          </cell>
          <cell r="U18">
            <v>21660</v>
          </cell>
          <cell r="V18">
            <v>23328</v>
          </cell>
          <cell r="W18">
            <v>19440</v>
          </cell>
          <cell r="X18">
            <v>8476</v>
          </cell>
          <cell r="Y18">
            <v>26598</v>
          </cell>
          <cell r="Z18">
            <v>20856</v>
          </cell>
          <cell r="AA18">
            <v>19457</v>
          </cell>
          <cell r="AB18">
            <v>15101</v>
          </cell>
          <cell r="AC18">
            <v>231307</v>
          </cell>
          <cell r="AD18" t="str">
            <v>g</v>
          </cell>
          <cell r="AE18">
            <v>16580</v>
          </cell>
          <cell r="AF18">
            <v>11700</v>
          </cell>
          <cell r="AG18">
            <v>22560</v>
          </cell>
          <cell r="AH18">
            <v>12040</v>
          </cell>
          <cell r="AI18">
            <v>10700</v>
          </cell>
          <cell r="AJ18">
            <v>10200</v>
          </cell>
          <cell r="AK18">
            <v>10100</v>
          </cell>
          <cell r="AL18">
            <v>1212</v>
          </cell>
          <cell r="AM18">
            <v>8888</v>
          </cell>
          <cell r="AO18">
            <v>10580</v>
          </cell>
          <cell r="AP18">
            <v>28280</v>
          </cell>
          <cell r="AQ18">
            <v>142840</v>
          </cell>
        </row>
        <row r="19"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</row>
        <row r="20">
          <cell r="B20">
            <v>0</v>
          </cell>
          <cell r="C20">
            <v>813766</v>
          </cell>
          <cell r="D20">
            <v>907260</v>
          </cell>
          <cell r="E20">
            <v>883874</v>
          </cell>
          <cell r="F20">
            <v>668323</v>
          </cell>
          <cell r="G20">
            <v>880000</v>
          </cell>
          <cell r="H20">
            <v>906324</v>
          </cell>
          <cell r="I20">
            <v>957559</v>
          </cell>
          <cell r="J20">
            <v>973009</v>
          </cell>
          <cell r="K20">
            <v>1020044</v>
          </cell>
          <cell r="L20">
            <v>964380</v>
          </cell>
          <cell r="M20">
            <v>930278</v>
          </cell>
          <cell r="N20">
            <v>1036949</v>
          </cell>
          <cell r="O20">
            <v>10941766</v>
          </cell>
          <cell r="P20">
            <v>0</v>
          </cell>
          <cell r="Q20">
            <v>1041946</v>
          </cell>
          <cell r="R20">
            <v>971269</v>
          </cell>
          <cell r="S20">
            <v>905229</v>
          </cell>
          <cell r="T20">
            <v>781475</v>
          </cell>
          <cell r="U20">
            <v>966207</v>
          </cell>
          <cell r="V20">
            <v>903115</v>
          </cell>
          <cell r="W20">
            <v>957559</v>
          </cell>
          <cell r="X20">
            <v>973009</v>
          </cell>
          <cell r="Y20">
            <v>1020044</v>
          </cell>
          <cell r="Z20">
            <v>964380</v>
          </cell>
          <cell r="AA20">
            <v>930278</v>
          </cell>
          <cell r="AB20">
            <v>1036949</v>
          </cell>
          <cell r="AC20">
            <v>11451459</v>
          </cell>
          <cell r="AD20">
            <v>0</v>
          </cell>
          <cell r="AE20">
            <v>1055343</v>
          </cell>
          <cell r="AF20">
            <v>948264</v>
          </cell>
          <cell r="AG20">
            <v>869614</v>
          </cell>
          <cell r="AH20">
            <v>704331</v>
          </cell>
          <cell r="AI20">
            <v>922122</v>
          </cell>
          <cell r="AJ20">
            <v>858816</v>
          </cell>
          <cell r="AK20">
            <v>835391</v>
          </cell>
          <cell r="AL20">
            <v>818603</v>
          </cell>
          <cell r="AM20">
            <v>826768</v>
          </cell>
          <cell r="AN20">
            <v>777799</v>
          </cell>
          <cell r="AO20">
            <v>736320</v>
          </cell>
          <cell r="AP20">
            <v>944775</v>
          </cell>
          <cell r="AQ20">
            <v>10298146</v>
          </cell>
        </row>
        <row r="22">
          <cell r="B22" t="e">
            <v>#N/A</v>
          </cell>
          <cell r="P22" t="e">
            <v>#N/A</v>
          </cell>
          <cell r="AD22" t="e">
            <v>#N/A</v>
          </cell>
        </row>
        <row r="23">
          <cell r="C23" t="str">
            <v>-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 t="str">
            <v>-</v>
          </cell>
          <cell r="AN23" t="str">
            <v>-</v>
          </cell>
          <cell r="AO23" t="str">
            <v>-</v>
          </cell>
          <cell r="AP23" t="str">
            <v>-</v>
          </cell>
          <cell r="AQ23" t="str">
            <v>-</v>
          </cell>
        </row>
        <row r="24">
          <cell r="B24">
            <v>0</v>
          </cell>
          <cell r="C24">
            <v>813766</v>
          </cell>
          <cell r="D24">
            <v>907260</v>
          </cell>
          <cell r="E24">
            <v>883874</v>
          </cell>
          <cell r="F24">
            <v>668323</v>
          </cell>
          <cell r="G24">
            <v>880000</v>
          </cell>
          <cell r="H24">
            <v>906324</v>
          </cell>
          <cell r="I24">
            <v>957559</v>
          </cell>
          <cell r="J24">
            <v>973009</v>
          </cell>
          <cell r="K24">
            <v>1020044</v>
          </cell>
          <cell r="L24">
            <v>964380</v>
          </cell>
          <cell r="M24">
            <v>930278</v>
          </cell>
          <cell r="N24">
            <v>1036949</v>
          </cell>
          <cell r="O24">
            <v>10941766</v>
          </cell>
          <cell r="P24">
            <v>0</v>
          </cell>
          <cell r="Q24">
            <v>1041946</v>
          </cell>
          <cell r="R24">
            <v>971269</v>
          </cell>
          <cell r="S24">
            <v>905229</v>
          </cell>
          <cell r="T24">
            <v>781475</v>
          </cell>
          <cell r="U24">
            <v>966207</v>
          </cell>
          <cell r="V24">
            <v>903115</v>
          </cell>
          <cell r="W24">
            <v>957559</v>
          </cell>
          <cell r="X24">
            <v>973009</v>
          </cell>
          <cell r="Y24">
            <v>1020044</v>
          </cell>
          <cell r="Z24">
            <v>964380</v>
          </cell>
          <cell r="AA24">
            <v>930278</v>
          </cell>
          <cell r="AB24">
            <v>1036949</v>
          </cell>
          <cell r="AC24">
            <v>11451459</v>
          </cell>
          <cell r="AD24">
            <v>0</v>
          </cell>
          <cell r="AE24">
            <v>1055343</v>
          </cell>
          <cell r="AF24">
            <v>948264</v>
          </cell>
          <cell r="AG24">
            <v>869614</v>
          </cell>
          <cell r="AH24">
            <v>704331</v>
          </cell>
          <cell r="AI24">
            <v>922122</v>
          </cell>
          <cell r="AJ24">
            <v>858816</v>
          </cell>
          <cell r="AK24">
            <v>835391</v>
          </cell>
          <cell r="AL24">
            <v>818603</v>
          </cell>
          <cell r="AM24">
            <v>826768</v>
          </cell>
          <cell r="AN24">
            <v>777799</v>
          </cell>
          <cell r="AO24">
            <v>736320</v>
          </cell>
          <cell r="AP24">
            <v>944775</v>
          </cell>
          <cell r="AQ24">
            <v>10298146</v>
          </cell>
        </row>
        <row r="26">
          <cell r="B26" t="str">
            <v>h</v>
          </cell>
          <cell r="C26">
            <v>7375</v>
          </cell>
          <cell r="D26">
            <v>3728</v>
          </cell>
          <cell r="E26">
            <v>5759</v>
          </cell>
          <cell r="F26">
            <v>5051</v>
          </cell>
          <cell r="G26">
            <v>6711</v>
          </cell>
          <cell r="H26">
            <v>10109</v>
          </cell>
          <cell r="I26">
            <v>8656</v>
          </cell>
          <cell r="J26">
            <v>7490</v>
          </cell>
          <cell r="K26">
            <v>11275</v>
          </cell>
          <cell r="L26">
            <v>9535</v>
          </cell>
          <cell r="M26">
            <v>11786</v>
          </cell>
          <cell r="N26">
            <v>8748</v>
          </cell>
          <cell r="O26">
            <v>96223</v>
          </cell>
          <cell r="P26" t="str">
            <v>h</v>
          </cell>
          <cell r="Q26">
            <v>9082</v>
          </cell>
          <cell r="R26">
            <v>12201</v>
          </cell>
          <cell r="S26">
            <v>7482</v>
          </cell>
          <cell r="T26">
            <v>8121</v>
          </cell>
          <cell r="U26">
            <v>6711</v>
          </cell>
          <cell r="V26">
            <v>10109</v>
          </cell>
          <cell r="W26">
            <v>8656</v>
          </cell>
          <cell r="X26">
            <v>7490</v>
          </cell>
          <cell r="Y26">
            <v>11275</v>
          </cell>
          <cell r="Z26">
            <v>9535</v>
          </cell>
          <cell r="AA26">
            <v>11786</v>
          </cell>
          <cell r="AB26">
            <v>8748</v>
          </cell>
          <cell r="AC26">
            <v>111196</v>
          </cell>
          <cell r="AD26" t="str">
            <v>h</v>
          </cell>
          <cell r="AE26">
            <v>6363</v>
          </cell>
          <cell r="AF26">
            <v>16786</v>
          </cell>
          <cell r="AG26">
            <v>10923</v>
          </cell>
          <cell r="AH26">
            <v>9111</v>
          </cell>
          <cell r="AI26">
            <v>7840</v>
          </cell>
          <cell r="AJ26">
            <v>11579</v>
          </cell>
          <cell r="AK26">
            <v>10720</v>
          </cell>
          <cell r="AL26">
            <v>7204</v>
          </cell>
          <cell r="AM26">
            <v>12419</v>
          </cell>
          <cell r="AN26">
            <v>22631</v>
          </cell>
          <cell r="AO26">
            <v>5504</v>
          </cell>
          <cell r="AP26">
            <v>2473</v>
          </cell>
          <cell r="AQ26">
            <v>123551</v>
          </cell>
        </row>
        <row r="27">
          <cell r="B27" t="str">
            <v>i</v>
          </cell>
          <cell r="C27">
            <v>19869</v>
          </cell>
          <cell r="D27">
            <v>33662</v>
          </cell>
          <cell r="E27">
            <v>25670</v>
          </cell>
          <cell r="F27">
            <v>29629</v>
          </cell>
          <cell r="G27">
            <v>30000</v>
          </cell>
          <cell r="H27">
            <v>22000</v>
          </cell>
          <cell r="I27">
            <v>25000</v>
          </cell>
          <cell r="J27">
            <v>25000</v>
          </cell>
          <cell r="K27">
            <v>25000</v>
          </cell>
          <cell r="L27">
            <v>27000</v>
          </cell>
          <cell r="M27">
            <v>27000</v>
          </cell>
          <cell r="N27">
            <v>27000</v>
          </cell>
          <cell r="O27">
            <v>316830</v>
          </cell>
          <cell r="P27" t="str">
            <v>i</v>
          </cell>
          <cell r="Q27">
            <v>15000</v>
          </cell>
          <cell r="R27">
            <v>15000</v>
          </cell>
          <cell r="S27">
            <v>15000</v>
          </cell>
          <cell r="T27">
            <v>20000</v>
          </cell>
          <cell r="U27">
            <v>22000</v>
          </cell>
          <cell r="V27">
            <v>22000</v>
          </cell>
          <cell r="W27">
            <v>25000</v>
          </cell>
          <cell r="X27">
            <v>25000</v>
          </cell>
          <cell r="Y27">
            <v>25000</v>
          </cell>
          <cell r="Z27">
            <v>27000</v>
          </cell>
          <cell r="AA27">
            <v>27000</v>
          </cell>
          <cell r="AB27">
            <v>27000</v>
          </cell>
          <cell r="AC27">
            <v>265000</v>
          </cell>
          <cell r="AD27" t="str">
            <v>i</v>
          </cell>
          <cell r="AE27">
            <v>14770</v>
          </cell>
          <cell r="AF27">
            <v>19517</v>
          </cell>
          <cell r="AG27">
            <v>20794</v>
          </cell>
          <cell r="AH27">
            <v>16240</v>
          </cell>
          <cell r="AI27">
            <v>15065</v>
          </cell>
          <cell r="AJ27">
            <v>21104</v>
          </cell>
          <cell r="AK27">
            <v>7201</v>
          </cell>
          <cell r="AL27">
            <v>26485</v>
          </cell>
          <cell r="AM27">
            <v>24920</v>
          </cell>
          <cell r="AN27">
            <v>16083</v>
          </cell>
          <cell r="AO27">
            <v>36431</v>
          </cell>
          <cell r="AP27">
            <v>22634</v>
          </cell>
          <cell r="AQ27">
            <v>241244</v>
          </cell>
        </row>
        <row r="28">
          <cell r="B28" t="str">
            <v>j</v>
          </cell>
          <cell r="D28">
            <v>323</v>
          </cell>
          <cell r="E28">
            <v>1469</v>
          </cell>
          <cell r="F28">
            <v>1109</v>
          </cell>
          <cell r="O28">
            <v>2901</v>
          </cell>
          <cell r="P28" t="str">
            <v>j</v>
          </cell>
          <cell r="AD28" t="str">
            <v>j</v>
          </cell>
          <cell r="AH28">
            <v>13008</v>
          </cell>
          <cell r="AP28">
            <v>8773</v>
          </cell>
          <cell r="AQ28">
            <v>21781</v>
          </cell>
        </row>
        <row r="29">
          <cell r="C29" t="str">
            <v>-</v>
          </cell>
          <cell r="D29" t="str">
            <v>-</v>
          </cell>
          <cell r="E29" t="str">
            <v>-</v>
          </cell>
          <cell r="F29" t="str">
            <v>-</v>
          </cell>
          <cell r="G29" t="str">
            <v>-</v>
          </cell>
          <cell r="H29" t="str">
            <v>-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-</v>
          </cell>
          <cell r="X29" t="str">
            <v>-</v>
          </cell>
          <cell r="Y29" t="str">
            <v>-</v>
          </cell>
          <cell r="Z29" t="str">
            <v>-</v>
          </cell>
          <cell r="AA29" t="str">
            <v>-</v>
          </cell>
          <cell r="AB29" t="str">
            <v>-</v>
          </cell>
          <cell r="AC29" t="str">
            <v>-</v>
          </cell>
          <cell r="AE29" t="str">
            <v>-</v>
          </cell>
          <cell r="AF29" t="str">
            <v>-</v>
          </cell>
          <cell r="AG29" t="str">
            <v>-</v>
          </cell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 t="str">
            <v>-</v>
          </cell>
          <cell r="AN29" t="str">
            <v>-</v>
          </cell>
          <cell r="AO29" t="str">
            <v>-</v>
          </cell>
          <cell r="AP29" t="str">
            <v>-</v>
          </cell>
          <cell r="AQ29" t="str">
            <v>-</v>
          </cell>
        </row>
        <row r="30">
          <cell r="B30">
            <v>0</v>
          </cell>
          <cell r="C30">
            <v>841010</v>
          </cell>
          <cell r="D30">
            <v>944973</v>
          </cell>
          <cell r="E30">
            <v>916772</v>
          </cell>
          <cell r="F30">
            <v>704112</v>
          </cell>
          <cell r="G30">
            <v>916711</v>
          </cell>
          <cell r="H30">
            <v>938433</v>
          </cell>
          <cell r="I30">
            <v>991215</v>
          </cell>
          <cell r="J30">
            <v>1005499</v>
          </cell>
          <cell r="K30">
            <v>1056319</v>
          </cell>
          <cell r="L30">
            <v>1000915</v>
          </cell>
          <cell r="M30">
            <v>969064</v>
          </cell>
          <cell r="N30">
            <v>1072697</v>
          </cell>
          <cell r="O30">
            <v>11357720</v>
          </cell>
          <cell r="P30">
            <v>0</v>
          </cell>
          <cell r="Q30">
            <v>1066028</v>
          </cell>
          <cell r="R30">
            <v>998470</v>
          </cell>
          <cell r="S30">
            <v>927710</v>
          </cell>
          <cell r="T30">
            <v>809597</v>
          </cell>
          <cell r="U30">
            <v>994919</v>
          </cell>
          <cell r="V30">
            <v>935223</v>
          </cell>
          <cell r="W30">
            <v>991215</v>
          </cell>
          <cell r="X30">
            <v>1005499</v>
          </cell>
          <cell r="Y30">
            <v>1056319</v>
          </cell>
          <cell r="Z30">
            <v>1000915</v>
          </cell>
          <cell r="AA30">
            <v>969064</v>
          </cell>
          <cell r="AB30">
            <v>1072697</v>
          </cell>
          <cell r="AC30">
            <v>11827655</v>
          </cell>
          <cell r="AD30">
            <v>0</v>
          </cell>
          <cell r="AE30">
            <v>1076476</v>
          </cell>
          <cell r="AF30">
            <v>984567</v>
          </cell>
          <cell r="AG30">
            <v>901331</v>
          </cell>
          <cell r="AH30">
            <v>742690</v>
          </cell>
          <cell r="AI30">
            <v>945026</v>
          </cell>
          <cell r="AJ30">
            <v>891499</v>
          </cell>
          <cell r="AK30">
            <v>853312</v>
          </cell>
          <cell r="AL30">
            <v>852292</v>
          </cell>
          <cell r="AM30">
            <v>864107</v>
          </cell>
          <cell r="AN30">
            <v>816513</v>
          </cell>
          <cell r="AO30">
            <v>778255</v>
          </cell>
          <cell r="AP30">
            <v>978655</v>
          </cell>
          <cell r="AQ30">
            <v>10684721</v>
          </cell>
        </row>
        <row r="31"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E31" t="str">
            <v>-</v>
          </cell>
          <cell r="AF31" t="str">
            <v>-</v>
          </cell>
          <cell r="AG31" t="str">
            <v>-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 t="str">
            <v>-</v>
          </cell>
          <cell r="AN31" t="str">
            <v>-</v>
          </cell>
          <cell r="AO31" t="str">
            <v>-</v>
          </cell>
          <cell r="AP31" t="str">
            <v>-</v>
          </cell>
          <cell r="AQ31" t="str">
            <v>-</v>
          </cell>
        </row>
        <row r="34">
          <cell r="B34" t="str">
            <v>k</v>
          </cell>
          <cell r="C34">
            <v>102123</v>
          </cell>
          <cell r="D34">
            <v>126451</v>
          </cell>
          <cell r="E34">
            <v>117231</v>
          </cell>
          <cell r="F34">
            <v>87965</v>
          </cell>
          <cell r="G34">
            <v>119020</v>
          </cell>
          <cell r="H34">
            <v>111387</v>
          </cell>
          <cell r="I34">
            <v>125280</v>
          </cell>
          <cell r="J34">
            <v>126416</v>
          </cell>
          <cell r="K34">
            <v>136740</v>
          </cell>
          <cell r="L34">
            <v>125541</v>
          </cell>
          <cell r="M34">
            <v>118791</v>
          </cell>
          <cell r="N34">
            <v>132536</v>
          </cell>
          <cell r="O34">
            <v>1429482</v>
          </cell>
          <cell r="P34" t="str">
            <v>k</v>
          </cell>
          <cell r="Q34">
            <v>132262</v>
          </cell>
          <cell r="R34">
            <v>117842</v>
          </cell>
          <cell r="S34">
            <v>113562</v>
          </cell>
          <cell r="T34">
            <v>95058</v>
          </cell>
          <cell r="U34">
            <v>120225</v>
          </cell>
          <cell r="V34">
            <v>113777</v>
          </cell>
          <cell r="W34">
            <v>125331</v>
          </cell>
          <cell r="X34">
            <v>126438</v>
          </cell>
          <cell r="Y34">
            <v>136806</v>
          </cell>
          <cell r="Z34">
            <v>125599</v>
          </cell>
          <cell r="AA34">
            <v>118848</v>
          </cell>
          <cell r="AB34">
            <v>132575</v>
          </cell>
          <cell r="AC34">
            <v>1458323</v>
          </cell>
          <cell r="AD34" t="str">
            <v>k</v>
          </cell>
          <cell r="AE34">
            <v>146447</v>
          </cell>
          <cell r="AF34">
            <v>129327</v>
          </cell>
          <cell r="AG34">
            <v>114649</v>
          </cell>
          <cell r="AH34">
            <v>89450</v>
          </cell>
          <cell r="AI34">
            <v>108421</v>
          </cell>
          <cell r="AJ34">
            <v>105908</v>
          </cell>
          <cell r="AK34">
            <v>116307</v>
          </cell>
          <cell r="AL34">
            <v>103357</v>
          </cell>
          <cell r="AM34">
            <v>115787</v>
          </cell>
          <cell r="AN34">
            <v>97818</v>
          </cell>
          <cell r="AO34">
            <v>71024</v>
          </cell>
          <cell r="AP34">
            <v>123202</v>
          </cell>
          <cell r="AQ34">
            <v>1321696</v>
          </cell>
        </row>
        <row r="35">
          <cell r="B35" t="str">
            <v>l</v>
          </cell>
          <cell r="C35">
            <v>33531</v>
          </cell>
          <cell r="D35">
            <v>33869</v>
          </cell>
          <cell r="E35">
            <v>41342</v>
          </cell>
          <cell r="F35">
            <v>29571</v>
          </cell>
          <cell r="G35">
            <v>40725</v>
          </cell>
          <cell r="H35">
            <v>38215</v>
          </cell>
          <cell r="I35">
            <v>40507</v>
          </cell>
          <cell r="J35">
            <v>41120</v>
          </cell>
          <cell r="K35">
            <v>43017</v>
          </cell>
          <cell r="L35">
            <v>40863</v>
          </cell>
          <cell r="M35">
            <v>39508</v>
          </cell>
          <cell r="N35">
            <v>43763</v>
          </cell>
          <cell r="O35">
            <v>466032</v>
          </cell>
          <cell r="P35" t="str">
            <v>l</v>
          </cell>
          <cell r="Q35">
            <v>43484</v>
          </cell>
          <cell r="R35">
            <v>40670</v>
          </cell>
          <cell r="S35">
            <v>38009</v>
          </cell>
          <cell r="T35">
            <v>33261</v>
          </cell>
          <cell r="U35">
            <v>40725</v>
          </cell>
          <cell r="V35">
            <v>38215</v>
          </cell>
          <cell r="W35">
            <v>40507</v>
          </cell>
          <cell r="X35">
            <v>41120</v>
          </cell>
          <cell r="Y35">
            <v>43017</v>
          </cell>
          <cell r="Z35">
            <v>40863</v>
          </cell>
          <cell r="AA35">
            <v>39508</v>
          </cell>
          <cell r="AB35">
            <v>43763</v>
          </cell>
          <cell r="AC35">
            <v>483143</v>
          </cell>
          <cell r="AD35" t="str">
            <v>l</v>
          </cell>
          <cell r="AE35">
            <v>43693</v>
          </cell>
          <cell r="AF35">
            <v>43802</v>
          </cell>
          <cell r="AG35">
            <v>35431</v>
          </cell>
          <cell r="AH35">
            <v>29647</v>
          </cell>
          <cell r="AI35">
            <v>37918</v>
          </cell>
          <cell r="AJ35">
            <v>35497</v>
          </cell>
          <cell r="AK35">
            <v>36589</v>
          </cell>
          <cell r="AL35">
            <v>34499</v>
          </cell>
          <cell r="AM35">
            <v>34650</v>
          </cell>
          <cell r="AN35">
            <v>34509</v>
          </cell>
          <cell r="AO35">
            <v>31750</v>
          </cell>
          <cell r="AP35">
            <v>39138</v>
          </cell>
          <cell r="AQ35">
            <v>437125</v>
          </cell>
        </row>
        <row r="36">
          <cell r="B36" t="str">
            <v>m</v>
          </cell>
          <cell r="C36">
            <v>27309</v>
          </cell>
          <cell r="D36">
            <v>27358</v>
          </cell>
          <cell r="E36">
            <v>-121</v>
          </cell>
          <cell r="F36">
            <v>20079</v>
          </cell>
          <cell r="G36">
            <v>29519</v>
          </cell>
          <cell r="H36">
            <v>27733</v>
          </cell>
          <cell r="I36">
            <v>29257</v>
          </cell>
          <cell r="J36">
            <v>29723</v>
          </cell>
          <cell r="K36">
            <v>31136</v>
          </cell>
          <cell r="L36">
            <v>29515</v>
          </cell>
          <cell r="M36">
            <v>28536</v>
          </cell>
          <cell r="N36">
            <v>31726</v>
          </cell>
          <cell r="O36">
            <v>311769</v>
          </cell>
          <cell r="P36" t="str">
            <v>m</v>
          </cell>
          <cell r="Q36">
            <v>31860</v>
          </cell>
          <cell r="R36">
            <v>29837</v>
          </cell>
          <cell r="S36">
            <v>27856</v>
          </cell>
          <cell r="T36">
            <v>24088</v>
          </cell>
          <cell r="U36">
            <v>29519</v>
          </cell>
          <cell r="V36">
            <v>27733</v>
          </cell>
          <cell r="W36">
            <v>29257</v>
          </cell>
          <cell r="X36">
            <v>29723</v>
          </cell>
          <cell r="Y36">
            <v>31136</v>
          </cell>
          <cell r="Z36">
            <v>29515</v>
          </cell>
          <cell r="AA36">
            <v>28536</v>
          </cell>
          <cell r="AB36">
            <v>31726</v>
          </cell>
          <cell r="AC36">
            <v>350786</v>
          </cell>
          <cell r="AD36" t="str">
            <v>m</v>
          </cell>
          <cell r="AE36">
            <v>32764</v>
          </cell>
          <cell r="AF36">
            <v>29234</v>
          </cell>
          <cell r="AG36">
            <v>28517</v>
          </cell>
          <cell r="AH36">
            <v>-9217</v>
          </cell>
          <cell r="AI36">
            <v>27673</v>
          </cell>
          <cell r="AJ36">
            <v>26490</v>
          </cell>
          <cell r="AK36">
            <v>24980</v>
          </cell>
          <cell r="AL36">
            <v>27333</v>
          </cell>
          <cell r="AM36">
            <v>24865</v>
          </cell>
          <cell r="AN36">
            <v>23912</v>
          </cell>
          <cell r="AO36">
            <v>22290</v>
          </cell>
          <cell r="AP36">
            <v>28454</v>
          </cell>
          <cell r="AQ36">
            <v>287295</v>
          </cell>
        </row>
        <row r="37">
          <cell r="B37" t="str">
            <v>n</v>
          </cell>
          <cell r="C37">
            <v>2201</v>
          </cell>
          <cell r="D37">
            <v>1046</v>
          </cell>
          <cell r="E37">
            <v>-705</v>
          </cell>
          <cell r="F37">
            <v>94</v>
          </cell>
          <cell r="G37">
            <v>100</v>
          </cell>
          <cell r="H37">
            <v>100</v>
          </cell>
          <cell r="I37">
            <v>100</v>
          </cell>
          <cell r="J37">
            <v>100</v>
          </cell>
          <cell r="K37">
            <v>100</v>
          </cell>
          <cell r="L37">
            <v>100</v>
          </cell>
          <cell r="M37">
            <v>100</v>
          </cell>
          <cell r="N37">
            <v>100</v>
          </cell>
          <cell r="O37">
            <v>3436</v>
          </cell>
          <cell r="P37" t="str">
            <v>n</v>
          </cell>
          <cell r="Q37">
            <v>2472</v>
          </cell>
          <cell r="R37">
            <v>2605</v>
          </cell>
          <cell r="S37">
            <v>2453</v>
          </cell>
          <cell r="T37">
            <v>2034</v>
          </cell>
          <cell r="U37">
            <v>2143</v>
          </cell>
          <cell r="V37">
            <v>2317</v>
          </cell>
          <cell r="W37">
            <v>2138</v>
          </cell>
          <cell r="X37">
            <v>2181</v>
          </cell>
          <cell r="Y37">
            <v>2295</v>
          </cell>
          <cell r="Z37">
            <v>2328</v>
          </cell>
          <cell r="AA37">
            <v>2383</v>
          </cell>
          <cell r="AB37">
            <v>2597</v>
          </cell>
          <cell r="AC37">
            <v>27945</v>
          </cell>
          <cell r="AD37" t="str">
            <v>n</v>
          </cell>
          <cell r="AE37">
            <v>1694</v>
          </cell>
          <cell r="AF37">
            <v>2023</v>
          </cell>
          <cell r="AG37">
            <v>2235</v>
          </cell>
          <cell r="AH37">
            <v>1747</v>
          </cell>
          <cell r="AI37">
            <v>2205</v>
          </cell>
          <cell r="AJ37">
            <v>33329</v>
          </cell>
          <cell r="AK37">
            <v>713</v>
          </cell>
          <cell r="AL37">
            <v>1485</v>
          </cell>
          <cell r="AM37">
            <v>3050</v>
          </cell>
          <cell r="AN37">
            <v>2102</v>
          </cell>
          <cell r="AO37">
            <v>291</v>
          </cell>
          <cell r="AP37">
            <v>-14596</v>
          </cell>
          <cell r="AQ37">
            <v>36279</v>
          </cell>
        </row>
        <row r="38">
          <cell r="C38" t="str">
            <v>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E38" t="str">
            <v>-</v>
          </cell>
          <cell r="AF38" t="str">
            <v>-</v>
          </cell>
          <cell r="AG38" t="str">
            <v>-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  <cell r="AM38" t="str">
            <v>-</v>
          </cell>
          <cell r="AN38" t="str">
            <v>-</v>
          </cell>
          <cell r="AO38" t="str">
            <v>-</v>
          </cell>
          <cell r="AP38" t="str">
            <v>-</v>
          </cell>
          <cell r="AQ38" t="str">
            <v>-</v>
          </cell>
        </row>
        <row r="39">
          <cell r="B39" t="e">
            <v>#N/A</v>
          </cell>
          <cell r="C39">
            <v>165164</v>
          </cell>
          <cell r="D39">
            <v>188724</v>
          </cell>
          <cell r="E39">
            <v>157747</v>
          </cell>
          <cell r="F39">
            <v>137709</v>
          </cell>
          <cell r="G39">
            <v>189364</v>
          </cell>
          <cell r="H39">
            <v>177435</v>
          </cell>
          <cell r="I39">
            <v>195144</v>
          </cell>
          <cell r="J39">
            <v>197359</v>
          </cell>
          <cell r="K39">
            <v>210993</v>
          </cell>
          <cell r="L39">
            <v>196019</v>
          </cell>
          <cell r="M39">
            <v>186936</v>
          </cell>
          <cell r="N39">
            <v>208124</v>
          </cell>
          <cell r="O39">
            <v>2210719</v>
          </cell>
          <cell r="P39" t="e">
            <v>#N/A</v>
          </cell>
          <cell r="Q39">
            <v>210078</v>
          </cell>
          <cell r="R39">
            <v>190954</v>
          </cell>
          <cell r="S39">
            <v>181880</v>
          </cell>
          <cell r="T39">
            <v>154442</v>
          </cell>
          <cell r="U39">
            <v>192613</v>
          </cell>
          <cell r="V39">
            <v>182042</v>
          </cell>
          <cell r="W39">
            <v>197233</v>
          </cell>
          <cell r="X39">
            <v>199462</v>
          </cell>
          <cell r="Y39">
            <v>213253</v>
          </cell>
          <cell r="Z39">
            <v>198306</v>
          </cell>
          <cell r="AA39">
            <v>189275</v>
          </cell>
          <cell r="AB39">
            <v>210660</v>
          </cell>
          <cell r="AC39">
            <v>2320197</v>
          </cell>
          <cell r="AD39" t="e">
            <v>#N/A</v>
          </cell>
          <cell r="AE39">
            <v>224598</v>
          </cell>
          <cell r="AF39">
            <v>204387</v>
          </cell>
          <cell r="AG39">
            <v>180832</v>
          </cell>
          <cell r="AH39">
            <v>111626</v>
          </cell>
          <cell r="AI39">
            <v>176217</v>
          </cell>
          <cell r="AJ39">
            <v>201225</v>
          </cell>
          <cell r="AK39">
            <v>178589</v>
          </cell>
          <cell r="AL39">
            <v>166673</v>
          </cell>
          <cell r="AM39">
            <v>178352</v>
          </cell>
          <cell r="AN39">
            <v>158342</v>
          </cell>
          <cell r="AO39">
            <v>125356</v>
          </cell>
          <cell r="AP39">
            <v>176198</v>
          </cell>
          <cell r="AQ39">
            <v>2082394</v>
          </cell>
        </row>
        <row r="42">
          <cell r="B42" t="str">
            <v>o</v>
          </cell>
          <cell r="C42">
            <v>52865</v>
          </cell>
          <cell r="D42">
            <v>71310</v>
          </cell>
          <cell r="E42">
            <v>115911</v>
          </cell>
          <cell r="F42">
            <v>37858</v>
          </cell>
          <cell r="G42">
            <v>53655</v>
          </cell>
          <cell r="H42">
            <v>53655</v>
          </cell>
          <cell r="I42">
            <v>53655</v>
          </cell>
          <cell r="J42">
            <v>53655</v>
          </cell>
          <cell r="K42">
            <v>53655</v>
          </cell>
          <cell r="L42">
            <v>53655</v>
          </cell>
          <cell r="M42">
            <v>53655</v>
          </cell>
          <cell r="N42">
            <v>53655</v>
          </cell>
          <cell r="O42">
            <v>707184</v>
          </cell>
          <cell r="P42" t="str">
            <v>o</v>
          </cell>
          <cell r="Q42">
            <v>79217</v>
          </cell>
          <cell r="R42">
            <v>79217</v>
          </cell>
          <cell r="S42">
            <v>79217</v>
          </cell>
          <cell r="T42">
            <v>79780</v>
          </cell>
          <cell r="U42">
            <v>79780</v>
          </cell>
          <cell r="V42">
            <v>79780</v>
          </cell>
          <cell r="W42">
            <v>79780</v>
          </cell>
          <cell r="X42">
            <v>79780</v>
          </cell>
          <cell r="Y42">
            <v>79780</v>
          </cell>
          <cell r="Z42">
            <v>79780</v>
          </cell>
          <cell r="AA42">
            <v>79780</v>
          </cell>
          <cell r="AB42">
            <v>79780</v>
          </cell>
          <cell r="AC42">
            <v>955669</v>
          </cell>
          <cell r="AD42" t="str">
            <v>o</v>
          </cell>
          <cell r="AE42">
            <v>85673</v>
          </cell>
          <cell r="AF42">
            <v>76880</v>
          </cell>
          <cell r="AG42">
            <v>83172</v>
          </cell>
          <cell r="AH42">
            <v>87114</v>
          </cell>
          <cell r="AI42">
            <v>95018</v>
          </cell>
          <cell r="AJ42">
            <v>-31838</v>
          </cell>
          <cell r="AK42">
            <v>169509</v>
          </cell>
          <cell r="AL42">
            <v>84607</v>
          </cell>
          <cell r="AM42">
            <v>61893</v>
          </cell>
          <cell r="AN42">
            <v>47092</v>
          </cell>
          <cell r="AO42">
            <v>43593</v>
          </cell>
          <cell r="AP42">
            <v>-146434</v>
          </cell>
          <cell r="AQ42">
            <v>656278</v>
          </cell>
        </row>
        <row r="43">
          <cell r="B43" t="str">
            <v>p</v>
          </cell>
          <cell r="P43" t="str">
            <v>p</v>
          </cell>
          <cell r="AD43" t="str">
            <v>p</v>
          </cell>
        </row>
        <row r="44">
          <cell r="B44" t="str">
            <v>r</v>
          </cell>
          <cell r="C44">
            <v>4397</v>
          </cell>
          <cell r="D44">
            <v>4170</v>
          </cell>
          <cell r="E44">
            <v>4859</v>
          </cell>
          <cell r="F44">
            <v>4316</v>
          </cell>
          <cell r="G44">
            <v>4474</v>
          </cell>
          <cell r="H44">
            <v>4724</v>
          </cell>
          <cell r="I44">
            <v>4474</v>
          </cell>
          <cell r="J44">
            <v>4474</v>
          </cell>
          <cell r="K44">
            <v>4474</v>
          </cell>
          <cell r="L44">
            <v>4609</v>
          </cell>
          <cell r="M44">
            <v>4609</v>
          </cell>
          <cell r="N44">
            <v>4609</v>
          </cell>
          <cell r="O44">
            <v>54186</v>
          </cell>
          <cell r="P44" t="str">
            <v>r</v>
          </cell>
          <cell r="Q44">
            <v>4724</v>
          </cell>
          <cell r="R44">
            <v>4724</v>
          </cell>
          <cell r="S44">
            <v>4724</v>
          </cell>
          <cell r="T44">
            <v>5074</v>
          </cell>
          <cell r="U44">
            <v>4724</v>
          </cell>
          <cell r="V44">
            <v>4974</v>
          </cell>
          <cell r="W44">
            <v>4724</v>
          </cell>
          <cell r="X44">
            <v>4724</v>
          </cell>
          <cell r="Y44">
            <v>4724</v>
          </cell>
          <cell r="Z44">
            <v>4859</v>
          </cell>
          <cell r="AA44">
            <v>4859</v>
          </cell>
          <cell r="AB44">
            <v>4859</v>
          </cell>
          <cell r="AC44">
            <v>57689</v>
          </cell>
          <cell r="AD44" t="str">
            <v>r</v>
          </cell>
          <cell r="AE44">
            <v>4444</v>
          </cell>
          <cell r="AF44">
            <v>4689</v>
          </cell>
          <cell r="AG44">
            <v>7674</v>
          </cell>
          <cell r="AH44">
            <v>4439</v>
          </cell>
          <cell r="AI44">
            <v>4824</v>
          </cell>
          <cell r="AJ44">
            <v>4684</v>
          </cell>
          <cell r="AK44">
            <v>4504</v>
          </cell>
          <cell r="AL44">
            <v>4408</v>
          </cell>
          <cell r="AM44">
            <v>4305</v>
          </cell>
          <cell r="AN44">
            <v>4657</v>
          </cell>
          <cell r="AO44">
            <v>4208</v>
          </cell>
          <cell r="AP44">
            <v>4321</v>
          </cell>
          <cell r="AQ44">
            <v>57159</v>
          </cell>
        </row>
        <row r="45">
          <cell r="B45" t="str">
            <v>s</v>
          </cell>
          <cell r="C45">
            <v>6381</v>
          </cell>
          <cell r="D45">
            <v>959</v>
          </cell>
          <cell r="E45">
            <v>5618</v>
          </cell>
          <cell r="F45">
            <v>7130</v>
          </cell>
          <cell r="G45">
            <v>7074</v>
          </cell>
          <cell r="H45">
            <v>7074</v>
          </cell>
          <cell r="I45">
            <v>7074</v>
          </cell>
          <cell r="J45">
            <v>7074</v>
          </cell>
          <cell r="K45">
            <v>7074</v>
          </cell>
          <cell r="L45">
            <v>7074</v>
          </cell>
          <cell r="M45">
            <v>7074</v>
          </cell>
          <cell r="N45">
            <v>7170</v>
          </cell>
          <cell r="O45">
            <v>76776</v>
          </cell>
          <cell r="P45" t="str">
            <v>s</v>
          </cell>
          <cell r="Q45">
            <v>7074</v>
          </cell>
          <cell r="R45">
            <v>7074</v>
          </cell>
          <cell r="S45">
            <v>7074</v>
          </cell>
          <cell r="T45">
            <v>7074</v>
          </cell>
          <cell r="U45">
            <v>7074</v>
          </cell>
          <cell r="V45">
            <v>7074</v>
          </cell>
          <cell r="W45">
            <v>7074</v>
          </cell>
          <cell r="X45">
            <v>7074</v>
          </cell>
          <cell r="Y45">
            <v>7074</v>
          </cell>
          <cell r="Z45">
            <v>7074</v>
          </cell>
          <cell r="AA45">
            <v>7074</v>
          </cell>
          <cell r="AB45">
            <v>7170</v>
          </cell>
          <cell r="AC45">
            <v>84984</v>
          </cell>
          <cell r="AD45" t="str">
            <v>s</v>
          </cell>
          <cell r="AE45">
            <v>7183</v>
          </cell>
          <cell r="AF45">
            <v>21818</v>
          </cell>
          <cell r="AG45">
            <v>18147</v>
          </cell>
          <cell r="AH45">
            <v>8670</v>
          </cell>
          <cell r="AI45">
            <v>-570</v>
          </cell>
          <cell r="AJ45">
            <v>6948</v>
          </cell>
          <cell r="AK45">
            <v>8330</v>
          </cell>
          <cell r="AL45">
            <v>6568</v>
          </cell>
          <cell r="AM45">
            <v>5655</v>
          </cell>
          <cell r="AN45">
            <v>6123</v>
          </cell>
          <cell r="AO45">
            <v>5789</v>
          </cell>
          <cell r="AP45">
            <v>5086</v>
          </cell>
          <cell r="AQ45">
            <v>99747</v>
          </cell>
        </row>
        <row r="46">
          <cell r="B46" t="str">
            <v>t</v>
          </cell>
          <cell r="C46">
            <v>4211</v>
          </cell>
          <cell r="D46">
            <v>4045</v>
          </cell>
          <cell r="E46">
            <v>4525</v>
          </cell>
          <cell r="F46">
            <v>4009</v>
          </cell>
          <cell r="G46">
            <v>4300</v>
          </cell>
          <cell r="H46">
            <v>4300</v>
          </cell>
          <cell r="I46">
            <v>4300</v>
          </cell>
          <cell r="J46">
            <v>4300</v>
          </cell>
          <cell r="K46">
            <v>4300</v>
          </cell>
          <cell r="L46">
            <v>4300</v>
          </cell>
          <cell r="M46">
            <v>4300</v>
          </cell>
          <cell r="N46">
            <v>4300</v>
          </cell>
          <cell r="O46">
            <v>51190</v>
          </cell>
          <cell r="P46" t="str">
            <v>t</v>
          </cell>
          <cell r="Q46">
            <v>4300</v>
          </cell>
          <cell r="R46">
            <v>4300</v>
          </cell>
          <cell r="S46">
            <v>4300</v>
          </cell>
          <cell r="T46">
            <v>4300</v>
          </cell>
          <cell r="U46">
            <v>4300</v>
          </cell>
          <cell r="V46">
            <v>4300</v>
          </cell>
          <cell r="W46">
            <v>4300</v>
          </cell>
          <cell r="X46">
            <v>4300</v>
          </cell>
          <cell r="Y46">
            <v>4300</v>
          </cell>
          <cell r="Z46">
            <v>4300</v>
          </cell>
          <cell r="AA46">
            <v>4300</v>
          </cell>
          <cell r="AB46">
            <v>4300</v>
          </cell>
          <cell r="AC46">
            <v>51600</v>
          </cell>
          <cell r="AD46" t="str">
            <v>t</v>
          </cell>
          <cell r="AE46">
            <v>4461</v>
          </cell>
          <cell r="AF46">
            <v>4182</v>
          </cell>
          <cell r="AG46">
            <v>4588</v>
          </cell>
          <cell r="AH46">
            <v>4242</v>
          </cell>
          <cell r="AI46">
            <v>4771</v>
          </cell>
          <cell r="AJ46">
            <v>3076</v>
          </cell>
          <cell r="AK46">
            <v>5034</v>
          </cell>
          <cell r="AL46">
            <v>4126</v>
          </cell>
          <cell r="AM46">
            <v>4701</v>
          </cell>
          <cell r="AN46">
            <v>4262</v>
          </cell>
          <cell r="AO46">
            <v>4004</v>
          </cell>
          <cell r="AP46">
            <v>3094</v>
          </cell>
          <cell r="AQ46">
            <v>50540</v>
          </cell>
        </row>
        <row r="47">
          <cell r="B47" t="str">
            <v>u</v>
          </cell>
          <cell r="C47">
            <v>1948</v>
          </cell>
          <cell r="D47">
            <v>3076</v>
          </cell>
          <cell r="E47">
            <v>2512</v>
          </cell>
          <cell r="F47">
            <v>2512</v>
          </cell>
          <cell r="G47">
            <v>2512</v>
          </cell>
          <cell r="H47">
            <v>2512</v>
          </cell>
          <cell r="I47">
            <v>2512</v>
          </cell>
          <cell r="J47">
            <v>2512</v>
          </cell>
          <cell r="K47">
            <v>2512</v>
          </cell>
          <cell r="L47">
            <v>2512</v>
          </cell>
          <cell r="M47">
            <v>2512</v>
          </cell>
          <cell r="N47">
            <v>2512</v>
          </cell>
          <cell r="O47">
            <v>30144</v>
          </cell>
          <cell r="P47" t="str">
            <v>u</v>
          </cell>
          <cell r="Q47">
            <v>1878</v>
          </cell>
          <cell r="R47">
            <v>1878</v>
          </cell>
          <cell r="S47">
            <v>1878</v>
          </cell>
          <cell r="T47">
            <v>1878</v>
          </cell>
          <cell r="U47">
            <v>1878</v>
          </cell>
          <cell r="V47">
            <v>1878</v>
          </cell>
          <cell r="W47">
            <v>1878</v>
          </cell>
          <cell r="X47">
            <v>1878</v>
          </cell>
          <cell r="Y47">
            <v>1878</v>
          </cell>
          <cell r="Z47">
            <v>1878</v>
          </cell>
          <cell r="AA47">
            <v>1878</v>
          </cell>
          <cell r="AB47">
            <v>1878</v>
          </cell>
          <cell r="AC47">
            <v>22542</v>
          </cell>
          <cell r="AD47" t="str">
            <v>u</v>
          </cell>
          <cell r="AE47">
            <v>2222</v>
          </cell>
          <cell r="AF47">
            <v>2222</v>
          </cell>
          <cell r="AG47">
            <v>2222</v>
          </cell>
          <cell r="AH47">
            <v>2222</v>
          </cell>
          <cell r="AI47">
            <v>-1306</v>
          </cell>
          <cell r="AJ47">
            <v>1517</v>
          </cell>
          <cell r="AK47">
            <v>2954</v>
          </cell>
          <cell r="AL47">
            <v>1879</v>
          </cell>
          <cell r="AM47">
            <v>2263</v>
          </cell>
          <cell r="AN47">
            <v>2263</v>
          </cell>
          <cell r="AO47">
            <v>1412</v>
          </cell>
          <cell r="AP47">
            <v>2370</v>
          </cell>
          <cell r="AQ47">
            <v>22241</v>
          </cell>
        </row>
        <row r="48">
          <cell r="B48" t="str">
            <v>v</v>
          </cell>
          <cell r="C48">
            <v>1244</v>
          </cell>
          <cell r="D48">
            <v>476</v>
          </cell>
          <cell r="E48">
            <v>750</v>
          </cell>
          <cell r="F48">
            <v>997</v>
          </cell>
          <cell r="G48">
            <v>1412</v>
          </cell>
          <cell r="H48">
            <v>1412</v>
          </cell>
          <cell r="I48">
            <v>1412</v>
          </cell>
          <cell r="J48">
            <v>1412</v>
          </cell>
          <cell r="K48">
            <v>1412</v>
          </cell>
          <cell r="L48">
            <v>1412</v>
          </cell>
          <cell r="M48">
            <v>1412</v>
          </cell>
          <cell r="N48">
            <v>1412</v>
          </cell>
          <cell r="O48">
            <v>14760</v>
          </cell>
          <cell r="P48" t="str">
            <v>v</v>
          </cell>
          <cell r="Q48">
            <v>1412</v>
          </cell>
          <cell r="R48">
            <v>1412</v>
          </cell>
          <cell r="S48">
            <v>1412</v>
          </cell>
          <cell r="T48">
            <v>1412</v>
          </cell>
          <cell r="U48">
            <v>1412</v>
          </cell>
          <cell r="V48">
            <v>1412</v>
          </cell>
          <cell r="W48">
            <v>1412</v>
          </cell>
          <cell r="X48">
            <v>1412</v>
          </cell>
          <cell r="Y48">
            <v>1412</v>
          </cell>
          <cell r="Z48">
            <v>1412</v>
          </cell>
          <cell r="AA48">
            <v>1412</v>
          </cell>
          <cell r="AB48">
            <v>1412</v>
          </cell>
          <cell r="AC48">
            <v>16940</v>
          </cell>
          <cell r="AD48" t="str">
            <v>v</v>
          </cell>
          <cell r="AE48">
            <v>1709</v>
          </cell>
          <cell r="AF48">
            <v>823</v>
          </cell>
          <cell r="AG48">
            <v>1308</v>
          </cell>
          <cell r="AH48">
            <v>1403</v>
          </cell>
          <cell r="AI48">
            <v>3931</v>
          </cell>
          <cell r="AJ48">
            <v>793</v>
          </cell>
          <cell r="AK48">
            <v>1106</v>
          </cell>
          <cell r="AL48">
            <v>990</v>
          </cell>
          <cell r="AM48">
            <v>968</v>
          </cell>
          <cell r="AN48">
            <v>912</v>
          </cell>
          <cell r="AO48">
            <v>789</v>
          </cell>
          <cell r="AP48">
            <v>1278</v>
          </cell>
          <cell r="AQ48">
            <v>16010</v>
          </cell>
        </row>
        <row r="49">
          <cell r="B49" t="str">
            <v>w</v>
          </cell>
          <cell r="C49">
            <v>6676</v>
          </cell>
          <cell r="D49">
            <v>10795</v>
          </cell>
          <cell r="E49">
            <v>9706</v>
          </cell>
          <cell r="F49">
            <v>7832</v>
          </cell>
          <cell r="G49">
            <v>8732</v>
          </cell>
          <cell r="H49">
            <v>8732</v>
          </cell>
          <cell r="I49">
            <v>8732</v>
          </cell>
          <cell r="J49">
            <v>8732</v>
          </cell>
          <cell r="K49">
            <v>8732</v>
          </cell>
          <cell r="L49">
            <v>8732</v>
          </cell>
          <cell r="M49">
            <v>8732</v>
          </cell>
          <cell r="N49">
            <v>8732</v>
          </cell>
          <cell r="O49">
            <v>104865</v>
          </cell>
          <cell r="P49" t="str">
            <v>w</v>
          </cell>
          <cell r="Q49">
            <v>8732</v>
          </cell>
          <cell r="R49">
            <v>8732</v>
          </cell>
          <cell r="S49">
            <v>8732</v>
          </cell>
          <cell r="T49">
            <v>8732</v>
          </cell>
          <cell r="U49">
            <v>8732</v>
          </cell>
          <cell r="V49">
            <v>8732</v>
          </cell>
          <cell r="W49">
            <v>8732</v>
          </cell>
          <cell r="X49">
            <v>8732</v>
          </cell>
          <cell r="Y49">
            <v>8732</v>
          </cell>
          <cell r="Z49">
            <v>8732</v>
          </cell>
          <cell r="AA49">
            <v>8732</v>
          </cell>
          <cell r="AB49">
            <v>8732</v>
          </cell>
          <cell r="AC49">
            <v>104784</v>
          </cell>
          <cell r="AD49" t="str">
            <v>w</v>
          </cell>
          <cell r="AE49">
            <v>8779</v>
          </cell>
          <cell r="AF49">
            <v>10801</v>
          </cell>
          <cell r="AG49">
            <v>8574</v>
          </cell>
          <cell r="AH49">
            <v>10954</v>
          </cell>
          <cell r="AI49">
            <v>10416</v>
          </cell>
          <cell r="AJ49">
            <v>6702</v>
          </cell>
          <cell r="AK49">
            <v>8333</v>
          </cell>
          <cell r="AL49">
            <v>7342</v>
          </cell>
          <cell r="AM49">
            <v>9563</v>
          </cell>
          <cell r="AN49">
            <v>8930</v>
          </cell>
          <cell r="AO49">
            <v>8680</v>
          </cell>
          <cell r="AP49">
            <v>8074</v>
          </cell>
          <cell r="AQ49">
            <v>107147</v>
          </cell>
        </row>
        <row r="50">
          <cell r="B50" t="str">
            <v>x</v>
          </cell>
          <cell r="C50">
            <v>5070</v>
          </cell>
          <cell r="D50">
            <v>-6031</v>
          </cell>
          <cell r="E50">
            <v>-1402</v>
          </cell>
          <cell r="F50">
            <v>4585</v>
          </cell>
          <cell r="G50">
            <v>7761</v>
          </cell>
          <cell r="H50">
            <v>7761</v>
          </cell>
          <cell r="I50">
            <v>7761</v>
          </cell>
          <cell r="J50">
            <v>7761</v>
          </cell>
          <cell r="K50">
            <v>8211</v>
          </cell>
          <cell r="L50">
            <v>7761</v>
          </cell>
          <cell r="M50">
            <v>7761</v>
          </cell>
          <cell r="N50">
            <v>7761</v>
          </cell>
          <cell r="O50">
            <v>64760</v>
          </cell>
          <cell r="P50" t="str">
            <v>x</v>
          </cell>
          <cell r="Q50">
            <v>6294</v>
          </cell>
          <cell r="R50">
            <v>6294</v>
          </cell>
          <cell r="S50">
            <v>6694</v>
          </cell>
          <cell r="T50">
            <v>6294</v>
          </cell>
          <cell r="U50">
            <v>6294</v>
          </cell>
          <cell r="V50">
            <v>6294</v>
          </cell>
          <cell r="W50">
            <v>6294</v>
          </cell>
          <cell r="X50">
            <v>6294</v>
          </cell>
          <cell r="Y50">
            <v>6744</v>
          </cell>
          <cell r="Z50">
            <v>6294</v>
          </cell>
          <cell r="AA50">
            <v>6294</v>
          </cell>
          <cell r="AB50">
            <v>6294</v>
          </cell>
          <cell r="AC50">
            <v>76382</v>
          </cell>
          <cell r="AD50" t="str">
            <v>x</v>
          </cell>
          <cell r="AE50">
            <v>39068</v>
          </cell>
          <cell r="AF50">
            <v>35609</v>
          </cell>
          <cell r="AG50">
            <v>32760</v>
          </cell>
          <cell r="AH50">
            <v>35386</v>
          </cell>
          <cell r="AI50">
            <v>36163</v>
          </cell>
          <cell r="AJ50">
            <v>32324</v>
          </cell>
          <cell r="AK50">
            <v>-175838</v>
          </cell>
          <cell r="AL50">
            <v>4336</v>
          </cell>
          <cell r="AM50">
            <v>2607</v>
          </cell>
          <cell r="AN50">
            <v>2544</v>
          </cell>
          <cell r="AO50">
            <v>-4390</v>
          </cell>
          <cell r="AP50">
            <v>10286</v>
          </cell>
          <cell r="AQ50">
            <v>50855</v>
          </cell>
        </row>
        <row r="51">
          <cell r="B51" t="str">
            <v>y</v>
          </cell>
          <cell r="C51">
            <v>11458</v>
          </cell>
          <cell r="D51">
            <v>-6954</v>
          </cell>
          <cell r="E51">
            <v>-1237</v>
          </cell>
          <cell r="F51">
            <v>3939</v>
          </cell>
          <cell r="G51">
            <v>6458</v>
          </cell>
          <cell r="H51">
            <v>6458</v>
          </cell>
          <cell r="I51">
            <v>6458</v>
          </cell>
          <cell r="J51">
            <v>6458</v>
          </cell>
          <cell r="K51">
            <v>6458</v>
          </cell>
          <cell r="L51">
            <v>6458</v>
          </cell>
          <cell r="M51">
            <v>6458</v>
          </cell>
          <cell r="N51">
            <v>6458</v>
          </cell>
          <cell r="O51">
            <v>58873</v>
          </cell>
          <cell r="P51" t="str">
            <v>y</v>
          </cell>
          <cell r="Q51">
            <v>6458</v>
          </cell>
          <cell r="R51">
            <v>6458</v>
          </cell>
          <cell r="S51">
            <v>6458</v>
          </cell>
          <cell r="T51">
            <v>6458</v>
          </cell>
          <cell r="U51">
            <v>6458</v>
          </cell>
          <cell r="V51">
            <v>6458</v>
          </cell>
          <cell r="W51">
            <v>6458</v>
          </cell>
          <cell r="X51">
            <v>6458</v>
          </cell>
          <cell r="Y51">
            <v>6458</v>
          </cell>
          <cell r="Z51">
            <v>6458</v>
          </cell>
          <cell r="AA51">
            <v>6458</v>
          </cell>
          <cell r="AB51">
            <v>6458</v>
          </cell>
          <cell r="AC51">
            <v>77500</v>
          </cell>
          <cell r="AD51" t="str">
            <v>y</v>
          </cell>
          <cell r="AE51">
            <v>7854</v>
          </cell>
          <cell r="AF51">
            <v>14573</v>
          </cell>
          <cell r="AG51">
            <v>8363</v>
          </cell>
          <cell r="AH51">
            <v>8299</v>
          </cell>
          <cell r="AI51">
            <v>-2933</v>
          </cell>
          <cell r="AJ51">
            <v>9495</v>
          </cell>
          <cell r="AK51">
            <v>3635</v>
          </cell>
          <cell r="AL51">
            <v>6516</v>
          </cell>
          <cell r="AM51">
            <v>8388</v>
          </cell>
          <cell r="AN51">
            <v>7715</v>
          </cell>
          <cell r="AO51">
            <v>8280</v>
          </cell>
          <cell r="AP51">
            <v>-2170</v>
          </cell>
          <cell r="AQ51">
            <v>78014</v>
          </cell>
        </row>
        <row r="52">
          <cell r="B52" t="str">
            <v>z</v>
          </cell>
          <cell r="C52">
            <v>50473</v>
          </cell>
          <cell r="D52">
            <v>50307</v>
          </cell>
          <cell r="E52">
            <v>50217</v>
          </cell>
          <cell r="F52">
            <v>50792</v>
          </cell>
          <cell r="G52">
            <v>50377</v>
          </cell>
          <cell r="H52">
            <v>50377</v>
          </cell>
          <cell r="I52">
            <v>50377</v>
          </cell>
          <cell r="J52">
            <v>50377</v>
          </cell>
          <cell r="K52">
            <v>50377</v>
          </cell>
          <cell r="L52">
            <v>50540</v>
          </cell>
          <cell r="M52">
            <v>50540</v>
          </cell>
          <cell r="N52">
            <v>51783</v>
          </cell>
          <cell r="O52">
            <v>606539</v>
          </cell>
          <cell r="P52" t="str">
            <v>z</v>
          </cell>
          <cell r="Q52">
            <v>50377</v>
          </cell>
          <cell r="R52">
            <v>50377</v>
          </cell>
          <cell r="S52">
            <v>50377</v>
          </cell>
          <cell r="T52">
            <v>50377</v>
          </cell>
          <cell r="U52">
            <v>50377</v>
          </cell>
          <cell r="V52">
            <v>50377</v>
          </cell>
          <cell r="W52">
            <v>50377</v>
          </cell>
          <cell r="X52">
            <v>50377</v>
          </cell>
          <cell r="Y52">
            <v>50377</v>
          </cell>
          <cell r="Z52">
            <v>50540</v>
          </cell>
          <cell r="AA52">
            <v>50540</v>
          </cell>
          <cell r="AB52">
            <v>51783</v>
          </cell>
          <cell r="AC52">
            <v>606260</v>
          </cell>
          <cell r="AD52" t="str">
            <v>z</v>
          </cell>
          <cell r="AE52">
            <v>48457</v>
          </cell>
          <cell r="AF52">
            <v>49740</v>
          </cell>
          <cell r="AG52">
            <v>51248</v>
          </cell>
          <cell r="AH52">
            <v>50482</v>
          </cell>
          <cell r="AI52">
            <v>50587</v>
          </cell>
          <cell r="AJ52">
            <v>50508</v>
          </cell>
          <cell r="AK52">
            <v>50456</v>
          </cell>
          <cell r="AL52">
            <v>50409</v>
          </cell>
          <cell r="AM52">
            <v>50435</v>
          </cell>
          <cell r="AN52">
            <v>50897</v>
          </cell>
          <cell r="AO52">
            <v>50786</v>
          </cell>
          <cell r="AP52">
            <v>63821</v>
          </cell>
          <cell r="AQ52">
            <v>617826</v>
          </cell>
        </row>
        <row r="53">
          <cell r="B53" t="str">
            <v>aa</v>
          </cell>
          <cell r="C53">
            <v>2727</v>
          </cell>
          <cell r="D53">
            <v>1062</v>
          </cell>
          <cell r="E53">
            <v>2732</v>
          </cell>
          <cell r="F53">
            <v>2381</v>
          </cell>
          <cell r="G53">
            <v>3127</v>
          </cell>
          <cell r="H53">
            <v>3127</v>
          </cell>
          <cell r="I53">
            <v>3127</v>
          </cell>
          <cell r="J53">
            <v>3127</v>
          </cell>
          <cell r="K53">
            <v>3127</v>
          </cell>
          <cell r="L53">
            <v>3127</v>
          </cell>
          <cell r="M53">
            <v>3127</v>
          </cell>
          <cell r="N53">
            <v>3127</v>
          </cell>
          <cell r="O53">
            <v>33915</v>
          </cell>
          <cell r="P53" t="str">
            <v>aa</v>
          </cell>
          <cell r="Q53">
            <v>3127</v>
          </cell>
          <cell r="R53">
            <v>3127</v>
          </cell>
          <cell r="S53">
            <v>3127</v>
          </cell>
          <cell r="T53">
            <v>3127</v>
          </cell>
          <cell r="U53">
            <v>3127</v>
          </cell>
          <cell r="V53">
            <v>3127</v>
          </cell>
          <cell r="W53">
            <v>3127</v>
          </cell>
          <cell r="X53">
            <v>3127</v>
          </cell>
          <cell r="Y53">
            <v>3127</v>
          </cell>
          <cell r="Z53">
            <v>3127</v>
          </cell>
          <cell r="AA53">
            <v>3127</v>
          </cell>
          <cell r="AB53">
            <v>3127</v>
          </cell>
          <cell r="AC53">
            <v>37520</v>
          </cell>
          <cell r="AD53" t="str">
            <v>aa</v>
          </cell>
          <cell r="AE53">
            <v>6102</v>
          </cell>
          <cell r="AF53">
            <v>2463</v>
          </cell>
          <cell r="AG53">
            <v>3039</v>
          </cell>
          <cell r="AH53">
            <v>3933</v>
          </cell>
          <cell r="AI53">
            <v>3391</v>
          </cell>
          <cell r="AJ53">
            <v>3370</v>
          </cell>
          <cell r="AK53">
            <v>2625</v>
          </cell>
          <cell r="AL53">
            <v>6862</v>
          </cell>
          <cell r="AM53">
            <v>4824</v>
          </cell>
          <cell r="AN53">
            <v>3019</v>
          </cell>
          <cell r="AO53">
            <v>3296</v>
          </cell>
          <cell r="AP53">
            <v>1258</v>
          </cell>
          <cell r="AQ53">
            <v>44182</v>
          </cell>
        </row>
        <row r="54">
          <cell r="B54" t="str">
            <v>ab</v>
          </cell>
          <cell r="C54">
            <v>12901</v>
          </cell>
          <cell r="D54">
            <v>10018</v>
          </cell>
          <cell r="E54">
            <v>15785</v>
          </cell>
          <cell r="F54">
            <v>14492</v>
          </cell>
          <cell r="G54">
            <v>14187</v>
          </cell>
          <cell r="H54">
            <v>14187</v>
          </cell>
          <cell r="I54">
            <v>14187</v>
          </cell>
          <cell r="J54">
            <v>14187</v>
          </cell>
          <cell r="K54">
            <v>14187</v>
          </cell>
          <cell r="L54">
            <v>14187</v>
          </cell>
          <cell r="M54">
            <v>14187</v>
          </cell>
          <cell r="N54">
            <v>14187</v>
          </cell>
          <cell r="O54">
            <v>166695</v>
          </cell>
          <cell r="P54" t="str">
            <v>ab</v>
          </cell>
          <cell r="Q54">
            <v>14187</v>
          </cell>
          <cell r="R54">
            <v>14187</v>
          </cell>
          <cell r="S54">
            <v>14187</v>
          </cell>
          <cell r="T54">
            <v>14187</v>
          </cell>
          <cell r="U54">
            <v>14187</v>
          </cell>
          <cell r="V54">
            <v>14187</v>
          </cell>
          <cell r="W54">
            <v>14187</v>
          </cell>
          <cell r="X54">
            <v>14187</v>
          </cell>
          <cell r="Y54">
            <v>14187</v>
          </cell>
          <cell r="Z54">
            <v>14187</v>
          </cell>
          <cell r="AA54">
            <v>14187</v>
          </cell>
          <cell r="AB54">
            <v>14187</v>
          </cell>
          <cell r="AC54">
            <v>170248</v>
          </cell>
          <cell r="AD54" t="str">
            <v>ab</v>
          </cell>
          <cell r="AE54">
            <v>13640</v>
          </cell>
          <cell r="AF54">
            <v>15387</v>
          </cell>
          <cell r="AG54">
            <v>19037</v>
          </cell>
          <cell r="AH54">
            <v>16601</v>
          </cell>
          <cell r="AI54">
            <v>55584</v>
          </cell>
          <cell r="AJ54">
            <v>14020</v>
          </cell>
          <cell r="AK54">
            <v>2828</v>
          </cell>
          <cell r="AL54">
            <v>2438</v>
          </cell>
          <cell r="AM54">
            <v>2438</v>
          </cell>
          <cell r="AN54">
            <v>6381</v>
          </cell>
          <cell r="AO54">
            <v>6092</v>
          </cell>
          <cell r="AP54">
            <v>9334</v>
          </cell>
          <cell r="AQ54">
            <v>163779</v>
          </cell>
        </row>
        <row r="55">
          <cell r="B55" t="str">
            <v>ac</v>
          </cell>
          <cell r="C55">
            <v>9444</v>
          </cell>
          <cell r="D55">
            <v>865</v>
          </cell>
          <cell r="E55">
            <v>17049</v>
          </cell>
          <cell r="F55">
            <v>1735</v>
          </cell>
          <cell r="G55">
            <v>6803</v>
          </cell>
          <cell r="H55">
            <v>11803</v>
          </cell>
          <cell r="I55">
            <v>6803</v>
          </cell>
          <cell r="J55">
            <v>6803</v>
          </cell>
          <cell r="K55">
            <v>6803</v>
          </cell>
          <cell r="L55">
            <v>6803</v>
          </cell>
          <cell r="M55">
            <v>6803</v>
          </cell>
          <cell r="N55">
            <v>6803</v>
          </cell>
          <cell r="O55">
            <v>88514</v>
          </cell>
          <cell r="P55" t="str">
            <v>ac</v>
          </cell>
          <cell r="Q55">
            <v>9664</v>
          </cell>
          <cell r="R55">
            <v>26664</v>
          </cell>
          <cell r="S55">
            <v>14664</v>
          </cell>
          <cell r="T55">
            <v>6803</v>
          </cell>
          <cell r="U55">
            <v>6803</v>
          </cell>
          <cell r="V55">
            <v>11803</v>
          </cell>
          <cell r="W55">
            <v>6803</v>
          </cell>
          <cell r="X55">
            <v>6803</v>
          </cell>
          <cell r="Y55">
            <v>6803</v>
          </cell>
          <cell r="Z55">
            <v>6803</v>
          </cell>
          <cell r="AA55">
            <v>6803</v>
          </cell>
          <cell r="AB55">
            <v>6803</v>
          </cell>
          <cell r="AC55">
            <v>117215</v>
          </cell>
          <cell r="AD55" t="str">
            <v>ac</v>
          </cell>
          <cell r="AE55">
            <v>13506</v>
          </cell>
          <cell r="AF55">
            <v>38375</v>
          </cell>
          <cell r="AG55">
            <v>11749</v>
          </cell>
          <cell r="AH55">
            <v>7632</v>
          </cell>
          <cell r="AI55">
            <v>1523</v>
          </cell>
          <cell r="AJ55">
            <v>8479</v>
          </cell>
          <cell r="AK55">
            <v>4421</v>
          </cell>
          <cell r="AL55">
            <v>5149</v>
          </cell>
          <cell r="AM55">
            <v>7510</v>
          </cell>
          <cell r="AN55">
            <v>8683</v>
          </cell>
          <cell r="AO55">
            <v>3403</v>
          </cell>
          <cell r="AP55">
            <v>10673</v>
          </cell>
          <cell r="AQ55">
            <v>121104</v>
          </cell>
        </row>
        <row r="57">
          <cell r="B57" t="str">
            <v>ad</v>
          </cell>
          <cell r="C57">
            <v>39181</v>
          </cell>
          <cell r="D57">
            <v>37307</v>
          </cell>
          <cell r="E57">
            <v>37166</v>
          </cell>
          <cell r="F57">
            <v>37471</v>
          </cell>
          <cell r="G57">
            <v>37770</v>
          </cell>
          <cell r="H57">
            <v>37770</v>
          </cell>
          <cell r="I57">
            <v>37770</v>
          </cell>
          <cell r="J57">
            <v>37770</v>
          </cell>
          <cell r="K57">
            <v>37770</v>
          </cell>
          <cell r="L57">
            <v>37770</v>
          </cell>
          <cell r="M57">
            <v>37770</v>
          </cell>
          <cell r="N57">
            <v>37770</v>
          </cell>
          <cell r="O57">
            <v>453285</v>
          </cell>
          <cell r="P57" t="str">
            <v>ad</v>
          </cell>
          <cell r="Q57">
            <v>36676</v>
          </cell>
          <cell r="R57">
            <v>36676</v>
          </cell>
          <cell r="S57">
            <v>36676</v>
          </cell>
          <cell r="T57">
            <v>36676</v>
          </cell>
          <cell r="U57">
            <v>36676</v>
          </cell>
          <cell r="V57">
            <v>36676</v>
          </cell>
          <cell r="W57">
            <v>36676</v>
          </cell>
          <cell r="X57">
            <v>36676</v>
          </cell>
          <cell r="Y57">
            <v>36676</v>
          </cell>
          <cell r="Z57">
            <v>36676</v>
          </cell>
          <cell r="AA57">
            <v>36676</v>
          </cell>
          <cell r="AB57">
            <v>36676</v>
          </cell>
          <cell r="AC57">
            <v>440107</v>
          </cell>
          <cell r="AD57" t="str">
            <v>ad</v>
          </cell>
          <cell r="AE57">
            <v>38360</v>
          </cell>
          <cell r="AF57">
            <v>37233</v>
          </cell>
          <cell r="AG57">
            <v>35504</v>
          </cell>
          <cell r="AH57">
            <v>35575</v>
          </cell>
          <cell r="AI57">
            <v>35000</v>
          </cell>
          <cell r="AJ57">
            <v>35497</v>
          </cell>
          <cell r="AK57">
            <v>34341</v>
          </cell>
          <cell r="AL57">
            <v>34629</v>
          </cell>
          <cell r="AM57">
            <v>34524</v>
          </cell>
          <cell r="AN57">
            <v>32286</v>
          </cell>
          <cell r="AO57">
            <v>35267</v>
          </cell>
          <cell r="AP57">
            <v>35645</v>
          </cell>
          <cell r="AQ57">
            <v>423861</v>
          </cell>
        </row>
        <row r="58">
          <cell r="B58" t="str">
            <v>ae</v>
          </cell>
          <cell r="C58">
            <v>132786</v>
          </cell>
          <cell r="D58">
            <v>116605</v>
          </cell>
          <cell r="E58">
            <v>130679</v>
          </cell>
          <cell r="F58">
            <v>125700</v>
          </cell>
          <cell r="G58">
            <v>130253</v>
          </cell>
          <cell r="H58">
            <v>130461</v>
          </cell>
          <cell r="I58">
            <v>128069</v>
          </cell>
          <cell r="J58">
            <v>128069</v>
          </cell>
          <cell r="K58">
            <v>128069</v>
          </cell>
          <cell r="L58">
            <v>128069</v>
          </cell>
          <cell r="M58">
            <v>126403</v>
          </cell>
          <cell r="N58">
            <v>126403</v>
          </cell>
          <cell r="O58">
            <v>1531566</v>
          </cell>
          <cell r="P58" t="str">
            <v>ae</v>
          </cell>
          <cell r="Q58">
            <v>131783</v>
          </cell>
          <cell r="R58">
            <v>131783</v>
          </cell>
          <cell r="S58">
            <v>131783</v>
          </cell>
          <cell r="T58">
            <v>136107</v>
          </cell>
          <cell r="U58">
            <v>126524</v>
          </cell>
          <cell r="V58">
            <v>122357</v>
          </cell>
          <cell r="W58">
            <v>122357</v>
          </cell>
          <cell r="X58">
            <v>122357</v>
          </cell>
          <cell r="Y58">
            <v>122357</v>
          </cell>
          <cell r="Z58">
            <v>122357</v>
          </cell>
          <cell r="AA58">
            <v>122357</v>
          </cell>
          <cell r="AB58">
            <v>122357</v>
          </cell>
          <cell r="AC58">
            <v>1514482</v>
          </cell>
          <cell r="AD58" t="str">
            <v>ae</v>
          </cell>
          <cell r="AE58">
            <v>121951</v>
          </cell>
          <cell r="AF58">
            <v>119434</v>
          </cell>
          <cell r="AG58">
            <v>131104</v>
          </cell>
          <cell r="AH58">
            <v>122635</v>
          </cell>
          <cell r="AI58">
            <v>124842</v>
          </cell>
          <cell r="AJ58">
            <v>122511</v>
          </cell>
          <cell r="AK58">
            <v>120705</v>
          </cell>
          <cell r="AL58">
            <v>122030</v>
          </cell>
          <cell r="AM58">
            <v>123406</v>
          </cell>
          <cell r="AN58">
            <v>122806</v>
          </cell>
          <cell r="AO58">
            <v>122475</v>
          </cell>
          <cell r="AP58">
            <v>123581</v>
          </cell>
          <cell r="AQ58">
            <v>1477480</v>
          </cell>
        </row>
        <row r="59">
          <cell r="B59" t="str">
            <v>af</v>
          </cell>
          <cell r="C59">
            <v>127744</v>
          </cell>
          <cell r="D59">
            <v>127673</v>
          </cell>
          <cell r="E59">
            <v>134946</v>
          </cell>
          <cell r="F59">
            <v>120966</v>
          </cell>
          <cell r="G59">
            <v>133186</v>
          </cell>
          <cell r="H59">
            <v>133978</v>
          </cell>
          <cell r="I59">
            <v>133978</v>
          </cell>
          <cell r="J59">
            <v>133978</v>
          </cell>
          <cell r="K59">
            <v>133978</v>
          </cell>
          <cell r="L59">
            <v>133978</v>
          </cell>
          <cell r="M59">
            <v>133978</v>
          </cell>
          <cell r="N59">
            <v>133978</v>
          </cell>
          <cell r="O59">
            <v>1582362</v>
          </cell>
          <cell r="P59" t="str">
            <v>af</v>
          </cell>
          <cell r="Q59">
            <v>128489</v>
          </cell>
          <cell r="R59">
            <v>128489</v>
          </cell>
          <cell r="S59">
            <v>128489</v>
          </cell>
          <cell r="T59">
            <v>128489</v>
          </cell>
          <cell r="U59">
            <v>128489</v>
          </cell>
          <cell r="V59">
            <v>128489</v>
          </cell>
          <cell r="W59">
            <v>128489</v>
          </cell>
          <cell r="X59">
            <v>128489</v>
          </cell>
          <cell r="Y59">
            <v>128489</v>
          </cell>
          <cell r="Z59">
            <v>128489</v>
          </cell>
          <cell r="AA59">
            <v>128489</v>
          </cell>
          <cell r="AB59">
            <v>128489</v>
          </cell>
          <cell r="AC59">
            <v>1541868</v>
          </cell>
          <cell r="AD59" t="str">
            <v>af</v>
          </cell>
          <cell r="AE59">
            <v>134009</v>
          </cell>
          <cell r="AF59">
            <v>130354</v>
          </cell>
          <cell r="AG59">
            <v>135060</v>
          </cell>
          <cell r="AH59">
            <v>115826</v>
          </cell>
          <cell r="AI59">
            <v>130732</v>
          </cell>
          <cell r="AJ59">
            <v>129219</v>
          </cell>
          <cell r="AK59">
            <v>116793</v>
          </cell>
          <cell r="AL59">
            <v>126019</v>
          </cell>
          <cell r="AM59">
            <v>120709</v>
          </cell>
          <cell r="AN59">
            <v>129624</v>
          </cell>
          <cell r="AO59">
            <v>123772</v>
          </cell>
          <cell r="AP59">
            <v>124575</v>
          </cell>
          <cell r="AQ59">
            <v>1516691</v>
          </cell>
        </row>
        <row r="60">
          <cell r="B60" t="str">
            <v>ag</v>
          </cell>
          <cell r="C60">
            <v>29065</v>
          </cell>
          <cell r="D60">
            <v>32874</v>
          </cell>
          <cell r="E60">
            <v>26014</v>
          </cell>
          <cell r="F60">
            <v>27392</v>
          </cell>
          <cell r="G60">
            <v>25421</v>
          </cell>
          <cell r="H60">
            <v>25421</v>
          </cell>
          <cell r="I60">
            <v>25421</v>
          </cell>
          <cell r="J60">
            <v>25421</v>
          </cell>
          <cell r="K60">
            <v>25421</v>
          </cell>
          <cell r="L60">
            <v>25421</v>
          </cell>
          <cell r="M60">
            <v>25421</v>
          </cell>
          <cell r="N60">
            <v>25421</v>
          </cell>
          <cell r="O60">
            <v>318712</v>
          </cell>
          <cell r="P60" t="str">
            <v>ag</v>
          </cell>
          <cell r="Q60">
            <v>29746</v>
          </cell>
          <cell r="R60">
            <v>29746</v>
          </cell>
          <cell r="S60">
            <v>29746</v>
          </cell>
          <cell r="T60">
            <v>26163</v>
          </cell>
          <cell r="U60">
            <v>26163</v>
          </cell>
          <cell r="V60">
            <v>26163</v>
          </cell>
          <cell r="W60">
            <v>26163</v>
          </cell>
          <cell r="X60">
            <v>26163</v>
          </cell>
          <cell r="Y60">
            <v>26163</v>
          </cell>
          <cell r="Z60">
            <v>26163</v>
          </cell>
          <cell r="AA60">
            <v>26163</v>
          </cell>
          <cell r="AB60">
            <v>26163</v>
          </cell>
          <cell r="AC60">
            <v>324700</v>
          </cell>
          <cell r="AD60" t="str">
            <v>ag</v>
          </cell>
          <cell r="AE60">
            <v>40760</v>
          </cell>
          <cell r="AF60">
            <v>38003</v>
          </cell>
          <cell r="AG60">
            <v>32241</v>
          </cell>
          <cell r="AH60">
            <v>37624</v>
          </cell>
          <cell r="AI60">
            <v>41279</v>
          </cell>
          <cell r="AJ60">
            <v>37798</v>
          </cell>
          <cell r="AK60">
            <v>39713</v>
          </cell>
          <cell r="AL60">
            <v>40490</v>
          </cell>
          <cell r="AM60">
            <v>37082</v>
          </cell>
          <cell r="AN60">
            <v>32055</v>
          </cell>
          <cell r="AO60">
            <v>34958</v>
          </cell>
          <cell r="AP60">
            <v>37540</v>
          </cell>
          <cell r="AQ60">
            <v>449544</v>
          </cell>
        </row>
        <row r="61">
          <cell r="B61" t="str">
            <v>ah</v>
          </cell>
          <cell r="C61">
            <v>5311</v>
          </cell>
          <cell r="D61">
            <v>4928</v>
          </cell>
          <cell r="E61">
            <v>4678</v>
          </cell>
          <cell r="F61">
            <v>4678</v>
          </cell>
          <cell r="G61">
            <v>5233</v>
          </cell>
          <cell r="H61">
            <v>5233</v>
          </cell>
          <cell r="I61">
            <v>5233</v>
          </cell>
          <cell r="J61">
            <v>5233</v>
          </cell>
          <cell r="K61">
            <v>5233</v>
          </cell>
          <cell r="L61">
            <v>5233</v>
          </cell>
          <cell r="M61">
            <v>5233</v>
          </cell>
          <cell r="N61">
            <v>5233</v>
          </cell>
          <cell r="O61">
            <v>61456</v>
          </cell>
          <cell r="P61" t="str">
            <v>ah</v>
          </cell>
          <cell r="Q61">
            <v>4678</v>
          </cell>
          <cell r="R61">
            <v>4678</v>
          </cell>
          <cell r="S61">
            <v>4678</v>
          </cell>
          <cell r="T61">
            <v>5233</v>
          </cell>
          <cell r="U61">
            <v>5233</v>
          </cell>
          <cell r="V61">
            <v>5233</v>
          </cell>
          <cell r="W61">
            <v>5233</v>
          </cell>
          <cell r="X61">
            <v>5233</v>
          </cell>
          <cell r="Y61">
            <v>5233</v>
          </cell>
          <cell r="Z61">
            <v>5233</v>
          </cell>
          <cell r="AA61">
            <v>5233</v>
          </cell>
          <cell r="AB61">
            <v>5233</v>
          </cell>
          <cell r="AC61">
            <v>61128</v>
          </cell>
          <cell r="AD61" t="str">
            <v>ah</v>
          </cell>
          <cell r="AE61">
            <v>11462</v>
          </cell>
          <cell r="AF61">
            <v>11000</v>
          </cell>
          <cell r="AG61">
            <v>11000</v>
          </cell>
          <cell r="AH61">
            <v>12096</v>
          </cell>
          <cell r="AI61">
            <v>11499</v>
          </cell>
          <cell r="AJ61">
            <v>12290</v>
          </cell>
          <cell r="AK61">
            <v>12380</v>
          </cell>
          <cell r="AL61">
            <v>11001</v>
          </cell>
          <cell r="AM61">
            <v>11852</v>
          </cell>
          <cell r="AN61">
            <v>7734</v>
          </cell>
          <cell r="AO61">
            <v>7102</v>
          </cell>
          <cell r="AP61">
            <v>12416</v>
          </cell>
          <cell r="AQ61">
            <v>131831</v>
          </cell>
        </row>
        <row r="62">
          <cell r="B62" t="str">
            <v>ai</v>
          </cell>
          <cell r="C62">
            <v>6059</v>
          </cell>
          <cell r="D62">
            <v>6059</v>
          </cell>
          <cell r="E62">
            <v>6059</v>
          </cell>
          <cell r="F62">
            <v>6059</v>
          </cell>
          <cell r="G62">
            <v>6059</v>
          </cell>
          <cell r="H62">
            <v>6059</v>
          </cell>
          <cell r="I62">
            <v>6059</v>
          </cell>
          <cell r="J62">
            <v>6059</v>
          </cell>
          <cell r="K62">
            <v>6059</v>
          </cell>
          <cell r="L62">
            <v>6059</v>
          </cell>
          <cell r="M62">
            <v>6059</v>
          </cell>
          <cell r="N62">
            <v>6059</v>
          </cell>
          <cell r="O62">
            <v>72707</v>
          </cell>
          <cell r="P62" t="str">
            <v>ai</v>
          </cell>
          <cell r="Q62">
            <v>7892</v>
          </cell>
          <cell r="R62">
            <v>7892</v>
          </cell>
          <cell r="S62">
            <v>7892</v>
          </cell>
          <cell r="T62">
            <v>7892</v>
          </cell>
          <cell r="U62">
            <v>7892</v>
          </cell>
          <cell r="V62">
            <v>7892</v>
          </cell>
          <cell r="W62">
            <v>7892</v>
          </cell>
          <cell r="X62">
            <v>7892</v>
          </cell>
          <cell r="Y62">
            <v>7892</v>
          </cell>
          <cell r="Z62">
            <v>7892</v>
          </cell>
          <cell r="AA62">
            <v>7892</v>
          </cell>
          <cell r="AB62">
            <v>7892</v>
          </cell>
          <cell r="AC62">
            <v>94706</v>
          </cell>
          <cell r="AD62" t="str">
            <v>ai</v>
          </cell>
          <cell r="AE62">
            <v>13097</v>
          </cell>
          <cell r="AF62">
            <v>13097</v>
          </cell>
          <cell r="AG62">
            <v>13226</v>
          </cell>
          <cell r="AH62">
            <v>13226</v>
          </cell>
          <cell r="AI62">
            <v>13405</v>
          </cell>
          <cell r="AJ62">
            <v>13226</v>
          </cell>
          <cell r="AK62">
            <v>11437</v>
          </cell>
          <cell r="AL62">
            <v>12868</v>
          </cell>
          <cell r="AM62">
            <v>12868</v>
          </cell>
          <cell r="AN62">
            <v>12868</v>
          </cell>
          <cell r="AO62">
            <v>7642</v>
          </cell>
          <cell r="AP62">
            <v>7191</v>
          </cell>
          <cell r="AQ62">
            <v>144152</v>
          </cell>
        </row>
        <row r="63">
          <cell r="B63" t="str">
            <v>aj</v>
          </cell>
          <cell r="C63">
            <v>9227</v>
          </cell>
          <cell r="D63">
            <v>20773</v>
          </cell>
          <cell r="E63">
            <v>9345</v>
          </cell>
          <cell r="F63">
            <v>9233</v>
          </cell>
          <cell r="G63">
            <v>4859</v>
          </cell>
          <cell r="H63">
            <v>4859</v>
          </cell>
          <cell r="I63">
            <v>4859</v>
          </cell>
          <cell r="J63">
            <v>4859</v>
          </cell>
          <cell r="K63">
            <v>4859</v>
          </cell>
          <cell r="L63">
            <v>4859</v>
          </cell>
          <cell r="M63">
            <v>4859</v>
          </cell>
          <cell r="N63">
            <v>4859</v>
          </cell>
          <cell r="O63">
            <v>87446</v>
          </cell>
          <cell r="P63" t="str">
            <v>aj</v>
          </cell>
          <cell r="Q63">
            <v>8525</v>
          </cell>
          <cell r="R63">
            <v>8525</v>
          </cell>
          <cell r="S63">
            <v>18525</v>
          </cell>
          <cell r="T63">
            <v>8525</v>
          </cell>
          <cell r="U63">
            <v>8525</v>
          </cell>
          <cell r="V63">
            <v>8525</v>
          </cell>
          <cell r="W63">
            <v>8525</v>
          </cell>
          <cell r="X63">
            <v>8525</v>
          </cell>
          <cell r="Y63">
            <v>8525</v>
          </cell>
          <cell r="Z63">
            <v>8525</v>
          </cell>
          <cell r="AA63">
            <v>8525</v>
          </cell>
          <cell r="AB63">
            <v>8525</v>
          </cell>
          <cell r="AC63">
            <v>112300</v>
          </cell>
          <cell r="AD63" t="str">
            <v>aj</v>
          </cell>
          <cell r="AE63">
            <v>9057</v>
          </cell>
          <cell r="AF63">
            <v>8825</v>
          </cell>
          <cell r="AG63">
            <v>28829</v>
          </cell>
          <cell r="AH63">
            <v>8925</v>
          </cell>
          <cell r="AI63">
            <v>8925</v>
          </cell>
          <cell r="AJ63">
            <v>8925</v>
          </cell>
          <cell r="AK63">
            <v>6217</v>
          </cell>
          <cell r="AL63">
            <v>-38200</v>
          </cell>
          <cell r="AM63">
            <v>12463</v>
          </cell>
          <cell r="AN63">
            <v>-617</v>
          </cell>
          <cell r="AO63">
            <v>1633</v>
          </cell>
          <cell r="AP63">
            <v>-2693</v>
          </cell>
          <cell r="AQ63">
            <v>52290</v>
          </cell>
        </row>
        <row r="64">
          <cell r="C64" t="str">
            <v>-</v>
          </cell>
          <cell r="D64" t="str">
            <v>-</v>
          </cell>
          <cell r="E64" t="str">
            <v>-</v>
          </cell>
          <cell r="F64" t="str">
            <v>-</v>
          </cell>
          <cell r="G64" t="str">
            <v>-</v>
          </cell>
          <cell r="H64" t="str">
            <v>-</v>
          </cell>
          <cell r="I64" t="str">
            <v>-</v>
          </cell>
          <cell r="J64" t="str">
            <v>-</v>
          </cell>
          <cell r="K64" t="str">
            <v>-</v>
          </cell>
          <cell r="L64" t="str">
            <v>-</v>
          </cell>
          <cell r="M64" t="str">
            <v>-</v>
          </cell>
          <cell r="N64" t="str">
            <v>-</v>
          </cell>
          <cell r="O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  <cell r="V64" t="str">
            <v>-</v>
          </cell>
          <cell r="W64" t="str">
            <v>-</v>
          </cell>
          <cell r="X64" t="str">
            <v>-</v>
          </cell>
          <cell r="Y64" t="str">
            <v>-</v>
          </cell>
          <cell r="Z64" t="str">
            <v>-</v>
          </cell>
          <cell r="AA64" t="str">
            <v>-</v>
          </cell>
          <cell r="AB64" t="str">
            <v>-</v>
          </cell>
          <cell r="AC64" t="str">
            <v>-</v>
          </cell>
          <cell r="AE64" t="str">
            <v>-</v>
          </cell>
          <cell r="AF64" t="str">
            <v>-</v>
          </cell>
          <cell r="AG64" t="str">
            <v>-</v>
          </cell>
          <cell r="AH64" t="str">
            <v>-</v>
          </cell>
          <cell r="AI64" t="str">
            <v>-</v>
          </cell>
          <cell r="AJ64" t="str">
            <v>-</v>
          </cell>
          <cell r="AK64" t="str">
            <v>-</v>
          </cell>
          <cell r="AL64" t="str">
            <v>-</v>
          </cell>
          <cell r="AM64" t="str">
            <v>-</v>
          </cell>
          <cell r="AN64" t="str">
            <v>-</v>
          </cell>
          <cell r="AO64" t="str">
            <v>-</v>
          </cell>
          <cell r="AP64" t="str">
            <v>-</v>
          </cell>
          <cell r="AQ64" t="str">
            <v>-</v>
          </cell>
        </row>
        <row r="65">
          <cell r="B65">
            <v>0</v>
          </cell>
          <cell r="C65">
            <v>349373</v>
          </cell>
          <cell r="D65">
            <v>346219</v>
          </cell>
          <cell r="E65">
            <v>348887</v>
          </cell>
          <cell r="F65">
            <v>331499</v>
          </cell>
          <cell r="G65">
            <v>342780</v>
          </cell>
          <cell r="H65">
            <v>343780</v>
          </cell>
          <cell r="I65">
            <v>341388</v>
          </cell>
          <cell r="J65">
            <v>341388</v>
          </cell>
          <cell r="K65">
            <v>341388</v>
          </cell>
          <cell r="L65">
            <v>341388</v>
          </cell>
          <cell r="M65">
            <v>339721</v>
          </cell>
          <cell r="N65">
            <v>339721</v>
          </cell>
          <cell r="O65">
            <v>4107533</v>
          </cell>
          <cell r="P65">
            <v>0</v>
          </cell>
          <cell r="Q65">
            <v>347789</v>
          </cell>
          <cell r="R65">
            <v>347789</v>
          </cell>
          <cell r="S65">
            <v>357789</v>
          </cell>
          <cell r="T65">
            <v>349084</v>
          </cell>
          <cell r="U65">
            <v>339501</v>
          </cell>
          <cell r="V65">
            <v>335334</v>
          </cell>
          <cell r="W65">
            <v>335334</v>
          </cell>
          <cell r="X65">
            <v>335334</v>
          </cell>
          <cell r="Y65">
            <v>335334</v>
          </cell>
          <cell r="Z65">
            <v>335334</v>
          </cell>
          <cell r="AA65">
            <v>335334</v>
          </cell>
          <cell r="AB65">
            <v>335334</v>
          </cell>
          <cell r="AC65">
            <v>4089291</v>
          </cell>
          <cell r="AD65">
            <v>0</v>
          </cell>
          <cell r="AE65">
            <v>368696</v>
          </cell>
          <cell r="AF65">
            <v>357947</v>
          </cell>
          <cell r="AG65">
            <v>386964</v>
          </cell>
          <cell r="AH65">
            <v>345907</v>
          </cell>
          <cell r="AI65">
            <v>365681</v>
          </cell>
          <cell r="AJ65">
            <v>359466</v>
          </cell>
          <cell r="AK65">
            <v>341585</v>
          </cell>
          <cell r="AL65">
            <v>308837</v>
          </cell>
          <cell r="AM65">
            <v>352905</v>
          </cell>
          <cell r="AN65">
            <v>336757</v>
          </cell>
          <cell r="AO65">
            <v>332850</v>
          </cell>
          <cell r="AP65">
            <v>338254</v>
          </cell>
          <cell r="AQ65">
            <v>4195849</v>
          </cell>
        </row>
        <row r="67">
          <cell r="B67" t="str">
            <v>ak</v>
          </cell>
          <cell r="C67">
            <v>63519</v>
          </cell>
          <cell r="D67">
            <v>59770</v>
          </cell>
          <cell r="E67">
            <v>18450</v>
          </cell>
          <cell r="F67">
            <v>34011</v>
          </cell>
          <cell r="G67">
            <v>57576</v>
          </cell>
          <cell r="H67">
            <v>57576</v>
          </cell>
          <cell r="I67">
            <v>57576</v>
          </cell>
          <cell r="J67">
            <v>57576</v>
          </cell>
          <cell r="K67">
            <v>57576</v>
          </cell>
          <cell r="L67">
            <v>57576</v>
          </cell>
          <cell r="M67">
            <v>57576</v>
          </cell>
          <cell r="N67">
            <v>57576</v>
          </cell>
          <cell r="O67">
            <v>636357</v>
          </cell>
          <cell r="P67" t="str">
            <v>ak</v>
          </cell>
          <cell r="Q67">
            <v>57880</v>
          </cell>
          <cell r="R67">
            <v>61721</v>
          </cell>
          <cell r="S67">
            <v>65561</v>
          </cell>
          <cell r="T67">
            <v>57880</v>
          </cell>
          <cell r="U67">
            <v>57880</v>
          </cell>
          <cell r="V67">
            <v>58841</v>
          </cell>
          <cell r="W67">
            <v>57880</v>
          </cell>
          <cell r="X67">
            <v>57880</v>
          </cell>
          <cell r="Y67">
            <v>57880</v>
          </cell>
          <cell r="Z67">
            <v>57880</v>
          </cell>
          <cell r="AA67">
            <v>57880</v>
          </cell>
          <cell r="AB67">
            <v>57880</v>
          </cell>
          <cell r="AC67">
            <v>707047</v>
          </cell>
          <cell r="AD67" t="str">
            <v>ak</v>
          </cell>
          <cell r="AE67">
            <v>67569</v>
          </cell>
          <cell r="AF67">
            <v>67948</v>
          </cell>
          <cell r="AG67">
            <v>70462</v>
          </cell>
          <cell r="AH67">
            <v>65886</v>
          </cell>
          <cell r="AI67">
            <v>62884</v>
          </cell>
          <cell r="AJ67">
            <v>65816</v>
          </cell>
          <cell r="AK67">
            <v>64171</v>
          </cell>
          <cell r="AL67">
            <v>63142</v>
          </cell>
          <cell r="AM67">
            <v>65244</v>
          </cell>
          <cell r="AN67">
            <v>59173</v>
          </cell>
          <cell r="AO67">
            <v>84216</v>
          </cell>
          <cell r="AP67">
            <v>2198</v>
          </cell>
          <cell r="AQ67">
            <v>738708</v>
          </cell>
        </row>
        <row r="68">
          <cell r="B68" t="str">
            <v>al</v>
          </cell>
          <cell r="C68">
            <v>11250</v>
          </cell>
          <cell r="D68">
            <v>11250</v>
          </cell>
          <cell r="E68">
            <v>11250</v>
          </cell>
          <cell r="F68">
            <v>11250</v>
          </cell>
          <cell r="G68">
            <v>11250</v>
          </cell>
          <cell r="H68">
            <v>11250</v>
          </cell>
          <cell r="I68">
            <v>11250</v>
          </cell>
          <cell r="J68">
            <v>11250</v>
          </cell>
          <cell r="K68">
            <v>11250</v>
          </cell>
          <cell r="L68">
            <v>11250</v>
          </cell>
          <cell r="M68">
            <v>11250</v>
          </cell>
          <cell r="N68">
            <v>11250</v>
          </cell>
          <cell r="O68">
            <v>135000</v>
          </cell>
          <cell r="P68" t="str">
            <v>al</v>
          </cell>
          <cell r="Q68">
            <v>11250</v>
          </cell>
          <cell r="R68">
            <v>11250</v>
          </cell>
          <cell r="S68">
            <v>11250</v>
          </cell>
          <cell r="T68">
            <v>11250</v>
          </cell>
          <cell r="U68">
            <v>11250</v>
          </cell>
          <cell r="V68">
            <v>11250</v>
          </cell>
          <cell r="W68">
            <v>11250</v>
          </cell>
          <cell r="X68">
            <v>11250</v>
          </cell>
          <cell r="Y68">
            <v>11250</v>
          </cell>
          <cell r="Z68">
            <v>11250</v>
          </cell>
          <cell r="AA68">
            <v>11250</v>
          </cell>
          <cell r="AB68">
            <v>11250</v>
          </cell>
          <cell r="AC68">
            <v>135000</v>
          </cell>
          <cell r="AD68" t="str">
            <v>al</v>
          </cell>
          <cell r="AE68">
            <v>11250</v>
          </cell>
          <cell r="AF68">
            <v>11250</v>
          </cell>
          <cell r="AG68">
            <v>11250</v>
          </cell>
          <cell r="AH68">
            <v>11250</v>
          </cell>
          <cell r="AI68">
            <v>11250</v>
          </cell>
          <cell r="AJ68">
            <v>11250</v>
          </cell>
          <cell r="AK68">
            <v>11250</v>
          </cell>
          <cell r="AL68">
            <v>11250</v>
          </cell>
          <cell r="AM68">
            <v>11250</v>
          </cell>
          <cell r="AN68">
            <v>11250</v>
          </cell>
          <cell r="AO68">
            <v>11250</v>
          </cell>
          <cell r="AP68">
            <v>11250</v>
          </cell>
          <cell r="AQ68">
            <v>135000</v>
          </cell>
        </row>
        <row r="69">
          <cell r="B69" t="str">
            <v>am</v>
          </cell>
          <cell r="C69">
            <v>24914</v>
          </cell>
          <cell r="D69">
            <v>24914</v>
          </cell>
          <cell r="E69">
            <v>24914</v>
          </cell>
          <cell r="F69">
            <v>24914</v>
          </cell>
          <cell r="G69">
            <v>24914</v>
          </cell>
          <cell r="H69">
            <v>24914</v>
          </cell>
          <cell r="I69">
            <v>24914</v>
          </cell>
          <cell r="J69">
            <v>24914</v>
          </cell>
          <cell r="K69">
            <v>24914</v>
          </cell>
          <cell r="L69">
            <v>24914</v>
          </cell>
          <cell r="M69">
            <v>24914</v>
          </cell>
          <cell r="N69">
            <v>24914</v>
          </cell>
          <cell r="O69">
            <v>298968</v>
          </cell>
          <cell r="P69" t="str">
            <v>am</v>
          </cell>
          <cell r="Q69">
            <v>24914</v>
          </cell>
          <cell r="R69">
            <v>24914</v>
          </cell>
          <cell r="S69">
            <v>24914</v>
          </cell>
          <cell r="T69">
            <v>24914</v>
          </cell>
          <cell r="U69">
            <v>24914</v>
          </cell>
          <cell r="V69">
            <v>24914</v>
          </cell>
          <cell r="W69">
            <v>24914</v>
          </cell>
          <cell r="X69">
            <v>24914</v>
          </cell>
          <cell r="Y69">
            <v>24914</v>
          </cell>
          <cell r="Z69">
            <v>24914</v>
          </cell>
          <cell r="AA69">
            <v>24914</v>
          </cell>
          <cell r="AB69">
            <v>24914</v>
          </cell>
          <cell r="AC69">
            <v>298968</v>
          </cell>
          <cell r="AD69" t="str">
            <v>am</v>
          </cell>
          <cell r="AK69">
            <v>213788</v>
          </cell>
          <cell r="AL69">
            <v>30541</v>
          </cell>
          <cell r="AM69">
            <v>30541</v>
          </cell>
          <cell r="AN69">
            <v>30541</v>
          </cell>
          <cell r="AO69">
            <v>30541</v>
          </cell>
          <cell r="AP69">
            <v>-163459</v>
          </cell>
          <cell r="AQ69">
            <v>172493</v>
          </cell>
        </row>
        <row r="70">
          <cell r="C70" t="str">
            <v>-</v>
          </cell>
          <cell r="D70" t="str">
            <v>-</v>
          </cell>
          <cell r="E70" t="str">
            <v>-</v>
          </cell>
          <cell r="F70" t="str">
            <v>-</v>
          </cell>
          <cell r="G70" t="str">
            <v>-</v>
          </cell>
          <cell r="H70" t="str">
            <v>-</v>
          </cell>
          <cell r="I70" t="str">
            <v>-</v>
          </cell>
          <cell r="J70" t="str">
            <v>-</v>
          </cell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E70" t="str">
            <v>-</v>
          </cell>
          <cell r="AF70" t="str">
            <v>-</v>
          </cell>
          <cell r="AG70" t="str">
            <v>-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  <cell r="AM70" t="str">
            <v>-</v>
          </cell>
          <cell r="AN70" t="str">
            <v>-</v>
          </cell>
          <cell r="AO70" t="str">
            <v>-</v>
          </cell>
          <cell r="AP70" t="str">
            <v>-</v>
          </cell>
          <cell r="AQ70" t="str">
            <v>-</v>
          </cell>
        </row>
        <row r="71">
          <cell r="B71">
            <v>0</v>
          </cell>
          <cell r="C71">
            <v>784015</v>
          </cell>
          <cell r="D71">
            <v>774975</v>
          </cell>
          <cell r="E71">
            <v>788273</v>
          </cell>
          <cell r="F71">
            <v>681961</v>
          </cell>
          <cell r="G71">
            <v>796756</v>
          </cell>
          <cell r="H71">
            <v>791077</v>
          </cell>
          <cell r="I71">
            <v>801144</v>
          </cell>
          <cell r="J71">
            <v>803359</v>
          </cell>
          <cell r="K71">
            <v>817443</v>
          </cell>
          <cell r="L71">
            <v>802316</v>
          </cell>
          <cell r="M71">
            <v>791566</v>
          </cell>
          <cell r="N71">
            <v>814094</v>
          </cell>
          <cell r="O71">
            <v>9446978</v>
          </cell>
          <cell r="P71">
            <v>0</v>
          </cell>
          <cell r="Q71">
            <v>849355</v>
          </cell>
          <cell r="R71">
            <v>851072</v>
          </cell>
          <cell r="S71">
            <v>844239</v>
          </cell>
          <cell r="T71">
            <v>793067</v>
          </cell>
          <cell r="U71">
            <v>821305</v>
          </cell>
          <cell r="V71">
            <v>812777</v>
          </cell>
          <cell r="W71">
            <v>821759</v>
          </cell>
          <cell r="X71">
            <v>823987</v>
          </cell>
          <cell r="Y71">
            <v>838228</v>
          </cell>
          <cell r="Z71">
            <v>823128</v>
          </cell>
          <cell r="AA71">
            <v>814098</v>
          </cell>
          <cell r="AB71">
            <v>836822</v>
          </cell>
          <cell r="AC71">
            <v>9929836</v>
          </cell>
          <cell r="AD71">
            <v>0</v>
          </cell>
          <cell r="AE71">
            <v>915211</v>
          </cell>
          <cell r="AF71">
            <v>919093</v>
          </cell>
          <cell r="AG71">
            <v>901389</v>
          </cell>
          <cell r="AH71">
            <v>776048</v>
          </cell>
          <cell r="AI71">
            <v>877430</v>
          </cell>
          <cell r="AJ71">
            <v>747834</v>
          </cell>
          <cell r="AK71">
            <v>897278</v>
          </cell>
          <cell r="AL71">
            <v>766072</v>
          </cell>
          <cell r="AM71">
            <v>803843</v>
          </cell>
          <cell r="AN71">
            <v>749541</v>
          </cell>
          <cell r="AO71">
            <v>720157</v>
          </cell>
          <cell r="AP71">
            <v>335431</v>
          </cell>
          <cell r="AQ71">
            <v>9409325</v>
          </cell>
        </row>
        <row r="72">
          <cell r="C72" t="str">
            <v>-</v>
          </cell>
          <cell r="D72" t="str">
            <v>-</v>
          </cell>
          <cell r="E72" t="str">
            <v>-</v>
          </cell>
          <cell r="F72" t="str">
            <v>-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E72" t="str">
            <v>-</v>
          </cell>
          <cell r="AF72" t="str">
            <v>-</v>
          </cell>
          <cell r="AG72" t="str">
            <v>-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  <cell r="AP72" t="str">
            <v>-</v>
          </cell>
          <cell r="AQ72" t="str">
            <v>-</v>
          </cell>
        </row>
        <row r="73">
          <cell r="B73" t="str">
            <v>av</v>
          </cell>
          <cell r="P73" t="str">
            <v>av</v>
          </cell>
          <cell r="AD73" t="str">
            <v>av</v>
          </cell>
        </row>
        <row r="75">
          <cell r="B75" t="e">
            <v>#N/A</v>
          </cell>
          <cell r="C75">
            <v>56995</v>
          </cell>
          <cell r="D75">
            <v>169998</v>
          </cell>
          <cell r="E75">
            <v>128499</v>
          </cell>
          <cell r="F75">
            <v>22151</v>
          </cell>
          <cell r="G75">
            <v>119955</v>
          </cell>
          <cell r="H75">
            <v>147356</v>
          </cell>
          <cell r="I75">
            <v>190071</v>
          </cell>
          <cell r="J75">
            <v>202140</v>
          </cell>
          <cell r="K75">
            <v>238876</v>
          </cell>
          <cell r="L75">
            <v>198599</v>
          </cell>
          <cell r="M75">
            <v>177498</v>
          </cell>
          <cell r="N75">
            <v>258603</v>
          </cell>
          <cell r="O75">
            <v>1910743</v>
          </cell>
          <cell r="P75" t="e">
            <v>#N/A</v>
          </cell>
          <cell r="Q75">
            <v>216672</v>
          </cell>
          <cell r="R75">
            <v>147398</v>
          </cell>
          <cell r="S75">
            <v>83471</v>
          </cell>
          <cell r="T75">
            <v>16530</v>
          </cell>
          <cell r="U75">
            <v>173614</v>
          </cell>
          <cell r="V75">
            <v>122447</v>
          </cell>
          <cell r="W75">
            <v>169456</v>
          </cell>
          <cell r="X75">
            <v>181512</v>
          </cell>
          <cell r="Y75">
            <v>218091</v>
          </cell>
          <cell r="Z75">
            <v>177787</v>
          </cell>
          <cell r="AA75">
            <v>154966</v>
          </cell>
          <cell r="AB75">
            <v>235875</v>
          </cell>
          <cell r="AC75">
            <v>1897819</v>
          </cell>
          <cell r="AD75" t="e">
            <v>#N/A</v>
          </cell>
          <cell r="AE75">
            <v>161265</v>
          </cell>
          <cell r="AF75">
            <v>65474</v>
          </cell>
          <cell r="AG75">
            <v>-58</v>
          </cell>
          <cell r="AH75">
            <v>-33358</v>
          </cell>
          <cell r="AI75">
            <v>67596</v>
          </cell>
          <cell r="AJ75">
            <v>143665</v>
          </cell>
          <cell r="AK75">
            <v>-43966</v>
          </cell>
          <cell r="AL75">
            <v>86220</v>
          </cell>
          <cell r="AM75">
            <v>60265</v>
          </cell>
          <cell r="AN75">
            <v>66972</v>
          </cell>
          <cell r="AO75">
            <v>58098</v>
          </cell>
          <cell r="AP75">
            <v>643224</v>
          </cell>
          <cell r="AQ75">
            <v>1275396</v>
          </cell>
        </row>
        <row r="77">
          <cell r="B77" t="str">
            <v>ap</v>
          </cell>
          <cell r="C77">
            <v>7955</v>
          </cell>
          <cell r="D77">
            <v>9203</v>
          </cell>
          <cell r="E77">
            <v>8374</v>
          </cell>
          <cell r="F77">
            <v>6983</v>
          </cell>
          <cell r="G77">
            <v>20000</v>
          </cell>
          <cell r="H77">
            <v>20000</v>
          </cell>
          <cell r="I77">
            <v>20000</v>
          </cell>
          <cell r="J77">
            <v>20000</v>
          </cell>
          <cell r="K77">
            <v>20000</v>
          </cell>
          <cell r="L77">
            <v>20000</v>
          </cell>
          <cell r="M77">
            <v>20000</v>
          </cell>
          <cell r="N77">
            <v>20000</v>
          </cell>
          <cell r="O77">
            <v>192515</v>
          </cell>
          <cell r="P77" t="str">
            <v>ap</v>
          </cell>
          <cell r="Q77">
            <v>20000</v>
          </cell>
          <cell r="R77">
            <v>20000</v>
          </cell>
          <cell r="S77">
            <v>20000</v>
          </cell>
          <cell r="T77">
            <v>20000</v>
          </cell>
          <cell r="U77">
            <v>20000</v>
          </cell>
          <cell r="V77">
            <v>20000</v>
          </cell>
          <cell r="W77">
            <v>20000</v>
          </cell>
          <cell r="X77">
            <v>20000</v>
          </cell>
          <cell r="Y77">
            <v>20000</v>
          </cell>
          <cell r="Z77">
            <v>20000</v>
          </cell>
          <cell r="AA77">
            <v>20000</v>
          </cell>
          <cell r="AB77">
            <v>20000</v>
          </cell>
          <cell r="AC77">
            <v>240000</v>
          </cell>
          <cell r="AD77" t="str">
            <v>ap</v>
          </cell>
          <cell r="AE77">
            <v>18511</v>
          </cell>
          <cell r="AF77">
            <v>1422</v>
          </cell>
          <cell r="AG77">
            <v>20888</v>
          </cell>
          <cell r="AH77">
            <v>8181</v>
          </cell>
          <cell r="AI77">
            <v>1400</v>
          </cell>
          <cell r="AJ77">
            <v>22083</v>
          </cell>
          <cell r="AK77">
            <v>31315</v>
          </cell>
          <cell r="AL77">
            <v>23742</v>
          </cell>
          <cell r="AM77">
            <v>11545</v>
          </cell>
          <cell r="AN77">
            <v>24812</v>
          </cell>
          <cell r="AO77">
            <v>11974</v>
          </cell>
          <cell r="AP77">
            <v>12649</v>
          </cell>
          <cell r="AQ77">
            <v>188521</v>
          </cell>
        </row>
        <row r="78">
          <cell r="B78" t="str">
            <v>aq</v>
          </cell>
          <cell r="C78">
            <v>-20470</v>
          </cell>
          <cell r="E78">
            <v>-1754</v>
          </cell>
          <cell r="F78">
            <v>-5488</v>
          </cell>
          <cell r="G78">
            <v>-24803</v>
          </cell>
          <cell r="H78">
            <v>-20000</v>
          </cell>
          <cell r="I78">
            <v>-20000</v>
          </cell>
          <cell r="J78">
            <v>-20000</v>
          </cell>
          <cell r="K78">
            <v>-20000</v>
          </cell>
          <cell r="L78">
            <v>-20000</v>
          </cell>
          <cell r="M78">
            <v>-20000</v>
          </cell>
          <cell r="N78">
            <v>-20000</v>
          </cell>
          <cell r="O78">
            <v>-192515</v>
          </cell>
          <cell r="P78" t="str">
            <v>aq</v>
          </cell>
          <cell r="Q78">
            <v>-20000</v>
          </cell>
          <cell r="R78">
            <v>-20000</v>
          </cell>
          <cell r="S78">
            <v>-20000</v>
          </cell>
          <cell r="T78">
            <v>-20000</v>
          </cell>
          <cell r="U78">
            <v>-20000</v>
          </cell>
          <cell r="V78">
            <v>-20000</v>
          </cell>
          <cell r="W78">
            <v>-20000</v>
          </cell>
          <cell r="X78">
            <v>-20000</v>
          </cell>
          <cell r="Y78">
            <v>-20000</v>
          </cell>
          <cell r="Z78">
            <v>-20000</v>
          </cell>
          <cell r="AA78">
            <v>-20000</v>
          </cell>
          <cell r="AB78">
            <v>-20000</v>
          </cell>
          <cell r="AC78">
            <v>-240000</v>
          </cell>
          <cell r="AD78" t="str">
            <v>aq</v>
          </cell>
          <cell r="AE78">
            <v>-18511</v>
          </cell>
          <cell r="AF78">
            <v>-1422</v>
          </cell>
          <cell r="AG78">
            <v>-20888</v>
          </cell>
          <cell r="AH78">
            <v>-8181</v>
          </cell>
          <cell r="AI78">
            <v>-1400</v>
          </cell>
          <cell r="AJ78">
            <v>-20314</v>
          </cell>
          <cell r="AK78">
            <v>-26165</v>
          </cell>
          <cell r="AL78">
            <v>-18942</v>
          </cell>
          <cell r="AM78">
            <v>-7003</v>
          </cell>
          <cell r="AN78">
            <v>-20562</v>
          </cell>
          <cell r="AO78">
            <v>-12339</v>
          </cell>
          <cell r="AP78">
            <v>-1202</v>
          </cell>
          <cell r="AQ78">
            <v>-156928</v>
          </cell>
        </row>
        <row r="79">
          <cell r="C79" t="str">
            <v>-</v>
          </cell>
          <cell r="D79" t="str">
            <v>-</v>
          </cell>
          <cell r="E79" t="str">
            <v>-</v>
          </cell>
          <cell r="F79" t="str">
            <v>-</v>
          </cell>
          <cell r="G79" t="str">
            <v>-</v>
          </cell>
          <cell r="H79" t="str">
            <v>-</v>
          </cell>
          <cell r="I79" t="str">
            <v>-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  <cell r="Y79" t="str">
            <v>-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E79" t="str">
            <v>-</v>
          </cell>
          <cell r="AF79" t="str">
            <v>-</v>
          </cell>
          <cell r="AG79" t="str">
            <v>-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 t="str">
            <v>-</v>
          </cell>
          <cell r="AN79" t="str">
            <v>-</v>
          </cell>
          <cell r="AO79" t="str">
            <v>-</v>
          </cell>
          <cell r="AP79" t="str">
            <v>-</v>
          </cell>
          <cell r="AQ79" t="str">
            <v>-</v>
          </cell>
        </row>
        <row r="80">
          <cell r="B80" t="e">
            <v>#N/A</v>
          </cell>
          <cell r="C80">
            <v>-12515</v>
          </cell>
          <cell r="D80">
            <v>9203</v>
          </cell>
          <cell r="E80">
            <v>6620</v>
          </cell>
          <cell r="F80">
            <v>1495</v>
          </cell>
          <cell r="G80">
            <v>-4803</v>
          </cell>
          <cell r="P80" t="e">
            <v>#N/A</v>
          </cell>
          <cell r="AD80" t="e">
            <v>#N/A</v>
          </cell>
          <cell r="AJ80">
            <v>1769</v>
          </cell>
          <cell r="AK80">
            <v>5150</v>
          </cell>
          <cell r="AL80">
            <v>4800</v>
          </cell>
          <cell r="AM80">
            <v>4541</v>
          </cell>
          <cell r="AN80">
            <v>4250</v>
          </cell>
          <cell r="AO80">
            <v>-364</v>
          </cell>
          <cell r="AP80">
            <v>11447</v>
          </cell>
          <cell r="AQ80">
            <v>31593</v>
          </cell>
        </row>
        <row r="82">
          <cell r="B82" t="str">
            <v>ax</v>
          </cell>
          <cell r="P82" t="str">
            <v>ax</v>
          </cell>
          <cell r="AD82" t="str">
            <v>ax</v>
          </cell>
          <cell r="AP82">
            <v>-1726</v>
          </cell>
          <cell r="AQ82">
            <v>-1726</v>
          </cell>
        </row>
        <row r="83">
          <cell r="B83" t="str">
            <v>ay</v>
          </cell>
          <cell r="P83" t="str">
            <v>ay</v>
          </cell>
          <cell r="AD83" t="str">
            <v>ay</v>
          </cell>
        </row>
        <row r="84">
          <cell r="B84" t="str">
            <v>az</v>
          </cell>
          <cell r="P84" t="str">
            <v>az</v>
          </cell>
          <cell r="AD84" t="str">
            <v>az</v>
          </cell>
        </row>
        <row r="85">
          <cell r="B85" t="str">
            <v>ba</v>
          </cell>
          <cell r="P85" t="str">
            <v>ba</v>
          </cell>
          <cell r="AD85" t="str">
            <v>ba</v>
          </cell>
          <cell r="AP85">
            <v>-10178346</v>
          </cell>
          <cell r="AQ85">
            <v>-10178346</v>
          </cell>
        </row>
        <row r="86">
          <cell r="B86" t="str">
            <v>bb</v>
          </cell>
          <cell r="P86" t="str">
            <v>bb</v>
          </cell>
          <cell r="AD86" t="str">
            <v>bb</v>
          </cell>
        </row>
        <row r="87">
          <cell r="C87" t="str">
            <v>-</v>
          </cell>
          <cell r="D87" t="str">
            <v>-</v>
          </cell>
          <cell r="E87" t="str">
            <v>-</v>
          </cell>
          <cell r="F87" t="str">
            <v>-</v>
          </cell>
          <cell r="G87" t="str">
            <v>-</v>
          </cell>
          <cell r="H87" t="str">
            <v>-</v>
          </cell>
          <cell r="I87" t="str">
            <v>-</v>
          </cell>
          <cell r="J87" t="str">
            <v>-</v>
          </cell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E87" t="str">
            <v>-</v>
          </cell>
          <cell r="AF87" t="str">
            <v>-</v>
          </cell>
          <cell r="AG87" t="str">
            <v>-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  <cell r="AP87" t="str">
            <v>-</v>
          </cell>
          <cell r="AQ87" t="str">
            <v>-</v>
          </cell>
        </row>
        <row r="88">
          <cell r="B88" t="e">
            <v>#N/A</v>
          </cell>
          <cell r="P88" t="e">
            <v>#N/A</v>
          </cell>
          <cell r="AD88" t="e">
            <v>#N/A</v>
          </cell>
          <cell r="AP88">
            <v>-10180072</v>
          </cell>
          <cell r="AQ88">
            <v>-10180072</v>
          </cell>
        </row>
        <row r="89">
          <cell r="C89" t="str">
            <v>-</v>
          </cell>
          <cell r="D89" t="str">
            <v>-</v>
          </cell>
          <cell r="E89" t="str">
            <v>-</v>
          </cell>
          <cell r="F89" t="str">
            <v>-</v>
          </cell>
          <cell r="G89" t="str">
            <v>-</v>
          </cell>
          <cell r="H89" t="str">
            <v>-</v>
          </cell>
          <cell r="I89" t="str">
            <v>-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</row>
        <row r="90">
          <cell r="B90" t="e">
            <v>#N/A</v>
          </cell>
          <cell r="C90">
            <v>44480</v>
          </cell>
          <cell r="D90">
            <v>179201</v>
          </cell>
          <cell r="E90">
            <v>135119</v>
          </cell>
          <cell r="F90">
            <v>23646</v>
          </cell>
          <cell r="G90">
            <v>115152</v>
          </cell>
          <cell r="H90">
            <v>147356</v>
          </cell>
          <cell r="I90">
            <v>190071</v>
          </cell>
          <cell r="J90">
            <v>202140</v>
          </cell>
          <cell r="K90">
            <v>238876</v>
          </cell>
          <cell r="L90">
            <v>198599</v>
          </cell>
          <cell r="M90">
            <v>177498</v>
          </cell>
          <cell r="N90">
            <v>258603</v>
          </cell>
          <cell r="O90">
            <v>1910743</v>
          </cell>
          <cell r="P90" t="e">
            <v>#N/A</v>
          </cell>
          <cell r="Q90">
            <v>216672</v>
          </cell>
          <cell r="R90">
            <v>147398</v>
          </cell>
          <cell r="S90">
            <v>83471</v>
          </cell>
          <cell r="T90">
            <v>16530</v>
          </cell>
          <cell r="U90">
            <v>173614</v>
          </cell>
          <cell r="V90">
            <v>122447</v>
          </cell>
          <cell r="W90">
            <v>169456</v>
          </cell>
          <cell r="X90">
            <v>181512</v>
          </cell>
          <cell r="Y90">
            <v>218091</v>
          </cell>
          <cell r="Z90">
            <v>177787</v>
          </cell>
          <cell r="AA90">
            <v>154966</v>
          </cell>
          <cell r="AB90">
            <v>235875</v>
          </cell>
          <cell r="AC90">
            <v>1897819</v>
          </cell>
          <cell r="AD90" t="e">
            <v>#N/A</v>
          </cell>
          <cell r="AE90">
            <v>161265</v>
          </cell>
          <cell r="AF90">
            <v>65474</v>
          </cell>
          <cell r="AG90">
            <v>-58</v>
          </cell>
          <cell r="AH90">
            <v>-33358</v>
          </cell>
          <cell r="AI90">
            <v>67596</v>
          </cell>
          <cell r="AJ90">
            <v>145434</v>
          </cell>
          <cell r="AK90">
            <v>-38816</v>
          </cell>
          <cell r="AL90">
            <v>91020</v>
          </cell>
          <cell r="AM90">
            <v>64806</v>
          </cell>
          <cell r="AN90">
            <v>71222</v>
          </cell>
          <cell r="AO90">
            <v>57733</v>
          </cell>
          <cell r="AP90">
            <v>-9525402</v>
          </cell>
          <cell r="AQ90">
            <v>-8873084</v>
          </cell>
        </row>
        <row r="93">
          <cell r="B93" t="str">
            <v>an</v>
          </cell>
          <cell r="C93">
            <v>-72813</v>
          </cell>
          <cell r="D93">
            <v>-72813</v>
          </cell>
          <cell r="E93">
            <v>-72813</v>
          </cell>
          <cell r="F93">
            <v>-72813</v>
          </cell>
          <cell r="G93">
            <v>-72813</v>
          </cell>
          <cell r="H93">
            <v>-72813</v>
          </cell>
          <cell r="I93">
            <v>-72813</v>
          </cell>
          <cell r="J93">
            <v>-72813</v>
          </cell>
          <cell r="K93">
            <v>-72813</v>
          </cell>
          <cell r="L93">
            <v>-72813</v>
          </cell>
          <cell r="M93">
            <v>-72813</v>
          </cell>
          <cell r="N93">
            <v>-72813</v>
          </cell>
          <cell r="O93">
            <v>-873756</v>
          </cell>
          <cell r="P93" t="str">
            <v>an</v>
          </cell>
          <cell r="Q93">
            <v>-72813</v>
          </cell>
          <cell r="R93">
            <v>-72813</v>
          </cell>
          <cell r="S93">
            <v>-72813</v>
          </cell>
          <cell r="T93">
            <v>-72813</v>
          </cell>
          <cell r="U93">
            <v>-72813</v>
          </cell>
          <cell r="V93">
            <v>-72813</v>
          </cell>
          <cell r="W93">
            <v>-72813</v>
          </cell>
          <cell r="X93">
            <v>-72813</v>
          </cell>
          <cell r="Y93">
            <v>-72813</v>
          </cell>
          <cell r="Z93">
            <v>-72813</v>
          </cell>
          <cell r="AA93">
            <v>-72813</v>
          </cell>
          <cell r="AB93">
            <v>-72813</v>
          </cell>
          <cell r="AC93">
            <v>-873756</v>
          </cell>
          <cell r="AD93" t="str">
            <v>an</v>
          </cell>
          <cell r="AE93">
            <v>-78750</v>
          </cell>
          <cell r="AF93">
            <v>-78750</v>
          </cell>
          <cell r="AG93">
            <v>-78750</v>
          </cell>
          <cell r="AH93">
            <v>-78750</v>
          </cell>
          <cell r="AI93">
            <v>-78750</v>
          </cell>
          <cell r="AJ93">
            <v>-78750</v>
          </cell>
          <cell r="AK93">
            <v>-78750</v>
          </cell>
          <cell r="AL93">
            <v>-78750</v>
          </cell>
          <cell r="AM93">
            <v>-78750</v>
          </cell>
          <cell r="AN93">
            <v>-78750</v>
          </cell>
          <cell r="AO93">
            <v>-78750</v>
          </cell>
          <cell r="AP93">
            <v>-78750</v>
          </cell>
          <cell r="AQ93">
            <v>-945000</v>
          </cell>
        </row>
        <row r="94">
          <cell r="C94" t="str">
            <v>-</v>
          </cell>
          <cell r="D94" t="str">
            <v>-</v>
          </cell>
          <cell r="E94" t="str">
            <v>-</v>
          </cell>
          <cell r="F94" t="str">
            <v>-</v>
          </cell>
          <cell r="G94" t="str">
            <v>-</v>
          </cell>
          <cell r="H94" t="str">
            <v>-</v>
          </cell>
          <cell r="I94" t="str">
            <v>-</v>
          </cell>
          <cell r="J94" t="str">
            <v>-</v>
          </cell>
          <cell r="K94" t="str">
            <v>-</v>
          </cell>
          <cell r="L94" t="str">
            <v>-</v>
          </cell>
          <cell r="M94" t="str">
            <v>-</v>
          </cell>
          <cell r="N94" t="str">
            <v>-</v>
          </cell>
          <cell r="O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 t="str">
            <v>-</v>
          </cell>
          <cell r="Z94" t="str">
            <v>-</v>
          </cell>
          <cell r="AA94" t="str">
            <v>-</v>
          </cell>
          <cell r="AB94" t="str">
            <v>-</v>
          </cell>
          <cell r="AC94" t="str">
            <v>-</v>
          </cell>
          <cell r="AE94" t="str">
            <v>-</v>
          </cell>
          <cell r="AF94" t="str">
            <v>-</v>
          </cell>
          <cell r="AG94" t="str">
            <v>-</v>
          </cell>
          <cell r="AH94" t="str">
            <v>-</v>
          </cell>
          <cell r="AI94" t="str">
            <v>-</v>
          </cell>
          <cell r="AJ94" t="str">
            <v>-</v>
          </cell>
          <cell r="AK94" t="str">
            <v>-</v>
          </cell>
          <cell r="AL94" t="str">
            <v>-</v>
          </cell>
          <cell r="AM94" t="str">
            <v>-</v>
          </cell>
          <cell r="AN94" t="str">
            <v>-</v>
          </cell>
          <cell r="AO94" t="str">
            <v>-</v>
          </cell>
          <cell r="AP94" t="str">
            <v>-</v>
          </cell>
          <cell r="AQ94" t="str">
            <v>-</v>
          </cell>
        </row>
        <row r="95">
          <cell r="B95" t="e">
            <v>#N/A</v>
          </cell>
          <cell r="C95">
            <v>-28333</v>
          </cell>
          <cell r="D95">
            <v>106388</v>
          </cell>
          <cell r="E95">
            <v>62306</v>
          </cell>
          <cell r="F95">
            <v>-49167</v>
          </cell>
          <cell r="G95">
            <v>42339</v>
          </cell>
          <cell r="H95">
            <v>74543</v>
          </cell>
          <cell r="I95">
            <v>117258</v>
          </cell>
          <cell r="J95">
            <v>129327</v>
          </cell>
          <cell r="K95">
            <v>166063</v>
          </cell>
          <cell r="L95">
            <v>125786</v>
          </cell>
          <cell r="M95">
            <v>104685</v>
          </cell>
          <cell r="N95">
            <v>185790</v>
          </cell>
          <cell r="O95">
            <v>1036987</v>
          </cell>
          <cell r="P95" t="e">
            <v>#N/A</v>
          </cell>
          <cell r="Q95">
            <v>143859</v>
          </cell>
          <cell r="R95">
            <v>74585</v>
          </cell>
          <cell r="S95">
            <v>10658</v>
          </cell>
          <cell r="T95">
            <v>-56283</v>
          </cell>
          <cell r="U95">
            <v>100801</v>
          </cell>
          <cell r="V95">
            <v>49634</v>
          </cell>
          <cell r="W95">
            <v>96643</v>
          </cell>
          <cell r="X95">
            <v>108699</v>
          </cell>
          <cell r="Y95">
            <v>145278</v>
          </cell>
          <cell r="Z95">
            <v>104974</v>
          </cell>
          <cell r="AA95">
            <v>82153</v>
          </cell>
          <cell r="AB95">
            <v>163062</v>
          </cell>
          <cell r="AC95">
            <v>1024063</v>
          </cell>
          <cell r="AD95" t="e">
            <v>#N/A</v>
          </cell>
          <cell r="AE95">
            <v>82515</v>
          </cell>
          <cell r="AF95">
            <v>-13276</v>
          </cell>
          <cell r="AG95">
            <v>-78808</v>
          </cell>
          <cell r="AH95">
            <v>-112108</v>
          </cell>
          <cell r="AI95">
            <v>-11154</v>
          </cell>
          <cell r="AJ95">
            <v>66684</v>
          </cell>
          <cell r="AK95">
            <v>-117566</v>
          </cell>
          <cell r="AL95">
            <v>12270</v>
          </cell>
          <cell r="AM95">
            <v>-13944</v>
          </cell>
          <cell r="AN95">
            <v>-7528</v>
          </cell>
          <cell r="AO95">
            <v>-21017</v>
          </cell>
          <cell r="AP95">
            <v>-9604152</v>
          </cell>
          <cell r="AQ95">
            <v>-9818084</v>
          </cell>
        </row>
        <row r="98">
          <cell r="B98" t="str">
            <v>ao</v>
          </cell>
          <cell r="C98">
            <v>-40233</v>
          </cell>
          <cell r="D98">
            <v>-39076</v>
          </cell>
          <cell r="E98">
            <v>-40256</v>
          </cell>
          <cell r="F98">
            <v>-41398</v>
          </cell>
          <cell r="G98">
            <v>-41605</v>
          </cell>
          <cell r="H98">
            <v>-45355</v>
          </cell>
          <cell r="I98">
            <v>-44083</v>
          </cell>
          <cell r="J98">
            <v>-45318</v>
          </cell>
          <cell r="K98">
            <v>-44053</v>
          </cell>
          <cell r="L98">
            <v>-45216</v>
          </cell>
          <cell r="M98">
            <v>-44985</v>
          </cell>
          <cell r="N98">
            <v>-43645</v>
          </cell>
          <cell r="O98">
            <v>-515226</v>
          </cell>
          <cell r="P98" t="str">
            <v>ao</v>
          </cell>
          <cell r="Q98">
            <v>-43883</v>
          </cell>
          <cell r="R98">
            <v>-42590</v>
          </cell>
          <cell r="S98">
            <v>-43794</v>
          </cell>
          <cell r="T98">
            <v>-45384</v>
          </cell>
          <cell r="U98">
            <v>-41605</v>
          </cell>
          <cell r="V98">
            <v>-45355</v>
          </cell>
          <cell r="W98">
            <v>-44083</v>
          </cell>
          <cell r="X98">
            <v>-45318</v>
          </cell>
          <cell r="Y98">
            <v>-44053</v>
          </cell>
          <cell r="Z98">
            <v>-45216</v>
          </cell>
          <cell r="AA98">
            <v>-44985</v>
          </cell>
          <cell r="AB98">
            <v>-43645</v>
          </cell>
          <cell r="AC98">
            <v>-529914</v>
          </cell>
          <cell r="AD98" t="str">
            <v>ao</v>
          </cell>
          <cell r="AE98">
            <v>-39967</v>
          </cell>
          <cell r="AF98">
            <v>-38509</v>
          </cell>
          <cell r="AG98">
            <v>-39765</v>
          </cell>
          <cell r="AH98">
            <v>-40050</v>
          </cell>
          <cell r="AI98">
            <v>-36400</v>
          </cell>
          <cell r="AJ98">
            <v>-40197</v>
          </cell>
          <cell r="AK98">
            <v>-38784</v>
          </cell>
          <cell r="AL98">
            <v>-40058</v>
          </cell>
          <cell r="AM98">
            <v>-40806</v>
          </cell>
          <cell r="AN98">
            <v>-41191</v>
          </cell>
          <cell r="AO98">
            <v>-41077</v>
          </cell>
          <cell r="AP98">
            <v>-39035</v>
          </cell>
          <cell r="AQ98">
            <v>-475840</v>
          </cell>
        </row>
        <row r="100">
          <cell r="B100" t="str">
            <v>ar</v>
          </cell>
          <cell r="C100">
            <v>-101285</v>
          </cell>
          <cell r="D100">
            <v>-101285</v>
          </cell>
          <cell r="E100">
            <v>64802</v>
          </cell>
          <cell r="F100">
            <v>-45715</v>
          </cell>
          <cell r="G100">
            <v>-45715</v>
          </cell>
          <cell r="H100">
            <v>-45715</v>
          </cell>
          <cell r="I100">
            <v>-45715</v>
          </cell>
          <cell r="J100">
            <v>-45715</v>
          </cell>
          <cell r="K100">
            <v>-45715</v>
          </cell>
          <cell r="L100">
            <v>-45715</v>
          </cell>
          <cell r="M100">
            <v>-45715</v>
          </cell>
          <cell r="N100">
            <v>-45715</v>
          </cell>
          <cell r="O100">
            <v>-549203</v>
          </cell>
          <cell r="P100" t="str">
            <v>ar</v>
          </cell>
          <cell r="Q100">
            <v>-101285</v>
          </cell>
          <cell r="R100">
            <v>-101285</v>
          </cell>
          <cell r="S100">
            <v>-101285</v>
          </cell>
          <cell r="T100">
            <v>-101285</v>
          </cell>
          <cell r="U100">
            <v>-101285</v>
          </cell>
          <cell r="V100">
            <v>-101285</v>
          </cell>
          <cell r="W100">
            <v>-101285</v>
          </cell>
          <cell r="X100">
            <v>-101285</v>
          </cell>
          <cell r="Y100">
            <v>-101285</v>
          </cell>
          <cell r="Z100">
            <v>-101285</v>
          </cell>
          <cell r="AA100">
            <v>-101285</v>
          </cell>
          <cell r="AB100">
            <v>-101285</v>
          </cell>
          <cell r="AC100">
            <v>-1215420</v>
          </cell>
          <cell r="AD100" t="str">
            <v>ar</v>
          </cell>
          <cell r="AE100">
            <v>-101285</v>
          </cell>
          <cell r="AF100">
            <v>-101285</v>
          </cell>
          <cell r="AG100">
            <v>-101285</v>
          </cell>
          <cell r="AH100">
            <v>-101285</v>
          </cell>
          <cell r="AI100">
            <v>-101285</v>
          </cell>
          <cell r="AJ100">
            <v>-101285</v>
          </cell>
          <cell r="AK100">
            <v>-101285</v>
          </cell>
          <cell r="AL100">
            <v>-101285</v>
          </cell>
          <cell r="AM100">
            <v>-101285</v>
          </cell>
          <cell r="AN100">
            <v>-101285</v>
          </cell>
          <cell r="AO100">
            <v>-101285</v>
          </cell>
          <cell r="AP100">
            <v>-101285</v>
          </cell>
          <cell r="AQ100">
            <v>-1215423</v>
          </cell>
        </row>
        <row r="101">
          <cell r="B101" t="str">
            <v>as</v>
          </cell>
          <cell r="P101" t="str">
            <v>as</v>
          </cell>
          <cell r="AD101" t="str">
            <v>as</v>
          </cell>
        </row>
        <row r="102">
          <cell r="B102" t="str">
            <v>at</v>
          </cell>
          <cell r="P102" t="str">
            <v>at</v>
          </cell>
          <cell r="AD102" t="str">
            <v>at</v>
          </cell>
        </row>
        <row r="104">
          <cell r="B104" t="str">
            <v>au</v>
          </cell>
          <cell r="P104" t="str">
            <v>au</v>
          </cell>
          <cell r="AD104" t="str">
            <v>au</v>
          </cell>
        </row>
        <row r="106">
          <cell r="B106" t="str">
            <v>be</v>
          </cell>
          <cell r="P106" t="str">
            <v>be</v>
          </cell>
          <cell r="AD106" t="str">
            <v>be</v>
          </cell>
        </row>
        <row r="107">
          <cell r="B107" t="str">
            <v>bf</v>
          </cell>
          <cell r="P107" t="str">
            <v>bf</v>
          </cell>
          <cell r="AD107" t="str">
            <v>bf</v>
          </cell>
        </row>
        <row r="108"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  <cell r="I108" t="str">
            <v>-</v>
          </cell>
          <cell r="J108" t="str">
            <v>-</v>
          </cell>
          <cell r="K108" t="str">
            <v>-</v>
          </cell>
          <cell r="L108" t="str">
            <v>-</v>
          </cell>
          <cell r="M108" t="str">
            <v>-</v>
          </cell>
          <cell r="N108" t="str">
            <v>-</v>
          </cell>
          <cell r="O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-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-</v>
          </cell>
          <cell r="AE108" t="str">
            <v>-</v>
          </cell>
          <cell r="AF108" t="str">
            <v>-</v>
          </cell>
          <cell r="AG108" t="str">
            <v>-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 t="str">
            <v>-</v>
          </cell>
          <cell r="AN108" t="str">
            <v>-</v>
          </cell>
          <cell r="AO108" t="str">
            <v>-</v>
          </cell>
          <cell r="AP108" t="str">
            <v>-</v>
          </cell>
          <cell r="AQ108" t="str">
            <v>-</v>
          </cell>
        </row>
        <row r="109">
          <cell r="B109">
            <v>0</v>
          </cell>
          <cell r="C109">
            <v>-169851</v>
          </cell>
          <cell r="D109">
            <v>-33973</v>
          </cell>
          <cell r="E109">
            <v>86852</v>
          </cell>
          <cell r="F109">
            <v>-136280</v>
          </cell>
          <cell r="G109">
            <v>-44981</v>
          </cell>
          <cell r="H109">
            <v>-16527</v>
          </cell>
          <cell r="I109">
            <v>27459</v>
          </cell>
          <cell r="J109">
            <v>38294</v>
          </cell>
          <cell r="K109">
            <v>76295</v>
          </cell>
          <cell r="L109">
            <v>34855</v>
          </cell>
          <cell r="M109">
            <v>13985</v>
          </cell>
          <cell r="N109">
            <v>96430</v>
          </cell>
          <cell r="O109">
            <v>-27442</v>
          </cell>
          <cell r="P109">
            <v>0</v>
          </cell>
          <cell r="Q109">
            <v>-1308</v>
          </cell>
          <cell r="R109">
            <v>-69290</v>
          </cell>
          <cell r="S109">
            <v>-134420</v>
          </cell>
          <cell r="T109">
            <v>-202953</v>
          </cell>
          <cell r="U109">
            <v>-42089</v>
          </cell>
          <cell r="V109">
            <v>-97007</v>
          </cell>
          <cell r="W109">
            <v>-48725</v>
          </cell>
          <cell r="X109">
            <v>-37904</v>
          </cell>
          <cell r="Y109">
            <v>-61</v>
          </cell>
          <cell r="Z109">
            <v>-41527</v>
          </cell>
          <cell r="AA109">
            <v>-64117</v>
          </cell>
          <cell r="AB109">
            <v>18131</v>
          </cell>
          <cell r="AC109">
            <v>-721270</v>
          </cell>
          <cell r="AD109">
            <v>0</v>
          </cell>
          <cell r="AE109">
            <v>-58737</v>
          </cell>
          <cell r="AF109">
            <v>-153070</v>
          </cell>
          <cell r="AG109">
            <v>-219859</v>
          </cell>
          <cell r="AH109">
            <v>-253444</v>
          </cell>
          <cell r="AI109">
            <v>-148838</v>
          </cell>
          <cell r="AJ109">
            <v>-74799</v>
          </cell>
          <cell r="AK109">
            <v>-257635</v>
          </cell>
          <cell r="AL109">
            <v>-129074</v>
          </cell>
          <cell r="AM109">
            <v>-156035</v>
          </cell>
          <cell r="AN109">
            <v>-150004</v>
          </cell>
          <cell r="AO109">
            <v>-163379</v>
          </cell>
          <cell r="AP109">
            <v>-9744472</v>
          </cell>
          <cell r="AQ109">
            <v>-11509347</v>
          </cell>
        </row>
        <row r="110"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  <cell r="I110" t="str">
            <v>-</v>
          </cell>
          <cell r="J110" t="str">
            <v>-</v>
          </cell>
          <cell r="K110" t="str">
            <v>-</v>
          </cell>
          <cell r="L110" t="str">
            <v>-</v>
          </cell>
          <cell r="M110" t="str">
            <v>-</v>
          </cell>
          <cell r="N110" t="str">
            <v>-</v>
          </cell>
          <cell r="O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-</v>
          </cell>
          <cell r="Z110" t="str">
            <v>-</v>
          </cell>
          <cell r="AA110" t="str">
            <v>-</v>
          </cell>
          <cell r="AB110" t="str">
            <v>-</v>
          </cell>
          <cell r="AC110" t="str">
            <v>-</v>
          </cell>
          <cell r="AE110" t="str">
            <v>-</v>
          </cell>
          <cell r="AF110" t="str">
            <v>-</v>
          </cell>
          <cell r="AG110" t="str">
            <v>-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  <cell r="AM110" t="str">
            <v>-</v>
          </cell>
          <cell r="AN110" t="str">
            <v>-</v>
          </cell>
          <cell r="AO110" t="str">
            <v>-</v>
          </cell>
          <cell r="AP110" t="str">
            <v>-</v>
          </cell>
          <cell r="AQ110" t="str">
            <v>-</v>
          </cell>
        </row>
        <row r="111">
          <cell r="B111" t="str">
            <v>bg</v>
          </cell>
          <cell r="C111">
            <v>12123</v>
          </cell>
          <cell r="D111">
            <v>52887</v>
          </cell>
          <cell r="E111">
            <v>39308</v>
          </cell>
          <cell r="F111">
            <v>5524</v>
          </cell>
          <cell r="G111">
            <v>32913</v>
          </cell>
          <cell r="H111">
            <v>41450</v>
          </cell>
          <cell r="I111">
            <v>54645</v>
          </cell>
          <cell r="J111">
            <v>57896</v>
          </cell>
          <cell r="K111">
            <v>69296</v>
          </cell>
          <cell r="L111">
            <v>56864</v>
          </cell>
          <cell r="M111">
            <v>50603</v>
          </cell>
          <cell r="N111">
            <v>75337</v>
          </cell>
          <cell r="O111">
            <v>548845</v>
          </cell>
          <cell r="P111" t="str">
            <v>bg</v>
          </cell>
          <cell r="Q111">
            <v>62686</v>
          </cell>
          <cell r="R111">
            <v>42292</v>
          </cell>
          <cell r="S111">
            <v>22753</v>
          </cell>
          <cell r="T111">
            <v>2193</v>
          </cell>
          <cell r="U111">
            <v>50452</v>
          </cell>
          <cell r="V111">
            <v>33977</v>
          </cell>
          <cell r="W111">
            <v>48461</v>
          </cell>
          <cell r="X111">
            <v>51707</v>
          </cell>
          <cell r="Y111">
            <v>63060</v>
          </cell>
          <cell r="Z111">
            <v>50620</v>
          </cell>
          <cell r="AA111">
            <v>43844</v>
          </cell>
          <cell r="AB111">
            <v>68518</v>
          </cell>
          <cell r="AC111">
            <v>540562</v>
          </cell>
          <cell r="AD111" t="str">
            <v>bg</v>
          </cell>
          <cell r="AE111">
            <v>39764</v>
          </cell>
          <cell r="AF111">
            <v>11464</v>
          </cell>
          <cell r="AG111">
            <v>-8572</v>
          </cell>
          <cell r="AH111">
            <v>-18648</v>
          </cell>
          <cell r="AI111">
            <v>12734</v>
          </cell>
          <cell r="AJ111">
            <v>34946</v>
          </cell>
          <cell r="AK111">
            <v>44231</v>
          </cell>
          <cell r="AL111">
            <v>27826</v>
          </cell>
          <cell r="AM111">
            <v>19737</v>
          </cell>
          <cell r="AN111">
            <v>21547</v>
          </cell>
          <cell r="AO111">
            <v>17534</v>
          </cell>
          <cell r="AP111">
            <v>-2914994</v>
          </cell>
          <cell r="AQ111">
            <v>-2712429</v>
          </cell>
        </row>
        <row r="112"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  <cell r="I112" t="str">
            <v>-</v>
          </cell>
          <cell r="J112" t="str">
            <v>-</v>
          </cell>
          <cell r="K112" t="str">
            <v>-</v>
          </cell>
          <cell r="L112" t="str">
            <v>-</v>
          </cell>
          <cell r="M112" t="str">
            <v>-</v>
          </cell>
          <cell r="N112" t="str">
            <v>-</v>
          </cell>
          <cell r="O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 t="str">
            <v>-</v>
          </cell>
          <cell r="Z112" t="str">
            <v>-</v>
          </cell>
          <cell r="AA112" t="str">
            <v>-</v>
          </cell>
          <cell r="AB112" t="str">
            <v>-</v>
          </cell>
          <cell r="AC112" t="str">
            <v>-</v>
          </cell>
          <cell r="AE112" t="str">
            <v>-</v>
          </cell>
          <cell r="AF112" t="str">
            <v>-</v>
          </cell>
          <cell r="AG112" t="str">
            <v>-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 t="str">
            <v>-</v>
          </cell>
          <cell r="AN112" t="str">
            <v>-</v>
          </cell>
          <cell r="AO112" t="str">
            <v>-</v>
          </cell>
          <cell r="AP112" t="str">
            <v>-</v>
          </cell>
          <cell r="AQ112" t="str">
            <v>-</v>
          </cell>
        </row>
        <row r="113">
          <cell r="B113">
            <v>0</v>
          </cell>
          <cell r="C113">
            <v>-157728</v>
          </cell>
          <cell r="D113">
            <v>18914</v>
          </cell>
          <cell r="E113">
            <v>126160</v>
          </cell>
          <cell r="F113">
            <v>-130756</v>
          </cell>
          <cell r="G113">
            <v>-12068</v>
          </cell>
          <cell r="H113">
            <v>24923</v>
          </cell>
          <cell r="I113">
            <v>82105</v>
          </cell>
          <cell r="J113">
            <v>96189</v>
          </cell>
          <cell r="K113">
            <v>145591</v>
          </cell>
          <cell r="L113">
            <v>91719</v>
          </cell>
          <cell r="M113">
            <v>64588</v>
          </cell>
          <cell r="N113">
            <v>171766</v>
          </cell>
          <cell r="O113">
            <v>521403</v>
          </cell>
          <cell r="P113">
            <v>0</v>
          </cell>
          <cell r="Q113">
            <v>61378</v>
          </cell>
          <cell r="R113">
            <v>-26998</v>
          </cell>
          <cell r="S113">
            <v>-111668</v>
          </cell>
          <cell r="T113">
            <v>-200760</v>
          </cell>
          <cell r="U113">
            <v>8362</v>
          </cell>
          <cell r="V113">
            <v>-63030</v>
          </cell>
          <cell r="W113">
            <v>-264</v>
          </cell>
          <cell r="X113">
            <v>13803</v>
          </cell>
          <cell r="Y113">
            <v>63000</v>
          </cell>
          <cell r="Z113">
            <v>9093</v>
          </cell>
          <cell r="AA113">
            <v>-20273</v>
          </cell>
          <cell r="AB113">
            <v>86650</v>
          </cell>
          <cell r="AC113">
            <v>-180708</v>
          </cell>
          <cell r="AD113">
            <v>0</v>
          </cell>
          <cell r="AE113">
            <v>-18973</v>
          </cell>
          <cell r="AF113">
            <v>-141606</v>
          </cell>
          <cell r="AG113">
            <v>-228431</v>
          </cell>
          <cell r="AH113">
            <v>-272091</v>
          </cell>
          <cell r="AI113">
            <v>-136104</v>
          </cell>
          <cell r="AJ113">
            <v>-39853</v>
          </cell>
          <cell r="AK113">
            <v>-213404</v>
          </cell>
          <cell r="AL113">
            <v>-101248</v>
          </cell>
          <cell r="AM113">
            <v>-136298</v>
          </cell>
          <cell r="AN113">
            <v>-128458</v>
          </cell>
          <cell r="AO113">
            <v>-145844</v>
          </cell>
          <cell r="AP113">
            <v>-12659466</v>
          </cell>
          <cell r="AQ113">
            <v>-14221776</v>
          </cell>
        </row>
        <row r="114">
          <cell r="C114" t="str">
            <v>=</v>
          </cell>
          <cell r="D114" t="str">
            <v>=</v>
          </cell>
          <cell r="E114" t="str">
            <v>=</v>
          </cell>
          <cell r="F114" t="str">
            <v>=</v>
          </cell>
          <cell r="G114" t="str">
            <v>=</v>
          </cell>
          <cell r="H114" t="str">
            <v>=</v>
          </cell>
          <cell r="I114" t="str">
            <v>=</v>
          </cell>
          <cell r="J114" t="str">
            <v>=</v>
          </cell>
          <cell r="K114" t="str">
            <v>=</v>
          </cell>
          <cell r="L114" t="str">
            <v>=</v>
          </cell>
          <cell r="M114" t="str">
            <v>=</v>
          </cell>
          <cell r="N114" t="str">
            <v>=</v>
          </cell>
          <cell r="O114" t="str">
            <v>=</v>
          </cell>
          <cell r="Q114" t="str">
            <v>=</v>
          </cell>
          <cell r="R114" t="str">
            <v>=</v>
          </cell>
          <cell r="S114" t="str">
            <v>=</v>
          </cell>
          <cell r="T114" t="str">
            <v>=</v>
          </cell>
          <cell r="U114" t="str">
            <v>=</v>
          </cell>
          <cell r="V114" t="str">
            <v>=</v>
          </cell>
          <cell r="W114" t="str">
            <v>=</v>
          </cell>
          <cell r="X114" t="str">
            <v>=</v>
          </cell>
          <cell r="Y114" t="str">
            <v>=</v>
          </cell>
          <cell r="Z114" t="str">
            <v>=</v>
          </cell>
          <cell r="AA114" t="str">
            <v>=</v>
          </cell>
          <cell r="AB114" t="str">
            <v>=</v>
          </cell>
          <cell r="AC114" t="str">
            <v>=</v>
          </cell>
          <cell r="AE114" t="str">
            <v>=</v>
          </cell>
          <cell r="AF114" t="str">
            <v>=</v>
          </cell>
          <cell r="AG114" t="str">
            <v>=</v>
          </cell>
          <cell r="AH114" t="str">
            <v>=</v>
          </cell>
          <cell r="AI114" t="str">
            <v>=</v>
          </cell>
          <cell r="AJ114" t="str">
            <v>=</v>
          </cell>
          <cell r="AK114" t="str">
            <v>=</v>
          </cell>
          <cell r="AL114" t="str">
            <v>=</v>
          </cell>
          <cell r="AM114" t="str">
            <v>=</v>
          </cell>
          <cell r="AN114" t="str">
            <v>=</v>
          </cell>
          <cell r="AO114" t="str">
            <v>=</v>
          </cell>
          <cell r="AP114" t="str">
            <v>=</v>
          </cell>
          <cell r="AQ114" t="str">
            <v>=</v>
          </cell>
        </row>
      </sheetData>
      <sheetData sheetId="6">
        <row r="48">
          <cell r="D48" t="str">
            <v>Oct</v>
          </cell>
          <cell r="E48" t="str">
            <v>Nov</v>
          </cell>
          <cell r="F48" t="str">
            <v>Dec</v>
          </cell>
          <cell r="G48" t="str">
            <v>Jan</v>
          </cell>
          <cell r="H48" t="str">
            <v>Feb</v>
          </cell>
          <cell r="I48" t="str">
            <v>Mar</v>
          </cell>
          <cell r="J48" t="str">
            <v>April</v>
          </cell>
          <cell r="K48" t="str">
            <v>May</v>
          </cell>
          <cell r="L48" t="str">
            <v>June</v>
          </cell>
          <cell r="M48" t="str">
            <v>July</v>
          </cell>
          <cell r="N48" t="str">
            <v>August</v>
          </cell>
          <cell r="O48" t="str">
            <v>Sept</v>
          </cell>
          <cell r="P48" t="str">
            <v>Total</v>
          </cell>
        </row>
        <row r="49">
          <cell r="A49" t="str">
            <v>Ratings</v>
          </cell>
          <cell r="B49" t="str">
            <v>Actual 09/10</v>
          </cell>
          <cell r="C49" t="str">
            <v>- 10+</v>
          </cell>
          <cell r="D49">
            <v>9.1</v>
          </cell>
          <cell r="E49">
            <v>9.1999999999999993</v>
          </cell>
          <cell r="F49">
            <v>11.2</v>
          </cell>
          <cell r="G49">
            <v>11.2</v>
          </cell>
          <cell r="H49">
            <v>12</v>
          </cell>
          <cell r="P49">
            <v>10.54</v>
          </cell>
        </row>
        <row r="50">
          <cell r="B50" t="str">
            <v>Actual 09/10</v>
          </cell>
          <cell r="C50" t="str">
            <v>- ACS</v>
          </cell>
          <cell r="D50">
            <v>13.4</v>
          </cell>
          <cell r="E50">
            <v>13.589364844903987</v>
          </cell>
          <cell r="F50">
            <v>16.494845360824741</v>
          </cell>
          <cell r="G50">
            <v>16.494845360824741</v>
          </cell>
          <cell r="H50">
            <v>18</v>
          </cell>
          <cell r="P50">
            <v>15.595811113310694</v>
          </cell>
        </row>
        <row r="51">
          <cell r="B51" t="str">
            <v>Actual 09/10</v>
          </cell>
          <cell r="C51" t="str">
            <v>- 18 - 39</v>
          </cell>
          <cell r="D51">
            <v>20.2</v>
          </cell>
          <cell r="E51">
            <v>18.399999999999999</v>
          </cell>
          <cell r="F51">
            <v>21.9</v>
          </cell>
          <cell r="G51">
            <v>21.9</v>
          </cell>
          <cell r="H51">
            <v>24.8</v>
          </cell>
          <cell r="P51">
            <v>21.439999999999998</v>
          </cell>
        </row>
        <row r="52">
          <cell r="A52" t="str">
            <v>Revenue</v>
          </cell>
          <cell r="B52" t="str">
            <v>Actual 09/10</v>
          </cell>
          <cell r="C52" t="str">
            <v>- Total</v>
          </cell>
          <cell r="D52">
            <v>813766</v>
          </cell>
          <cell r="E52">
            <v>907260</v>
          </cell>
          <cell r="F52">
            <v>883874</v>
          </cell>
          <cell r="G52">
            <v>668323</v>
          </cell>
          <cell r="H52">
            <v>829623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4102846</v>
          </cell>
        </row>
        <row r="53">
          <cell r="B53" t="str">
            <v>Actual 09/10</v>
          </cell>
          <cell r="C53" t="str">
            <v>- Agency</v>
          </cell>
          <cell r="D53">
            <v>256744</v>
          </cell>
          <cell r="E53">
            <v>167872</v>
          </cell>
          <cell r="F53">
            <v>204613</v>
          </cell>
          <cell r="G53">
            <v>192131</v>
          </cell>
          <cell r="H53">
            <v>337620</v>
          </cell>
          <cell r="P53">
            <v>1158980</v>
          </cell>
        </row>
        <row r="54">
          <cell r="B54" t="str">
            <v>Actual 09/10</v>
          </cell>
          <cell r="C54" t="str">
            <v>- Direct</v>
          </cell>
          <cell r="D54">
            <v>214441</v>
          </cell>
          <cell r="E54">
            <v>244401</v>
          </cell>
          <cell r="F54">
            <v>230977</v>
          </cell>
          <cell r="G54">
            <v>171572</v>
          </cell>
          <cell r="H54">
            <v>162909</v>
          </cell>
          <cell r="P54">
            <v>1024300</v>
          </cell>
        </row>
        <row r="55">
          <cell r="B55" t="str">
            <v>Actual 09/10</v>
          </cell>
          <cell r="C55" t="str">
            <v>- Vic</v>
          </cell>
          <cell r="D55">
            <v>102511</v>
          </cell>
          <cell r="E55">
            <v>122379</v>
          </cell>
          <cell r="F55">
            <v>117843</v>
          </cell>
          <cell r="G55">
            <v>94714</v>
          </cell>
          <cell r="H55">
            <v>106775</v>
          </cell>
          <cell r="P55">
            <v>544222</v>
          </cell>
        </row>
        <row r="56">
          <cell r="B56" t="str">
            <v>Actual 09/10</v>
          </cell>
          <cell r="C56" t="str">
            <v>- NSW</v>
          </cell>
          <cell r="D56">
            <v>193350</v>
          </cell>
          <cell r="E56">
            <v>328265</v>
          </cell>
          <cell r="F56">
            <v>274600</v>
          </cell>
          <cell r="G56">
            <v>176894</v>
          </cell>
          <cell r="H56">
            <v>176798</v>
          </cell>
          <cell r="P56">
            <v>1149907</v>
          </cell>
        </row>
        <row r="57">
          <cell r="B57" t="str">
            <v>Actual 09/10</v>
          </cell>
          <cell r="C57" t="str">
            <v>- Qld</v>
          </cell>
          <cell r="D57">
            <v>33416</v>
          </cell>
          <cell r="E57">
            <v>21413</v>
          </cell>
          <cell r="F57">
            <v>45044</v>
          </cell>
          <cell r="G57">
            <v>26332</v>
          </cell>
          <cell r="H57">
            <v>26146</v>
          </cell>
          <cell r="P57">
            <v>152351</v>
          </cell>
        </row>
        <row r="58">
          <cell r="B58" t="str">
            <v>Actual 09/10</v>
          </cell>
          <cell r="C58" t="str">
            <v>- WA</v>
          </cell>
          <cell r="D58">
            <v>13304</v>
          </cell>
          <cell r="E58">
            <v>22930</v>
          </cell>
          <cell r="F58">
            <v>10797</v>
          </cell>
          <cell r="G58">
            <v>6680</v>
          </cell>
          <cell r="H58">
            <v>19375</v>
          </cell>
          <cell r="P58">
            <v>73086</v>
          </cell>
        </row>
        <row r="59">
          <cell r="A59" t="str">
            <v>Multimedia revenue</v>
          </cell>
          <cell r="B59" t="str">
            <v>Actual 09/10</v>
          </cell>
          <cell r="C59" t="str">
            <v>- Total</v>
          </cell>
          <cell r="D59">
            <v>19869</v>
          </cell>
          <cell r="E59">
            <v>33662</v>
          </cell>
          <cell r="F59">
            <v>25670</v>
          </cell>
          <cell r="G59">
            <v>29629</v>
          </cell>
          <cell r="H59">
            <v>32605</v>
          </cell>
          <cell r="P59">
            <v>141435</v>
          </cell>
        </row>
        <row r="60">
          <cell r="A60" t="str">
            <v>Non Spot Revenue</v>
          </cell>
          <cell r="B60" t="str">
            <v>Actual 09/10</v>
          </cell>
          <cell r="C60" t="str">
            <v>- Total</v>
          </cell>
          <cell r="D60">
            <v>102586.67</v>
          </cell>
          <cell r="E60">
            <v>157238.66999999998</v>
          </cell>
          <cell r="F60">
            <v>100052</v>
          </cell>
          <cell r="G60">
            <v>106024</v>
          </cell>
          <cell r="H60">
            <v>111308</v>
          </cell>
          <cell r="P60">
            <v>577209.34</v>
          </cell>
        </row>
        <row r="61">
          <cell r="A61" t="str">
            <v>PW Share</v>
          </cell>
          <cell r="B61" t="str">
            <v>Actual 09/10</v>
          </cell>
          <cell r="C61" t="str">
            <v>- Total</v>
          </cell>
          <cell r="D61">
            <v>15</v>
          </cell>
          <cell r="E61">
            <v>17.3</v>
          </cell>
          <cell r="F61">
            <v>16.8</v>
          </cell>
          <cell r="G61">
            <v>16.399999999999999</v>
          </cell>
          <cell r="H61">
            <v>17.899999999999999</v>
          </cell>
          <cell r="P61">
            <v>16.68</v>
          </cell>
        </row>
        <row r="62">
          <cell r="B62" t="str">
            <v>Actual 09/10</v>
          </cell>
          <cell r="C62" t="str">
            <v>- Agency</v>
          </cell>
          <cell r="D62">
            <v>16.399999999999999</v>
          </cell>
          <cell r="E62">
            <v>13.9</v>
          </cell>
          <cell r="F62">
            <v>16.2</v>
          </cell>
          <cell r="G62">
            <v>19.3</v>
          </cell>
          <cell r="H62">
            <v>23.7</v>
          </cell>
          <cell r="P62">
            <v>17.899999999999999</v>
          </cell>
        </row>
        <row r="63">
          <cell r="B63" t="str">
            <v>Actual 09/10</v>
          </cell>
          <cell r="C63" t="str">
            <v>- Direct</v>
          </cell>
          <cell r="D63">
            <v>10.3</v>
          </cell>
          <cell r="E63">
            <v>12.2</v>
          </cell>
          <cell r="F63">
            <v>11.3</v>
          </cell>
          <cell r="G63">
            <v>10.7</v>
          </cell>
          <cell r="H63">
            <v>9.6999999999999993</v>
          </cell>
          <cell r="P63">
            <v>10.84</v>
          </cell>
        </row>
        <row r="64">
          <cell r="B64" t="str">
            <v>Actual 09/10</v>
          </cell>
          <cell r="C64" t="str">
            <v>- Vic</v>
          </cell>
          <cell r="D64">
            <v>17.399999999999999</v>
          </cell>
          <cell r="E64">
            <v>18</v>
          </cell>
          <cell r="F64">
            <v>15.6</v>
          </cell>
          <cell r="G64">
            <v>16.5</v>
          </cell>
          <cell r="H64">
            <v>19.3</v>
          </cell>
          <cell r="P64">
            <v>17.36</v>
          </cell>
        </row>
        <row r="65">
          <cell r="B65" t="str">
            <v>Actual 09/10</v>
          </cell>
          <cell r="C65" t="str">
            <v>- NSW</v>
          </cell>
          <cell r="D65">
            <v>21.1</v>
          </cell>
          <cell r="E65">
            <v>27.3</v>
          </cell>
          <cell r="F65">
            <v>27.3</v>
          </cell>
          <cell r="G65">
            <v>24.6</v>
          </cell>
          <cell r="H65">
            <v>22.3</v>
          </cell>
          <cell r="P65">
            <v>24.520000000000003</v>
          </cell>
        </row>
        <row r="66">
          <cell r="B66" t="str">
            <v>Actual 09/10</v>
          </cell>
          <cell r="C66" t="str">
            <v>- Qld</v>
          </cell>
          <cell r="D66">
            <v>17.7</v>
          </cell>
          <cell r="E66">
            <v>24.1</v>
          </cell>
          <cell r="F66">
            <v>35.4</v>
          </cell>
          <cell r="G66">
            <v>23.2</v>
          </cell>
          <cell r="H66">
            <v>21.8</v>
          </cell>
          <cell r="P66">
            <v>24.439999999999998</v>
          </cell>
        </row>
        <row r="67">
          <cell r="B67" t="str">
            <v>Actual 09/10</v>
          </cell>
          <cell r="C67" t="str">
            <v>- WA</v>
          </cell>
          <cell r="D67">
            <v>22.7</v>
          </cell>
          <cell r="E67">
            <v>31.1</v>
          </cell>
          <cell r="F67">
            <v>19.5</v>
          </cell>
          <cell r="G67">
            <v>12.3</v>
          </cell>
          <cell r="H67">
            <v>33.9</v>
          </cell>
          <cell r="P67">
            <v>23.9</v>
          </cell>
        </row>
        <row r="68">
          <cell r="A68" t="str">
            <v>Power Ratio</v>
          </cell>
          <cell r="B68" t="str">
            <v>Actual 09/10</v>
          </cell>
          <cell r="C68" t="str">
            <v>- ACS</v>
          </cell>
          <cell r="D68">
            <v>1.1194029850746268</v>
          </cell>
          <cell r="E68">
            <v>1.2730543478260872</v>
          </cell>
          <cell r="F68">
            <v>1.0185000000000002</v>
          </cell>
          <cell r="G68">
            <v>0.99424999999999997</v>
          </cell>
          <cell r="H68">
            <v>0.99444444444444435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</row>
        <row r="69">
          <cell r="A69" t="str">
            <v>Market Growth</v>
          </cell>
          <cell r="B69" t="str">
            <v>Actual 09/10</v>
          </cell>
          <cell r="C69" t="str">
            <v>- Total</v>
          </cell>
          <cell r="D69">
            <v>-0.03</v>
          </cell>
          <cell r="E69">
            <v>-2.3E-2</v>
          </cell>
          <cell r="F69">
            <v>6.4000000000000001E-2</v>
          </cell>
          <cell r="G69">
            <v>-1.6E-2</v>
          </cell>
          <cell r="H69">
            <v>-4.7E-2</v>
          </cell>
        </row>
        <row r="70">
          <cell r="A70" t="str">
            <v>Average Unit Rate</v>
          </cell>
          <cell r="B70" t="str">
            <v>Actual 09/10</v>
          </cell>
          <cell r="C70" t="str">
            <v>- ROS Total</v>
          </cell>
          <cell r="D70">
            <v>170.89</v>
          </cell>
          <cell r="E70">
            <v>171.27</v>
          </cell>
          <cell r="F70">
            <v>168.01</v>
          </cell>
          <cell r="G70">
            <v>144.15</v>
          </cell>
          <cell r="H70">
            <v>171.03</v>
          </cell>
          <cell r="P70">
            <v>165.07</v>
          </cell>
        </row>
        <row r="71">
          <cell r="A71" t="str">
            <v>Average Unit Rate</v>
          </cell>
          <cell r="B71" t="str">
            <v>Actual 09/10</v>
          </cell>
          <cell r="C71" t="str">
            <v>- ROS Agency</v>
          </cell>
          <cell r="D71">
            <v>230.39</v>
          </cell>
          <cell r="E71">
            <v>199.55</v>
          </cell>
          <cell r="F71">
            <v>204.16</v>
          </cell>
          <cell r="G71">
            <v>198.79</v>
          </cell>
          <cell r="H71">
            <v>218.02</v>
          </cell>
          <cell r="P71">
            <v>210.18200000000002</v>
          </cell>
        </row>
        <row r="72">
          <cell r="A72" t="str">
            <v>Average Unit Rate</v>
          </cell>
          <cell r="B72" t="str">
            <v>Actual 09/10</v>
          </cell>
          <cell r="C72" t="str">
            <v>- ROS Direct</v>
          </cell>
          <cell r="D72">
            <v>130.55000000000001</v>
          </cell>
          <cell r="E72">
            <v>120.92</v>
          </cell>
          <cell r="F72">
            <v>121.14</v>
          </cell>
          <cell r="G72">
            <v>105.88</v>
          </cell>
          <cell r="H72">
            <v>119.7</v>
          </cell>
          <cell r="P72">
            <v>119.63800000000001</v>
          </cell>
        </row>
        <row r="73">
          <cell r="A73" t="str">
            <v>Average Unit Rate</v>
          </cell>
          <cell r="B73" t="str">
            <v>Actual 09/10</v>
          </cell>
          <cell r="C73" t="str">
            <v>- ROS Interstate</v>
          </cell>
          <cell r="D73">
            <v>167.11</v>
          </cell>
          <cell r="E73">
            <v>202.02</v>
          </cell>
          <cell r="F73">
            <v>186.85</v>
          </cell>
          <cell r="G73">
            <v>147.97</v>
          </cell>
          <cell r="H73">
            <v>169.96</v>
          </cell>
          <cell r="P73">
            <v>174.78200000000001</v>
          </cell>
        </row>
        <row r="74">
          <cell r="A74" t="str">
            <v>Average Unit Rate</v>
          </cell>
          <cell r="B74" t="str">
            <v>Actual 09/10</v>
          </cell>
          <cell r="C74" t="str">
            <v>- BMAD M - F Total</v>
          </cell>
          <cell r="D74">
            <v>203.85</v>
          </cell>
          <cell r="E74">
            <v>206.43</v>
          </cell>
          <cell r="F74">
            <v>197.72</v>
          </cell>
          <cell r="G74">
            <v>168.52</v>
          </cell>
          <cell r="H74">
            <v>207.82</v>
          </cell>
          <cell r="P74">
            <v>196.86799999999999</v>
          </cell>
        </row>
        <row r="75">
          <cell r="A75" t="str">
            <v>Average Unit Rate</v>
          </cell>
          <cell r="B75" t="str">
            <v>Actual 09/10</v>
          </cell>
          <cell r="C75" t="str">
            <v>- BMAD M - F Agency</v>
          </cell>
          <cell r="D75">
            <v>259.23</v>
          </cell>
          <cell r="E75">
            <v>221.2</v>
          </cell>
          <cell r="F75">
            <v>230.01</v>
          </cell>
          <cell r="G75">
            <v>226.25</v>
          </cell>
          <cell r="H75">
            <v>251.39</v>
          </cell>
          <cell r="P75">
            <v>237.61599999999999</v>
          </cell>
        </row>
        <row r="76">
          <cell r="A76" t="str">
            <v>Average Unit Rate</v>
          </cell>
          <cell r="B76" t="str">
            <v>Actual 09/10</v>
          </cell>
          <cell r="C76" t="str">
            <v>- BMAD M - F Direct</v>
          </cell>
          <cell r="D76">
            <v>153.09</v>
          </cell>
          <cell r="E76">
            <v>153.86000000000001</v>
          </cell>
          <cell r="F76">
            <v>135.22999999999999</v>
          </cell>
          <cell r="G76">
            <v>118.84</v>
          </cell>
          <cell r="H76">
            <v>148.55000000000001</v>
          </cell>
          <cell r="P76">
            <v>141.91400000000004</v>
          </cell>
        </row>
        <row r="77">
          <cell r="A77" t="str">
            <v>Average Unit Rate</v>
          </cell>
          <cell r="B77" t="str">
            <v>Actual 09/10</v>
          </cell>
          <cell r="C77" t="str">
            <v>- BMAD M - F Interstate</v>
          </cell>
          <cell r="D77">
            <v>209.43</v>
          </cell>
          <cell r="E77">
            <v>235</v>
          </cell>
          <cell r="F77">
            <v>227.71</v>
          </cell>
          <cell r="G77">
            <v>185.7</v>
          </cell>
          <cell r="H77">
            <v>213.57</v>
          </cell>
          <cell r="P77">
            <v>214.28199999999998</v>
          </cell>
        </row>
        <row r="78">
          <cell r="A78" t="str">
            <v>Fill Level</v>
          </cell>
          <cell r="B78" t="str">
            <v>Actual 09/10</v>
          </cell>
          <cell r="C78" t="str">
            <v>- ROS Total</v>
          </cell>
          <cell r="D78">
            <v>0.89959999999999996</v>
          </cell>
          <cell r="E78">
            <v>0.91020000000000001</v>
          </cell>
          <cell r="F78">
            <v>0.89119999999999999</v>
          </cell>
          <cell r="G78">
            <v>0.79579999999999995</v>
          </cell>
          <cell r="H78">
            <v>0.9233799487886547</v>
          </cell>
          <cell r="P78">
            <v>0.88403598975773101</v>
          </cell>
        </row>
        <row r="79">
          <cell r="A79" t="str">
            <v>Fill Level</v>
          </cell>
          <cell r="B79" t="str">
            <v>Actual 09/10</v>
          </cell>
          <cell r="C79" t="str">
            <v xml:space="preserve"> - BMAD M-F</v>
          </cell>
          <cell r="D79">
            <v>0.96709999999999996</v>
          </cell>
          <cell r="E79">
            <v>0.98099999999999998</v>
          </cell>
          <cell r="F79">
            <v>0.95209999999999995</v>
          </cell>
          <cell r="G79">
            <v>0.90300000000000002</v>
          </cell>
          <cell r="H79">
            <v>0.98509632860777896</v>
          </cell>
          <cell r="P79">
            <v>0.9576592657215558</v>
          </cell>
        </row>
        <row r="80">
          <cell r="A80" t="str">
            <v>Recoveries</v>
          </cell>
          <cell r="B80" t="str">
            <v>Actual 09/10</v>
          </cell>
          <cell r="C80" t="str">
            <v xml:space="preserve"> - Total</v>
          </cell>
          <cell r="D80">
            <v>52635</v>
          </cell>
          <cell r="E80">
            <v>55046</v>
          </cell>
          <cell r="F80">
            <v>25065</v>
          </cell>
          <cell r="G80">
            <v>44695</v>
          </cell>
          <cell r="H80">
            <v>24661</v>
          </cell>
          <cell r="P80">
            <v>202102</v>
          </cell>
        </row>
        <row r="81">
          <cell r="A81" t="str">
            <v>Sales Commission</v>
          </cell>
          <cell r="B81" t="str">
            <v>Actual 09/10</v>
          </cell>
          <cell r="C81" t="str">
            <v xml:space="preserve"> - Total</v>
          </cell>
          <cell r="D81">
            <v>15330</v>
          </cell>
          <cell r="E81">
            <v>17309</v>
          </cell>
          <cell r="F81">
            <v>20365</v>
          </cell>
          <cell r="G81">
            <v>12459</v>
          </cell>
          <cell r="H81">
            <v>17900</v>
          </cell>
          <cell r="P81">
            <v>83363</v>
          </cell>
        </row>
        <row r="82">
          <cell r="A82" t="str">
            <v>Sales Commission</v>
          </cell>
          <cell r="B82" t="str">
            <v>Actual 09/10</v>
          </cell>
          <cell r="C82" t="str">
            <v xml:space="preserve"> %</v>
          </cell>
          <cell r="D82">
            <v>1.8838339276892865E-2</v>
          </cell>
          <cell r="E82">
            <v>1.9078323744020458E-2</v>
          </cell>
          <cell r="F82">
            <v>2.304061438621342E-2</v>
          </cell>
          <cell r="G82">
            <v>1.8642183495106407E-2</v>
          </cell>
          <cell r="H82">
            <v>2.15760652730216E-2</v>
          </cell>
          <cell r="I82" t="e">
            <v>#DIV/0!</v>
          </cell>
          <cell r="J82" t="e">
            <v>#DIV/0!</v>
          </cell>
          <cell r="K82" t="e">
            <v>#DIV/0!</v>
          </cell>
          <cell r="L82" t="e">
            <v>#DIV/0!</v>
          </cell>
          <cell r="M82" t="e">
            <v>#DIV/0!</v>
          </cell>
          <cell r="N82" t="e">
            <v>#DIV/0!</v>
          </cell>
          <cell r="O82" t="e">
            <v>#DIV/0!</v>
          </cell>
          <cell r="P82">
            <v>2.0318335126397628E-2</v>
          </cell>
        </row>
        <row r="83">
          <cell r="A83" t="str">
            <v>Client Retention</v>
          </cell>
          <cell r="B83" t="str">
            <v>Actual 09/10</v>
          </cell>
          <cell r="C83" t="str">
            <v>- Total</v>
          </cell>
          <cell r="D83">
            <v>81</v>
          </cell>
          <cell r="E83">
            <v>86</v>
          </cell>
          <cell r="F83">
            <v>83</v>
          </cell>
          <cell r="G83">
            <v>56</v>
          </cell>
          <cell r="H83">
            <v>57</v>
          </cell>
          <cell r="P83">
            <v>72.599999999999994</v>
          </cell>
        </row>
        <row r="84">
          <cell r="B84" t="str">
            <v>Actual 09/10</v>
          </cell>
          <cell r="C84" t="str">
            <v>%</v>
          </cell>
          <cell r="D84">
            <v>0.6328125</v>
          </cell>
          <cell r="E84">
            <v>0.671875</v>
          </cell>
          <cell r="F84">
            <v>0.58865248226950351</v>
          </cell>
          <cell r="G84">
            <v>0.44800000000000001</v>
          </cell>
          <cell r="H84">
            <v>0.56999999999999995</v>
          </cell>
          <cell r="I84">
            <v>0</v>
          </cell>
          <cell r="J84" t="e">
            <v>#DIV/0!</v>
          </cell>
          <cell r="K84" t="e">
            <v>#DIV/0!</v>
          </cell>
          <cell r="L84" t="e">
            <v>#DIV/0!</v>
          </cell>
          <cell r="M84" t="e">
            <v>#DIV/0!</v>
          </cell>
          <cell r="N84" t="e">
            <v>#DIV/0!</v>
          </cell>
          <cell r="O84" t="e">
            <v>#DIV/0!</v>
          </cell>
          <cell r="P84" t="e">
            <v>#DIV/0!</v>
          </cell>
        </row>
        <row r="85">
          <cell r="A85" t="str">
            <v>Av Client Spend</v>
          </cell>
          <cell r="B85" t="str">
            <v>Actual 09/10</v>
          </cell>
          <cell r="C85" t="str">
            <v xml:space="preserve"> - Total</v>
          </cell>
          <cell r="D85">
            <v>6713.29</v>
          </cell>
          <cell r="E85">
            <v>6887.76</v>
          </cell>
          <cell r="F85">
            <v>7495.63</v>
          </cell>
          <cell r="G85">
            <v>7199.81</v>
          </cell>
          <cell r="H85">
            <v>7993.75</v>
          </cell>
          <cell r="P85">
            <v>7258.0480000000007</v>
          </cell>
        </row>
        <row r="86">
          <cell r="A86" t="str">
            <v>No. of Clients</v>
          </cell>
          <cell r="B86" t="str">
            <v>Actual 09/10</v>
          </cell>
          <cell r="C86" t="str">
            <v>- Total</v>
          </cell>
          <cell r="D86">
            <v>128</v>
          </cell>
          <cell r="E86">
            <v>141</v>
          </cell>
          <cell r="F86">
            <v>125</v>
          </cell>
          <cell r="G86">
            <v>100</v>
          </cell>
          <cell r="H86">
            <v>111</v>
          </cell>
          <cell r="P86">
            <v>121</v>
          </cell>
        </row>
        <row r="87">
          <cell r="A87" t="str">
            <v>Top 20 Clients</v>
          </cell>
          <cell r="B87" t="str">
            <v>Actual 09/10</v>
          </cell>
          <cell r="C87" t="str">
            <v xml:space="preserve"> - No</v>
          </cell>
        </row>
        <row r="88">
          <cell r="B88" t="str">
            <v>Actual 09/10</v>
          </cell>
          <cell r="C88" t="str">
            <v xml:space="preserve"> - $'s</v>
          </cell>
        </row>
        <row r="89">
          <cell r="A89" t="str">
            <v>Total Spots</v>
          </cell>
          <cell r="B89" t="str">
            <v>Actual 09/10</v>
          </cell>
          <cell r="C89" t="str">
            <v>- Total</v>
          </cell>
          <cell r="D89">
            <v>5668</v>
          </cell>
          <cell r="E89">
            <v>5526</v>
          </cell>
          <cell r="F89">
            <v>5788</v>
          </cell>
          <cell r="G89">
            <v>5601</v>
          </cell>
          <cell r="H89">
            <v>5077</v>
          </cell>
          <cell r="P89">
            <v>27660</v>
          </cell>
        </row>
        <row r="97">
          <cell r="D97" t="str">
            <v>Oct</v>
          </cell>
          <cell r="E97" t="str">
            <v>Nov</v>
          </cell>
          <cell r="F97" t="str">
            <v>Dec</v>
          </cell>
          <cell r="G97" t="str">
            <v>Jan</v>
          </cell>
          <cell r="H97" t="str">
            <v>Feb</v>
          </cell>
          <cell r="I97" t="str">
            <v>Mar</v>
          </cell>
          <cell r="J97" t="str">
            <v>April</v>
          </cell>
          <cell r="K97" t="str">
            <v>May</v>
          </cell>
          <cell r="L97" t="str">
            <v>June</v>
          </cell>
          <cell r="M97" t="str">
            <v>July</v>
          </cell>
          <cell r="N97" t="str">
            <v>August</v>
          </cell>
          <cell r="O97" t="str">
            <v>Sept</v>
          </cell>
          <cell r="P97" t="str">
            <v>Total</v>
          </cell>
        </row>
        <row r="98">
          <cell r="A98" t="str">
            <v>Ratings</v>
          </cell>
          <cell r="B98" t="str">
            <v>Actual 08/09</v>
          </cell>
          <cell r="C98" t="str">
            <v>- 10+</v>
          </cell>
          <cell r="D98">
            <v>10.5</v>
          </cell>
          <cell r="E98">
            <v>8.9</v>
          </cell>
          <cell r="F98">
            <v>9.9</v>
          </cell>
          <cell r="G98">
            <v>9.9</v>
          </cell>
          <cell r="H98">
            <v>12.1</v>
          </cell>
          <cell r="I98">
            <v>12.1</v>
          </cell>
          <cell r="J98">
            <v>8.5</v>
          </cell>
          <cell r="K98">
            <v>8.6999999999999993</v>
          </cell>
          <cell r="L98">
            <v>8.6999999999999993</v>
          </cell>
          <cell r="M98">
            <v>9.5</v>
          </cell>
          <cell r="N98">
            <v>9.8000000000000007</v>
          </cell>
          <cell r="O98">
            <v>9.8000000000000007</v>
          </cell>
          <cell r="P98">
            <v>9.8666666666666671</v>
          </cell>
        </row>
        <row r="99">
          <cell r="B99" t="str">
            <v>Actual 08/09</v>
          </cell>
          <cell r="C99" t="str">
            <v>- ACS</v>
          </cell>
          <cell r="D99">
            <v>15.4</v>
          </cell>
          <cell r="E99">
            <v>13.1</v>
          </cell>
          <cell r="F99">
            <v>14.2</v>
          </cell>
          <cell r="G99">
            <v>14.2</v>
          </cell>
          <cell r="H99">
            <v>17.399999999999999</v>
          </cell>
          <cell r="I99">
            <v>17.399999999999999</v>
          </cell>
          <cell r="J99">
            <v>13.2</v>
          </cell>
          <cell r="K99">
            <v>13.3</v>
          </cell>
          <cell r="L99">
            <v>13.3</v>
          </cell>
          <cell r="M99">
            <v>14.3</v>
          </cell>
          <cell r="N99">
            <v>14.7</v>
          </cell>
          <cell r="O99">
            <v>14.7</v>
          </cell>
          <cell r="P99">
            <v>14.600000000000001</v>
          </cell>
        </row>
        <row r="100">
          <cell r="B100" t="str">
            <v>Actual 08/09</v>
          </cell>
          <cell r="C100" t="str">
            <v>- 18 - 39</v>
          </cell>
          <cell r="D100">
            <v>22.3</v>
          </cell>
          <cell r="E100">
            <v>17.399999999999999</v>
          </cell>
          <cell r="F100">
            <v>20.6</v>
          </cell>
          <cell r="G100">
            <v>20.6</v>
          </cell>
          <cell r="H100">
            <v>27.6</v>
          </cell>
          <cell r="I100">
            <v>27.6</v>
          </cell>
          <cell r="J100">
            <v>16.600000000000001</v>
          </cell>
          <cell r="K100">
            <v>17.2</v>
          </cell>
          <cell r="L100">
            <v>17.2</v>
          </cell>
          <cell r="M100">
            <v>17.3</v>
          </cell>
          <cell r="N100">
            <v>17.3</v>
          </cell>
          <cell r="O100">
            <v>17.3</v>
          </cell>
          <cell r="P100">
            <v>19.916666666666668</v>
          </cell>
        </row>
        <row r="101">
          <cell r="A101" t="str">
            <v>Revenue</v>
          </cell>
          <cell r="B101" t="str">
            <v>Actual 08/09</v>
          </cell>
          <cell r="C101" t="str">
            <v>- Total</v>
          </cell>
          <cell r="D101">
            <v>1057239</v>
          </cell>
          <cell r="E101">
            <v>948264</v>
          </cell>
          <cell r="F101">
            <v>870114</v>
          </cell>
          <cell r="G101">
            <v>705345</v>
          </cell>
          <cell r="H101">
            <v>921897</v>
          </cell>
          <cell r="I101">
            <v>856298</v>
          </cell>
          <cell r="J101">
            <v>835391</v>
          </cell>
          <cell r="K101">
            <v>822053</v>
          </cell>
          <cell r="L101">
            <v>826768</v>
          </cell>
          <cell r="M101">
            <v>777799</v>
          </cell>
          <cell r="N101">
            <v>736320</v>
          </cell>
          <cell r="O101">
            <v>944775</v>
          </cell>
          <cell r="P101">
            <v>10302263</v>
          </cell>
        </row>
        <row r="102">
          <cell r="B102" t="str">
            <v>Actual 08/09</v>
          </cell>
          <cell r="C102" t="str">
            <v>- Agency</v>
          </cell>
          <cell r="D102">
            <v>331947</v>
          </cell>
          <cell r="E102">
            <v>274147</v>
          </cell>
          <cell r="F102">
            <v>182737</v>
          </cell>
          <cell r="G102">
            <v>245816</v>
          </cell>
          <cell r="H102">
            <v>363873</v>
          </cell>
          <cell r="I102">
            <v>246056</v>
          </cell>
          <cell r="J102">
            <v>293645</v>
          </cell>
          <cell r="K102">
            <v>325620</v>
          </cell>
          <cell r="L102">
            <v>252387</v>
          </cell>
          <cell r="M102">
            <v>303330</v>
          </cell>
          <cell r="N102">
            <v>224489</v>
          </cell>
          <cell r="O102">
            <v>332305</v>
          </cell>
          <cell r="P102">
            <v>3376352</v>
          </cell>
        </row>
        <row r="103">
          <cell r="B103" t="str">
            <v>Actual 08/09</v>
          </cell>
          <cell r="C103" t="str">
            <v>- Direct</v>
          </cell>
          <cell r="D103">
            <v>156137</v>
          </cell>
          <cell r="E103">
            <v>192754</v>
          </cell>
          <cell r="F103">
            <v>217580</v>
          </cell>
          <cell r="G103">
            <v>156892</v>
          </cell>
          <cell r="H103">
            <v>215414</v>
          </cell>
          <cell r="I103">
            <v>204930</v>
          </cell>
          <cell r="J103">
            <v>127314</v>
          </cell>
          <cell r="K103">
            <v>147342</v>
          </cell>
          <cell r="L103">
            <v>151325</v>
          </cell>
          <cell r="M103">
            <v>148072</v>
          </cell>
          <cell r="N103">
            <v>162521</v>
          </cell>
          <cell r="O103">
            <v>202422</v>
          </cell>
          <cell r="P103">
            <v>2082703</v>
          </cell>
        </row>
        <row r="104">
          <cell r="B104" t="str">
            <v>Actual 08/09</v>
          </cell>
          <cell r="C104" t="str">
            <v>- Vic</v>
          </cell>
          <cell r="D104">
            <v>101515</v>
          </cell>
          <cell r="E104">
            <v>90404</v>
          </cell>
          <cell r="F104">
            <v>92505</v>
          </cell>
          <cell r="G104">
            <v>108961</v>
          </cell>
          <cell r="H104">
            <v>122587</v>
          </cell>
          <cell r="I104">
            <v>150588</v>
          </cell>
          <cell r="J104">
            <v>118499</v>
          </cell>
          <cell r="K104">
            <v>121683</v>
          </cell>
          <cell r="L104">
            <v>108973</v>
          </cell>
          <cell r="M104">
            <v>117844</v>
          </cell>
          <cell r="N104">
            <v>96247</v>
          </cell>
          <cell r="O104">
            <v>118478</v>
          </cell>
          <cell r="P104">
            <v>1348284</v>
          </cell>
        </row>
        <row r="105">
          <cell r="B105" t="str">
            <v>Actual 08/09</v>
          </cell>
          <cell r="C105" t="str">
            <v>- NSW</v>
          </cell>
          <cell r="D105">
            <v>387566</v>
          </cell>
          <cell r="E105">
            <v>345549</v>
          </cell>
          <cell r="F105">
            <v>328936</v>
          </cell>
          <cell r="G105">
            <v>176092</v>
          </cell>
          <cell r="H105">
            <v>198375</v>
          </cell>
          <cell r="I105">
            <v>220114</v>
          </cell>
          <cell r="J105">
            <v>274673</v>
          </cell>
          <cell r="K105">
            <v>214318</v>
          </cell>
          <cell r="L105">
            <v>287587</v>
          </cell>
          <cell r="M105">
            <v>202985</v>
          </cell>
          <cell r="N105">
            <v>227175</v>
          </cell>
          <cell r="O105">
            <v>248190</v>
          </cell>
          <cell r="P105">
            <v>3111560</v>
          </cell>
        </row>
        <row r="106">
          <cell r="B106" t="str">
            <v>Actual 08/09</v>
          </cell>
          <cell r="C106" t="str">
            <v>- Qld</v>
          </cell>
          <cell r="D106">
            <v>63494</v>
          </cell>
          <cell r="E106">
            <v>33710</v>
          </cell>
          <cell r="F106">
            <v>25796</v>
          </cell>
          <cell r="G106">
            <v>5544</v>
          </cell>
          <cell r="H106">
            <v>10948</v>
          </cell>
          <cell r="I106">
            <v>24410</v>
          </cell>
          <cell r="J106">
            <v>11160</v>
          </cell>
          <cell r="K106">
            <v>11878</v>
          </cell>
          <cell r="L106">
            <v>17608</v>
          </cell>
          <cell r="M106">
            <v>5568</v>
          </cell>
          <cell r="N106">
            <v>15308</v>
          </cell>
          <cell r="O106">
            <v>15100</v>
          </cell>
          <cell r="P106">
            <v>240524</v>
          </cell>
        </row>
        <row r="107">
          <cell r="B107" t="str">
            <v>Actual 08/09</v>
          </cell>
          <cell r="C107" t="str">
            <v>- WA</v>
          </cell>
          <cell r="D107">
            <v>16580</v>
          </cell>
          <cell r="E107">
            <v>11700</v>
          </cell>
          <cell r="F107">
            <v>22560</v>
          </cell>
          <cell r="G107">
            <v>12040</v>
          </cell>
          <cell r="H107">
            <v>10700</v>
          </cell>
          <cell r="I107">
            <v>10200</v>
          </cell>
          <cell r="J107">
            <v>10100</v>
          </cell>
          <cell r="K107">
            <v>1212</v>
          </cell>
          <cell r="L107">
            <v>8888</v>
          </cell>
          <cell r="M107">
            <v>0</v>
          </cell>
          <cell r="N107">
            <v>10580</v>
          </cell>
          <cell r="O107">
            <v>28280</v>
          </cell>
          <cell r="P107">
            <v>142840</v>
          </cell>
        </row>
        <row r="108">
          <cell r="A108" t="str">
            <v>Multimedia revenue</v>
          </cell>
          <cell r="B108" t="str">
            <v>Actual 08/09</v>
          </cell>
          <cell r="C108" t="str">
            <v>- Total</v>
          </cell>
          <cell r="D108">
            <v>14770</v>
          </cell>
          <cell r="E108">
            <v>19049</v>
          </cell>
          <cell r="F108">
            <v>20794</v>
          </cell>
          <cell r="G108">
            <v>15965</v>
          </cell>
          <cell r="H108">
            <v>14789</v>
          </cell>
          <cell r="I108">
            <v>20795</v>
          </cell>
          <cell r="J108">
            <v>7201</v>
          </cell>
          <cell r="K108">
            <v>26237</v>
          </cell>
          <cell r="L108">
            <v>24920</v>
          </cell>
          <cell r="M108">
            <v>15840</v>
          </cell>
          <cell r="N108">
            <v>36109.300000000003</v>
          </cell>
          <cell r="O108">
            <v>21885</v>
          </cell>
          <cell r="P108">
            <v>238354.3</v>
          </cell>
        </row>
        <row r="109">
          <cell r="A109" t="str">
            <v>Non Spot Revenue</v>
          </cell>
          <cell r="B109" t="str">
            <v>Actual 08/09</v>
          </cell>
          <cell r="C109" t="str">
            <v>- Total</v>
          </cell>
          <cell r="D109">
            <v>68833</v>
          </cell>
          <cell r="E109">
            <v>98462</v>
          </cell>
          <cell r="F109">
            <v>95415</v>
          </cell>
          <cell r="G109">
            <v>100788</v>
          </cell>
          <cell r="H109">
            <v>114696</v>
          </cell>
          <cell r="I109">
            <v>103842</v>
          </cell>
          <cell r="J109">
            <v>85862</v>
          </cell>
          <cell r="K109">
            <v>109346</v>
          </cell>
          <cell r="L109">
            <v>102586</v>
          </cell>
          <cell r="M109">
            <v>119621</v>
          </cell>
          <cell r="N109">
            <v>134128.63</v>
          </cell>
          <cell r="O109">
            <v>175799.66999999998</v>
          </cell>
          <cell r="P109">
            <v>1309379.2999999998</v>
          </cell>
        </row>
        <row r="110">
          <cell r="A110" t="str">
            <v>PW Share</v>
          </cell>
          <cell r="B110" t="str">
            <v>Actual 08/09</v>
          </cell>
          <cell r="C110" t="str">
            <v>- Total</v>
          </cell>
          <cell r="D110">
            <v>19</v>
          </cell>
          <cell r="E110">
            <v>17.7</v>
          </cell>
          <cell r="F110">
            <v>17.600000000000001</v>
          </cell>
          <cell r="G110">
            <v>17</v>
          </cell>
          <cell r="H110">
            <v>19</v>
          </cell>
          <cell r="I110">
            <v>17.8</v>
          </cell>
          <cell r="J110">
            <v>17</v>
          </cell>
          <cell r="K110">
            <v>16.5</v>
          </cell>
          <cell r="L110">
            <v>15.3</v>
          </cell>
          <cell r="M110">
            <v>16.2</v>
          </cell>
          <cell r="N110">
            <v>15.1</v>
          </cell>
          <cell r="O110">
            <v>18.2</v>
          </cell>
          <cell r="P110">
            <v>206.4</v>
          </cell>
        </row>
        <row r="111">
          <cell r="B111" t="str">
            <v>Actual 08/09</v>
          </cell>
          <cell r="C111" t="str">
            <v>- Agency</v>
          </cell>
          <cell r="D111">
            <v>22.8</v>
          </cell>
          <cell r="E111">
            <v>19.5</v>
          </cell>
          <cell r="F111">
            <v>16.399999999999999</v>
          </cell>
          <cell r="G111">
            <v>22.4</v>
          </cell>
          <cell r="H111">
            <v>26.2</v>
          </cell>
          <cell r="I111">
            <v>21.1</v>
          </cell>
          <cell r="J111">
            <v>21.9</v>
          </cell>
          <cell r="K111">
            <v>24.1</v>
          </cell>
          <cell r="L111">
            <v>19</v>
          </cell>
          <cell r="M111">
            <v>21.8</v>
          </cell>
          <cell r="N111">
            <v>19.600000000000001</v>
          </cell>
          <cell r="O111">
            <v>25.9</v>
          </cell>
          <cell r="P111">
            <v>260.7</v>
          </cell>
        </row>
        <row r="112">
          <cell r="B112" t="str">
            <v>Actual 08/09</v>
          </cell>
          <cell r="C112" t="str">
            <v>- Direct</v>
          </cell>
          <cell r="D112">
            <v>7.5</v>
          </cell>
          <cell r="E112">
            <v>8.6999999999999993</v>
          </cell>
          <cell r="F112">
            <v>10.7</v>
          </cell>
          <cell r="G112">
            <v>9.5</v>
          </cell>
          <cell r="H112">
            <v>12.2</v>
          </cell>
          <cell r="I112">
            <v>10.7</v>
          </cell>
          <cell r="J112">
            <v>7.5</v>
          </cell>
          <cell r="K112">
            <v>8.4</v>
          </cell>
          <cell r="L112">
            <v>8.1</v>
          </cell>
          <cell r="M112">
            <v>8.9</v>
          </cell>
          <cell r="N112">
            <v>8.3000000000000007</v>
          </cell>
          <cell r="O112">
            <v>10.1</v>
          </cell>
          <cell r="P112">
            <v>110.6</v>
          </cell>
        </row>
        <row r="113">
          <cell r="B113" t="str">
            <v>Actual 08/09</v>
          </cell>
          <cell r="C113" t="str">
            <v>- Vic</v>
          </cell>
          <cell r="D113">
            <v>15.5</v>
          </cell>
          <cell r="E113">
            <v>14.8</v>
          </cell>
          <cell r="F113">
            <v>14.7</v>
          </cell>
          <cell r="G113">
            <v>19.8</v>
          </cell>
          <cell r="H113">
            <v>19.399999999999999</v>
          </cell>
          <cell r="I113">
            <v>25.9</v>
          </cell>
          <cell r="J113">
            <v>19.3</v>
          </cell>
          <cell r="K113">
            <v>18</v>
          </cell>
          <cell r="L113">
            <v>14.4</v>
          </cell>
          <cell r="M113">
            <v>16.5</v>
          </cell>
          <cell r="N113">
            <v>15.4</v>
          </cell>
          <cell r="O113">
            <v>16.5</v>
          </cell>
          <cell r="P113">
            <v>210.20000000000002</v>
          </cell>
        </row>
        <row r="114">
          <cell r="B114" t="str">
            <v>Actual 08/09</v>
          </cell>
          <cell r="C114" t="str">
            <v>- NSW</v>
          </cell>
          <cell r="D114">
            <v>36</v>
          </cell>
          <cell r="E114">
            <v>35</v>
          </cell>
          <cell r="F114">
            <v>33.9</v>
          </cell>
          <cell r="G114">
            <v>26.4</v>
          </cell>
          <cell r="H114">
            <v>22.4</v>
          </cell>
          <cell r="I114">
            <v>22.3</v>
          </cell>
          <cell r="J114">
            <v>24.6</v>
          </cell>
          <cell r="K114">
            <v>19.5</v>
          </cell>
          <cell r="L114">
            <v>22.5</v>
          </cell>
          <cell r="M114">
            <v>21.7</v>
          </cell>
          <cell r="N114">
            <v>23</v>
          </cell>
          <cell r="O114">
            <v>25.9</v>
          </cell>
          <cell r="P114">
            <v>313.2</v>
          </cell>
        </row>
        <row r="115">
          <cell r="B115" t="str">
            <v>Actual 08/09</v>
          </cell>
          <cell r="C115" t="str">
            <v>- Qld</v>
          </cell>
          <cell r="D115">
            <v>38.200000000000003</v>
          </cell>
          <cell r="E115">
            <v>38.700000000000003</v>
          </cell>
          <cell r="F115">
            <v>21</v>
          </cell>
          <cell r="G115">
            <v>6</v>
          </cell>
          <cell r="H115">
            <v>11.1</v>
          </cell>
          <cell r="I115">
            <v>30.5</v>
          </cell>
          <cell r="J115">
            <v>21.5</v>
          </cell>
          <cell r="K115">
            <v>20.100000000000001</v>
          </cell>
          <cell r="L115">
            <v>19.3</v>
          </cell>
          <cell r="M115">
            <v>6.8</v>
          </cell>
          <cell r="N115">
            <v>21</v>
          </cell>
          <cell r="O115">
            <v>11.3</v>
          </cell>
          <cell r="P115">
            <v>245.50000000000003</v>
          </cell>
        </row>
        <row r="116">
          <cell r="B116" t="str">
            <v>Actual 08/09</v>
          </cell>
          <cell r="C116" t="str">
            <v>- WA</v>
          </cell>
          <cell r="D116">
            <v>12.3</v>
          </cell>
          <cell r="E116">
            <v>15.8</v>
          </cell>
          <cell r="F116">
            <v>30.1</v>
          </cell>
          <cell r="G116">
            <v>15.4</v>
          </cell>
          <cell r="H116">
            <v>11.3</v>
          </cell>
          <cell r="I116">
            <v>12.6</v>
          </cell>
          <cell r="J116">
            <v>22.2</v>
          </cell>
          <cell r="K116">
            <v>3.5</v>
          </cell>
          <cell r="L116">
            <v>12.2</v>
          </cell>
          <cell r="M116">
            <v>0</v>
          </cell>
          <cell r="N116">
            <v>12.2</v>
          </cell>
          <cell r="O116">
            <v>25.5</v>
          </cell>
          <cell r="P116">
            <v>173.1</v>
          </cell>
        </row>
        <row r="117">
          <cell r="A117" t="str">
            <v>Power Ratio</v>
          </cell>
          <cell r="B117" t="str">
            <v>Actual 08/09</v>
          </cell>
          <cell r="C117" t="str">
            <v>- ACS</v>
          </cell>
          <cell r="D117">
            <v>1.2337662337662338</v>
          </cell>
          <cell r="E117">
            <v>1.3511450381679388</v>
          </cell>
          <cell r="F117">
            <v>1.23943661971831</v>
          </cell>
          <cell r="G117">
            <v>1.1971830985915493</v>
          </cell>
          <cell r="H117">
            <v>1.0919540229885059</v>
          </cell>
          <cell r="I117">
            <v>1.0229885057471266</v>
          </cell>
          <cell r="J117">
            <v>1.2878787878787878</v>
          </cell>
          <cell r="K117">
            <v>1.2406015037593985</v>
          </cell>
          <cell r="L117">
            <v>1.1503759398496241</v>
          </cell>
          <cell r="M117">
            <v>1.1328671328671327</v>
          </cell>
          <cell r="N117">
            <v>1.0272108843537415</v>
          </cell>
          <cell r="O117">
            <v>1.2380952380952381</v>
          </cell>
          <cell r="P117">
            <v>1.1844585838152988</v>
          </cell>
        </row>
        <row r="118">
          <cell r="A118" t="str">
            <v>Market Growth</v>
          </cell>
          <cell r="B118" t="str">
            <v>Actual 08/09</v>
          </cell>
          <cell r="C118" t="str">
            <v>- Total</v>
          </cell>
          <cell r="D118">
            <v>-8.3000000000000004E-2</v>
          </cell>
          <cell r="E118">
            <v>-8.5999999999999993E-2</v>
          </cell>
          <cell r="F118">
            <v>-1.6E-2</v>
          </cell>
          <cell r="G118">
            <v>-1.9E-2</v>
          </cell>
          <cell r="H118">
            <v>4.1000000000000002E-2</v>
          </cell>
          <cell r="I118">
            <v>-0.02</v>
          </cell>
          <cell r="J118">
            <v>-3.4000000000000002E-2</v>
          </cell>
          <cell r="K118">
            <v>-5.3999999999999999E-2</v>
          </cell>
          <cell r="L118">
            <v>-3.5000000000000003E-2</v>
          </cell>
          <cell r="M118">
            <v>-3.5999999999999997E-2</v>
          </cell>
          <cell r="N118">
            <v>2.5000000000000001E-2</v>
          </cell>
          <cell r="O118">
            <v>0</v>
          </cell>
        </row>
        <row r="119">
          <cell r="A119" t="str">
            <v>Average Unit Rate</v>
          </cell>
          <cell r="B119" t="str">
            <v>Actual 08/09</v>
          </cell>
          <cell r="C119" t="str">
            <v>- ROS Total</v>
          </cell>
          <cell r="D119">
            <v>203.07</v>
          </cell>
          <cell r="E119">
            <v>201</v>
          </cell>
          <cell r="F119">
            <v>174</v>
          </cell>
          <cell r="G119">
            <v>159.13999999999999</v>
          </cell>
          <cell r="H119">
            <v>193</v>
          </cell>
          <cell r="I119">
            <v>180.31</v>
          </cell>
          <cell r="J119">
            <v>186</v>
          </cell>
          <cell r="K119">
            <v>175</v>
          </cell>
          <cell r="L119">
            <v>174.39</v>
          </cell>
          <cell r="M119">
            <v>172.29</v>
          </cell>
          <cell r="N119">
            <v>160.06</v>
          </cell>
          <cell r="O119">
            <v>173.13</v>
          </cell>
          <cell r="P119">
            <v>179.2825</v>
          </cell>
        </row>
        <row r="120">
          <cell r="A120" t="str">
            <v>Average Unit Rate</v>
          </cell>
          <cell r="B120" t="str">
            <v>Actual 08/09</v>
          </cell>
          <cell r="C120" t="str">
            <v>- ROS Agency</v>
          </cell>
          <cell r="D120">
            <v>239.23</v>
          </cell>
          <cell r="E120">
            <v>262</v>
          </cell>
          <cell r="F120">
            <v>226</v>
          </cell>
          <cell r="G120">
            <v>208.03</v>
          </cell>
          <cell r="H120">
            <v>259</v>
          </cell>
          <cell r="I120">
            <v>254.22</v>
          </cell>
          <cell r="J120">
            <v>249</v>
          </cell>
          <cell r="K120">
            <v>239</v>
          </cell>
          <cell r="L120">
            <v>244.41</v>
          </cell>
          <cell r="M120">
            <v>253.81</v>
          </cell>
          <cell r="N120">
            <v>230.49</v>
          </cell>
          <cell r="O120">
            <v>227.88</v>
          </cell>
          <cell r="P120">
            <v>241.08916666666664</v>
          </cell>
        </row>
        <row r="121">
          <cell r="A121" t="str">
            <v>Average Unit Rate</v>
          </cell>
          <cell r="B121" t="str">
            <v>Actual 08/09</v>
          </cell>
          <cell r="C121" t="str">
            <v>- ROS Direct</v>
          </cell>
          <cell r="D121">
            <v>111.89</v>
          </cell>
          <cell r="E121">
            <v>115</v>
          </cell>
          <cell r="F121">
            <v>124</v>
          </cell>
          <cell r="G121">
            <v>104.4</v>
          </cell>
          <cell r="H121">
            <v>129</v>
          </cell>
          <cell r="I121">
            <v>116.98</v>
          </cell>
          <cell r="J121">
            <v>100</v>
          </cell>
          <cell r="K121">
            <v>100</v>
          </cell>
          <cell r="L121">
            <v>115.24</v>
          </cell>
          <cell r="M121">
            <v>106.4</v>
          </cell>
          <cell r="N121">
            <v>102.32</v>
          </cell>
          <cell r="O121">
            <v>119.32</v>
          </cell>
          <cell r="P121">
            <v>112.04583333333333</v>
          </cell>
        </row>
        <row r="122">
          <cell r="A122" t="str">
            <v>Average Unit Rate</v>
          </cell>
          <cell r="B122" t="str">
            <v>Actual 08/09</v>
          </cell>
          <cell r="C122" t="str">
            <v>- ROS Interstate</v>
          </cell>
          <cell r="D122">
            <v>231.97</v>
          </cell>
          <cell r="E122">
            <v>237</v>
          </cell>
          <cell r="F122">
            <v>196</v>
          </cell>
          <cell r="G122">
            <v>176.91</v>
          </cell>
          <cell r="H122">
            <v>201</v>
          </cell>
          <cell r="I122">
            <v>203.01</v>
          </cell>
          <cell r="J122">
            <v>207</v>
          </cell>
          <cell r="K122">
            <v>187</v>
          </cell>
          <cell r="L122">
            <v>173.82</v>
          </cell>
          <cell r="M122">
            <v>162.61000000000001</v>
          </cell>
          <cell r="N122">
            <v>168.76</v>
          </cell>
          <cell r="O122">
            <v>177.11</v>
          </cell>
          <cell r="P122">
            <v>193.51583333333335</v>
          </cell>
        </row>
        <row r="123">
          <cell r="A123" t="str">
            <v>Average Unit Rate</v>
          </cell>
          <cell r="B123" t="str">
            <v>Actual 08/09</v>
          </cell>
          <cell r="C123" t="str">
            <v>- BMAD M - F Total</v>
          </cell>
          <cell r="D123">
            <v>239.15</v>
          </cell>
          <cell r="E123">
            <v>235</v>
          </cell>
          <cell r="F123">
            <v>201</v>
          </cell>
          <cell r="G123">
            <v>176.96</v>
          </cell>
          <cell r="H123">
            <v>233</v>
          </cell>
          <cell r="I123">
            <v>219.62</v>
          </cell>
          <cell r="J123">
            <v>219</v>
          </cell>
          <cell r="K123">
            <v>215</v>
          </cell>
          <cell r="L123">
            <v>209.65</v>
          </cell>
          <cell r="M123">
            <v>201.12</v>
          </cell>
          <cell r="N123">
            <v>194.96</v>
          </cell>
          <cell r="O123">
            <v>205.67</v>
          </cell>
          <cell r="P123">
            <v>212.51083333333335</v>
          </cell>
        </row>
        <row r="124">
          <cell r="A124" t="str">
            <v>Average Unit Rate</v>
          </cell>
          <cell r="B124" t="str">
            <v>Actual 08/09</v>
          </cell>
          <cell r="C124" t="str">
            <v>- BMAD M - F Agency</v>
          </cell>
          <cell r="D124">
            <v>269.64999999999998</v>
          </cell>
          <cell r="E124">
            <v>308</v>
          </cell>
          <cell r="F124">
            <v>248</v>
          </cell>
          <cell r="G124">
            <v>223.86</v>
          </cell>
          <cell r="H124">
            <v>285</v>
          </cell>
          <cell r="I124">
            <v>276.49</v>
          </cell>
          <cell r="J124">
            <v>271</v>
          </cell>
          <cell r="K124">
            <v>266</v>
          </cell>
          <cell r="L124">
            <v>262.95999999999998</v>
          </cell>
          <cell r="M124">
            <v>271.17</v>
          </cell>
          <cell r="N124">
            <v>261.72000000000003</v>
          </cell>
          <cell r="O124">
            <v>264.54000000000002</v>
          </cell>
          <cell r="P124">
            <v>267.36583333333334</v>
          </cell>
        </row>
        <row r="125">
          <cell r="A125" t="str">
            <v>Average Unit Rate</v>
          </cell>
          <cell r="B125" t="str">
            <v>Actual 08/09</v>
          </cell>
          <cell r="C125" t="str">
            <v>- BMAD M - F Direct</v>
          </cell>
          <cell r="D125">
            <v>133.81</v>
          </cell>
          <cell r="E125">
            <v>134</v>
          </cell>
          <cell r="F125">
            <v>140</v>
          </cell>
          <cell r="G125">
            <v>112.28</v>
          </cell>
          <cell r="H125">
            <v>161</v>
          </cell>
          <cell r="I125">
            <v>149.15</v>
          </cell>
          <cell r="J125">
            <v>123</v>
          </cell>
          <cell r="K125">
            <v>129</v>
          </cell>
          <cell r="L125">
            <v>144.37</v>
          </cell>
          <cell r="M125">
            <v>125.36</v>
          </cell>
          <cell r="N125">
            <v>124.41</v>
          </cell>
          <cell r="O125">
            <v>142.87</v>
          </cell>
          <cell r="P125">
            <v>134.9375</v>
          </cell>
        </row>
        <row r="126">
          <cell r="A126" t="str">
            <v>Average Unit Rate</v>
          </cell>
          <cell r="B126" t="str">
            <v>Actual 08/09</v>
          </cell>
          <cell r="C126" t="str">
            <v>- BMAD M - F Interstate</v>
          </cell>
          <cell r="D126">
            <v>270.41000000000003</v>
          </cell>
          <cell r="E126">
            <v>266</v>
          </cell>
          <cell r="F126">
            <v>236</v>
          </cell>
          <cell r="G126">
            <v>202.91</v>
          </cell>
          <cell r="H126">
            <v>246</v>
          </cell>
          <cell r="I126">
            <v>244.19</v>
          </cell>
          <cell r="J126">
            <v>244</v>
          </cell>
          <cell r="K126">
            <v>238</v>
          </cell>
          <cell r="L126">
            <v>215.74</v>
          </cell>
          <cell r="M126">
            <v>215.93</v>
          </cell>
          <cell r="N126">
            <v>225.59</v>
          </cell>
          <cell r="O126">
            <v>212.15</v>
          </cell>
          <cell r="P126">
            <v>234.74333333333334</v>
          </cell>
        </row>
        <row r="127">
          <cell r="A127" t="str">
            <v>Fill Level</v>
          </cell>
          <cell r="B127" t="str">
            <v>Actual 08/09</v>
          </cell>
          <cell r="C127" t="str">
            <v>- ROS Total</v>
          </cell>
          <cell r="D127">
            <v>0.92400000000000004</v>
          </cell>
          <cell r="E127">
            <v>0.81299999999999994</v>
          </cell>
          <cell r="F127">
            <v>0.82489999999999997</v>
          </cell>
          <cell r="G127">
            <v>0.68359999999999999</v>
          </cell>
          <cell r="H127">
            <v>0.87029999999999996</v>
          </cell>
          <cell r="I127">
            <v>0.83030000000000004</v>
          </cell>
          <cell r="J127">
            <v>0.85780000000000001</v>
          </cell>
          <cell r="K127">
            <v>0.82</v>
          </cell>
          <cell r="L127">
            <v>0.84630000000000005</v>
          </cell>
          <cell r="M127">
            <v>0.80304101838755304</v>
          </cell>
          <cell r="N127">
            <v>0.79467613132209403</v>
          </cell>
          <cell r="O127">
            <v>0.93927789934354489</v>
          </cell>
          <cell r="P127">
            <v>0.83393292075443259</v>
          </cell>
        </row>
        <row r="128">
          <cell r="A128" t="str">
            <v>Fill Level</v>
          </cell>
          <cell r="B128" t="str">
            <v>Actual 08/09</v>
          </cell>
          <cell r="C128" t="str">
            <v xml:space="preserve"> - BMAD M-F</v>
          </cell>
          <cell r="D128">
            <v>0.98799999999999999</v>
          </cell>
          <cell r="E128">
            <v>0.97670000000000001</v>
          </cell>
          <cell r="F128">
            <v>0.91139999999999999</v>
          </cell>
          <cell r="G128">
            <v>0.83450000000000002</v>
          </cell>
          <cell r="H128">
            <v>0.99529999999999996</v>
          </cell>
          <cell r="I128">
            <v>0.93369999999999997</v>
          </cell>
          <cell r="J128">
            <v>0.9546</v>
          </cell>
          <cell r="K128">
            <v>0.95499999999999996</v>
          </cell>
          <cell r="L128">
            <v>0.93320000000000003</v>
          </cell>
          <cell r="M128">
            <v>0.96889999999999998</v>
          </cell>
          <cell r="N128">
            <v>0.94115586690017516</v>
          </cell>
          <cell r="O128">
            <v>0.98666666666666669</v>
          </cell>
          <cell r="P128">
            <v>0.94826021113057013</v>
          </cell>
        </row>
        <row r="129">
          <cell r="A129" t="str">
            <v>Recoveries</v>
          </cell>
          <cell r="B129" t="str">
            <v>Actual 08/09</v>
          </cell>
          <cell r="C129" t="str">
            <v xml:space="preserve"> - Total</v>
          </cell>
          <cell r="D129">
            <v>23475</v>
          </cell>
          <cell r="E129">
            <v>61505</v>
          </cell>
          <cell r="F129">
            <v>49085</v>
          </cell>
          <cell r="G129">
            <v>53546</v>
          </cell>
          <cell r="H129">
            <v>64230</v>
          </cell>
          <cell r="I129">
            <v>55053</v>
          </cell>
          <cell r="J129">
            <v>42876</v>
          </cell>
          <cell r="K129">
            <v>32976</v>
          </cell>
          <cell r="L129">
            <v>59887</v>
          </cell>
          <cell r="M129">
            <v>41644.800000000003</v>
          </cell>
          <cell r="N129">
            <v>33538</v>
          </cell>
          <cell r="O129">
            <v>48890.6</v>
          </cell>
          <cell r="P129">
            <v>566706.4</v>
          </cell>
        </row>
        <row r="130">
          <cell r="A130" t="str">
            <v>Sales Commission</v>
          </cell>
          <cell r="B130" t="str">
            <v>Actual 08/09</v>
          </cell>
          <cell r="C130" t="str">
            <v xml:space="preserve"> - Total</v>
          </cell>
          <cell r="D130">
            <v>18129</v>
          </cell>
          <cell r="E130">
            <v>19500</v>
          </cell>
          <cell r="F130">
            <v>19314</v>
          </cell>
          <cell r="G130">
            <v>9500</v>
          </cell>
          <cell r="H130">
            <v>21000</v>
          </cell>
          <cell r="I130">
            <v>20000</v>
          </cell>
          <cell r="J130">
            <v>11000</v>
          </cell>
          <cell r="K130">
            <v>15000</v>
          </cell>
          <cell r="L130">
            <v>13000</v>
          </cell>
          <cell r="M130">
            <v>18493.8</v>
          </cell>
          <cell r="N130">
            <v>11959.425000000001</v>
          </cell>
          <cell r="O130">
            <v>10725</v>
          </cell>
          <cell r="P130">
            <v>187621.22499999998</v>
          </cell>
        </row>
        <row r="131">
          <cell r="A131" t="str">
            <v>Sales Commission</v>
          </cell>
          <cell r="B131" t="str">
            <v>Actual 08/09</v>
          </cell>
          <cell r="C131" t="str">
            <v xml:space="preserve"> %</v>
          </cell>
          <cell r="D131">
            <v>1.7147494558940789E-2</v>
          </cell>
          <cell r="E131">
            <v>2.0563893599250843E-2</v>
          </cell>
          <cell r="F131">
            <v>2.2197091415607609E-2</v>
          </cell>
          <cell r="G131">
            <v>1.3468586294650135E-2</v>
          </cell>
          <cell r="H131">
            <v>2.2779117406825273E-2</v>
          </cell>
          <cell r="I131">
            <v>2.3356354913826729E-2</v>
          </cell>
          <cell r="J131">
            <v>1.3167486841490991E-2</v>
          </cell>
          <cell r="K131">
            <v>1.8246998672834962E-2</v>
          </cell>
          <cell r="L131">
            <v>1.572387900837962E-2</v>
          </cell>
          <cell r="M131">
            <v>2.3777094082147187E-2</v>
          </cell>
          <cell r="N131">
            <v>1.6242156942633638E-2</v>
          </cell>
          <cell r="O131">
            <v>1.1351909184726523E-2</v>
          </cell>
          <cell r="P131">
            <v>1.8211651653622121E-2</v>
          </cell>
        </row>
        <row r="132">
          <cell r="A132" t="str">
            <v>Client Retention</v>
          </cell>
          <cell r="B132" t="str">
            <v>Actual 08/09</v>
          </cell>
          <cell r="C132" t="str">
            <v>- Total</v>
          </cell>
          <cell r="D132">
            <v>85</v>
          </cell>
          <cell r="E132">
            <v>83</v>
          </cell>
          <cell r="F132">
            <v>63</v>
          </cell>
          <cell r="G132">
            <v>54</v>
          </cell>
          <cell r="H132">
            <v>57</v>
          </cell>
          <cell r="I132">
            <v>63</v>
          </cell>
          <cell r="J132">
            <v>69</v>
          </cell>
          <cell r="K132">
            <v>67</v>
          </cell>
          <cell r="L132">
            <v>78</v>
          </cell>
          <cell r="M132">
            <v>68</v>
          </cell>
          <cell r="N132">
            <v>62</v>
          </cell>
          <cell r="O132">
            <v>72</v>
          </cell>
          <cell r="P132">
            <v>68.416666666666671</v>
          </cell>
        </row>
        <row r="133">
          <cell r="B133" t="str">
            <v>Actual 08/09</v>
          </cell>
          <cell r="C133" t="str">
            <v>%</v>
          </cell>
          <cell r="D133">
            <v>0.6640625</v>
          </cell>
          <cell r="E133">
            <v>0.6058394160583942</v>
          </cell>
          <cell r="F133">
            <v>0.52066115702479343</v>
          </cell>
          <cell r="G133">
            <v>0.46956521739130436</v>
          </cell>
          <cell r="H133">
            <v>0.5757575757575758</v>
          </cell>
          <cell r="I133">
            <v>0.54782608695652169</v>
          </cell>
          <cell r="J133">
            <v>0.57983193277310929</v>
          </cell>
          <cell r="K133">
            <v>0.62037037037037035</v>
          </cell>
          <cell r="L133">
            <v>0.67826086956521736</v>
          </cell>
          <cell r="M133">
            <v>0.55737704918032782</v>
          </cell>
          <cell r="N133">
            <v>0.60194174757281549</v>
          </cell>
          <cell r="O133">
            <v>0.62608695652173918</v>
          </cell>
          <cell r="P133">
            <v>0.58729840659768073</v>
          </cell>
        </row>
        <row r="134">
          <cell r="A134" t="str">
            <v>Av Client Spend</v>
          </cell>
          <cell r="B134" t="str">
            <v>Actual 08/09</v>
          </cell>
          <cell r="C134" t="str">
            <v xml:space="preserve"> - Total</v>
          </cell>
          <cell r="D134">
            <v>8022.55</v>
          </cell>
          <cell r="E134">
            <v>8271.1</v>
          </cell>
          <cell r="F134">
            <v>7855.37</v>
          </cell>
          <cell r="G134">
            <v>7447.23</v>
          </cell>
          <cell r="H134">
            <v>8377</v>
          </cell>
          <cell r="I134">
            <v>7573.96</v>
          </cell>
          <cell r="J134">
            <v>8032.57</v>
          </cell>
          <cell r="K134">
            <v>7517</v>
          </cell>
          <cell r="L134">
            <v>7117.05</v>
          </cell>
          <cell r="M134">
            <v>7828.73</v>
          </cell>
          <cell r="N134">
            <v>6860.74</v>
          </cell>
          <cell r="O134">
            <v>8114.33</v>
          </cell>
          <cell r="P134">
            <v>7751.4691666666668</v>
          </cell>
        </row>
        <row r="135">
          <cell r="A135" t="str">
            <v>No. of Clients</v>
          </cell>
          <cell r="B135" t="str">
            <v>Actual 08/09</v>
          </cell>
          <cell r="C135" t="str">
            <v>- Total</v>
          </cell>
          <cell r="D135">
            <v>137</v>
          </cell>
          <cell r="E135">
            <v>121</v>
          </cell>
          <cell r="F135">
            <v>115</v>
          </cell>
          <cell r="G135">
            <v>99</v>
          </cell>
          <cell r="H135">
            <v>115</v>
          </cell>
          <cell r="I135">
            <v>119</v>
          </cell>
          <cell r="J135">
            <v>108</v>
          </cell>
          <cell r="K135">
            <v>115</v>
          </cell>
          <cell r="L135">
            <v>122</v>
          </cell>
          <cell r="M135">
            <v>103</v>
          </cell>
          <cell r="N135">
            <v>115</v>
          </cell>
          <cell r="O135">
            <v>122</v>
          </cell>
          <cell r="P135">
            <v>115.91666666666667</v>
          </cell>
        </row>
        <row r="136">
          <cell r="A136" t="str">
            <v>Top 20 Clients</v>
          </cell>
          <cell r="B136" t="str">
            <v>Actual 08/09</v>
          </cell>
          <cell r="C136" t="str">
            <v xml:space="preserve"> - No</v>
          </cell>
        </row>
        <row r="137">
          <cell r="B137" t="str">
            <v>Actual 08/09</v>
          </cell>
          <cell r="C137" t="str">
            <v xml:space="preserve"> - $'s</v>
          </cell>
          <cell r="M137">
            <v>0</v>
          </cell>
          <cell r="N137">
            <v>0</v>
          </cell>
          <cell r="O137">
            <v>0</v>
          </cell>
        </row>
        <row r="138">
          <cell r="A138" t="str">
            <v>Total Spots</v>
          </cell>
          <cell r="B138" t="str">
            <v>Actual 08/09</v>
          </cell>
          <cell r="C138" t="str">
            <v>- Total</v>
          </cell>
          <cell r="D138">
            <v>5690</v>
          </cell>
          <cell r="E138">
            <v>5636</v>
          </cell>
          <cell r="F138">
            <v>5796</v>
          </cell>
          <cell r="G138">
            <v>5674</v>
          </cell>
          <cell r="H138">
            <v>5160</v>
          </cell>
          <cell r="I138">
            <v>5658</v>
          </cell>
          <cell r="J138">
            <v>5458</v>
          </cell>
          <cell r="K138">
            <v>5644</v>
          </cell>
          <cell r="L138">
            <v>5503</v>
          </cell>
          <cell r="M138">
            <v>5056</v>
          </cell>
          <cell r="N138">
            <v>5635</v>
          </cell>
          <cell r="O138">
            <v>5484</v>
          </cell>
          <cell r="P138">
            <v>66394</v>
          </cell>
        </row>
        <row r="146">
          <cell r="D146" t="str">
            <v>Oct</v>
          </cell>
          <cell r="E146" t="str">
            <v>Nov</v>
          </cell>
          <cell r="F146" t="str">
            <v>Dec</v>
          </cell>
          <cell r="G146" t="str">
            <v>Jan</v>
          </cell>
          <cell r="H146" t="str">
            <v>Feb</v>
          </cell>
          <cell r="I146" t="str">
            <v>Mar</v>
          </cell>
          <cell r="J146" t="str">
            <v>April</v>
          </cell>
          <cell r="K146" t="str">
            <v>May</v>
          </cell>
          <cell r="L146" t="str">
            <v>June</v>
          </cell>
          <cell r="M146" t="str">
            <v>July</v>
          </cell>
          <cell r="N146" t="str">
            <v>August</v>
          </cell>
          <cell r="O146" t="str">
            <v>Sept</v>
          </cell>
          <cell r="P146" t="str">
            <v>Total</v>
          </cell>
        </row>
        <row r="147">
          <cell r="A147" t="str">
            <v>Ratings</v>
          </cell>
          <cell r="B147" t="str">
            <v>Budget 09/10</v>
          </cell>
          <cell r="C147" t="str">
            <v>- 10+</v>
          </cell>
          <cell r="D147">
            <v>10.5</v>
          </cell>
          <cell r="E147">
            <v>10.6</v>
          </cell>
          <cell r="F147">
            <v>10.8</v>
          </cell>
          <cell r="G147">
            <v>10.8</v>
          </cell>
          <cell r="H147">
            <v>11</v>
          </cell>
          <cell r="I147">
            <v>11</v>
          </cell>
          <cell r="J147">
            <v>10.8</v>
          </cell>
          <cell r="K147">
            <v>11</v>
          </cell>
          <cell r="L147">
            <v>11</v>
          </cell>
          <cell r="M147">
            <v>11.200000000000001</v>
          </cell>
          <cell r="N147">
            <v>11.3</v>
          </cell>
          <cell r="O147">
            <v>11.3</v>
          </cell>
          <cell r="P147">
            <v>10.941666666666668</v>
          </cell>
        </row>
        <row r="148">
          <cell r="B148" t="str">
            <v>Budget 09/10</v>
          </cell>
          <cell r="C148" t="str">
            <v>- ACS</v>
          </cell>
          <cell r="D148">
            <v>15.2</v>
          </cell>
          <cell r="E148">
            <v>15.2</v>
          </cell>
          <cell r="F148">
            <v>15.6</v>
          </cell>
          <cell r="G148">
            <v>15.6</v>
          </cell>
          <cell r="H148">
            <v>15.9</v>
          </cell>
          <cell r="I148">
            <v>15.9</v>
          </cell>
          <cell r="J148">
            <v>15.9</v>
          </cell>
          <cell r="K148">
            <v>15.9</v>
          </cell>
          <cell r="L148">
            <v>15.9</v>
          </cell>
          <cell r="M148">
            <v>16</v>
          </cell>
          <cell r="N148">
            <v>16.2</v>
          </cell>
          <cell r="O148">
            <v>16.2</v>
          </cell>
          <cell r="P148">
            <v>15.791666666666666</v>
          </cell>
        </row>
        <row r="149">
          <cell r="B149" t="str">
            <v>Budget 09/10</v>
          </cell>
          <cell r="C149" t="str">
            <v>- 18 - 39</v>
          </cell>
          <cell r="D149">
            <v>22</v>
          </cell>
          <cell r="E149">
            <v>22.5</v>
          </cell>
          <cell r="F149">
            <v>23</v>
          </cell>
          <cell r="G149">
            <v>23</v>
          </cell>
          <cell r="H149">
            <v>23.5</v>
          </cell>
          <cell r="I149">
            <v>23.5</v>
          </cell>
          <cell r="J149">
            <v>23</v>
          </cell>
          <cell r="K149">
            <v>24</v>
          </cell>
          <cell r="L149">
            <v>24</v>
          </cell>
          <cell r="M149">
            <v>23.7</v>
          </cell>
          <cell r="N149">
            <v>23.5</v>
          </cell>
          <cell r="O149">
            <v>23.5</v>
          </cell>
          <cell r="P149">
            <v>23.266666666666666</v>
          </cell>
        </row>
        <row r="150">
          <cell r="A150" t="str">
            <v>Revenue</v>
          </cell>
          <cell r="B150" t="str">
            <v>Budget 09/10</v>
          </cell>
          <cell r="C150" t="str">
            <v>- Total</v>
          </cell>
          <cell r="D150">
            <v>1041945.8</v>
          </cell>
          <cell r="E150">
            <v>971268.9800000001</v>
          </cell>
          <cell r="F150">
            <v>905228.53</v>
          </cell>
          <cell r="G150">
            <v>781475.1</v>
          </cell>
          <cell r="H150">
            <v>966207.12</v>
          </cell>
          <cell r="I150">
            <v>903114.87</v>
          </cell>
          <cell r="J150">
            <v>957558.97</v>
          </cell>
          <cell r="K150">
            <v>973009.24683764996</v>
          </cell>
          <cell r="L150">
            <v>1020044.1218209999</v>
          </cell>
          <cell r="M150">
            <v>964379.95500000007</v>
          </cell>
          <cell r="N150">
            <v>930278.01000000013</v>
          </cell>
          <cell r="O150">
            <v>1036948.7550000001</v>
          </cell>
          <cell r="P150">
            <v>11451459.458658651</v>
          </cell>
        </row>
        <row r="151">
          <cell r="B151" t="str">
            <v>Budget 09/10</v>
          </cell>
          <cell r="C151" t="str">
            <v>- Agency</v>
          </cell>
          <cell r="D151">
            <v>315515.2</v>
          </cell>
          <cell r="E151">
            <v>290624.25</v>
          </cell>
          <cell r="F151">
            <v>232199</v>
          </cell>
          <cell r="G151">
            <v>258484.8</v>
          </cell>
          <cell r="H151">
            <v>357528.60000000003</v>
          </cell>
          <cell r="I151">
            <v>261426</v>
          </cell>
          <cell r="J151">
            <v>295460</v>
          </cell>
          <cell r="K151">
            <v>306589.8</v>
          </cell>
          <cell r="L151">
            <v>275187.42562500003</v>
          </cell>
          <cell r="M151">
            <v>270489.375</v>
          </cell>
          <cell r="N151">
            <v>258383.25</v>
          </cell>
          <cell r="O151">
            <v>291379.27500000002</v>
          </cell>
          <cell r="P151">
            <v>3413266.975625</v>
          </cell>
        </row>
        <row r="152">
          <cell r="B152" t="str">
            <v>Budget 09/10</v>
          </cell>
          <cell r="C152" t="str">
            <v>- Direct</v>
          </cell>
          <cell r="D152">
            <v>237194.1</v>
          </cell>
          <cell r="E152">
            <v>250472.43000000002</v>
          </cell>
          <cell r="F152">
            <v>235250.73</v>
          </cell>
          <cell r="G152">
            <v>193401</v>
          </cell>
          <cell r="H152">
            <v>204324.12000000002</v>
          </cell>
          <cell r="I152">
            <v>221698.62000000002</v>
          </cell>
          <cell r="J152">
            <v>203832.72</v>
          </cell>
          <cell r="K152">
            <v>208058.75999999998</v>
          </cell>
          <cell r="L152">
            <v>219473.163</v>
          </cell>
          <cell r="M152">
            <v>222807.78</v>
          </cell>
          <cell r="N152">
            <v>228297.42</v>
          </cell>
          <cell r="O152">
            <v>249659.28000000003</v>
          </cell>
          <cell r="P152">
            <v>2674470.1229999997</v>
          </cell>
        </row>
        <row r="153">
          <cell r="B153" t="str">
            <v>Budget 09/10</v>
          </cell>
          <cell r="C153" t="str">
            <v>- Vic</v>
          </cell>
          <cell r="D153">
            <v>131187.69999999998</v>
          </cell>
          <cell r="E153">
            <v>122749.9</v>
          </cell>
          <cell r="F153">
            <v>126165.2</v>
          </cell>
          <cell r="G153">
            <v>114552.9</v>
          </cell>
          <cell r="H153">
            <v>131392.79999999999</v>
          </cell>
          <cell r="I153">
            <v>123665.84999999999</v>
          </cell>
          <cell r="J153">
            <v>133547.25</v>
          </cell>
          <cell r="K153">
            <v>146643.69483565001</v>
          </cell>
          <cell r="L153">
            <v>181911.36259999999</v>
          </cell>
          <cell r="M153">
            <v>148552.79999999999</v>
          </cell>
          <cell r="N153">
            <v>147798</v>
          </cell>
          <cell r="O153">
            <v>152847</v>
          </cell>
          <cell r="P153">
            <v>1661014.4574356501</v>
          </cell>
        </row>
        <row r="154">
          <cell r="B154" t="str">
            <v>Budget 09/10</v>
          </cell>
          <cell r="C154" t="str">
            <v>- NSW</v>
          </cell>
          <cell r="D154">
            <v>295528.80000000005</v>
          </cell>
          <cell r="E154">
            <v>270558.40000000002</v>
          </cell>
          <cell r="F154">
            <v>265893.60000000003</v>
          </cell>
          <cell r="G154">
            <v>171428.4</v>
          </cell>
          <cell r="H154">
            <v>227541.6</v>
          </cell>
          <cell r="I154">
            <v>253796.4</v>
          </cell>
          <cell r="J154">
            <v>292799</v>
          </cell>
          <cell r="K154">
            <v>289073.092022</v>
          </cell>
          <cell r="L154">
            <v>300710.99619599996</v>
          </cell>
          <cell r="M154">
            <v>279786</v>
          </cell>
          <cell r="N154">
            <v>264258.54000000004</v>
          </cell>
          <cell r="O154">
            <v>294902.40000000002</v>
          </cell>
          <cell r="P154">
            <v>3206277.2282179999</v>
          </cell>
        </row>
        <row r="155">
          <cell r="B155" t="str">
            <v>Budget 09/10</v>
          </cell>
          <cell r="C155" t="str">
            <v>- Qld</v>
          </cell>
          <cell r="D155">
            <v>39840</v>
          </cell>
          <cell r="E155">
            <v>20880</v>
          </cell>
          <cell r="F155">
            <v>29520</v>
          </cell>
          <cell r="G155">
            <v>22080</v>
          </cell>
          <cell r="H155">
            <v>23760</v>
          </cell>
          <cell r="I155">
            <v>19200</v>
          </cell>
          <cell r="J155">
            <v>12480</v>
          </cell>
          <cell r="K155">
            <v>14168.183999999999</v>
          </cell>
          <cell r="L155">
            <v>16163.279999999999</v>
          </cell>
          <cell r="M155">
            <v>21888</v>
          </cell>
          <cell r="N155">
            <v>12084</v>
          </cell>
          <cell r="O155">
            <v>33060</v>
          </cell>
          <cell r="P155">
            <v>265123.46400000004</v>
          </cell>
        </row>
        <row r="156">
          <cell r="B156" t="str">
            <v>Budget 09/10</v>
          </cell>
          <cell r="C156" t="str">
            <v>- WA</v>
          </cell>
          <cell r="D156">
            <v>22680</v>
          </cell>
          <cell r="E156">
            <v>15984</v>
          </cell>
          <cell r="F156">
            <v>16200</v>
          </cell>
          <cell r="G156">
            <v>21528</v>
          </cell>
          <cell r="H156">
            <v>21660</v>
          </cell>
          <cell r="I156">
            <v>23328</v>
          </cell>
          <cell r="J156">
            <v>19440</v>
          </cell>
          <cell r="K156">
            <v>8475.7159800000009</v>
          </cell>
          <cell r="L156">
            <v>26597.894400000001</v>
          </cell>
          <cell r="M156">
            <v>20856</v>
          </cell>
          <cell r="N156">
            <v>19456.8</v>
          </cell>
          <cell r="O156">
            <v>15100.800000000001</v>
          </cell>
          <cell r="P156">
            <v>231307.21037999997</v>
          </cell>
        </row>
        <row r="157">
          <cell r="A157" t="str">
            <v>Multimedia Revenue</v>
          </cell>
          <cell r="B157" t="str">
            <v>Budget 09/10</v>
          </cell>
          <cell r="C157" t="str">
            <v xml:space="preserve"> - Total</v>
          </cell>
          <cell r="D157">
            <v>15000</v>
          </cell>
          <cell r="E157">
            <v>15000</v>
          </cell>
          <cell r="F157">
            <v>15000</v>
          </cell>
          <cell r="G157">
            <v>20000</v>
          </cell>
          <cell r="H157">
            <v>22000</v>
          </cell>
          <cell r="I157">
            <v>22000</v>
          </cell>
          <cell r="J157">
            <v>25000</v>
          </cell>
          <cell r="K157">
            <v>25000</v>
          </cell>
          <cell r="L157">
            <v>25000</v>
          </cell>
          <cell r="M157">
            <v>27000</v>
          </cell>
          <cell r="N157">
            <v>27000</v>
          </cell>
          <cell r="O157">
            <v>27000</v>
          </cell>
          <cell r="P157">
            <v>265000</v>
          </cell>
        </row>
        <row r="158">
          <cell r="A158" t="str">
            <v>Non Spot Revenue</v>
          </cell>
          <cell r="B158" t="str">
            <v>Budget 09/10</v>
          </cell>
          <cell r="C158" t="str">
            <v xml:space="preserve"> - Total</v>
          </cell>
          <cell r="D158">
            <v>123000</v>
          </cell>
          <cell r="E158">
            <v>123000</v>
          </cell>
          <cell r="F158">
            <v>74000</v>
          </cell>
          <cell r="G158">
            <v>84000</v>
          </cell>
          <cell r="H158">
            <v>123000</v>
          </cell>
          <cell r="I158">
            <v>123000</v>
          </cell>
          <cell r="J158">
            <v>125000</v>
          </cell>
          <cell r="K158">
            <v>125000</v>
          </cell>
          <cell r="L158">
            <v>125000</v>
          </cell>
          <cell r="M158">
            <v>125000</v>
          </cell>
          <cell r="N158">
            <v>125000</v>
          </cell>
          <cell r="O158">
            <v>125000</v>
          </cell>
          <cell r="P158">
            <v>1400000</v>
          </cell>
        </row>
        <row r="159">
          <cell r="A159" t="str">
            <v>PW Share</v>
          </cell>
          <cell r="B159" t="str">
            <v>Budget 09/10</v>
          </cell>
          <cell r="C159" t="str">
            <v>- Total</v>
          </cell>
          <cell r="D159">
            <v>19.233460578584406</v>
          </cell>
          <cell r="E159">
            <v>18.523736715378934</v>
          </cell>
          <cell r="F159">
            <v>18.774053342182217</v>
          </cell>
          <cell r="G159">
            <v>18.98373881041163</v>
          </cell>
          <cell r="H159">
            <v>20.080953370632393</v>
          </cell>
          <cell r="I159">
            <v>18.769182345496073</v>
          </cell>
          <cell r="J159">
            <v>19.284396007620643</v>
          </cell>
          <cell r="K159">
            <v>19.229040848057359</v>
          </cell>
          <cell r="L159">
            <v>19.39057024355505</v>
          </cell>
          <cell r="M159">
            <v>19.149892225009953</v>
          </cell>
          <cell r="N159">
            <v>18.968584769026585</v>
          </cell>
          <cell r="O159">
            <v>19.05074039759409</v>
          </cell>
          <cell r="P159">
            <v>19.119862471129114</v>
          </cell>
        </row>
        <row r="160">
          <cell r="B160" t="str">
            <v>Budget 09/10</v>
          </cell>
          <cell r="C160" t="str">
            <v>- Agency</v>
          </cell>
          <cell r="D160">
            <v>22</v>
          </cell>
          <cell r="E160">
            <v>21</v>
          </cell>
          <cell r="F160">
            <v>22</v>
          </cell>
          <cell r="G160">
            <v>24</v>
          </cell>
          <cell r="H160">
            <v>26</v>
          </cell>
          <cell r="I160">
            <v>22</v>
          </cell>
          <cell r="J160">
            <v>22</v>
          </cell>
          <cell r="K160">
            <v>22</v>
          </cell>
          <cell r="L160">
            <v>22.5</v>
          </cell>
          <cell r="M160">
            <v>22.5</v>
          </cell>
          <cell r="N160">
            <v>22.5</v>
          </cell>
          <cell r="O160">
            <v>22.5</v>
          </cell>
          <cell r="P160">
            <v>22.583333333333332</v>
          </cell>
        </row>
        <row r="161">
          <cell r="B161" t="str">
            <v>Budget 09/10</v>
          </cell>
          <cell r="C161" t="str">
            <v>- Direct</v>
          </cell>
          <cell r="D161">
            <v>11.700000000000001</v>
          </cell>
          <cell r="E161">
            <v>11.700000000000001</v>
          </cell>
          <cell r="F161">
            <v>11.700000000000001</v>
          </cell>
          <cell r="G161">
            <v>11.700000000000001</v>
          </cell>
          <cell r="H161">
            <v>11.700000000000001</v>
          </cell>
          <cell r="I161">
            <v>11.700000000000001</v>
          </cell>
          <cell r="J161">
            <v>11.700000000000001</v>
          </cell>
          <cell r="K161">
            <v>11.700000000000001</v>
          </cell>
          <cell r="L161">
            <v>11.700000000000001</v>
          </cell>
          <cell r="M161">
            <v>11.700000000000001</v>
          </cell>
          <cell r="N161">
            <v>11.700000000000001</v>
          </cell>
          <cell r="O161">
            <v>11.700000000000001</v>
          </cell>
          <cell r="P161">
            <v>11.700000000000001</v>
          </cell>
        </row>
        <row r="162">
          <cell r="B162" t="str">
            <v>Budget 09/10</v>
          </cell>
          <cell r="C162" t="str">
            <v>- Vic</v>
          </cell>
          <cell r="D162">
            <v>20.5</v>
          </cell>
          <cell r="E162">
            <v>20.5</v>
          </cell>
          <cell r="F162">
            <v>20.5</v>
          </cell>
          <cell r="G162">
            <v>21</v>
          </cell>
          <cell r="H162">
            <v>21</v>
          </cell>
          <cell r="I162">
            <v>21.5</v>
          </cell>
          <cell r="J162">
            <v>21.5</v>
          </cell>
          <cell r="K162">
            <v>21.5</v>
          </cell>
          <cell r="L162">
            <v>22</v>
          </cell>
          <cell r="M162">
            <v>22</v>
          </cell>
          <cell r="N162">
            <v>22.5</v>
          </cell>
          <cell r="O162">
            <v>22.5</v>
          </cell>
          <cell r="P162">
            <v>21.416666666666668</v>
          </cell>
        </row>
        <row r="163">
          <cell r="B163" t="str">
            <v>Budget 09/10</v>
          </cell>
          <cell r="C163" t="str">
            <v>- NSW</v>
          </cell>
          <cell r="D163">
            <v>28.000000000000004</v>
          </cell>
          <cell r="E163">
            <v>28.000000000000004</v>
          </cell>
          <cell r="F163">
            <v>28.000000000000004</v>
          </cell>
          <cell r="G163">
            <v>26</v>
          </cell>
          <cell r="H163">
            <v>26</v>
          </cell>
          <cell r="I163">
            <v>26</v>
          </cell>
          <cell r="J163">
            <v>26</v>
          </cell>
          <cell r="K163">
            <v>26</v>
          </cell>
          <cell r="L163">
            <v>26</v>
          </cell>
          <cell r="M163">
            <v>26</v>
          </cell>
          <cell r="N163">
            <v>26</v>
          </cell>
          <cell r="O163">
            <v>26</v>
          </cell>
          <cell r="P163">
            <v>26.5</v>
          </cell>
        </row>
        <row r="164">
          <cell r="B164" t="str">
            <v>Budget 09/10</v>
          </cell>
          <cell r="C164" t="str">
            <v>- Qld</v>
          </cell>
          <cell r="D164">
            <v>24</v>
          </cell>
          <cell r="E164">
            <v>24</v>
          </cell>
          <cell r="F164">
            <v>24</v>
          </cell>
          <cell r="G164">
            <v>24</v>
          </cell>
          <cell r="H164">
            <v>24</v>
          </cell>
          <cell r="I164">
            <v>24</v>
          </cell>
          <cell r="J164">
            <v>24</v>
          </cell>
          <cell r="K164">
            <v>24</v>
          </cell>
          <cell r="L164">
            <v>24</v>
          </cell>
          <cell r="M164">
            <v>24</v>
          </cell>
          <cell r="N164">
            <v>24</v>
          </cell>
          <cell r="O164">
            <v>24</v>
          </cell>
          <cell r="P164">
            <v>24</v>
          </cell>
        </row>
        <row r="165">
          <cell r="B165" t="str">
            <v>Budget 09/10</v>
          </cell>
          <cell r="C165" t="str">
            <v>- WA</v>
          </cell>
          <cell r="D165">
            <v>24</v>
          </cell>
          <cell r="E165">
            <v>24</v>
          </cell>
          <cell r="F165">
            <v>24</v>
          </cell>
          <cell r="G165">
            <v>24</v>
          </cell>
          <cell r="H165">
            <v>24</v>
          </cell>
          <cell r="I165">
            <v>24</v>
          </cell>
          <cell r="J165">
            <v>24</v>
          </cell>
          <cell r="K165">
            <v>24</v>
          </cell>
          <cell r="L165">
            <v>24</v>
          </cell>
          <cell r="M165">
            <v>24</v>
          </cell>
          <cell r="N165">
            <v>24</v>
          </cell>
          <cell r="O165">
            <v>24</v>
          </cell>
          <cell r="P165">
            <v>24</v>
          </cell>
        </row>
        <row r="166">
          <cell r="A166" t="str">
            <v>Power Ratio</v>
          </cell>
          <cell r="B166" t="str">
            <v>Budget 09/10</v>
          </cell>
          <cell r="C166" t="str">
            <v>- ACS</v>
          </cell>
          <cell r="D166">
            <v>1.2653592485910794</v>
          </cell>
          <cell r="E166">
            <v>1.2186668891696668</v>
          </cell>
          <cell r="F166">
            <v>1.2034649578321934</v>
          </cell>
          <cell r="G166">
            <v>1.2169063340007455</v>
          </cell>
          <cell r="H166">
            <v>1.2629530421781379</v>
          </cell>
          <cell r="I166">
            <v>1.1804517198425204</v>
          </cell>
          <cell r="J166">
            <v>1.2128550948189083</v>
          </cell>
          <cell r="K166">
            <v>1.2093736382426012</v>
          </cell>
          <cell r="L166">
            <v>1.2195327197204433</v>
          </cell>
          <cell r="M166">
            <v>1.1968682640631221</v>
          </cell>
          <cell r="N166">
            <v>1.1709002943843572</v>
          </cell>
          <cell r="O166">
            <v>1.1759716294811167</v>
          </cell>
          <cell r="P166">
            <v>1.2111086526937409</v>
          </cell>
        </row>
        <row r="167">
          <cell r="A167" t="str">
            <v>Market Growth</v>
          </cell>
          <cell r="B167" t="str">
            <v>Budget 09/10</v>
          </cell>
          <cell r="C167" t="str">
            <v>- Total</v>
          </cell>
          <cell r="D167">
            <v>-2.8624708624708624E-2</v>
          </cell>
          <cell r="E167">
            <v>-2.3580074487895716E-2</v>
          </cell>
          <cell r="F167">
            <v>-2.335426372290865E-2</v>
          </cell>
          <cell r="G167">
            <v>-5.4240154626721427E-3</v>
          </cell>
          <cell r="H167">
            <v>-1.0577832613612996E-2</v>
          </cell>
          <cell r="I167">
            <v>9.7566049511129598E-4</v>
          </cell>
          <cell r="J167">
            <v>1.0472120472120473E-2</v>
          </cell>
          <cell r="K167">
            <v>1.708116486372312E-2</v>
          </cell>
          <cell r="L167">
            <v>1.0312348215350252E-2</v>
          </cell>
          <cell r="M167">
            <v>1.6056089379839097E-2</v>
          </cell>
          <cell r="N167">
            <v>1.8653858136878181E-2</v>
          </cell>
          <cell r="O167">
            <v>2.2704495279252196E-2</v>
          </cell>
          <cell r="P167">
            <v>5.3999999999999999E-2</v>
          </cell>
        </row>
        <row r="168">
          <cell r="A168" t="str">
            <v>Average Unit Rate</v>
          </cell>
          <cell r="B168" t="str">
            <v>Budget 09/10</v>
          </cell>
          <cell r="C168" t="str">
            <v>- ROS Total</v>
          </cell>
          <cell r="D168">
            <v>189.97945041223218</v>
          </cell>
          <cell r="E168">
            <v>183.20590306124657</v>
          </cell>
          <cell r="F168">
            <v>170.3539621512393</v>
          </cell>
          <cell r="G168">
            <v>159.10285596970661</v>
          </cell>
          <cell r="H168">
            <v>193.34291479409339</v>
          </cell>
          <cell r="I168">
            <v>159.87860647372023</v>
          </cell>
          <cell r="J168">
            <v>176.88879847365871</v>
          </cell>
          <cell r="K168">
            <v>178.13299475220245</v>
          </cell>
          <cell r="L168">
            <v>190.1646429799774</v>
          </cell>
          <cell r="M168">
            <v>173.53030237250576</v>
          </cell>
          <cell r="N168">
            <v>167.66565269171832</v>
          </cell>
          <cell r="O168">
            <v>193.75626874994694</v>
          </cell>
          <cell r="P168">
            <v>178.00019607352067</v>
          </cell>
        </row>
        <row r="169">
          <cell r="A169" t="str">
            <v>Average Unit Rate</v>
          </cell>
          <cell r="B169" t="str">
            <v>Budget 09/10</v>
          </cell>
          <cell r="C169" t="str">
            <v xml:space="preserve"> - BMAD M-F</v>
          </cell>
          <cell r="D169">
            <v>262.36501183886145</v>
          </cell>
          <cell r="E169">
            <v>254.27312660673869</v>
          </cell>
          <cell r="F169">
            <v>231.32693302309244</v>
          </cell>
          <cell r="G169">
            <v>231.76248806363657</v>
          </cell>
          <cell r="H169">
            <v>266.29256749037171</v>
          </cell>
          <cell r="I169">
            <v>216.97587914089266</v>
          </cell>
          <cell r="J169">
            <v>241.15212260347735</v>
          </cell>
          <cell r="K169">
            <v>250.43248297332482</v>
          </cell>
          <cell r="L169">
            <v>259.25105317272545</v>
          </cell>
          <cell r="M169">
            <v>239.64844480586126</v>
          </cell>
          <cell r="N169">
            <v>231.46617021388613</v>
          </cell>
          <cell r="O169">
            <v>264.14750894323873</v>
          </cell>
          <cell r="P169">
            <v>245.75781573967561</v>
          </cell>
        </row>
        <row r="170">
          <cell r="A170" t="str">
            <v>Fill Level</v>
          </cell>
          <cell r="B170" t="str">
            <v>Budget 09/10</v>
          </cell>
          <cell r="C170" t="str">
            <v>- ROS Total</v>
          </cell>
          <cell r="D170">
            <v>0.84801542776998606</v>
          </cell>
          <cell r="E170">
            <v>0.84001088534107393</v>
          </cell>
          <cell r="F170">
            <v>0.85363804034253499</v>
          </cell>
          <cell r="G170">
            <v>0.77071026722925462</v>
          </cell>
          <cell r="H170">
            <v>0.84650621118012426</v>
          </cell>
          <cell r="I170">
            <v>0.8536424072778166</v>
          </cell>
          <cell r="J170">
            <v>0.85142547033285065</v>
          </cell>
          <cell r="K170">
            <v>0.8369444444444446</v>
          </cell>
          <cell r="L170">
            <v>0.85142547033285065</v>
          </cell>
          <cell r="M170">
            <v>0.84801542776998606</v>
          </cell>
          <cell r="N170">
            <v>0.84261052631578948</v>
          </cell>
          <cell r="O170">
            <v>0.85142547033285065</v>
          </cell>
          <cell r="P170">
            <v>0.85</v>
          </cell>
        </row>
        <row r="171">
          <cell r="A171" t="str">
            <v>Fill Level</v>
          </cell>
          <cell r="B171" t="str">
            <v>Budget 09/10</v>
          </cell>
          <cell r="C171" t="str">
            <v xml:space="preserve"> - BMAD M-F</v>
          </cell>
          <cell r="D171">
            <v>0.98</v>
          </cell>
          <cell r="E171">
            <v>0.98</v>
          </cell>
          <cell r="F171">
            <v>0.98</v>
          </cell>
          <cell r="G171">
            <v>0.85</v>
          </cell>
          <cell r="H171">
            <v>0.98</v>
          </cell>
          <cell r="I171">
            <v>0.98</v>
          </cell>
          <cell r="J171">
            <v>0.98</v>
          </cell>
          <cell r="K171">
            <v>0.98</v>
          </cell>
          <cell r="L171">
            <v>0.98</v>
          </cell>
          <cell r="M171">
            <v>0.98</v>
          </cell>
          <cell r="N171">
            <v>0.98</v>
          </cell>
          <cell r="O171">
            <v>0.98</v>
          </cell>
          <cell r="P171">
            <v>0.98</v>
          </cell>
        </row>
        <row r="172">
          <cell r="A172" t="str">
            <v>Recoveries</v>
          </cell>
          <cell r="B172" t="str">
            <v>Budget 09/10</v>
          </cell>
          <cell r="C172" t="str">
            <v xml:space="preserve"> - Total</v>
          </cell>
          <cell r="D172">
            <v>26666.666666666668</v>
          </cell>
          <cell r="E172">
            <v>26666.666666666668</v>
          </cell>
          <cell r="F172">
            <v>26666.666666666668</v>
          </cell>
          <cell r="G172">
            <v>26666.666666666668</v>
          </cell>
          <cell r="H172">
            <v>26666.666666666668</v>
          </cell>
          <cell r="I172">
            <v>26666.666666666668</v>
          </cell>
          <cell r="J172">
            <v>26666.666666666668</v>
          </cell>
          <cell r="K172">
            <v>26666.666666666668</v>
          </cell>
          <cell r="L172">
            <v>26666.666666666668</v>
          </cell>
          <cell r="M172">
            <v>26666.666666666668</v>
          </cell>
          <cell r="N172">
            <v>26666.666666666668</v>
          </cell>
          <cell r="O172">
            <v>26666.666666666668</v>
          </cell>
          <cell r="P172">
            <v>320000</v>
          </cell>
        </row>
        <row r="173">
          <cell r="A173" t="str">
            <v>Sales Commission</v>
          </cell>
          <cell r="B173" t="str">
            <v>Budget 09/10</v>
          </cell>
          <cell r="C173" t="str">
            <v xml:space="preserve"> - Total</v>
          </cell>
          <cell r="D173">
            <v>18562.5</v>
          </cell>
          <cell r="E173">
            <v>18562.5</v>
          </cell>
          <cell r="F173">
            <v>18562.5</v>
          </cell>
          <cell r="G173">
            <v>18562.5</v>
          </cell>
          <cell r="H173">
            <v>18562.5</v>
          </cell>
          <cell r="I173">
            <v>18562.5</v>
          </cell>
          <cell r="J173">
            <v>18562.5</v>
          </cell>
          <cell r="K173">
            <v>18562.5</v>
          </cell>
          <cell r="L173">
            <v>18562.5</v>
          </cell>
          <cell r="M173">
            <v>18562.5</v>
          </cell>
          <cell r="N173">
            <v>18562.5</v>
          </cell>
          <cell r="O173">
            <v>18562.5</v>
          </cell>
          <cell r="P173">
            <v>222750</v>
          </cell>
        </row>
        <row r="174">
          <cell r="A174" t="str">
            <v>Sales Commission</v>
          </cell>
          <cell r="B174" t="str">
            <v>Budget 09/10</v>
          </cell>
          <cell r="C174" t="str">
            <v xml:space="preserve"> %</v>
          </cell>
          <cell r="D174">
            <v>1.7815226089495248E-2</v>
          </cell>
          <cell r="E174">
            <v>1.9111595636463134E-2</v>
          </cell>
          <cell r="F174">
            <v>2.0505871594656874E-2</v>
          </cell>
          <cell r="G174">
            <v>2.3753156050653437E-2</v>
          </cell>
          <cell r="H174">
            <v>1.9211719325769407E-2</v>
          </cell>
          <cell r="I174">
            <v>2.0553863762646275E-2</v>
          </cell>
          <cell r="J174">
            <v>1.9385229089337444E-2</v>
          </cell>
          <cell r="K174">
            <v>1.9077413765932298E-2</v>
          </cell>
          <cell r="L174">
            <v>1.8197742237719985E-2</v>
          </cell>
          <cell r="M174">
            <v>1.9248118859957017E-2</v>
          </cell>
          <cell r="N174">
            <v>1.9953712546639683E-2</v>
          </cell>
          <cell r="O174">
            <v>1.7901077474170839E-2</v>
          </cell>
          <cell r="P174">
            <v>1.9451669091102165E-2</v>
          </cell>
        </row>
        <row r="175">
          <cell r="A175" t="str">
            <v>Client Retention</v>
          </cell>
          <cell r="B175" t="str">
            <v>Budget 09/10</v>
          </cell>
          <cell r="C175" t="str">
            <v>No</v>
          </cell>
          <cell r="P175" t="e">
            <v>#DIV/0!</v>
          </cell>
        </row>
        <row r="176">
          <cell r="B176" t="str">
            <v>Budget 09/10</v>
          </cell>
          <cell r="C176" t="str">
            <v>$'s</v>
          </cell>
          <cell r="D176">
            <v>0.65</v>
          </cell>
          <cell r="E176">
            <v>0.65</v>
          </cell>
          <cell r="F176">
            <v>0.65</v>
          </cell>
          <cell r="G176">
            <v>0.65</v>
          </cell>
          <cell r="H176">
            <v>0.65</v>
          </cell>
          <cell r="I176">
            <v>0.65</v>
          </cell>
          <cell r="J176">
            <v>0.65</v>
          </cell>
          <cell r="K176">
            <v>0.65</v>
          </cell>
          <cell r="L176">
            <v>0.65</v>
          </cell>
          <cell r="M176">
            <v>0.65</v>
          </cell>
          <cell r="N176">
            <v>0.65</v>
          </cell>
          <cell r="O176">
            <v>0.65</v>
          </cell>
          <cell r="P176">
            <v>0.65000000000000013</v>
          </cell>
        </row>
        <row r="177">
          <cell r="A177" t="str">
            <v>Av Client Spend</v>
          </cell>
          <cell r="B177" t="str">
            <v>Budget 09/10</v>
          </cell>
          <cell r="C177" t="str">
            <v xml:space="preserve"> - Total</v>
          </cell>
          <cell r="D177" t="e">
            <v>#DIV/0!</v>
          </cell>
          <cell r="E177" t="e">
            <v>#DIV/0!</v>
          </cell>
          <cell r="F177" t="e">
            <v>#DIV/0!</v>
          </cell>
          <cell r="G177" t="e">
            <v>#DIV/0!</v>
          </cell>
          <cell r="H177" t="e">
            <v>#DIV/0!</v>
          </cell>
          <cell r="I177" t="e">
            <v>#DIV/0!</v>
          </cell>
          <cell r="J177" t="e">
            <v>#DIV/0!</v>
          </cell>
          <cell r="K177" t="e">
            <v>#DIV/0!</v>
          </cell>
          <cell r="L177" t="e">
            <v>#DIV/0!</v>
          </cell>
          <cell r="M177" t="e">
            <v>#DIV/0!</v>
          </cell>
          <cell r="N177" t="e">
            <v>#DIV/0!</v>
          </cell>
          <cell r="O177" t="e">
            <v>#DIV/0!</v>
          </cell>
          <cell r="P177" t="e">
            <v>#DIV/0!</v>
          </cell>
        </row>
        <row r="178">
          <cell r="A178" t="str">
            <v>No. of Clients</v>
          </cell>
          <cell r="B178" t="str">
            <v>Budget 09/10</v>
          </cell>
          <cell r="C178" t="str">
            <v>- Total</v>
          </cell>
          <cell r="P178" t="e">
            <v>#DIV/0!</v>
          </cell>
        </row>
        <row r="179">
          <cell r="A179" t="str">
            <v>Total Spots</v>
          </cell>
          <cell r="B179" t="str">
            <v>Budget 09/10</v>
          </cell>
          <cell r="C179" t="str">
            <v>- Total</v>
          </cell>
          <cell r="D179">
            <v>5704</v>
          </cell>
          <cell r="E179">
            <v>5512</v>
          </cell>
          <cell r="F179">
            <v>5716</v>
          </cell>
          <cell r="G179">
            <v>5688</v>
          </cell>
          <cell r="H179">
            <v>5152</v>
          </cell>
          <cell r="I179">
            <v>5716</v>
          </cell>
          <cell r="J179">
            <v>5528</v>
          </cell>
          <cell r="K179">
            <v>5688</v>
          </cell>
          <cell r="L179">
            <v>5528</v>
          </cell>
          <cell r="M179">
            <v>5704</v>
          </cell>
          <cell r="N179">
            <v>5700</v>
          </cell>
          <cell r="O179">
            <v>5528</v>
          </cell>
          <cell r="P179">
            <v>67164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C6" t="str">
            <v>a</v>
          </cell>
          <cell r="D6">
            <v>331419</v>
          </cell>
          <cell r="E6">
            <v>274147</v>
          </cell>
          <cell r="F6">
            <v>182737</v>
          </cell>
          <cell r="G6">
            <v>245816</v>
          </cell>
          <cell r="H6">
            <v>364098</v>
          </cell>
          <cell r="I6">
            <v>244706</v>
          </cell>
          <cell r="J6">
            <v>293645</v>
          </cell>
          <cell r="K6">
            <v>322170</v>
          </cell>
          <cell r="L6">
            <v>252387</v>
          </cell>
          <cell r="M6">
            <v>303330</v>
          </cell>
          <cell r="N6">
            <v>224489</v>
          </cell>
          <cell r="O6">
            <v>332305</v>
          </cell>
          <cell r="P6">
            <v>3371249</v>
          </cell>
        </row>
        <row r="7">
          <cell r="C7" t="str">
            <v>b</v>
          </cell>
          <cell r="D7">
            <v>156137</v>
          </cell>
          <cell r="E7">
            <v>192754</v>
          </cell>
          <cell r="F7">
            <v>217580</v>
          </cell>
          <cell r="G7">
            <v>156892</v>
          </cell>
          <cell r="H7">
            <v>215414</v>
          </cell>
          <cell r="I7">
            <v>204930</v>
          </cell>
          <cell r="J7">
            <v>127314</v>
          </cell>
          <cell r="K7">
            <v>147342</v>
          </cell>
          <cell r="L7">
            <v>151325</v>
          </cell>
          <cell r="M7">
            <v>148072</v>
          </cell>
          <cell r="N7">
            <v>162521</v>
          </cell>
          <cell r="O7">
            <v>202422</v>
          </cell>
          <cell r="P7">
            <v>2082703</v>
          </cell>
        </row>
        <row r="8">
          <cell r="D8">
            <v>567787</v>
          </cell>
          <cell r="E8">
            <v>481363</v>
          </cell>
          <cell r="F8">
            <v>469297</v>
          </cell>
          <cell r="G8">
            <v>301623</v>
          </cell>
          <cell r="H8">
            <v>342610</v>
          </cell>
          <cell r="I8">
            <v>409180</v>
          </cell>
          <cell r="J8">
            <v>414432</v>
          </cell>
          <cell r="K8">
            <v>349091</v>
          </cell>
          <cell r="L8">
            <v>423056</v>
          </cell>
          <cell r="M8">
            <v>326397</v>
          </cell>
          <cell r="N8">
            <v>349310</v>
          </cell>
          <cell r="O8">
            <v>410048</v>
          </cell>
          <cell r="P8">
            <v>4844194</v>
          </cell>
        </row>
        <row r="9">
          <cell r="D9">
            <v>1055343</v>
          </cell>
          <cell r="E9">
            <v>948264</v>
          </cell>
          <cell r="F9">
            <v>869614</v>
          </cell>
          <cell r="G9">
            <v>704331</v>
          </cell>
          <cell r="H9">
            <v>922122</v>
          </cell>
          <cell r="I9">
            <v>858816</v>
          </cell>
          <cell r="J9">
            <v>835391</v>
          </cell>
          <cell r="K9">
            <v>818603</v>
          </cell>
          <cell r="L9">
            <v>826768</v>
          </cell>
          <cell r="M9">
            <v>777799</v>
          </cell>
          <cell r="N9">
            <v>736320</v>
          </cell>
          <cell r="O9">
            <v>944775</v>
          </cell>
          <cell r="P9">
            <v>10298146</v>
          </cell>
        </row>
        <row r="11">
          <cell r="C11" t="str">
            <v>h</v>
          </cell>
          <cell r="D11">
            <v>6363</v>
          </cell>
          <cell r="E11">
            <v>16786</v>
          </cell>
          <cell r="F11">
            <v>10923</v>
          </cell>
          <cell r="G11">
            <v>9111</v>
          </cell>
          <cell r="H11">
            <v>7840</v>
          </cell>
          <cell r="I11">
            <v>11579</v>
          </cell>
          <cell r="J11">
            <v>10720</v>
          </cell>
          <cell r="K11">
            <v>7204</v>
          </cell>
          <cell r="L11">
            <v>12419</v>
          </cell>
          <cell r="M11">
            <v>22631</v>
          </cell>
          <cell r="N11">
            <v>5504</v>
          </cell>
          <cell r="O11">
            <v>2473</v>
          </cell>
          <cell r="P11">
            <v>123553</v>
          </cell>
        </row>
        <row r="12">
          <cell r="C12" t="str">
            <v>i</v>
          </cell>
          <cell r="D12">
            <v>14770</v>
          </cell>
          <cell r="E12">
            <v>19517</v>
          </cell>
          <cell r="F12">
            <v>20794</v>
          </cell>
          <cell r="G12">
            <v>29248</v>
          </cell>
          <cell r="H12">
            <v>15065</v>
          </cell>
          <cell r="I12">
            <v>21104</v>
          </cell>
          <cell r="J12">
            <v>7201</v>
          </cell>
          <cell r="K12">
            <v>26485</v>
          </cell>
          <cell r="L12">
            <v>24920</v>
          </cell>
          <cell r="M12">
            <v>16083</v>
          </cell>
          <cell r="N12">
            <v>36431</v>
          </cell>
          <cell r="O12">
            <v>31408</v>
          </cell>
          <cell r="P12">
            <v>263026</v>
          </cell>
        </row>
        <row r="13">
          <cell r="D13">
            <v>1076476</v>
          </cell>
          <cell r="E13">
            <v>984567</v>
          </cell>
          <cell r="F13">
            <v>901331</v>
          </cell>
          <cell r="G13">
            <v>742690</v>
          </cell>
          <cell r="H13">
            <v>945027</v>
          </cell>
          <cell r="I13">
            <v>891499</v>
          </cell>
          <cell r="J13">
            <v>853312</v>
          </cell>
          <cell r="K13">
            <v>852292</v>
          </cell>
          <cell r="L13">
            <v>864107</v>
          </cell>
          <cell r="M13">
            <v>816513</v>
          </cell>
          <cell r="N13">
            <v>778255</v>
          </cell>
          <cell r="O13">
            <v>978656</v>
          </cell>
          <cell r="P13">
            <v>10684725</v>
          </cell>
        </row>
        <row r="16">
          <cell r="C16" t="str">
            <v>j</v>
          </cell>
          <cell r="D16">
            <v>85673</v>
          </cell>
          <cell r="E16">
            <v>76880</v>
          </cell>
          <cell r="F16">
            <v>83173</v>
          </cell>
          <cell r="G16">
            <v>87114.333333333343</v>
          </cell>
          <cell r="H16">
            <v>95018</v>
          </cell>
          <cell r="I16">
            <v>68162</v>
          </cell>
          <cell r="J16">
            <v>69509.666666666672</v>
          </cell>
          <cell r="K16">
            <v>84608</v>
          </cell>
          <cell r="L16">
            <v>61893</v>
          </cell>
          <cell r="M16">
            <v>47093</v>
          </cell>
          <cell r="N16">
            <v>43593</v>
          </cell>
          <cell r="O16">
            <v>-146434</v>
          </cell>
          <cell r="P16">
            <v>656283</v>
          </cell>
        </row>
        <row r="17">
          <cell r="C17" t="str">
            <v>k</v>
          </cell>
          <cell r="D17">
            <v>1694</v>
          </cell>
          <cell r="E17">
            <v>2023</v>
          </cell>
          <cell r="F17">
            <v>2235</v>
          </cell>
          <cell r="G17">
            <v>1747</v>
          </cell>
          <cell r="H17">
            <v>2205</v>
          </cell>
          <cell r="I17">
            <v>33329</v>
          </cell>
          <cell r="J17">
            <v>713</v>
          </cell>
          <cell r="K17">
            <v>1484</v>
          </cell>
          <cell r="L17">
            <v>3050</v>
          </cell>
          <cell r="M17">
            <v>2102</v>
          </cell>
          <cell r="N17">
            <v>291</v>
          </cell>
          <cell r="O17">
            <v>-14596</v>
          </cell>
          <cell r="P17">
            <v>36277</v>
          </cell>
        </row>
        <row r="18">
          <cell r="C18" t="str">
            <v>l</v>
          </cell>
          <cell r="D18">
            <v>146448</v>
          </cell>
          <cell r="E18">
            <v>129327</v>
          </cell>
          <cell r="F18">
            <v>114650</v>
          </cell>
          <cell r="G18">
            <v>89450</v>
          </cell>
          <cell r="H18">
            <v>108422</v>
          </cell>
          <cell r="I18">
            <v>105909</v>
          </cell>
          <cell r="J18">
            <v>116308</v>
          </cell>
          <cell r="K18">
            <v>103357</v>
          </cell>
          <cell r="L18">
            <v>115787</v>
          </cell>
          <cell r="M18">
            <v>97819</v>
          </cell>
          <cell r="N18">
            <v>71025</v>
          </cell>
          <cell r="O18">
            <v>123202</v>
          </cell>
          <cell r="P18">
            <v>1321704</v>
          </cell>
        </row>
        <row r="19">
          <cell r="C19" t="str">
            <v>m</v>
          </cell>
          <cell r="D19">
            <v>39966</v>
          </cell>
          <cell r="E19">
            <v>38510</v>
          </cell>
          <cell r="F19">
            <v>39765</v>
          </cell>
          <cell r="G19">
            <v>40049</v>
          </cell>
          <cell r="H19">
            <v>36400</v>
          </cell>
          <cell r="I19">
            <v>40197</v>
          </cell>
          <cell r="J19">
            <v>38784</v>
          </cell>
          <cell r="K19">
            <v>40057</v>
          </cell>
          <cell r="L19">
            <v>40807</v>
          </cell>
          <cell r="M19">
            <v>41191</v>
          </cell>
          <cell r="N19">
            <v>41077</v>
          </cell>
          <cell r="O19">
            <v>39035</v>
          </cell>
          <cell r="P19">
            <v>475838</v>
          </cell>
        </row>
        <row r="20">
          <cell r="C20" t="str">
            <v>n</v>
          </cell>
          <cell r="D20">
            <v>4444</v>
          </cell>
          <cell r="E20">
            <v>4690</v>
          </cell>
          <cell r="F20">
            <v>7674</v>
          </cell>
          <cell r="G20">
            <v>4440</v>
          </cell>
          <cell r="H20">
            <v>4825</v>
          </cell>
          <cell r="I20">
            <v>4684</v>
          </cell>
          <cell r="J20">
            <v>4504</v>
          </cell>
          <cell r="K20">
            <v>4408</v>
          </cell>
          <cell r="L20">
            <v>4305</v>
          </cell>
          <cell r="M20">
            <v>4658</v>
          </cell>
          <cell r="N20">
            <v>4208</v>
          </cell>
          <cell r="O20">
            <v>4321</v>
          </cell>
          <cell r="P20">
            <v>57161</v>
          </cell>
        </row>
        <row r="21">
          <cell r="C21" t="str">
            <v>o</v>
          </cell>
          <cell r="D21">
            <v>7183</v>
          </cell>
          <cell r="E21">
            <v>21818</v>
          </cell>
          <cell r="F21">
            <v>18147</v>
          </cell>
          <cell r="G21">
            <v>8670</v>
          </cell>
          <cell r="H21">
            <v>-570.33333333333348</v>
          </cell>
          <cell r="I21">
            <v>6947</v>
          </cell>
          <cell r="J21">
            <v>8329</v>
          </cell>
          <cell r="K21">
            <v>6566</v>
          </cell>
          <cell r="L21">
            <v>5655</v>
          </cell>
          <cell r="M21">
            <v>6123</v>
          </cell>
          <cell r="N21">
            <v>5788</v>
          </cell>
          <cell r="O21">
            <v>5086</v>
          </cell>
          <cell r="P21">
            <v>99741.666666666657</v>
          </cell>
        </row>
        <row r="22">
          <cell r="C22" t="str">
            <v>p</v>
          </cell>
          <cell r="D22">
            <v>4461</v>
          </cell>
          <cell r="E22">
            <v>4182</v>
          </cell>
          <cell r="F22">
            <v>4588</v>
          </cell>
          <cell r="G22">
            <v>4242</v>
          </cell>
          <cell r="H22">
            <v>4771</v>
          </cell>
          <cell r="I22">
            <v>3076</v>
          </cell>
          <cell r="J22">
            <v>5034</v>
          </cell>
          <cell r="K22">
            <v>4126</v>
          </cell>
          <cell r="L22">
            <v>4701</v>
          </cell>
          <cell r="M22">
            <v>4262</v>
          </cell>
          <cell r="N22">
            <v>4004</v>
          </cell>
          <cell r="O22">
            <v>3094</v>
          </cell>
          <cell r="P22">
            <v>50541</v>
          </cell>
        </row>
        <row r="23">
          <cell r="C23" t="str">
            <v>q</v>
          </cell>
          <cell r="D23">
            <v>2222</v>
          </cell>
          <cell r="E23">
            <v>2222</v>
          </cell>
          <cell r="F23">
            <v>2222</v>
          </cell>
          <cell r="G23">
            <v>2222</v>
          </cell>
          <cell r="H23">
            <v>-1307</v>
          </cell>
          <cell r="I23">
            <v>1516</v>
          </cell>
          <cell r="J23">
            <v>2953</v>
          </cell>
          <cell r="K23">
            <v>1878</v>
          </cell>
          <cell r="L23">
            <v>2263</v>
          </cell>
          <cell r="M23">
            <v>2263</v>
          </cell>
          <cell r="N23">
            <v>1413</v>
          </cell>
          <cell r="O23">
            <v>2370</v>
          </cell>
          <cell r="P23">
            <v>22237</v>
          </cell>
        </row>
        <row r="24">
          <cell r="C24" t="str">
            <v>r</v>
          </cell>
          <cell r="D24">
            <v>1709</v>
          </cell>
          <cell r="E24">
            <v>822</v>
          </cell>
          <cell r="F24">
            <v>1307</v>
          </cell>
          <cell r="G24">
            <v>1403</v>
          </cell>
          <cell r="H24">
            <v>3930</v>
          </cell>
          <cell r="I24">
            <v>792</v>
          </cell>
          <cell r="J24">
            <v>1106</v>
          </cell>
          <cell r="K24">
            <v>991</v>
          </cell>
          <cell r="L24">
            <v>968</v>
          </cell>
          <cell r="M24">
            <v>912</v>
          </cell>
          <cell r="N24">
            <v>789</v>
          </cell>
          <cell r="O24">
            <v>1278</v>
          </cell>
          <cell r="P24">
            <v>16007</v>
          </cell>
        </row>
        <row r="25">
          <cell r="C25" t="str">
            <v>s</v>
          </cell>
          <cell r="D25">
            <v>8778</v>
          </cell>
          <cell r="E25">
            <v>10801</v>
          </cell>
          <cell r="F25">
            <v>8575</v>
          </cell>
          <cell r="G25">
            <v>10954</v>
          </cell>
          <cell r="H25">
            <v>10416</v>
          </cell>
          <cell r="I25">
            <v>6702</v>
          </cell>
          <cell r="J25">
            <v>8333</v>
          </cell>
          <cell r="K25">
            <v>7342</v>
          </cell>
          <cell r="L25">
            <v>9563</v>
          </cell>
          <cell r="M25">
            <v>8929</v>
          </cell>
          <cell r="N25">
            <v>8680</v>
          </cell>
          <cell r="O25">
            <v>8074</v>
          </cell>
          <cell r="P25">
            <v>107147</v>
          </cell>
        </row>
        <row r="26">
          <cell r="C26" t="str">
            <v>t</v>
          </cell>
          <cell r="D26">
            <v>39068</v>
          </cell>
          <cell r="E26">
            <v>35609</v>
          </cell>
          <cell r="F26">
            <v>32759</v>
          </cell>
          <cell r="G26">
            <v>35386</v>
          </cell>
          <cell r="H26">
            <v>36163</v>
          </cell>
          <cell r="I26">
            <v>32324</v>
          </cell>
          <cell r="J26">
            <v>37951</v>
          </cell>
          <cell r="K26">
            <v>34877</v>
          </cell>
          <cell r="L26">
            <v>33148</v>
          </cell>
          <cell r="M26">
            <v>33084</v>
          </cell>
          <cell r="N26">
            <v>26151</v>
          </cell>
          <cell r="O26">
            <v>10286</v>
          </cell>
          <cell r="P26">
            <v>386806</v>
          </cell>
        </row>
        <row r="27">
          <cell r="C27" t="str">
            <v>u</v>
          </cell>
          <cell r="D27">
            <v>7854</v>
          </cell>
          <cell r="E27">
            <v>14573.166666666666</v>
          </cell>
          <cell r="F27">
            <v>8363</v>
          </cell>
          <cell r="G27">
            <v>8300.1666666666661</v>
          </cell>
          <cell r="H27">
            <v>-2934.166666666667</v>
          </cell>
          <cell r="I27">
            <v>9496</v>
          </cell>
          <cell r="J27">
            <v>3635</v>
          </cell>
          <cell r="K27">
            <v>6516</v>
          </cell>
          <cell r="L27">
            <v>8388</v>
          </cell>
          <cell r="M27">
            <v>7715</v>
          </cell>
          <cell r="N27">
            <v>8280</v>
          </cell>
          <cell r="O27">
            <v>-2170</v>
          </cell>
          <cell r="P27">
            <v>78016.166666666657</v>
          </cell>
        </row>
        <row r="28">
          <cell r="C28" t="str">
            <v>v</v>
          </cell>
          <cell r="D28">
            <v>48457</v>
          </cell>
          <cell r="E28">
            <v>49739.666666666664</v>
          </cell>
          <cell r="F28">
            <v>51248</v>
          </cell>
          <cell r="G28">
            <v>50482.666666666664</v>
          </cell>
          <cell r="H28">
            <v>50587.666666666664</v>
          </cell>
          <cell r="I28">
            <v>50508</v>
          </cell>
          <cell r="J28">
            <v>50456</v>
          </cell>
          <cell r="K28">
            <v>50409</v>
          </cell>
          <cell r="L28">
            <v>50435</v>
          </cell>
          <cell r="M28">
            <v>50897</v>
          </cell>
          <cell r="N28">
            <v>50786</v>
          </cell>
          <cell r="O28">
            <v>63821</v>
          </cell>
          <cell r="P28">
            <v>617827</v>
          </cell>
        </row>
        <row r="29">
          <cell r="C29" t="str">
            <v>w</v>
          </cell>
          <cell r="D29">
            <v>6102</v>
          </cell>
          <cell r="E29">
            <v>2463</v>
          </cell>
          <cell r="F29">
            <v>3040</v>
          </cell>
          <cell r="G29">
            <v>3934</v>
          </cell>
          <cell r="H29">
            <v>3390</v>
          </cell>
          <cell r="I29">
            <v>3370</v>
          </cell>
          <cell r="J29">
            <v>2624</v>
          </cell>
          <cell r="K29">
            <v>6863</v>
          </cell>
          <cell r="L29">
            <v>4825</v>
          </cell>
          <cell r="M29">
            <v>3019</v>
          </cell>
          <cell r="N29">
            <v>3296</v>
          </cell>
          <cell r="O29">
            <v>1258</v>
          </cell>
          <cell r="P29">
            <v>44184</v>
          </cell>
        </row>
        <row r="30">
          <cell r="C30" t="str">
            <v>x</v>
          </cell>
          <cell r="D30">
            <v>43693</v>
          </cell>
          <cell r="E30">
            <v>43801</v>
          </cell>
          <cell r="F30">
            <v>35431</v>
          </cell>
          <cell r="G30">
            <v>29647</v>
          </cell>
          <cell r="H30">
            <v>37918</v>
          </cell>
          <cell r="I30">
            <v>35498</v>
          </cell>
          <cell r="J30">
            <v>36589</v>
          </cell>
          <cell r="K30">
            <v>34498</v>
          </cell>
          <cell r="L30">
            <v>34650</v>
          </cell>
          <cell r="M30">
            <v>34509</v>
          </cell>
          <cell r="N30">
            <v>31751</v>
          </cell>
          <cell r="O30">
            <v>39138</v>
          </cell>
          <cell r="P30">
            <v>437123</v>
          </cell>
        </row>
        <row r="31">
          <cell r="C31" t="str">
            <v>y</v>
          </cell>
          <cell r="D31">
            <v>13640</v>
          </cell>
          <cell r="E31">
            <v>15387</v>
          </cell>
          <cell r="F31">
            <v>19037</v>
          </cell>
          <cell r="G31">
            <v>16602</v>
          </cell>
          <cell r="H31">
            <v>55584</v>
          </cell>
          <cell r="I31">
            <v>14020</v>
          </cell>
          <cell r="J31">
            <v>2827</v>
          </cell>
          <cell r="K31">
            <v>2438</v>
          </cell>
          <cell r="L31">
            <v>2437</v>
          </cell>
          <cell r="M31">
            <v>6380</v>
          </cell>
          <cell r="N31">
            <v>6091</v>
          </cell>
          <cell r="O31">
            <v>9334</v>
          </cell>
          <cell r="P31">
            <v>163777</v>
          </cell>
        </row>
        <row r="32">
          <cell r="C32" t="str">
            <v>z</v>
          </cell>
          <cell r="D32">
            <v>13507</v>
          </cell>
          <cell r="E32">
            <v>38375</v>
          </cell>
          <cell r="F32">
            <v>11749</v>
          </cell>
          <cell r="G32">
            <v>7631</v>
          </cell>
          <cell r="H32">
            <v>1523</v>
          </cell>
          <cell r="I32">
            <v>8478</v>
          </cell>
          <cell r="J32">
            <v>4422</v>
          </cell>
          <cell r="K32">
            <v>5147</v>
          </cell>
          <cell r="L32">
            <v>7510</v>
          </cell>
          <cell r="M32">
            <v>8683</v>
          </cell>
          <cell r="N32">
            <v>3404</v>
          </cell>
          <cell r="O32">
            <v>10673</v>
          </cell>
          <cell r="P32">
            <v>121102</v>
          </cell>
        </row>
        <row r="33">
          <cell r="C33" t="str">
            <v>aa</v>
          </cell>
          <cell r="D33">
            <v>368696</v>
          </cell>
          <cell r="E33">
            <v>357946.47706422018</v>
          </cell>
          <cell r="F33">
            <v>386965</v>
          </cell>
          <cell r="G33">
            <v>345907</v>
          </cell>
          <cell r="H33">
            <v>365682</v>
          </cell>
          <cell r="I33">
            <v>359467</v>
          </cell>
          <cell r="J33">
            <v>341586</v>
          </cell>
          <cell r="K33">
            <v>308837</v>
          </cell>
          <cell r="L33">
            <v>352905.33</v>
          </cell>
          <cell r="M33">
            <v>336757</v>
          </cell>
          <cell r="N33">
            <v>332849</v>
          </cell>
          <cell r="O33">
            <v>338254</v>
          </cell>
          <cell r="P33">
            <v>4195851.8070642203</v>
          </cell>
        </row>
        <row r="34">
          <cell r="C34" t="str">
            <v>ab</v>
          </cell>
          <cell r="D34">
            <v>67569</v>
          </cell>
          <cell r="E34">
            <v>67949</v>
          </cell>
          <cell r="F34">
            <v>70461</v>
          </cell>
          <cell r="G34">
            <v>65885</v>
          </cell>
          <cell r="H34">
            <v>62883.333333333336</v>
          </cell>
          <cell r="I34">
            <v>65816</v>
          </cell>
          <cell r="J34">
            <v>64171</v>
          </cell>
          <cell r="K34">
            <v>63142.333333333336</v>
          </cell>
          <cell r="L34">
            <v>65243.333333333336</v>
          </cell>
          <cell r="M34">
            <v>59173</v>
          </cell>
          <cell r="N34">
            <v>84216</v>
          </cell>
          <cell r="O34">
            <v>2198</v>
          </cell>
          <cell r="P34">
            <v>738707</v>
          </cell>
        </row>
        <row r="35">
          <cell r="C35" t="str">
            <v>ac</v>
          </cell>
          <cell r="D35">
            <v>32764</v>
          </cell>
          <cell r="E35">
            <v>29234</v>
          </cell>
          <cell r="F35">
            <v>28517</v>
          </cell>
          <cell r="G35">
            <v>-9217</v>
          </cell>
          <cell r="H35">
            <v>27673</v>
          </cell>
          <cell r="I35">
            <v>26490</v>
          </cell>
          <cell r="J35">
            <v>24980</v>
          </cell>
          <cell r="K35">
            <v>27333</v>
          </cell>
          <cell r="L35">
            <v>24865</v>
          </cell>
          <cell r="M35">
            <v>23912</v>
          </cell>
          <cell r="N35">
            <v>22290</v>
          </cell>
          <cell r="O35">
            <v>28454</v>
          </cell>
          <cell r="P35">
            <v>287295</v>
          </cell>
        </row>
        <row r="36">
          <cell r="C36" t="str">
            <v>ad</v>
          </cell>
          <cell r="D36">
            <v>11250</v>
          </cell>
          <cell r="E36">
            <v>11250</v>
          </cell>
          <cell r="F36">
            <v>11250</v>
          </cell>
          <cell r="G36">
            <v>11250</v>
          </cell>
          <cell r="H36">
            <v>11250</v>
          </cell>
          <cell r="I36">
            <v>11250</v>
          </cell>
          <cell r="J36">
            <v>11250</v>
          </cell>
          <cell r="K36">
            <v>11250</v>
          </cell>
          <cell r="L36">
            <v>11250</v>
          </cell>
          <cell r="M36">
            <v>11250</v>
          </cell>
          <cell r="N36">
            <v>11250</v>
          </cell>
          <cell r="O36">
            <v>11250</v>
          </cell>
          <cell r="P36">
            <v>135000</v>
          </cell>
        </row>
        <row r="37">
          <cell r="C37" t="str">
            <v>ae</v>
          </cell>
          <cell r="O37">
            <v>-163459</v>
          </cell>
          <cell r="P37">
            <v>-163459</v>
          </cell>
        </row>
        <row r="38">
          <cell r="D38">
            <v>955178</v>
          </cell>
          <cell r="E38">
            <v>957602.31039755349</v>
          </cell>
          <cell r="F38">
            <v>941156</v>
          </cell>
          <cell r="G38">
            <v>816099.16666666674</v>
          </cell>
          <cell r="H38">
            <v>913829.5</v>
          </cell>
          <cell r="I38">
            <v>888031</v>
          </cell>
          <cell r="J38">
            <v>836064.66666666674</v>
          </cell>
          <cell r="K38">
            <v>806127.33333333337</v>
          </cell>
          <cell r="L38">
            <v>844648.66333333345</v>
          </cell>
          <cell r="M38">
            <v>790731</v>
          </cell>
          <cell r="N38">
            <v>761232</v>
          </cell>
          <cell r="O38">
            <v>374467</v>
          </cell>
          <cell r="P38">
            <v>9885166.6403975524</v>
          </cell>
        </row>
        <row r="40">
          <cell r="D40">
            <v>121298</v>
          </cell>
          <cell r="E40">
            <v>26964.68960244651</v>
          </cell>
          <cell r="F40">
            <v>-39825</v>
          </cell>
          <cell r="G40">
            <v>-73409.166666666744</v>
          </cell>
          <cell r="H40">
            <v>31197.5</v>
          </cell>
          <cell r="I40">
            <v>3468</v>
          </cell>
          <cell r="J40">
            <v>17247.333333333256</v>
          </cell>
          <cell r="K40">
            <v>46164.666666666628</v>
          </cell>
          <cell r="L40">
            <v>19458.336666666553</v>
          </cell>
          <cell r="M40">
            <v>25782</v>
          </cell>
          <cell r="N40">
            <v>17023</v>
          </cell>
          <cell r="O40">
            <v>604189</v>
          </cell>
          <cell r="P40">
            <v>799558.3596024462</v>
          </cell>
        </row>
        <row r="43">
          <cell r="C43" t="str">
            <v>af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-1726</v>
          </cell>
          <cell r="P43">
            <v>-1726</v>
          </cell>
        </row>
        <row r="44">
          <cell r="C44" t="str">
            <v>ag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C45" t="str">
            <v>ah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C46" t="str">
            <v>ai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C47" t="str">
            <v>aj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-10178346</v>
          </cell>
          <cell r="P47">
            <v>-10178346</v>
          </cell>
        </row>
        <row r="48">
          <cell r="C48" t="str">
            <v>ak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C49" t="str">
            <v>al</v>
          </cell>
          <cell r="D49">
            <v>18511</v>
          </cell>
          <cell r="E49">
            <v>1422</v>
          </cell>
          <cell r="F49">
            <v>20888</v>
          </cell>
          <cell r="G49">
            <v>8181</v>
          </cell>
          <cell r="H49">
            <v>1400</v>
          </cell>
          <cell r="I49">
            <v>22083</v>
          </cell>
          <cell r="J49">
            <v>31315</v>
          </cell>
          <cell r="K49">
            <v>23742</v>
          </cell>
          <cell r="L49">
            <v>11545</v>
          </cell>
          <cell r="M49">
            <v>24812</v>
          </cell>
          <cell r="N49">
            <v>11974</v>
          </cell>
          <cell r="O49">
            <v>12649</v>
          </cell>
          <cell r="P49">
            <v>188522</v>
          </cell>
        </row>
        <row r="50">
          <cell r="C50" t="str">
            <v>am</v>
          </cell>
          <cell r="D50">
            <v>-18511</v>
          </cell>
          <cell r="E50">
            <v>-1422</v>
          </cell>
          <cell r="F50">
            <v>-20888</v>
          </cell>
          <cell r="G50">
            <v>-8181</v>
          </cell>
          <cell r="H50">
            <v>-1400</v>
          </cell>
          <cell r="I50">
            <v>-20314</v>
          </cell>
          <cell r="J50">
            <v>-26165</v>
          </cell>
          <cell r="K50">
            <v>-18941</v>
          </cell>
          <cell r="L50">
            <v>-7003</v>
          </cell>
          <cell r="M50">
            <v>-20561</v>
          </cell>
          <cell r="N50">
            <v>-12338</v>
          </cell>
          <cell r="O50">
            <v>-1202</v>
          </cell>
          <cell r="P50">
            <v>-156926</v>
          </cell>
        </row>
        <row r="51">
          <cell r="C51" t="str">
            <v>an</v>
          </cell>
          <cell r="D51">
            <v>-100000</v>
          </cell>
          <cell r="E51">
            <v>-100000</v>
          </cell>
          <cell r="F51">
            <v>-100000</v>
          </cell>
          <cell r="G51">
            <v>-100000</v>
          </cell>
          <cell r="H51">
            <v>-100000</v>
          </cell>
          <cell r="I51">
            <v>-100000</v>
          </cell>
          <cell r="J51">
            <v>-100000</v>
          </cell>
          <cell r="K51">
            <v>-100000</v>
          </cell>
          <cell r="L51">
            <v>-100000</v>
          </cell>
          <cell r="M51">
            <v>-101285</v>
          </cell>
          <cell r="N51">
            <v>-101285</v>
          </cell>
          <cell r="O51">
            <v>-100000</v>
          </cell>
          <cell r="P51">
            <v>-1202570</v>
          </cell>
        </row>
        <row r="52">
          <cell r="C52" t="str">
            <v>ao</v>
          </cell>
          <cell r="D52">
            <v>-1285</v>
          </cell>
          <cell r="E52">
            <v>-1285</v>
          </cell>
          <cell r="F52">
            <v>-1285</v>
          </cell>
          <cell r="G52">
            <v>-1285</v>
          </cell>
          <cell r="H52">
            <v>-1285</v>
          </cell>
          <cell r="I52">
            <v>-1285</v>
          </cell>
          <cell r="J52">
            <v>-1285</v>
          </cell>
          <cell r="K52">
            <v>-1285</v>
          </cell>
          <cell r="L52">
            <v>-1285</v>
          </cell>
          <cell r="M52">
            <v>0</v>
          </cell>
          <cell r="N52">
            <v>0</v>
          </cell>
          <cell r="O52">
            <v>-1285</v>
          </cell>
          <cell r="P52">
            <v>-12850</v>
          </cell>
        </row>
        <row r="53">
          <cell r="C53" t="str">
            <v>ap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C54" t="str">
            <v>aq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C55" t="str">
            <v>ar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C56" t="str">
            <v>as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C57" t="str">
            <v>at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C58" t="str">
            <v>au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C59" t="str">
            <v>av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C60" t="str">
            <v>aw</v>
          </cell>
          <cell r="D60">
            <v>-78750</v>
          </cell>
          <cell r="E60">
            <v>-78750</v>
          </cell>
          <cell r="F60">
            <v>-78750</v>
          </cell>
          <cell r="G60">
            <v>-78750</v>
          </cell>
          <cell r="H60">
            <v>-78750</v>
          </cell>
          <cell r="I60">
            <v>-78750</v>
          </cell>
          <cell r="J60">
            <v>-78750</v>
          </cell>
          <cell r="K60">
            <v>-78750</v>
          </cell>
          <cell r="L60">
            <v>-78750</v>
          </cell>
          <cell r="M60">
            <v>-78750</v>
          </cell>
          <cell r="N60">
            <v>-78750</v>
          </cell>
          <cell r="O60">
            <v>-78750</v>
          </cell>
          <cell r="P60">
            <v>-945000</v>
          </cell>
        </row>
        <row r="61">
          <cell r="D61">
            <v>-180035</v>
          </cell>
          <cell r="E61">
            <v>-180035</v>
          </cell>
          <cell r="F61">
            <v>-180035</v>
          </cell>
          <cell r="G61">
            <v>-180035</v>
          </cell>
          <cell r="H61">
            <v>-180035</v>
          </cell>
          <cell r="I61">
            <v>-178266</v>
          </cell>
          <cell r="J61">
            <v>-174885</v>
          </cell>
          <cell r="K61">
            <v>-175234</v>
          </cell>
          <cell r="L61">
            <v>-175493</v>
          </cell>
          <cell r="M61">
            <v>-175784</v>
          </cell>
          <cell r="N61">
            <v>-180399</v>
          </cell>
          <cell r="O61">
            <v>-10348660</v>
          </cell>
          <cell r="P61">
            <v>-12308896</v>
          </cell>
        </row>
        <row r="63">
          <cell r="D63">
            <v>-58737</v>
          </cell>
          <cell r="E63">
            <v>-153070.31039755349</v>
          </cell>
          <cell r="F63">
            <v>-219860</v>
          </cell>
          <cell r="G63">
            <v>-253444.16666666674</v>
          </cell>
          <cell r="H63">
            <v>-148837.5</v>
          </cell>
          <cell r="I63">
            <v>-174798</v>
          </cell>
          <cell r="J63">
            <v>-157637.66666666674</v>
          </cell>
          <cell r="K63">
            <v>-129069.33333333337</v>
          </cell>
          <cell r="L63">
            <v>-156034.66333333345</v>
          </cell>
          <cell r="M63">
            <v>-150002</v>
          </cell>
          <cell r="N63">
            <v>-163376</v>
          </cell>
          <cell r="O63">
            <v>-9744471</v>
          </cell>
          <cell r="P63">
            <v>-11509337.640397554</v>
          </cell>
        </row>
        <row r="65">
          <cell r="C65" t="str">
            <v>ax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ay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D67">
            <v>-58737</v>
          </cell>
          <cell r="E67">
            <v>-153070.31039755349</v>
          </cell>
          <cell r="F67">
            <v>-219860</v>
          </cell>
          <cell r="G67">
            <v>-253444.16666666674</v>
          </cell>
          <cell r="H67">
            <v>-148837.5</v>
          </cell>
          <cell r="I67">
            <v>-174798</v>
          </cell>
          <cell r="J67">
            <v>-157637.66666666674</v>
          </cell>
          <cell r="K67">
            <v>-129069.33333333337</v>
          </cell>
          <cell r="L67">
            <v>-156034.66333333345</v>
          </cell>
          <cell r="M67">
            <v>-150002</v>
          </cell>
          <cell r="N67">
            <v>-163376</v>
          </cell>
          <cell r="O67">
            <v>-9744471</v>
          </cell>
          <cell r="P67">
            <v>-11509337.640397554</v>
          </cell>
        </row>
        <row r="75">
          <cell r="C75" t="str">
            <v>g</v>
          </cell>
          <cell r="D75">
            <v>387366</v>
          </cell>
          <cell r="E75">
            <v>345549</v>
          </cell>
          <cell r="F75">
            <v>328436</v>
          </cell>
          <cell r="G75">
            <v>176092</v>
          </cell>
          <cell r="H75">
            <v>198375</v>
          </cell>
          <cell r="I75">
            <v>222968</v>
          </cell>
          <cell r="J75">
            <v>274673</v>
          </cell>
          <cell r="K75">
            <v>214318</v>
          </cell>
          <cell r="L75">
            <v>287587</v>
          </cell>
          <cell r="M75">
            <v>202985</v>
          </cell>
          <cell r="N75">
            <v>227175</v>
          </cell>
          <cell r="O75">
            <v>248190</v>
          </cell>
          <cell r="P75">
            <v>3113714</v>
          </cell>
        </row>
        <row r="76">
          <cell r="C76" t="str">
            <v>d</v>
          </cell>
          <cell r="D76">
            <v>62326</v>
          </cell>
          <cell r="E76">
            <v>33710</v>
          </cell>
          <cell r="F76">
            <v>25796</v>
          </cell>
          <cell r="G76">
            <v>5544</v>
          </cell>
          <cell r="H76">
            <v>10948</v>
          </cell>
          <cell r="I76">
            <v>24410</v>
          </cell>
          <cell r="J76">
            <v>11160</v>
          </cell>
          <cell r="K76">
            <v>11878</v>
          </cell>
          <cell r="L76">
            <v>17608</v>
          </cell>
          <cell r="M76">
            <v>5568</v>
          </cell>
          <cell r="N76">
            <v>15308</v>
          </cell>
          <cell r="O76">
            <v>15100</v>
          </cell>
          <cell r="P76">
            <v>239356</v>
          </cell>
        </row>
        <row r="77">
          <cell r="C77" t="str">
            <v>e</v>
          </cell>
          <cell r="D77">
            <v>101515</v>
          </cell>
          <cell r="E77">
            <v>90404</v>
          </cell>
          <cell r="F77">
            <v>92505</v>
          </cell>
          <cell r="G77">
            <v>107947</v>
          </cell>
          <cell r="H77">
            <v>122587</v>
          </cell>
          <cell r="I77">
            <v>151602</v>
          </cell>
          <cell r="J77">
            <v>118499</v>
          </cell>
          <cell r="K77">
            <v>121683</v>
          </cell>
          <cell r="L77">
            <v>108973</v>
          </cell>
          <cell r="M77">
            <v>117844</v>
          </cell>
          <cell r="N77">
            <v>96247</v>
          </cell>
          <cell r="O77">
            <v>118478</v>
          </cell>
          <cell r="P77">
            <v>1348284</v>
          </cell>
        </row>
        <row r="78">
          <cell r="C78" t="str">
            <v>c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C79" t="str">
            <v>f</v>
          </cell>
          <cell r="D79">
            <v>16580</v>
          </cell>
          <cell r="E79">
            <v>11700</v>
          </cell>
          <cell r="F79">
            <v>22560</v>
          </cell>
          <cell r="G79">
            <v>12040</v>
          </cell>
          <cell r="H79">
            <v>10700</v>
          </cell>
          <cell r="I79">
            <v>10200</v>
          </cell>
          <cell r="J79">
            <v>10100</v>
          </cell>
          <cell r="K79">
            <v>1212</v>
          </cell>
          <cell r="L79">
            <v>8888</v>
          </cell>
          <cell r="M79">
            <v>0</v>
          </cell>
          <cell r="N79">
            <v>10580</v>
          </cell>
          <cell r="O79">
            <v>28280</v>
          </cell>
          <cell r="P79">
            <v>142840</v>
          </cell>
        </row>
        <row r="80">
          <cell r="D80">
            <v>567787</v>
          </cell>
          <cell r="E80">
            <v>481363</v>
          </cell>
          <cell r="F80">
            <v>469297</v>
          </cell>
          <cell r="G80">
            <v>301623</v>
          </cell>
          <cell r="H80">
            <v>342610</v>
          </cell>
          <cell r="I80">
            <v>409180</v>
          </cell>
          <cell r="J80">
            <v>414432</v>
          </cell>
          <cell r="K80">
            <v>349091</v>
          </cell>
          <cell r="L80">
            <v>423056</v>
          </cell>
          <cell r="M80">
            <v>326397</v>
          </cell>
          <cell r="N80">
            <v>349310</v>
          </cell>
          <cell r="O80">
            <v>410048</v>
          </cell>
          <cell r="P80">
            <v>4844194</v>
          </cell>
        </row>
      </sheetData>
      <sheetData sheetId="15">
        <row r="6">
          <cell r="C6" t="str">
            <v>a</v>
          </cell>
          <cell r="D6">
            <v>315515.2</v>
          </cell>
          <cell r="E6">
            <v>290624.25</v>
          </cell>
          <cell r="F6">
            <v>232199</v>
          </cell>
          <cell r="G6">
            <v>258484.8</v>
          </cell>
          <cell r="H6">
            <v>357528.60000000003</v>
          </cell>
          <cell r="I6">
            <v>261426</v>
          </cell>
          <cell r="J6">
            <v>295460</v>
          </cell>
          <cell r="K6">
            <v>306589.8</v>
          </cell>
          <cell r="L6">
            <v>275187.42562500003</v>
          </cell>
          <cell r="M6">
            <v>270489.375</v>
          </cell>
          <cell r="N6">
            <v>258383.25</v>
          </cell>
          <cell r="O6">
            <v>291379.27500000002</v>
          </cell>
          <cell r="P6">
            <v>3413266.975625</v>
          </cell>
        </row>
        <row r="7">
          <cell r="C7" t="str">
            <v>b</v>
          </cell>
          <cell r="D7">
            <v>237194.1</v>
          </cell>
          <cell r="E7">
            <v>250472.43000000002</v>
          </cell>
          <cell r="F7">
            <v>235250.73</v>
          </cell>
          <cell r="G7">
            <v>193401</v>
          </cell>
          <cell r="H7">
            <v>204324.12000000002</v>
          </cell>
          <cell r="I7">
            <v>221698.62000000002</v>
          </cell>
          <cell r="J7">
            <v>203832.72</v>
          </cell>
          <cell r="K7">
            <v>208058.75999999998</v>
          </cell>
          <cell r="L7">
            <v>219473.163</v>
          </cell>
          <cell r="M7">
            <v>222807.78</v>
          </cell>
          <cell r="N7">
            <v>228297.42</v>
          </cell>
          <cell r="O7">
            <v>249659.28000000003</v>
          </cell>
          <cell r="P7">
            <v>2674470.1229999997</v>
          </cell>
        </row>
        <row r="8">
          <cell r="D8">
            <v>489236.5</v>
          </cell>
          <cell r="E8">
            <v>430172.30000000005</v>
          </cell>
          <cell r="F8">
            <v>437778.80000000005</v>
          </cell>
          <cell r="G8">
            <v>329589.3</v>
          </cell>
          <cell r="H8">
            <v>404354.4</v>
          </cell>
          <cell r="I8">
            <v>419990.25</v>
          </cell>
          <cell r="J8">
            <v>458266.25</v>
          </cell>
          <cell r="K8">
            <v>458360.68683765002</v>
          </cell>
          <cell r="L8">
            <v>525383.53319599992</v>
          </cell>
          <cell r="M8">
            <v>471082.8</v>
          </cell>
          <cell r="N8">
            <v>443597.34</v>
          </cell>
          <cell r="O8">
            <v>495910.2</v>
          </cell>
          <cell r="P8">
            <v>5363722.36003365</v>
          </cell>
        </row>
        <row r="9">
          <cell r="D9">
            <v>1041945.8</v>
          </cell>
          <cell r="E9">
            <v>971268.9800000001</v>
          </cell>
          <cell r="F9">
            <v>905228.53</v>
          </cell>
          <cell r="G9">
            <v>781475.1</v>
          </cell>
          <cell r="H9">
            <v>966207.12000000011</v>
          </cell>
          <cell r="I9">
            <v>903114.87</v>
          </cell>
          <cell r="J9">
            <v>957558.97</v>
          </cell>
          <cell r="K9">
            <v>973009.24683764996</v>
          </cell>
          <cell r="L9">
            <v>1020044.121821</v>
          </cell>
          <cell r="M9">
            <v>964379.95500000007</v>
          </cell>
          <cell r="N9">
            <v>930278.01</v>
          </cell>
          <cell r="O9">
            <v>1036948.7550000001</v>
          </cell>
          <cell r="P9">
            <v>11451459.458658651</v>
          </cell>
        </row>
        <row r="11">
          <cell r="C11" t="str">
            <v>h</v>
          </cell>
          <cell r="D11">
            <v>9081.9270000000015</v>
          </cell>
          <cell r="E11">
            <v>12200.912</v>
          </cell>
          <cell r="F11">
            <v>7481.5149999999994</v>
          </cell>
          <cell r="G11">
            <v>8121.4580000000005</v>
          </cell>
          <cell r="H11">
            <v>6711.4030000000002</v>
          </cell>
          <cell r="I11">
            <v>10108.565000000001</v>
          </cell>
          <cell r="J11">
            <v>8655.6</v>
          </cell>
          <cell r="K11">
            <v>7489.5</v>
          </cell>
          <cell r="L11">
            <v>11274.822700000001</v>
          </cell>
          <cell r="M11">
            <v>9535.4789999999994</v>
          </cell>
          <cell r="N11">
            <v>11786.452800000001</v>
          </cell>
          <cell r="O11">
            <v>8748.1410000000014</v>
          </cell>
          <cell r="P11">
            <v>111195.77550000002</v>
          </cell>
        </row>
        <row r="12">
          <cell r="C12" t="str">
            <v>i</v>
          </cell>
          <cell r="D12">
            <v>15000</v>
          </cell>
          <cell r="E12">
            <v>15000</v>
          </cell>
          <cell r="F12">
            <v>15000</v>
          </cell>
          <cell r="G12">
            <v>20000</v>
          </cell>
          <cell r="H12">
            <v>22000</v>
          </cell>
          <cell r="I12">
            <v>22000</v>
          </cell>
          <cell r="J12">
            <v>25000</v>
          </cell>
          <cell r="K12">
            <v>25000</v>
          </cell>
          <cell r="L12">
            <v>25000</v>
          </cell>
          <cell r="M12">
            <v>27000</v>
          </cell>
          <cell r="N12">
            <v>27000</v>
          </cell>
          <cell r="O12">
            <v>27000</v>
          </cell>
          <cell r="P12">
            <v>265000</v>
          </cell>
        </row>
        <row r="13">
          <cell r="D13">
            <v>1066027.727</v>
          </cell>
          <cell r="E13">
            <v>998469.89200000011</v>
          </cell>
          <cell r="F13">
            <v>927710.04500000004</v>
          </cell>
          <cell r="G13">
            <v>809596.55799999996</v>
          </cell>
          <cell r="H13">
            <v>994918.52300000016</v>
          </cell>
          <cell r="I13">
            <v>935223.43499999994</v>
          </cell>
          <cell r="J13">
            <v>991214.57</v>
          </cell>
          <cell r="K13">
            <v>1005498.74683765</v>
          </cell>
          <cell r="L13">
            <v>1056318.9445210001</v>
          </cell>
          <cell r="M13">
            <v>1000915.4340000001</v>
          </cell>
          <cell r="N13">
            <v>969064.46279999998</v>
          </cell>
          <cell r="O13">
            <v>1072696.8960000002</v>
          </cell>
          <cell r="P13">
            <v>11827655.23415865</v>
          </cell>
        </row>
        <row r="16">
          <cell r="C16" t="str">
            <v>j</v>
          </cell>
          <cell r="D16">
            <v>79216.5</v>
          </cell>
          <cell r="E16">
            <v>79216.5</v>
          </cell>
          <cell r="F16">
            <v>79216.5</v>
          </cell>
          <cell r="G16">
            <v>79779.95</v>
          </cell>
          <cell r="H16">
            <v>79779.95</v>
          </cell>
          <cell r="I16">
            <v>79779.95</v>
          </cell>
          <cell r="J16">
            <v>79779.95</v>
          </cell>
          <cell r="K16">
            <v>79779.95</v>
          </cell>
          <cell r="L16">
            <v>79779.95</v>
          </cell>
          <cell r="M16">
            <v>79779.95</v>
          </cell>
          <cell r="N16">
            <v>79779.95</v>
          </cell>
          <cell r="O16">
            <v>79779.95</v>
          </cell>
          <cell r="P16">
            <v>955669.04999999981</v>
          </cell>
        </row>
        <row r="17">
          <cell r="C17" t="str">
            <v>k</v>
          </cell>
          <cell r="D17">
            <v>2471.9410000000003</v>
          </cell>
          <cell r="E17">
            <v>2604.7243000000003</v>
          </cell>
          <cell r="F17">
            <v>2452.5073000000002</v>
          </cell>
          <cell r="G17">
            <v>2034.01</v>
          </cell>
          <cell r="H17">
            <v>2143.2412000000004</v>
          </cell>
          <cell r="I17">
            <v>2316.9862000000003</v>
          </cell>
          <cell r="J17">
            <v>2138.3271999999997</v>
          </cell>
          <cell r="K17">
            <v>2180.5875999999998</v>
          </cell>
          <cell r="L17">
            <v>2294.7316300000002</v>
          </cell>
          <cell r="M17">
            <v>2328.0778</v>
          </cell>
          <cell r="N17">
            <v>2382.9742000000001</v>
          </cell>
          <cell r="O17">
            <v>2596.5928000000004</v>
          </cell>
          <cell r="P17">
            <v>27944.701229999999</v>
          </cell>
        </row>
        <row r="18">
          <cell r="C18" t="str">
            <v>l</v>
          </cell>
          <cell r="D18">
            <v>132261.6638254658</v>
          </cell>
          <cell r="E18">
            <v>117842.16185935157</v>
          </cell>
          <cell r="F18">
            <v>113562.34131460682</v>
          </cell>
          <cell r="G18">
            <v>95058.373105085513</v>
          </cell>
          <cell r="H18">
            <v>120225.09764679524</v>
          </cell>
          <cell r="I18">
            <v>113776.91962536892</v>
          </cell>
          <cell r="J18">
            <v>125330.94354990221</v>
          </cell>
          <cell r="K18">
            <v>126437.82728217138</v>
          </cell>
          <cell r="L18">
            <v>136805.58292042272</v>
          </cell>
          <cell r="M18">
            <v>125599.31921189987</v>
          </cell>
          <cell r="N18">
            <v>118847.59838946634</v>
          </cell>
          <cell r="O18">
            <v>132575.0725437396</v>
          </cell>
          <cell r="P18">
            <v>1458322.9012742757</v>
          </cell>
        </row>
        <row r="19">
          <cell r="C19" t="str">
            <v>m</v>
          </cell>
          <cell r="D19">
            <v>43882.736111111109</v>
          </cell>
          <cell r="E19">
            <v>42589.736111111109</v>
          </cell>
          <cell r="F19">
            <v>43793.736111111109</v>
          </cell>
          <cell r="G19">
            <v>45384.402777777774</v>
          </cell>
          <cell r="H19">
            <v>41605.402777777774</v>
          </cell>
          <cell r="I19">
            <v>45355.402777777774</v>
          </cell>
          <cell r="J19">
            <v>44083.402777777774</v>
          </cell>
          <cell r="K19">
            <v>45318.402777777774</v>
          </cell>
          <cell r="L19">
            <v>44053.402777777774</v>
          </cell>
          <cell r="M19">
            <v>45216.402777777774</v>
          </cell>
          <cell r="N19">
            <v>44985.402777777774</v>
          </cell>
          <cell r="O19">
            <v>43645.402777777774</v>
          </cell>
          <cell r="P19">
            <v>529913.83333333314</v>
          </cell>
        </row>
        <row r="20">
          <cell r="C20" t="str">
            <v>n</v>
          </cell>
          <cell r="D20">
            <v>4723.6666666666661</v>
          </cell>
          <cell r="E20">
            <v>4723.6666666666661</v>
          </cell>
          <cell r="F20">
            <v>4723.6666666666661</v>
          </cell>
          <cell r="G20">
            <v>5073.6666666666661</v>
          </cell>
          <cell r="H20">
            <v>4723.6666666666661</v>
          </cell>
          <cell r="I20">
            <v>4973.6666666666661</v>
          </cell>
          <cell r="J20">
            <v>4723.6666666666661</v>
          </cell>
          <cell r="K20">
            <v>4723.6666666666661</v>
          </cell>
          <cell r="L20">
            <v>4723.6666666666661</v>
          </cell>
          <cell r="M20">
            <v>4858.6666666666661</v>
          </cell>
          <cell r="N20">
            <v>4858.6666666666661</v>
          </cell>
          <cell r="O20">
            <v>4858.6666666666661</v>
          </cell>
          <cell r="P20">
            <v>57688.999999999978</v>
          </cell>
        </row>
        <row r="21">
          <cell r="C21" t="str">
            <v>o</v>
          </cell>
          <cell r="D21">
            <v>7074</v>
          </cell>
          <cell r="E21">
            <v>7074</v>
          </cell>
          <cell r="F21">
            <v>7074</v>
          </cell>
          <cell r="G21">
            <v>7074</v>
          </cell>
          <cell r="H21">
            <v>7074</v>
          </cell>
          <cell r="I21">
            <v>7074</v>
          </cell>
          <cell r="J21">
            <v>7074</v>
          </cell>
          <cell r="K21">
            <v>7074</v>
          </cell>
          <cell r="L21">
            <v>7074</v>
          </cell>
          <cell r="M21">
            <v>7074</v>
          </cell>
          <cell r="N21">
            <v>7074</v>
          </cell>
          <cell r="O21">
            <v>7170.2849999999999</v>
          </cell>
          <cell r="P21">
            <v>84984.285000000003</v>
          </cell>
        </row>
        <row r="22">
          <cell r="C22" t="str">
            <v>p</v>
          </cell>
          <cell r="D22">
            <v>4300</v>
          </cell>
          <cell r="E22">
            <v>4300</v>
          </cell>
          <cell r="F22">
            <v>4300</v>
          </cell>
          <cell r="G22">
            <v>4300</v>
          </cell>
          <cell r="H22">
            <v>4300</v>
          </cell>
          <cell r="I22">
            <v>4300</v>
          </cell>
          <cell r="J22">
            <v>4300</v>
          </cell>
          <cell r="K22">
            <v>4300</v>
          </cell>
          <cell r="L22">
            <v>4300</v>
          </cell>
          <cell r="M22">
            <v>4300</v>
          </cell>
          <cell r="N22">
            <v>4300</v>
          </cell>
          <cell r="O22">
            <v>4300</v>
          </cell>
          <cell r="P22">
            <v>51600</v>
          </cell>
        </row>
        <row r="23">
          <cell r="C23" t="str">
            <v>q</v>
          </cell>
          <cell r="D23">
            <v>1884.1758089466539</v>
          </cell>
          <cell r="E23">
            <v>1884.1758089466539</v>
          </cell>
          <cell r="F23">
            <v>1884.1758089466539</v>
          </cell>
          <cell r="G23">
            <v>1884.1758089466539</v>
          </cell>
          <cell r="H23">
            <v>1884.1758089466539</v>
          </cell>
          <cell r="I23">
            <v>1884.1758089466539</v>
          </cell>
          <cell r="J23">
            <v>1884.1758089466539</v>
          </cell>
          <cell r="K23">
            <v>1884.1758089466539</v>
          </cell>
          <cell r="L23">
            <v>1884.1758089466539</v>
          </cell>
          <cell r="M23">
            <v>1884.1758089466539</v>
          </cell>
          <cell r="N23">
            <v>1884.1758089466539</v>
          </cell>
          <cell r="O23">
            <v>1884.1758089466539</v>
          </cell>
          <cell r="P23">
            <v>22610.109707359839</v>
          </cell>
        </row>
        <row r="24">
          <cell r="C24" t="str">
            <v>r</v>
          </cell>
          <cell r="D24">
            <v>1411.6666666666665</v>
          </cell>
          <cell r="E24">
            <v>1411.6666666666665</v>
          </cell>
          <cell r="F24">
            <v>1411.6666666666665</v>
          </cell>
          <cell r="G24">
            <v>1411.6666666666665</v>
          </cell>
          <cell r="H24">
            <v>1411.6666666666665</v>
          </cell>
          <cell r="I24">
            <v>1411.6666666666665</v>
          </cell>
          <cell r="J24">
            <v>1411.6666666666665</v>
          </cell>
          <cell r="K24">
            <v>1411.6666666666665</v>
          </cell>
          <cell r="L24">
            <v>1411.6666666666665</v>
          </cell>
          <cell r="M24">
            <v>1411.6666666666665</v>
          </cell>
          <cell r="N24">
            <v>1411.6666666666665</v>
          </cell>
          <cell r="O24">
            <v>1411.6666666666665</v>
          </cell>
          <cell r="P24">
            <v>16939.999999999996</v>
          </cell>
        </row>
        <row r="25">
          <cell r="C25" t="str">
            <v>s</v>
          </cell>
          <cell r="D25">
            <v>8732.0000000000018</v>
          </cell>
          <cell r="E25">
            <v>8732.0000000000018</v>
          </cell>
          <cell r="F25">
            <v>8732.0000000000018</v>
          </cell>
          <cell r="G25">
            <v>8732.0000000000018</v>
          </cell>
          <cell r="H25">
            <v>8732.0000000000018</v>
          </cell>
          <cell r="I25">
            <v>8732.0000000000018</v>
          </cell>
          <cell r="J25">
            <v>8732.0000000000018</v>
          </cell>
          <cell r="K25">
            <v>8732.0000000000018</v>
          </cell>
          <cell r="L25">
            <v>8732.0000000000018</v>
          </cell>
          <cell r="M25">
            <v>8732.0000000000018</v>
          </cell>
          <cell r="N25">
            <v>8732.0000000000018</v>
          </cell>
          <cell r="O25">
            <v>8732.0000000000018</v>
          </cell>
          <cell r="P25">
            <v>104784.00000000001</v>
          </cell>
        </row>
        <row r="26">
          <cell r="C26" t="str">
            <v>t</v>
          </cell>
          <cell r="D26">
            <v>6294.3333333333321</v>
          </cell>
          <cell r="E26">
            <v>6294.3333333333321</v>
          </cell>
          <cell r="F26">
            <v>6694.3333333333321</v>
          </cell>
          <cell r="G26">
            <v>6294.3333333333321</v>
          </cell>
          <cell r="H26">
            <v>6294.3333333333321</v>
          </cell>
          <cell r="I26">
            <v>6294.3333333333321</v>
          </cell>
          <cell r="J26">
            <v>6294.3333333333321</v>
          </cell>
          <cell r="K26">
            <v>6294.3333333333321</v>
          </cell>
          <cell r="L26">
            <v>6744.3333333333321</v>
          </cell>
          <cell r="M26">
            <v>6294.3333333333321</v>
          </cell>
          <cell r="N26">
            <v>6294.3333333333321</v>
          </cell>
          <cell r="O26">
            <v>6294.3333333333321</v>
          </cell>
          <cell r="P26">
            <v>76381.999999999971</v>
          </cell>
        </row>
        <row r="27">
          <cell r="C27" t="str">
            <v>u</v>
          </cell>
          <cell r="D27">
            <v>6458.3333333333339</v>
          </cell>
          <cell r="E27">
            <v>6458.3333333333339</v>
          </cell>
          <cell r="F27">
            <v>6458.3333333333339</v>
          </cell>
          <cell r="G27">
            <v>6458.3333333333339</v>
          </cell>
          <cell r="H27">
            <v>6458.3333333333339</v>
          </cell>
          <cell r="I27">
            <v>6458.3333333333339</v>
          </cell>
          <cell r="J27">
            <v>6458.3333333333339</v>
          </cell>
          <cell r="K27">
            <v>6458.3333333333339</v>
          </cell>
          <cell r="L27">
            <v>6458.3333333333339</v>
          </cell>
          <cell r="M27">
            <v>6458.3333333333339</v>
          </cell>
          <cell r="N27">
            <v>6458.3333333333339</v>
          </cell>
          <cell r="O27">
            <v>6458.3333333333339</v>
          </cell>
          <cell r="P27">
            <v>77500.000000000015</v>
          </cell>
        </row>
        <row r="28">
          <cell r="C28" t="str">
            <v>v</v>
          </cell>
          <cell r="D28">
            <v>50377.419649999996</v>
          </cell>
          <cell r="E28">
            <v>50377.419649999996</v>
          </cell>
          <cell r="F28">
            <v>50377.419649999996</v>
          </cell>
          <cell r="G28">
            <v>50377.419649999996</v>
          </cell>
          <cell r="H28">
            <v>50377.419649999996</v>
          </cell>
          <cell r="I28">
            <v>50377.419649999996</v>
          </cell>
          <cell r="J28">
            <v>50377.419649999996</v>
          </cell>
          <cell r="K28">
            <v>50377.419649999996</v>
          </cell>
          <cell r="L28">
            <v>50377.419649999996</v>
          </cell>
          <cell r="M28">
            <v>50540.019649999995</v>
          </cell>
          <cell r="N28">
            <v>50540.019649999995</v>
          </cell>
          <cell r="O28">
            <v>51782.826587749994</v>
          </cell>
          <cell r="P28">
            <v>606259.64273774996</v>
          </cell>
        </row>
        <row r="29">
          <cell r="C29" t="str">
            <v>w</v>
          </cell>
          <cell r="D29">
            <v>3126.666666666667</v>
          </cell>
          <cell r="E29">
            <v>3126.666666666667</v>
          </cell>
          <cell r="F29">
            <v>3126.666666666667</v>
          </cell>
          <cell r="G29">
            <v>3126.666666666667</v>
          </cell>
          <cell r="H29">
            <v>3126.666666666667</v>
          </cell>
          <cell r="I29">
            <v>3126.666666666667</v>
          </cell>
          <cell r="J29">
            <v>3126.666666666667</v>
          </cell>
          <cell r="K29">
            <v>3126.666666666667</v>
          </cell>
          <cell r="L29">
            <v>3126.666666666667</v>
          </cell>
          <cell r="M29">
            <v>3126.666666666667</v>
          </cell>
          <cell r="N29">
            <v>3126.666666666667</v>
          </cell>
          <cell r="O29">
            <v>3126.666666666667</v>
          </cell>
          <cell r="P29">
            <v>37520.000000000007</v>
          </cell>
        </row>
        <row r="30">
          <cell r="C30" t="str">
            <v>x</v>
          </cell>
          <cell r="D30">
            <v>43484.159707999999</v>
          </cell>
          <cell r="E30">
            <v>40669.562848000001</v>
          </cell>
          <cell r="F30">
            <v>38009.067259999996</v>
          </cell>
          <cell r="G30">
            <v>33261.489831999999</v>
          </cell>
          <cell r="H30">
            <v>40725.130412000006</v>
          </cell>
          <cell r="I30">
            <v>38215.029059999993</v>
          </cell>
          <cell r="J30">
            <v>40506.981199999995</v>
          </cell>
          <cell r="K30">
            <v>41120.327873505994</v>
          </cell>
          <cell r="L30">
            <v>43016.864163639992</v>
          </cell>
          <cell r="M30">
            <v>40863.340115999999</v>
          </cell>
          <cell r="N30">
            <v>39508.266211199996</v>
          </cell>
          <cell r="O30">
            <v>43762.942763999999</v>
          </cell>
          <cell r="P30">
            <v>483143.16144834593</v>
          </cell>
        </row>
        <row r="31">
          <cell r="C31" t="str">
            <v>y</v>
          </cell>
          <cell r="D31">
            <v>14187.333333333334</v>
          </cell>
          <cell r="E31">
            <v>14187.333333333334</v>
          </cell>
          <cell r="F31">
            <v>14187.333333333334</v>
          </cell>
          <cell r="G31">
            <v>14187.333333333334</v>
          </cell>
          <cell r="H31">
            <v>14187.333333333334</v>
          </cell>
          <cell r="I31">
            <v>14187.333333333334</v>
          </cell>
          <cell r="J31">
            <v>14187.333333333334</v>
          </cell>
          <cell r="K31">
            <v>14187.333333333334</v>
          </cell>
          <cell r="L31">
            <v>14187.333333333334</v>
          </cell>
          <cell r="M31">
            <v>14187.333333333334</v>
          </cell>
          <cell r="N31">
            <v>14187.333333333334</v>
          </cell>
          <cell r="O31">
            <v>14187.333333333334</v>
          </cell>
          <cell r="P31">
            <v>170248</v>
          </cell>
        </row>
        <row r="32">
          <cell r="C32" t="str">
            <v>z</v>
          </cell>
          <cell r="D32">
            <v>9664</v>
          </cell>
          <cell r="E32">
            <v>26664</v>
          </cell>
          <cell r="F32">
            <v>14664</v>
          </cell>
          <cell r="G32">
            <v>6802.5833333333321</v>
          </cell>
          <cell r="H32">
            <v>6802.5833333333321</v>
          </cell>
          <cell r="I32">
            <v>11802.583333333332</v>
          </cell>
          <cell r="J32">
            <v>6802.5833333333321</v>
          </cell>
          <cell r="K32">
            <v>6802.5833333333321</v>
          </cell>
          <cell r="L32">
            <v>6802.5833333333321</v>
          </cell>
          <cell r="M32">
            <v>6802.5833333333321</v>
          </cell>
          <cell r="N32">
            <v>6802.5833333333321</v>
          </cell>
          <cell r="O32">
            <v>6802.5833333333321</v>
          </cell>
          <cell r="P32">
            <v>117215.24999999996</v>
          </cell>
        </row>
        <row r="33">
          <cell r="C33" t="str">
            <v>aa</v>
          </cell>
          <cell r="D33">
            <v>347788.68961460935</v>
          </cell>
          <cell r="E33">
            <v>347788.68961460935</v>
          </cell>
          <cell r="F33">
            <v>357788.68961460935</v>
          </cell>
          <cell r="G33">
            <v>349084.28961460938</v>
          </cell>
          <cell r="H33">
            <v>339500.95628127607</v>
          </cell>
          <cell r="I33">
            <v>335334.28961460938</v>
          </cell>
          <cell r="J33">
            <v>335334.28961460938</v>
          </cell>
          <cell r="K33">
            <v>335334.28961460938</v>
          </cell>
          <cell r="L33">
            <v>335334.28961460938</v>
          </cell>
          <cell r="M33">
            <v>335334.28961460938</v>
          </cell>
          <cell r="N33">
            <v>335334.28961460938</v>
          </cell>
          <cell r="O33">
            <v>335334.28961460938</v>
          </cell>
          <cell r="P33">
            <v>4089291.3420419795</v>
          </cell>
        </row>
        <row r="34">
          <cell r="C34" t="str">
            <v>ab</v>
          </cell>
          <cell r="D34">
            <v>57971.783076179432</v>
          </cell>
          <cell r="E34">
            <v>61812.125076179422</v>
          </cell>
          <cell r="F34">
            <v>65652.467076179426</v>
          </cell>
          <cell r="G34">
            <v>57971.783076179432</v>
          </cell>
          <cell r="H34">
            <v>57971.783076179432</v>
          </cell>
          <cell r="I34">
            <v>58931.868576179433</v>
          </cell>
          <cell r="J34">
            <v>57971.783076179432</v>
          </cell>
          <cell r="K34">
            <v>57971.783076179432</v>
          </cell>
          <cell r="L34">
            <v>57971.783076179432</v>
          </cell>
          <cell r="M34">
            <v>57971.783076179432</v>
          </cell>
          <cell r="N34">
            <v>57971.783076179432</v>
          </cell>
          <cell r="O34">
            <v>57971.783076179432</v>
          </cell>
          <cell r="P34">
            <v>708142.50841415324</v>
          </cell>
        </row>
        <row r="35">
          <cell r="C35" t="str">
            <v>ac</v>
          </cell>
          <cell r="D35">
            <v>31860.143185048837</v>
          </cell>
          <cell r="E35">
            <v>29837.474792076398</v>
          </cell>
          <cell r="F35">
            <v>27856.418521748503</v>
          </cell>
          <cell r="G35">
            <v>24087.786253278406</v>
          </cell>
          <cell r="H35">
            <v>29519.231777224901</v>
          </cell>
          <cell r="I35">
            <v>27732.68243939304</v>
          </cell>
          <cell r="J35">
            <v>29257.101657500112</v>
          </cell>
          <cell r="K35">
            <v>29722.83514359652</v>
          </cell>
          <cell r="L35">
            <v>31135.810130431364</v>
          </cell>
          <cell r="M35">
            <v>29514.762495375719</v>
          </cell>
          <cell r="N35">
            <v>28536.382936307149</v>
          </cell>
          <cell r="O35">
            <v>31725.520729740743</v>
          </cell>
          <cell r="P35">
            <v>350786.15006172174</v>
          </cell>
        </row>
        <row r="36">
          <cell r="C36" t="str">
            <v>ad</v>
          </cell>
          <cell r="D36">
            <v>11250</v>
          </cell>
          <cell r="E36">
            <v>11250</v>
          </cell>
          <cell r="F36">
            <v>11250</v>
          </cell>
          <cell r="G36">
            <v>11250</v>
          </cell>
          <cell r="H36">
            <v>11250</v>
          </cell>
          <cell r="I36">
            <v>11250</v>
          </cell>
          <cell r="J36">
            <v>11250</v>
          </cell>
          <cell r="K36">
            <v>11250</v>
          </cell>
          <cell r="L36">
            <v>11250</v>
          </cell>
          <cell r="M36">
            <v>11250</v>
          </cell>
          <cell r="N36">
            <v>11250</v>
          </cell>
          <cell r="O36">
            <v>11250</v>
          </cell>
          <cell r="P36">
            <v>135000</v>
          </cell>
        </row>
        <row r="37">
          <cell r="C37" t="str">
            <v>ae</v>
          </cell>
          <cell r="D37">
            <v>24914</v>
          </cell>
          <cell r="E37">
            <v>24914</v>
          </cell>
          <cell r="F37">
            <v>24914</v>
          </cell>
          <cell r="G37">
            <v>24914</v>
          </cell>
          <cell r="H37">
            <v>24914</v>
          </cell>
          <cell r="I37">
            <v>24914</v>
          </cell>
          <cell r="J37">
            <v>24914</v>
          </cell>
          <cell r="K37">
            <v>24914</v>
          </cell>
          <cell r="L37">
            <v>24914</v>
          </cell>
          <cell r="M37">
            <v>24914</v>
          </cell>
          <cell r="N37">
            <v>24914</v>
          </cell>
          <cell r="O37">
            <v>24914</v>
          </cell>
          <cell r="P37">
            <v>298968</v>
          </cell>
        </row>
        <row r="38">
          <cell r="D38">
            <v>893335.21197936125</v>
          </cell>
          <cell r="E38">
            <v>893758.57006027445</v>
          </cell>
          <cell r="F38">
            <v>888129.3226572019</v>
          </cell>
          <cell r="G38">
            <v>838548.26345121046</v>
          </cell>
          <cell r="H38">
            <v>863006.97196353343</v>
          </cell>
          <cell r="I38">
            <v>858229.30708560848</v>
          </cell>
          <cell r="J38">
            <v>865938.95786824881</v>
          </cell>
          <cell r="K38">
            <v>869402.18216012046</v>
          </cell>
          <cell r="L38">
            <v>882378.59310534061</v>
          </cell>
          <cell r="M38">
            <v>868441.70388412208</v>
          </cell>
          <cell r="N38">
            <v>859180.42599781998</v>
          </cell>
          <cell r="O38">
            <v>880564.42503607681</v>
          </cell>
          <cell r="P38">
            <v>10460913.935248917</v>
          </cell>
        </row>
        <row r="40">
          <cell r="D40">
            <v>172692.5150206387</v>
          </cell>
          <cell r="E40">
            <v>104711.32193972566</v>
          </cell>
          <cell r="F40">
            <v>39580.722342798137</v>
          </cell>
          <cell r="G40">
            <v>-28951.705451210495</v>
          </cell>
          <cell r="H40">
            <v>131911.55103646673</v>
          </cell>
          <cell r="I40">
            <v>76994.127914391458</v>
          </cell>
          <cell r="J40">
            <v>125275.61213175114</v>
          </cell>
          <cell r="K40">
            <v>136096.5646775295</v>
          </cell>
          <cell r="L40">
            <v>173940.35141565953</v>
          </cell>
          <cell r="M40">
            <v>132473.73011587805</v>
          </cell>
          <cell r="N40">
            <v>109884.03680217999</v>
          </cell>
          <cell r="O40">
            <v>192132.47096392338</v>
          </cell>
          <cell r="P40">
            <v>1366741.2989097331</v>
          </cell>
        </row>
        <row r="43">
          <cell r="C43" t="str">
            <v>af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C44" t="str">
            <v>ag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C45" t="str">
            <v>ah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C46" t="str">
            <v>ai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C47" t="str">
            <v>aj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C48" t="str">
            <v>ak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C49" t="str">
            <v>al</v>
          </cell>
          <cell r="D49">
            <v>20000</v>
          </cell>
          <cell r="E49">
            <v>20000</v>
          </cell>
          <cell r="F49">
            <v>20000</v>
          </cell>
          <cell r="G49">
            <v>20000</v>
          </cell>
          <cell r="H49">
            <v>20000</v>
          </cell>
          <cell r="I49">
            <v>20000</v>
          </cell>
          <cell r="J49">
            <v>20000</v>
          </cell>
          <cell r="K49">
            <v>20000</v>
          </cell>
          <cell r="L49">
            <v>20000</v>
          </cell>
          <cell r="M49">
            <v>20000</v>
          </cell>
          <cell r="N49">
            <v>20000</v>
          </cell>
          <cell r="O49">
            <v>20000</v>
          </cell>
          <cell r="P49">
            <v>240000</v>
          </cell>
        </row>
        <row r="50">
          <cell r="C50" t="str">
            <v>am</v>
          </cell>
          <cell r="D50">
            <v>-20000</v>
          </cell>
          <cell r="E50">
            <v>-20000</v>
          </cell>
          <cell r="F50">
            <v>-20000</v>
          </cell>
          <cell r="G50">
            <v>-20000</v>
          </cell>
          <cell r="H50">
            <v>-20000</v>
          </cell>
          <cell r="I50">
            <v>-20000</v>
          </cell>
          <cell r="J50">
            <v>-20000</v>
          </cell>
          <cell r="K50">
            <v>-20000</v>
          </cell>
          <cell r="L50">
            <v>-20000</v>
          </cell>
          <cell r="M50">
            <v>-20000</v>
          </cell>
          <cell r="N50">
            <v>-20000</v>
          </cell>
          <cell r="O50">
            <v>-20000</v>
          </cell>
          <cell r="P50">
            <v>-240000</v>
          </cell>
        </row>
        <row r="51">
          <cell r="C51" t="str">
            <v>an</v>
          </cell>
          <cell r="D51">
            <v>-100000</v>
          </cell>
          <cell r="E51">
            <v>-100000</v>
          </cell>
          <cell r="F51">
            <v>-100000</v>
          </cell>
          <cell r="G51">
            <v>-100000</v>
          </cell>
          <cell r="H51">
            <v>-100000</v>
          </cell>
          <cell r="I51">
            <v>-100000</v>
          </cell>
          <cell r="J51">
            <v>-100000</v>
          </cell>
          <cell r="K51">
            <v>-100000</v>
          </cell>
          <cell r="L51">
            <v>-100000</v>
          </cell>
          <cell r="M51">
            <v>-100000</v>
          </cell>
          <cell r="N51">
            <v>-100000</v>
          </cell>
          <cell r="O51">
            <v>-100000</v>
          </cell>
          <cell r="P51">
            <v>-1200000</v>
          </cell>
        </row>
        <row r="52">
          <cell r="C52" t="str">
            <v>ao</v>
          </cell>
          <cell r="D52">
            <v>-1285</v>
          </cell>
          <cell r="E52">
            <v>-1285</v>
          </cell>
          <cell r="F52">
            <v>-1285</v>
          </cell>
          <cell r="G52">
            <v>-1285</v>
          </cell>
          <cell r="H52">
            <v>-1285</v>
          </cell>
          <cell r="I52">
            <v>-1285</v>
          </cell>
          <cell r="J52">
            <v>-1285</v>
          </cell>
          <cell r="K52">
            <v>-1285</v>
          </cell>
          <cell r="L52">
            <v>-1285</v>
          </cell>
          <cell r="M52">
            <v>-1285</v>
          </cell>
          <cell r="N52">
            <v>-1285</v>
          </cell>
          <cell r="O52">
            <v>-1285</v>
          </cell>
          <cell r="P52">
            <v>-15420</v>
          </cell>
        </row>
        <row r="53">
          <cell r="C53" t="str">
            <v>ap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C54" t="str">
            <v>aq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C55" t="str">
            <v>ar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C56" t="str">
            <v>as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C57" t="str">
            <v>at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C58" t="str">
            <v>au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C59" t="str">
            <v>av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C60" t="str">
            <v>aw</v>
          </cell>
          <cell r="D60">
            <v>-72813</v>
          </cell>
          <cell r="E60">
            <v>-72813</v>
          </cell>
          <cell r="F60">
            <v>-72813</v>
          </cell>
          <cell r="G60">
            <v>-72813</v>
          </cell>
          <cell r="H60">
            <v>-72813</v>
          </cell>
          <cell r="I60">
            <v>-72813</v>
          </cell>
          <cell r="J60">
            <v>-72813</v>
          </cell>
          <cell r="K60">
            <v>-72813</v>
          </cell>
          <cell r="L60">
            <v>-72813</v>
          </cell>
          <cell r="M60">
            <v>-72813</v>
          </cell>
          <cell r="N60">
            <v>-72813</v>
          </cell>
          <cell r="O60">
            <v>-72813</v>
          </cell>
          <cell r="P60">
            <v>-873756</v>
          </cell>
        </row>
        <row r="61">
          <cell r="D61">
            <v>-174098</v>
          </cell>
          <cell r="E61">
            <v>-174098</v>
          </cell>
          <cell r="F61">
            <v>-174098</v>
          </cell>
          <cell r="G61">
            <v>-174098</v>
          </cell>
          <cell r="H61">
            <v>-174098</v>
          </cell>
          <cell r="I61">
            <v>-174098</v>
          </cell>
          <cell r="J61">
            <v>-174098</v>
          </cell>
          <cell r="K61">
            <v>-174098</v>
          </cell>
          <cell r="L61">
            <v>-174098</v>
          </cell>
          <cell r="M61">
            <v>-174098</v>
          </cell>
          <cell r="N61">
            <v>-174098</v>
          </cell>
          <cell r="O61">
            <v>-174098</v>
          </cell>
          <cell r="P61">
            <v>-2089176</v>
          </cell>
        </row>
        <row r="63">
          <cell r="D63">
            <v>-1405.4849793612957</v>
          </cell>
          <cell r="E63">
            <v>-69386.678060274338</v>
          </cell>
          <cell r="F63">
            <v>-134517.27765720186</v>
          </cell>
          <cell r="G63">
            <v>-203049.7054512105</v>
          </cell>
          <cell r="H63">
            <v>-42186.448963533272</v>
          </cell>
          <cell r="I63">
            <v>-97103.872085608542</v>
          </cell>
          <cell r="J63">
            <v>-48822.387868248858</v>
          </cell>
          <cell r="K63">
            <v>-38001.435322470497</v>
          </cell>
          <cell r="L63">
            <v>-157.64858434046619</v>
          </cell>
          <cell r="M63">
            <v>-41624.269884121954</v>
          </cell>
          <cell r="N63">
            <v>-64213.963197820005</v>
          </cell>
          <cell r="O63">
            <v>18034.470963923377</v>
          </cell>
          <cell r="P63">
            <v>-722434.70109026693</v>
          </cell>
        </row>
        <row r="65">
          <cell r="C65" t="str">
            <v>ax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ay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D67">
            <v>-1405.4849793612957</v>
          </cell>
          <cell r="E67">
            <v>-69386.678060274338</v>
          </cell>
          <cell r="F67">
            <v>-134517.27765720186</v>
          </cell>
          <cell r="G67">
            <v>-203049.7054512105</v>
          </cell>
          <cell r="H67">
            <v>-42186.448963533272</v>
          </cell>
          <cell r="I67">
            <v>-97103.872085608542</v>
          </cell>
          <cell r="J67">
            <v>-48822.387868248858</v>
          </cell>
          <cell r="K67">
            <v>-38001.435322470497</v>
          </cell>
          <cell r="L67">
            <v>-157.64858434046619</v>
          </cell>
          <cell r="M67">
            <v>-41624.269884121954</v>
          </cell>
          <cell r="N67">
            <v>-64213.963197820005</v>
          </cell>
          <cell r="O67">
            <v>18034.470963923377</v>
          </cell>
          <cell r="P67">
            <v>-722434.70109026693</v>
          </cell>
        </row>
        <row r="75">
          <cell r="C75" t="str">
            <v>g</v>
          </cell>
          <cell r="D75">
            <v>295528.80000000005</v>
          </cell>
          <cell r="E75">
            <v>270558.40000000002</v>
          </cell>
          <cell r="F75">
            <v>265893.60000000003</v>
          </cell>
          <cell r="G75">
            <v>171428.4</v>
          </cell>
          <cell r="H75">
            <v>227541.6</v>
          </cell>
          <cell r="I75">
            <v>253796.4</v>
          </cell>
          <cell r="J75">
            <v>292799</v>
          </cell>
          <cell r="K75">
            <v>289073.092022</v>
          </cell>
          <cell r="L75">
            <v>300710.99619599996</v>
          </cell>
          <cell r="M75">
            <v>279786</v>
          </cell>
          <cell r="N75">
            <v>264258.54000000004</v>
          </cell>
          <cell r="O75">
            <v>294902.40000000002</v>
          </cell>
          <cell r="P75">
            <v>3206277.2282179999</v>
          </cell>
        </row>
        <row r="76">
          <cell r="C76" t="str">
            <v>d</v>
          </cell>
          <cell r="D76">
            <v>39840</v>
          </cell>
          <cell r="E76">
            <v>20880</v>
          </cell>
          <cell r="F76">
            <v>29520</v>
          </cell>
          <cell r="G76">
            <v>22080</v>
          </cell>
          <cell r="H76">
            <v>23760</v>
          </cell>
          <cell r="I76">
            <v>19200</v>
          </cell>
          <cell r="J76">
            <v>12480</v>
          </cell>
          <cell r="K76">
            <v>14168.183999999999</v>
          </cell>
          <cell r="L76">
            <v>16163.279999999999</v>
          </cell>
          <cell r="M76">
            <v>21888</v>
          </cell>
          <cell r="N76">
            <v>12084</v>
          </cell>
          <cell r="O76">
            <v>33060</v>
          </cell>
          <cell r="P76">
            <v>265123.46400000004</v>
          </cell>
        </row>
        <row r="77">
          <cell r="C77" t="str">
            <v>e</v>
          </cell>
          <cell r="D77">
            <v>131187.69999999998</v>
          </cell>
          <cell r="E77">
            <v>122749.9</v>
          </cell>
          <cell r="F77">
            <v>126165.2</v>
          </cell>
          <cell r="G77">
            <v>114552.9</v>
          </cell>
          <cell r="H77">
            <v>131392.79999999999</v>
          </cell>
          <cell r="I77">
            <v>123665.84999999999</v>
          </cell>
          <cell r="J77">
            <v>133547.25</v>
          </cell>
          <cell r="K77">
            <v>146643.69483565001</v>
          </cell>
          <cell r="L77">
            <v>181911.36259999999</v>
          </cell>
          <cell r="M77">
            <v>148552.79999999999</v>
          </cell>
          <cell r="N77">
            <v>147798</v>
          </cell>
          <cell r="O77">
            <v>152847</v>
          </cell>
          <cell r="P77">
            <v>1661014.4574356501</v>
          </cell>
        </row>
        <row r="78">
          <cell r="C78" t="str">
            <v>c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C79" t="str">
            <v>f</v>
          </cell>
          <cell r="D79">
            <v>22680</v>
          </cell>
          <cell r="E79">
            <v>15984</v>
          </cell>
          <cell r="F79">
            <v>16200</v>
          </cell>
          <cell r="G79">
            <v>21528</v>
          </cell>
          <cell r="H79">
            <v>21660</v>
          </cell>
          <cell r="I79">
            <v>23328</v>
          </cell>
          <cell r="J79">
            <v>19440</v>
          </cell>
          <cell r="K79">
            <v>8475.7159800000009</v>
          </cell>
          <cell r="L79">
            <v>26597.894400000001</v>
          </cell>
          <cell r="M79">
            <v>20856</v>
          </cell>
          <cell r="N79">
            <v>19456.8</v>
          </cell>
          <cell r="O79">
            <v>15100.800000000001</v>
          </cell>
          <cell r="P79">
            <v>231307.21037999997</v>
          </cell>
        </row>
        <row r="80">
          <cell r="D80">
            <v>489236.5</v>
          </cell>
          <cell r="E80">
            <v>430172.30000000005</v>
          </cell>
          <cell r="F80">
            <v>437778.80000000005</v>
          </cell>
          <cell r="G80">
            <v>329589.3</v>
          </cell>
          <cell r="H80">
            <v>404354.4</v>
          </cell>
          <cell r="I80">
            <v>419990.25</v>
          </cell>
          <cell r="J80">
            <v>458266.25</v>
          </cell>
          <cell r="K80">
            <v>458360.68683765002</v>
          </cell>
          <cell r="L80">
            <v>525383.53319599992</v>
          </cell>
          <cell r="M80">
            <v>471082.8</v>
          </cell>
          <cell r="N80">
            <v>443597.34</v>
          </cell>
          <cell r="O80">
            <v>495910.2</v>
          </cell>
          <cell r="P80">
            <v>5363722.36003365</v>
          </cell>
        </row>
      </sheetData>
      <sheetData sheetId="16">
        <row r="6">
          <cell r="C6" t="str">
            <v>a</v>
          </cell>
          <cell r="D6">
            <v>256744</v>
          </cell>
          <cell r="E6">
            <v>167872</v>
          </cell>
          <cell r="F6">
            <v>204613</v>
          </cell>
          <cell r="G6">
            <v>192131</v>
          </cell>
          <cell r="H6">
            <v>359000</v>
          </cell>
          <cell r="I6">
            <v>280000</v>
          </cell>
          <cell r="J6">
            <v>295460</v>
          </cell>
          <cell r="K6">
            <v>306589.8</v>
          </cell>
          <cell r="L6">
            <v>275187.42562500003</v>
          </cell>
          <cell r="M6">
            <v>270489.375</v>
          </cell>
          <cell r="N6">
            <v>258383.25</v>
          </cell>
          <cell r="O6">
            <v>291379.27500000002</v>
          </cell>
          <cell r="P6">
            <v>3157849.1256249999</v>
          </cell>
        </row>
        <row r="7">
          <cell r="C7" t="str">
            <v>b</v>
          </cell>
          <cell r="D7">
            <v>214441</v>
          </cell>
          <cell r="E7">
            <v>244401</v>
          </cell>
          <cell r="F7">
            <v>230977</v>
          </cell>
          <cell r="G7">
            <v>171572</v>
          </cell>
          <cell r="H7">
            <v>180000</v>
          </cell>
          <cell r="I7">
            <v>200000</v>
          </cell>
          <cell r="J7">
            <v>203832.72</v>
          </cell>
          <cell r="K7">
            <v>208058.75999999998</v>
          </cell>
          <cell r="L7">
            <v>219473.163</v>
          </cell>
          <cell r="M7">
            <v>222807.78</v>
          </cell>
          <cell r="N7">
            <v>228297.42</v>
          </cell>
          <cell r="O7">
            <v>249659.28000000003</v>
          </cell>
          <cell r="P7">
            <v>2573520.1229999997</v>
          </cell>
        </row>
        <row r="8">
          <cell r="D8">
            <v>342581</v>
          </cell>
          <cell r="E8">
            <v>494987</v>
          </cell>
          <cell r="F8">
            <v>448284</v>
          </cell>
          <cell r="G8">
            <v>304620</v>
          </cell>
          <cell r="H8">
            <v>341000</v>
          </cell>
          <cell r="I8">
            <v>426324.4</v>
          </cell>
          <cell r="J8">
            <v>458266.25</v>
          </cell>
          <cell r="K8">
            <v>458360.68683765002</v>
          </cell>
          <cell r="L8">
            <v>525383.53319599992</v>
          </cell>
          <cell r="M8">
            <v>471082.8</v>
          </cell>
          <cell r="N8">
            <v>443597.34</v>
          </cell>
          <cell r="O8">
            <v>495910.2</v>
          </cell>
          <cell r="P8">
            <v>5210397.2100336496</v>
          </cell>
        </row>
        <row r="9">
          <cell r="D9">
            <v>813766</v>
          </cell>
          <cell r="E9">
            <v>907260</v>
          </cell>
          <cell r="F9">
            <v>883874</v>
          </cell>
          <cell r="G9">
            <v>668323</v>
          </cell>
          <cell r="H9">
            <v>880000</v>
          </cell>
          <cell r="I9">
            <v>906324.4</v>
          </cell>
          <cell r="J9">
            <v>957558.97</v>
          </cell>
          <cell r="K9">
            <v>973009.24683764996</v>
          </cell>
          <cell r="L9">
            <v>1020044.121821</v>
          </cell>
          <cell r="M9">
            <v>964379.95500000007</v>
          </cell>
          <cell r="N9">
            <v>930278.01</v>
          </cell>
          <cell r="O9">
            <v>1036948.7550000001</v>
          </cell>
          <cell r="P9">
            <v>10941766.458658649</v>
          </cell>
        </row>
        <row r="11">
          <cell r="C11" t="str">
            <v>h</v>
          </cell>
          <cell r="D11">
            <v>7375</v>
          </cell>
          <cell r="E11">
            <v>4051</v>
          </cell>
          <cell r="F11">
            <v>7228</v>
          </cell>
          <cell r="G11">
            <v>6160</v>
          </cell>
          <cell r="H11">
            <v>6711.4030000000002</v>
          </cell>
          <cell r="I11">
            <v>10108.565000000001</v>
          </cell>
          <cell r="J11">
            <v>8655.6</v>
          </cell>
          <cell r="K11">
            <v>7489.5</v>
          </cell>
          <cell r="L11">
            <v>11274.822700000001</v>
          </cell>
          <cell r="M11">
            <v>9535.4789999999994</v>
          </cell>
          <cell r="N11">
            <v>11786.452800000001</v>
          </cell>
          <cell r="O11">
            <v>8748.1410000000014</v>
          </cell>
          <cell r="P11">
            <v>99123.963500000013</v>
          </cell>
        </row>
        <row r="12">
          <cell r="C12" t="str">
            <v>i</v>
          </cell>
          <cell r="D12">
            <v>19884</v>
          </cell>
          <cell r="E12">
            <v>33647</v>
          </cell>
          <cell r="F12">
            <v>25670</v>
          </cell>
          <cell r="G12">
            <v>29629</v>
          </cell>
          <cell r="H12">
            <v>30000</v>
          </cell>
          <cell r="I12">
            <v>22000</v>
          </cell>
          <cell r="J12">
            <v>25000</v>
          </cell>
          <cell r="K12">
            <v>25000</v>
          </cell>
          <cell r="L12">
            <v>25000</v>
          </cell>
          <cell r="M12">
            <v>27000</v>
          </cell>
          <cell r="N12">
            <v>27000</v>
          </cell>
          <cell r="O12">
            <v>27000</v>
          </cell>
          <cell r="P12">
            <v>316830</v>
          </cell>
        </row>
        <row r="13">
          <cell r="D13">
            <v>841025</v>
          </cell>
          <cell r="E13">
            <v>944958</v>
          </cell>
          <cell r="F13">
            <v>916772</v>
          </cell>
          <cell r="G13">
            <v>704112</v>
          </cell>
          <cell r="H13">
            <v>916711.40300000005</v>
          </cell>
          <cell r="I13">
            <v>938432.96499999997</v>
          </cell>
          <cell r="J13">
            <v>991214.57</v>
          </cell>
          <cell r="K13">
            <v>1005498.74683765</v>
          </cell>
          <cell r="L13">
            <v>1056318.9445210001</v>
          </cell>
          <cell r="M13">
            <v>1000915.4340000001</v>
          </cell>
          <cell r="N13">
            <v>969064.46279999998</v>
          </cell>
          <cell r="O13">
            <v>1072696.8960000002</v>
          </cell>
          <cell r="P13">
            <v>11357720.422158649</v>
          </cell>
        </row>
        <row r="16">
          <cell r="C16" t="str">
            <v>j</v>
          </cell>
          <cell r="D16">
            <v>52880</v>
          </cell>
          <cell r="E16">
            <v>69795</v>
          </cell>
          <cell r="F16">
            <v>115411</v>
          </cell>
          <cell r="G16">
            <v>37858</v>
          </cell>
          <cell r="H16">
            <v>53654.95</v>
          </cell>
          <cell r="I16">
            <v>53654.95</v>
          </cell>
          <cell r="J16">
            <v>53654.95</v>
          </cell>
          <cell r="K16">
            <v>53654.95</v>
          </cell>
          <cell r="L16">
            <v>53654.95</v>
          </cell>
          <cell r="M16">
            <v>53654.95</v>
          </cell>
          <cell r="N16">
            <v>53654.95</v>
          </cell>
          <cell r="O16">
            <v>53654.95</v>
          </cell>
          <cell r="P16">
            <v>705183.59999999986</v>
          </cell>
        </row>
        <row r="17">
          <cell r="C17" t="str">
            <v>k</v>
          </cell>
          <cell r="D17">
            <v>2201</v>
          </cell>
          <cell r="E17">
            <v>1046</v>
          </cell>
          <cell r="F17">
            <v>-705</v>
          </cell>
          <cell r="G17">
            <v>94</v>
          </cell>
          <cell r="H17">
            <v>100</v>
          </cell>
          <cell r="I17">
            <v>100</v>
          </cell>
          <cell r="J17">
            <v>100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>
            <v>100</v>
          </cell>
          <cell r="P17">
            <v>3436</v>
          </cell>
        </row>
        <row r="18">
          <cell r="C18" t="str">
            <v>l</v>
          </cell>
          <cell r="D18">
            <v>102123</v>
          </cell>
          <cell r="E18">
            <v>126451</v>
          </cell>
          <cell r="F18">
            <v>117231</v>
          </cell>
          <cell r="G18">
            <v>87965</v>
          </cell>
          <cell r="H18">
            <v>120225.09764679524</v>
          </cell>
          <cell r="I18">
            <v>113776.91962536892</v>
          </cell>
          <cell r="J18">
            <v>125330.94354990221</v>
          </cell>
          <cell r="K18">
            <v>126437.82728217138</v>
          </cell>
          <cell r="L18">
            <v>136805.58292042272</v>
          </cell>
          <cell r="M18">
            <v>125599.31921189987</v>
          </cell>
          <cell r="N18">
            <v>118847.59838946634</v>
          </cell>
          <cell r="O18">
            <v>132575.0725437396</v>
          </cell>
          <cell r="P18">
            <v>1433368.3611697659</v>
          </cell>
        </row>
        <row r="19">
          <cell r="C19" t="str">
            <v>m</v>
          </cell>
          <cell r="D19">
            <v>40233</v>
          </cell>
          <cell r="E19">
            <v>39076</v>
          </cell>
          <cell r="F19">
            <v>40256</v>
          </cell>
          <cell r="G19">
            <v>41398</v>
          </cell>
          <cell r="H19">
            <v>41605.402777777774</v>
          </cell>
          <cell r="I19">
            <v>45355.402777777774</v>
          </cell>
          <cell r="J19">
            <v>44083.402777777774</v>
          </cell>
          <cell r="K19">
            <v>45318.402777777774</v>
          </cell>
          <cell r="L19">
            <v>44053.402777777774</v>
          </cell>
          <cell r="M19">
            <v>45216.402777777774</v>
          </cell>
          <cell r="N19">
            <v>44985.402777777774</v>
          </cell>
          <cell r="O19">
            <v>43645.402777777774</v>
          </cell>
          <cell r="P19">
            <v>515226.22222222207</v>
          </cell>
        </row>
        <row r="20">
          <cell r="C20" t="str">
            <v>n</v>
          </cell>
          <cell r="D20">
            <v>4397</v>
          </cell>
          <cell r="E20">
            <v>5670</v>
          </cell>
          <cell r="F20">
            <v>5359</v>
          </cell>
          <cell r="G20">
            <v>4316</v>
          </cell>
          <cell r="H20">
            <v>4473.6666666666661</v>
          </cell>
          <cell r="I20">
            <v>4723.6666666666661</v>
          </cell>
          <cell r="J20">
            <v>4473.6666666666661</v>
          </cell>
          <cell r="K20">
            <v>4473.6666666666661</v>
          </cell>
          <cell r="L20">
            <v>4473.6666666666661</v>
          </cell>
          <cell r="M20">
            <v>4608.6666666666661</v>
          </cell>
          <cell r="N20">
            <v>4608.6666666666661</v>
          </cell>
          <cell r="O20">
            <v>4608.6666666666661</v>
          </cell>
          <cell r="P20">
            <v>56186.333333333314</v>
          </cell>
        </row>
        <row r="21">
          <cell r="C21" t="str">
            <v>o</v>
          </cell>
          <cell r="D21">
            <v>6381</v>
          </cell>
          <cell r="E21">
            <v>959</v>
          </cell>
          <cell r="F21">
            <v>5618</v>
          </cell>
          <cell r="G21">
            <v>7130</v>
          </cell>
          <cell r="H21">
            <v>7074</v>
          </cell>
          <cell r="I21">
            <v>7074</v>
          </cell>
          <cell r="J21">
            <v>7074</v>
          </cell>
          <cell r="K21">
            <v>7074</v>
          </cell>
          <cell r="L21">
            <v>7074</v>
          </cell>
          <cell r="M21">
            <v>7074</v>
          </cell>
          <cell r="N21">
            <v>7074</v>
          </cell>
          <cell r="O21">
            <v>7170.2849999999999</v>
          </cell>
          <cell r="P21">
            <v>76776.285000000003</v>
          </cell>
        </row>
        <row r="22">
          <cell r="C22" t="str">
            <v>p</v>
          </cell>
          <cell r="D22">
            <v>4211</v>
          </cell>
          <cell r="E22">
            <v>4045</v>
          </cell>
          <cell r="F22">
            <v>4525</v>
          </cell>
          <cell r="G22">
            <v>4009</v>
          </cell>
          <cell r="H22">
            <v>4300</v>
          </cell>
          <cell r="I22">
            <v>4300</v>
          </cell>
          <cell r="J22">
            <v>4300</v>
          </cell>
          <cell r="K22">
            <v>4300</v>
          </cell>
          <cell r="L22">
            <v>4300</v>
          </cell>
          <cell r="M22">
            <v>4300</v>
          </cell>
          <cell r="N22">
            <v>4300</v>
          </cell>
          <cell r="O22">
            <v>4300</v>
          </cell>
          <cell r="P22">
            <v>51190</v>
          </cell>
        </row>
        <row r="23">
          <cell r="C23" t="str">
            <v>q</v>
          </cell>
          <cell r="D23">
            <v>1948</v>
          </cell>
          <cell r="E23">
            <v>3076</v>
          </cell>
          <cell r="F23">
            <v>2512</v>
          </cell>
          <cell r="G23">
            <v>2512</v>
          </cell>
          <cell r="H23">
            <v>2512</v>
          </cell>
          <cell r="I23">
            <v>2512</v>
          </cell>
          <cell r="J23">
            <v>2512</v>
          </cell>
          <cell r="K23">
            <v>2512</v>
          </cell>
          <cell r="L23">
            <v>2512</v>
          </cell>
          <cell r="M23">
            <v>2512</v>
          </cell>
          <cell r="N23">
            <v>2512</v>
          </cell>
          <cell r="O23">
            <v>2512</v>
          </cell>
          <cell r="P23">
            <v>30144</v>
          </cell>
        </row>
        <row r="24">
          <cell r="C24" t="str">
            <v>r</v>
          </cell>
          <cell r="D24">
            <v>1244</v>
          </cell>
          <cell r="E24">
            <v>476</v>
          </cell>
          <cell r="F24">
            <v>750</v>
          </cell>
          <cell r="G24">
            <v>997</v>
          </cell>
          <cell r="H24">
            <v>1411.6666666666665</v>
          </cell>
          <cell r="I24">
            <v>1411.6666666666665</v>
          </cell>
          <cell r="J24">
            <v>1411.6666666666665</v>
          </cell>
          <cell r="K24">
            <v>1411.6666666666665</v>
          </cell>
          <cell r="L24">
            <v>1411.6666666666665</v>
          </cell>
          <cell r="M24">
            <v>1411.6666666666665</v>
          </cell>
          <cell r="N24">
            <v>1411.6666666666665</v>
          </cell>
          <cell r="O24">
            <v>1411.6666666666665</v>
          </cell>
          <cell r="P24">
            <v>14760.333333333328</v>
          </cell>
        </row>
        <row r="25">
          <cell r="C25" t="str">
            <v>s</v>
          </cell>
          <cell r="D25">
            <v>6676</v>
          </cell>
          <cell r="E25">
            <v>10795</v>
          </cell>
          <cell r="F25">
            <v>9706</v>
          </cell>
          <cell r="G25">
            <v>7832</v>
          </cell>
          <cell r="H25">
            <v>8732.0000000000018</v>
          </cell>
          <cell r="I25">
            <v>8732.0000000000018</v>
          </cell>
          <cell r="J25">
            <v>8732.0000000000018</v>
          </cell>
          <cell r="K25">
            <v>8732.0000000000018</v>
          </cell>
          <cell r="L25">
            <v>8732.0000000000018</v>
          </cell>
          <cell r="M25">
            <v>8732.0000000000018</v>
          </cell>
          <cell r="N25">
            <v>8732.0000000000018</v>
          </cell>
          <cell r="O25">
            <v>8732.0000000000018</v>
          </cell>
          <cell r="P25">
            <v>104865</v>
          </cell>
        </row>
        <row r="26">
          <cell r="C26" t="str">
            <v>t</v>
          </cell>
          <cell r="D26">
            <v>5070</v>
          </cell>
          <cell r="E26">
            <v>-6031</v>
          </cell>
          <cell r="F26">
            <v>-1402</v>
          </cell>
          <cell r="G26">
            <v>4585</v>
          </cell>
          <cell r="H26">
            <v>7761</v>
          </cell>
          <cell r="I26">
            <v>7761</v>
          </cell>
          <cell r="J26">
            <v>7761</v>
          </cell>
          <cell r="K26">
            <v>7761</v>
          </cell>
          <cell r="L26">
            <v>8211</v>
          </cell>
          <cell r="M26">
            <v>7761</v>
          </cell>
          <cell r="N26">
            <v>7761</v>
          </cell>
          <cell r="O26">
            <v>7761</v>
          </cell>
          <cell r="P26">
            <v>64760</v>
          </cell>
        </row>
        <row r="27">
          <cell r="C27" t="str">
            <v>u</v>
          </cell>
          <cell r="D27">
            <v>11458</v>
          </cell>
          <cell r="E27">
            <v>-6954</v>
          </cell>
          <cell r="F27">
            <v>-1237</v>
          </cell>
          <cell r="G27">
            <v>3939</v>
          </cell>
          <cell r="H27">
            <v>6458.3333333333339</v>
          </cell>
          <cell r="I27">
            <v>6458.3333333333339</v>
          </cell>
          <cell r="J27">
            <v>6458.3333333333339</v>
          </cell>
          <cell r="K27">
            <v>6458.3333333333339</v>
          </cell>
          <cell r="L27">
            <v>6458.3333333333339</v>
          </cell>
          <cell r="M27">
            <v>6458.3333333333339</v>
          </cell>
          <cell r="N27">
            <v>6458.3333333333339</v>
          </cell>
          <cell r="O27">
            <v>6458.3333333333339</v>
          </cell>
          <cell r="P27">
            <v>58872.666666666679</v>
          </cell>
        </row>
        <row r="28">
          <cell r="C28" t="str">
            <v>v</v>
          </cell>
          <cell r="D28">
            <v>50473</v>
          </cell>
          <cell r="E28">
            <v>50307</v>
          </cell>
          <cell r="F28">
            <v>50217</v>
          </cell>
          <cell r="G28">
            <v>50792</v>
          </cell>
          <cell r="H28">
            <v>50377.419649999996</v>
          </cell>
          <cell r="I28">
            <v>50377.419649999996</v>
          </cell>
          <cell r="J28">
            <v>50377.419649999996</v>
          </cell>
          <cell r="K28">
            <v>50377.419649999996</v>
          </cell>
          <cell r="L28">
            <v>50377.419649999996</v>
          </cell>
          <cell r="M28">
            <v>50540.019649999995</v>
          </cell>
          <cell r="N28">
            <v>50540.019649999995</v>
          </cell>
          <cell r="O28">
            <v>51782.826587749994</v>
          </cell>
          <cell r="P28">
            <v>606538.96413774998</v>
          </cell>
        </row>
        <row r="29">
          <cell r="C29" t="str">
            <v>w</v>
          </cell>
          <cell r="D29">
            <v>2727</v>
          </cell>
          <cell r="E29">
            <v>1062</v>
          </cell>
          <cell r="F29">
            <v>2732</v>
          </cell>
          <cell r="G29">
            <v>2381</v>
          </cell>
          <cell r="H29">
            <v>3126.666666666667</v>
          </cell>
          <cell r="I29">
            <v>3126.666666666667</v>
          </cell>
          <cell r="J29">
            <v>3126.666666666667</v>
          </cell>
          <cell r="K29">
            <v>3126.666666666667</v>
          </cell>
          <cell r="L29">
            <v>3126.666666666667</v>
          </cell>
          <cell r="M29">
            <v>3126.666666666667</v>
          </cell>
          <cell r="N29">
            <v>3126.666666666667</v>
          </cell>
          <cell r="O29">
            <v>3126.666666666667</v>
          </cell>
          <cell r="P29">
            <v>33915.333333333343</v>
          </cell>
        </row>
        <row r="30">
          <cell r="C30" t="str">
            <v>x</v>
          </cell>
          <cell r="D30">
            <v>33531</v>
          </cell>
          <cell r="E30">
            <v>33869</v>
          </cell>
          <cell r="F30">
            <v>41342</v>
          </cell>
          <cell r="G30">
            <v>29571</v>
          </cell>
          <cell r="H30">
            <v>40725.130412000006</v>
          </cell>
          <cell r="I30">
            <v>38215.029059999993</v>
          </cell>
          <cell r="J30">
            <v>40506.981199999995</v>
          </cell>
          <cell r="K30">
            <v>41120.327873505994</v>
          </cell>
          <cell r="L30">
            <v>43016.864163639992</v>
          </cell>
          <cell r="M30">
            <v>40863.340115999999</v>
          </cell>
          <cell r="N30">
            <v>39508.266211199996</v>
          </cell>
          <cell r="O30">
            <v>43762.942763999999</v>
          </cell>
          <cell r="P30">
            <v>466031.88180034596</v>
          </cell>
        </row>
        <row r="31">
          <cell r="C31" t="str">
            <v>y</v>
          </cell>
          <cell r="D31">
            <v>12901</v>
          </cell>
          <cell r="E31">
            <v>10018</v>
          </cell>
          <cell r="F31">
            <v>15785</v>
          </cell>
          <cell r="G31">
            <v>14492</v>
          </cell>
          <cell r="H31">
            <v>14187.333333333334</v>
          </cell>
          <cell r="I31">
            <v>14187.333333333334</v>
          </cell>
          <cell r="J31">
            <v>14187.333333333334</v>
          </cell>
          <cell r="K31">
            <v>14187.333333333334</v>
          </cell>
          <cell r="L31">
            <v>14187.333333333334</v>
          </cell>
          <cell r="M31">
            <v>14187.333333333334</v>
          </cell>
          <cell r="N31">
            <v>14187.333333333334</v>
          </cell>
          <cell r="O31">
            <v>14187.333333333334</v>
          </cell>
          <cell r="P31">
            <v>166694.66666666666</v>
          </cell>
        </row>
        <row r="32">
          <cell r="C32" t="str">
            <v>z</v>
          </cell>
          <cell r="D32">
            <v>9444</v>
          </cell>
          <cell r="E32">
            <v>865</v>
          </cell>
          <cell r="F32">
            <v>17049</v>
          </cell>
          <cell r="G32">
            <v>1735</v>
          </cell>
          <cell r="H32">
            <v>6802.5833333333321</v>
          </cell>
          <cell r="I32">
            <v>11802.583333333332</v>
          </cell>
          <cell r="J32">
            <v>6802.5833333333321</v>
          </cell>
          <cell r="K32">
            <v>6802.5833333333321</v>
          </cell>
          <cell r="L32">
            <v>6802.5833333333321</v>
          </cell>
          <cell r="M32">
            <v>6802.5833333333321</v>
          </cell>
          <cell r="N32">
            <v>6802.5833333333321</v>
          </cell>
          <cell r="O32">
            <v>6802.5833333333321</v>
          </cell>
          <cell r="P32">
            <v>88513.666666666628</v>
          </cell>
        </row>
        <row r="33">
          <cell r="C33" t="str">
            <v>aa</v>
          </cell>
          <cell r="D33">
            <v>341140</v>
          </cell>
          <cell r="E33">
            <v>346219</v>
          </cell>
          <cell r="F33">
            <v>348887</v>
          </cell>
          <cell r="G33">
            <v>331499</v>
          </cell>
          <cell r="H33">
            <v>342780.33201325178</v>
          </cell>
          <cell r="I33">
            <v>343779.9853465851</v>
          </cell>
          <cell r="J33">
            <v>341387.9853465851</v>
          </cell>
          <cell r="K33">
            <v>341387.9853465851</v>
          </cell>
          <cell r="L33">
            <v>341387.9853465851</v>
          </cell>
          <cell r="M33">
            <v>341387.9853465851</v>
          </cell>
          <cell r="N33">
            <v>339721.31867991848</v>
          </cell>
          <cell r="O33">
            <v>339721.31867991848</v>
          </cell>
          <cell r="P33">
            <v>4099299.896106014</v>
          </cell>
        </row>
        <row r="34">
          <cell r="C34" t="str">
            <v>ab</v>
          </cell>
          <cell r="D34">
            <v>63519</v>
          </cell>
          <cell r="E34">
            <v>59770</v>
          </cell>
          <cell r="F34">
            <v>18450</v>
          </cell>
          <cell r="G34">
            <v>34011</v>
          </cell>
          <cell r="H34">
            <v>57575.85423505443</v>
          </cell>
          <cell r="I34">
            <v>57575.85423505443</v>
          </cell>
          <cell r="J34">
            <v>57575.85423505443</v>
          </cell>
          <cell r="K34">
            <v>57575.85423505443</v>
          </cell>
          <cell r="L34">
            <v>57575.85423505443</v>
          </cell>
          <cell r="M34">
            <v>57575.85423505443</v>
          </cell>
          <cell r="N34">
            <v>57575.85423505443</v>
          </cell>
          <cell r="O34">
            <v>57575.85423505443</v>
          </cell>
          <cell r="P34">
            <v>636356.83388043556</v>
          </cell>
        </row>
        <row r="35">
          <cell r="C35" t="str">
            <v>ac</v>
          </cell>
          <cell r="D35">
            <v>27309</v>
          </cell>
          <cell r="E35">
            <v>27358</v>
          </cell>
          <cell r="F35">
            <v>-121</v>
          </cell>
          <cell r="G35">
            <v>20079</v>
          </cell>
          <cell r="H35">
            <v>29519.231777224901</v>
          </cell>
          <cell r="I35">
            <v>27732.68243939304</v>
          </cell>
          <cell r="J35">
            <v>29257.101657500112</v>
          </cell>
          <cell r="K35">
            <v>29722.83514359652</v>
          </cell>
          <cell r="L35">
            <v>31135.810130431364</v>
          </cell>
          <cell r="M35">
            <v>29514.762495375719</v>
          </cell>
          <cell r="N35">
            <v>28536.382936307149</v>
          </cell>
          <cell r="O35">
            <v>31725.520729740743</v>
          </cell>
          <cell r="P35">
            <v>311769.32730956958</v>
          </cell>
        </row>
        <row r="36">
          <cell r="C36" t="str">
            <v>ad</v>
          </cell>
          <cell r="D36">
            <v>11250</v>
          </cell>
          <cell r="E36">
            <v>11250</v>
          </cell>
          <cell r="F36">
            <v>11250</v>
          </cell>
          <cell r="G36">
            <v>11250</v>
          </cell>
          <cell r="H36">
            <v>11250</v>
          </cell>
          <cell r="I36">
            <v>11250</v>
          </cell>
          <cell r="J36">
            <v>11250</v>
          </cell>
          <cell r="K36">
            <v>11250</v>
          </cell>
          <cell r="L36">
            <v>11250</v>
          </cell>
          <cell r="M36">
            <v>11250</v>
          </cell>
          <cell r="N36">
            <v>11250</v>
          </cell>
          <cell r="O36">
            <v>11250</v>
          </cell>
          <cell r="P36">
            <v>135000</v>
          </cell>
        </row>
        <row r="37">
          <cell r="C37" t="str">
            <v>ae</v>
          </cell>
          <cell r="D37">
            <v>24914</v>
          </cell>
          <cell r="E37">
            <v>24914</v>
          </cell>
          <cell r="F37">
            <v>24914</v>
          </cell>
          <cell r="G37">
            <v>24914</v>
          </cell>
          <cell r="H37">
            <v>24914</v>
          </cell>
          <cell r="I37">
            <v>24914</v>
          </cell>
          <cell r="J37">
            <v>24914</v>
          </cell>
          <cell r="K37">
            <v>24914</v>
          </cell>
          <cell r="L37">
            <v>24914</v>
          </cell>
          <cell r="M37">
            <v>24914</v>
          </cell>
          <cell r="N37">
            <v>24914</v>
          </cell>
          <cell r="O37">
            <v>24914</v>
          </cell>
          <cell r="P37">
            <v>298968</v>
          </cell>
        </row>
        <row r="38">
          <cell r="D38">
            <v>816030</v>
          </cell>
          <cell r="E38">
            <v>814036</v>
          </cell>
          <cell r="F38">
            <v>828529</v>
          </cell>
          <cell r="G38">
            <v>723359</v>
          </cell>
          <cell r="H38">
            <v>839566.66851210408</v>
          </cell>
          <cell r="I38">
            <v>838821.49313417927</v>
          </cell>
          <cell r="J38">
            <v>845277.88841681962</v>
          </cell>
          <cell r="K38">
            <v>848698.85230869113</v>
          </cell>
          <cell r="L38">
            <v>861561.11922391132</v>
          </cell>
          <cell r="M38">
            <v>847590.88383269287</v>
          </cell>
          <cell r="N38">
            <v>836608.04287972406</v>
          </cell>
          <cell r="O38">
            <v>857778.42331798095</v>
          </cell>
          <cell r="P38">
            <v>9957857.3716261033</v>
          </cell>
        </row>
        <row r="40">
          <cell r="D40">
            <v>24995</v>
          </cell>
          <cell r="E40">
            <v>130922</v>
          </cell>
          <cell r="F40">
            <v>88243</v>
          </cell>
          <cell r="G40">
            <v>-19247</v>
          </cell>
          <cell r="H40">
            <v>77144.73448789597</v>
          </cell>
          <cell r="I40">
            <v>99611.471865820698</v>
          </cell>
          <cell r="J40">
            <v>145936.68158318033</v>
          </cell>
          <cell r="K40">
            <v>156799.89452895883</v>
          </cell>
          <cell r="L40">
            <v>194757.82529708883</v>
          </cell>
          <cell r="M40">
            <v>153324.55016730726</v>
          </cell>
          <cell r="N40">
            <v>132456.41992027592</v>
          </cell>
          <cell r="O40">
            <v>214918.47268201923</v>
          </cell>
          <cell r="P40">
            <v>1399863.0505325459</v>
          </cell>
        </row>
        <row r="43">
          <cell r="C43" t="str">
            <v>af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C44" t="str">
            <v>ag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C45" t="str">
            <v>ah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C46" t="str">
            <v>ai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C47" t="str">
            <v>aj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C48" t="str">
            <v>ak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C49" t="str">
            <v>al</v>
          </cell>
          <cell r="D49">
            <v>7955</v>
          </cell>
          <cell r="E49">
            <v>9203</v>
          </cell>
          <cell r="F49">
            <v>8374</v>
          </cell>
          <cell r="G49">
            <v>6983</v>
          </cell>
          <cell r="H49">
            <v>20000</v>
          </cell>
          <cell r="I49">
            <v>20000</v>
          </cell>
          <cell r="J49">
            <v>20000</v>
          </cell>
          <cell r="K49">
            <v>20000</v>
          </cell>
          <cell r="L49">
            <v>20000</v>
          </cell>
          <cell r="M49">
            <v>20000</v>
          </cell>
          <cell r="N49">
            <v>20000</v>
          </cell>
          <cell r="O49">
            <v>20000</v>
          </cell>
          <cell r="P49">
            <v>192515</v>
          </cell>
        </row>
        <row r="50">
          <cell r="C50" t="str">
            <v>am</v>
          </cell>
          <cell r="D50">
            <v>-20470</v>
          </cell>
          <cell r="E50">
            <v>0</v>
          </cell>
          <cell r="F50">
            <v>-1754</v>
          </cell>
          <cell r="G50">
            <v>-5488</v>
          </cell>
          <cell r="H50">
            <v>-24803</v>
          </cell>
          <cell r="I50">
            <v>-20000</v>
          </cell>
          <cell r="J50">
            <v>-20000</v>
          </cell>
          <cell r="K50">
            <v>-20000</v>
          </cell>
          <cell r="L50">
            <v>-20000</v>
          </cell>
          <cell r="M50">
            <v>-20000</v>
          </cell>
          <cell r="N50">
            <v>-20000</v>
          </cell>
          <cell r="O50">
            <v>-20000</v>
          </cell>
          <cell r="P50">
            <v>-192515</v>
          </cell>
        </row>
        <row r="51">
          <cell r="C51" t="str">
            <v>an</v>
          </cell>
          <cell r="D51">
            <v>-101285</v>
          </cell>
          <cell r="E51">
            <v>-101285</v>
          </cell>
          <cell r="F51">
            <v>64802</v>
          </cell>
          <cell r="G51">
            <v>-45715</v>
          </cell>
          <cell r="H51">
            <v>-45715</v>
          </cell>
          <cell r="I51">
            <v>-45715</v>
          </cell>
          <cell r="J51">
            <v>-45715</v>
          </cell>
          <cell r="K51">
            <v>-45715</v>
          </cell>
          <cell r="L51">
            <v>-45715</v>
          </cell>
          <cell r="M51">
            <v>-45715</v>
          </cell>
          <cell r="N51">
            <v>-45715</v>
          </cell>
          <cell r="O51">
            <v>-45715</v>
          </cell>
          <cell r="P51">
            <v>-549203</v>
          </cell>
        </row>
        <row r="52">
          <cell r="C52" t="str">
            <v>ao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 t="str">
            <v>ap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C54" t="str">
            <v>aq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C55" t="str">
            <v>ar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C56" t="str">
            <v>as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C57" t="str">
            <v>at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C58" t="str">
            <v>au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C59" t="str">
            <v>av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C60" t="str">
            <v>aw</v>
          </cell>
          <cell r="D60">
            <v>-72813</v>
          </cell>
          <cell r="E60">
            <v>-72813</v>
          </cell>
          <cell r="F60">
            <v>-72813</v>
          </cell>
          <cell r="G60">
            <v>-72813</v>
          </cell>
          <cell r="H60">
            <v>-72813</v>
          </cell>
          <cell r="I60">
            <v>-72813</v>
          </cell>
          <cell r="J60">
            <v>-72813</v>
          </cell>
          <cell r="K60">
            <v>-72813</v>
          </cell>
          <cell r="L60">
            <v>-72813</v>
          </cell>
          <cell r="M60">
            <v>-72813</v>
          </cell>
          <cell r="N60">
            <v>-72813</v>
          </cell>
          <cell r="O60">
            <v>-72813</v>
          </cell>
          <cell r="P60">
            <v>-873756</v>
          </cell>
        </row>
        <row r="61">
          <cell r="D61">
            <v>-186613</v>
          </cell>
          <cell r="E61">
            <v>-164895</v>
          </cell>
          <cell r="F61">
            <v>-1391</v>
          </cell>
          <cell r="G61">
            <v>-117033</v>
          </cell>
          <cell r="H61">
            <v>-123331</v>
          </cell>
          <cell r="I61">
            <v>-118528</v>
          </cell>
          <cell r="J61">
            <v>-118528</v>
          </cell>
          <cell r="K61">
            <v>-118528</v>
          </cell>
          <cell r="L61">
            <v>-118528</v>
          </cell>
          <cell r="M61">
            <v>-118528</v>
          </cell>
          <cell r="N61">
            <v>-118528</v>
          </cell>
          <cell r="O61">
            <v>-118528</v>
          </cell>
          <cell r="P61">
            <v>-1422959</v>
          </cell>
        </row>
        <row r="63">
          <cell r="D63">
            <v>-161618</v>
          </cell>
          <cell r="E63">
            <v>-33973</v>
          </cell>
          <cell r="F63">
            <v>86852</v>
          </cell>
          <cell r="G63">
            <v>-136280</v>
          </cell>
          <cell r="H63">
            <v>-46186.26551210403</v>
          </cell>
          <cell r="I63">
            <v>-18916.528134179302</v>
          </cell>
          <cell r="J63">
            <v>27408.681583180325</v>
          </cell>
          <cell r="K63">
            <v>38271.89452895883</v>
          </cell>
          <cell r="L63">
            <v>76229.825297088828</v>
          </cell>
          <cell r="M63">
            <v>34796.550167307258</v>
          </cell>
          <cell r="N63">
            <v>13928.419920275919</v>
          </cell>
          <cell r="O63">
            <v>96390.47268201923</v>
          </cell>
          <cell r="P63">
            <v>-23095.949467454106</v>
          </cell>
        </row>
        <row r="65">
          <cell r="C65" t="str">
            <v>ax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ay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D67">
            <v>-161618</v>
          </cell>
          <cell r="E67">
            <v>-33973</v>
          </cell>
          <cell r="F67">
            <v>86852</v>
          </cell>
          <cell r="G67">
            <v>-136280</v>
          </cell>
          <cell r="H67">
            <v>-46186.26551210403</v>
          </cell>
          <cell r="I67">
            <v>-18916.528134179302</v>
          </cell>
          <cell r="J67">
            <v>27408.681583180325</v>
          </cell>
          <cell r="K67">
            <v>38271.89452895883</v>
          </cell>
          <cell r="L67">
            <v>76229.825297088828</v>
          </cell>
          <cell r="M67">
            <v>34796.550167307258</v>
          </cell>
          <cell r="N67">
            <v>13928.419920275919</v>
          </cell>
          <cell r="O67">
            <v>96390.47268201923</v>
          </cell>
          <cell r="P67">
            <v>-23095.949467454106</v>
          </cell>
        </row>
        <row r="75">
          <cell r="C75" t="str">
            <v>g</v>
          </cell>
          <cell r="D75">
            <v>193350</v>
          </cell>
          <cell r="E75">
            <v>328265</v>
          </cell>
          <cell r="F75">
            <v>274600</v>
          </cell>
          <cell r="G75">
            <v>176894</v>
          </cell>
          <cell r="H75">
            <v>205000</v>
          </cell>
          <cell r="I75">
            <v>253796.4</v>
          </cell>
          <cell r="J75">
            <v>292799</v>
          </cell>
          <cell r="K75">
            <v>289073.092022</v>
          </cell>
          <cell r="L75">
            <v>300710.99619599996</v>
          </cell>
          <cell r="M75">
            <v>279786</v>
          </cell>
          <cell r="N75">
            <v>264258.54000000004</v>
          </cell>
          <cell r="O75">
            <v>294902.40000000002</v>
          </cell>
          <cell r="P75">
            <v>3153435.4282179996</v>
          </cell>
        </row>
        <row r="76">
          <cell r="C76" t="str">
            <v>d</v>
          </cell>
          <cell r="D76">
            <v>33416</v>
          </cell>
          <cell r="E76">
            <v>21413</v>
          </cell>
          <cell r="F76">
            <v>45044</v>
          </cell>
          <cell r="G76">
            <v>26332</v>
          </cell>
          <cell r="H76">
            <v>21000</v>
          </cell>
          <cell r="I76">
            <v>19200</v>
          </cell>
          <cell r="J76">
            <v>12480</v>
          </cell>
          <cell r="K76">
            <v>14168.183999999999</v>
          </cell>
          <cell r="L76">
            <v>16163.279999999999</v>
          </cell>
          <cell r="M76">
            <v>21888</v>
          </cell>
          <cell r="N76">
            <v>12084</v>
          </cell>
          <cell r="O76">
            <v>33060</v>
          </cell>
          <cell r="P76">
            <v>276248.46400000004</v>
          </cell>
        </row>
        <row r="77">
          <cell r="C77" t="str">
            <v>e</v>
          </cell>
          <cell r="D77">
            <v>102511</v>
          </cell>
          <cell r="E77">
            <v>122379</v>
          </cell>
          <cell r="F77">
            <v>117843</v>
          </cell>
          <cell r="G77">
            <v>94714</v>
          </cell>
          <cell r="H77">
            <v>110000</v>
          </cell>
          <cell r="I77">
            <v>130000</v>
          </cell>
          <cell r="J77">
            <v>133547.25</v>
          </cell>
          <cell r="K77">
            <v>146643.69483565001</v>
          </cell>
          <cell r="L77">
            <v>181911.36259999999</v>
          </cell>
          <cell r="M77">
            <v>148552.79999999999</v>
          </cell>
          <cell r="N77">
            <v>147798</v>
          </cell>
          <cell r="O77">
            <v>152847</v>
          </cell>
          <cell r="P77">
            <v>1588747.10743565</v>
          </cell>
        </row>
        <row r="78">
          <cell r="C78" t="str">
            <v>c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C79" t="str">
            <v>f</v>
          </cell>
          <cell r="D79">
            <v>13304</v>
          </cell>
          <cell r="E79">
            <v>22930</v>
          </cell>
          <cell r="F79">
            <v>10797</v>
          </cell>
          <cell r="G79">
            <v>6680</v>
          </cell>
          <cell r="H79">
            <v>5000</v>
          </cell>
          <cell r="I79">
            <v>23328</v>
          </cell>
          <cell r="J79">
            <v>19440</v>
          </cell>
          <cell r="K79">
            <v>8475.7159800000009</v>
          </cell>
          <cell r="L79">
            <v>26597.894400000001</v>
          </cell>
          <cell r="M79">
            <v>20856</v>
          </cell>
          <cell r="N79">
            <v>19456.8</v>
          </cell>
          <cell r="O79">
            <v>15100.800000000001</v>
          </cell>
          <cell r="P79">
            <v>191966.21037999997</v>
          </cell>
        </row>
        <row r="80">
          <cell r="D80">
            <v>342581</v>
          </cell>
          <cell r="E80">
            <v>494987</v>
          </cell>
          <cell r="F80">
            <v>448284</v>
          </cell>
          <cell r="G80">
            <v>304620</v>
          </cell>
          <cell r="H80">
            <v>341000</v>
          </cell>
          <cell r="I80">
            <v>426324.4</v>
          </cell>
          <cell r="J80">
            <v>458266.25</v>
          </cell>
          <cell r="K80">
            <v>458360.68683765002</v>
          </cell>
          <cell r="L80">
            <v>525383.53319599992</v>
          </cell>
          <cell r="M80">
            <v>471082.8</v>
          </cell>
          <cell r="N80">
            <v>443597.34</v>
          </cell>
          <cell r="O80">
            <v>495910.2</v>
          </cell>
          <cell r="P80">
            <v>5210397.2100336496</v>
          </cell>
        </row>
      </sheetData>
      <sheetData sheetId="17"/>
      <sheetData sheetId="18">
        <row r="3">
          <cell r="A3" t="str">
            <v>Salaries - Administration</v>
          </cell>
          <cell r="B3">
            <v>28475</v>
          </cell>
          <cell r="C3">
            <v>26601</v>
          </cell>
          <cell r="D3">
            <v>26460</v>
          </cell>
          <cell r="E3">
            <v>27278.314999999999</v>
          </cell>
          <cell r="F3">
            <v>27064.1</v>
          </cell>
          <cell r="G3">
            <v>27064.1</v>
          </cell>
          <cell r="H3">
            <v>27064.1</v>
          </cell>
          <cell r="I3">
            <v>27064.1</v>
          </cell>
          <cell r="J3">
            <v>27064.1</v>
          </cell>
          <cell r="K3">
            <v>27064.1</v>
          </cell>
          <cell r="L3">
            <v>27064.1</v>
          </cell>
          <cell r="M3">
            <v>27064.1</v>
          </cell>
          <cell r="N3">
            <v>325327.11499999999</v>
          </cell>
        </row>
        <row r="4">
          <cell r="A4" t="str">
            <v>Salaries - Administration Contract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 xml:space="preserve">Salaries - Administration Overtime    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A6" t="str">
            <v>Salaries - Administration Commission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Salaries - Multimedia</v>
          </cell>
          <cell r="B7">
            <v>5311</v>
          </cell>
          <cell r="C7">
            <v>4928</v>
          </cell>
          <cell r="D7">
            <v>4678</v>
          </cell>
          <cell r="E7">
            <v>5232.5766666666668</v>
          </cell>
          <cell r="F7">
            <v>5232.5766666666668</v>
          </cell>
          <cell r="G7">
            <v>5232.5766666666668</v>
          </cell>
          <cell r="H7">
            <v>5232.5766666666668</v>
          </cell>
          <cell r="I7">
            <v>5232.5766666666668</v>
          </cell>
          <cell r="J7">
            <v>5232.5766666666668</v>
          </cell>
          <cell r="K7">
            <v>5232.5766666666668</v>
          </cell>
          <cell r="L7">
            <v>5232.5766666666668</v>
          </cell>
          <cell r="M7">
            <v>5232.5766666666668</v>
          </cell>
          <cell r="N7">
            <v>62010.19000000001</v>
          </cell>
        </row>
        <row r="8">
          <cell r="A8" t="str">
            <v>Salaries - Production</v>
          </cell>
          <cell r="B8">
            <v>42793</v>
          </cell>
          <cell r="C8">
            <v>41822</v>
          </cell>
          <cell r="D8">
            <v>39465</v>
          </cell>
          <cell r="E8">
            <v>42427.792629969423</v>
          </cell>
          <cell r="F8">
            <v>45238.459296636087</v>
          </cell>
          <cell r="G8">
            <v>45446.459296636087</v>
          </cell>
          <cell r="H8">
            <v>43054.459296636087</v>
          </cell>
          <cell r="I8">
            <v>43054.459296636087</v>
          </cell>
          <cell r="J8">
            <v>43054.459296636087</v>
          </cell>
          <cell r="K8">
            <v>43054.459296636087</v>
          </cell>
          <cell r="L8">
            <v>41387.792629969423</v>
          </cell>
          <cell r="M8">
            <v>41387.792629969423</v>
          </cell>
          <cell r="N8">
            <v>512186.13366972486</v>
          </cell>
        </row>
        <row r="9">
          <cell r="A9" t="str">
            <v>Salaries - Production - Contract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 xml:space="preserve">Salaries - Production Overtime    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Salaries - Market Research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Salaries - News</v>
          </cell>
          <cell r="B12">
            <v>6059</v>
          </cell>
          <cell r="C12">
            <v>6059</v>
          </cell>
          <cell r="D12">
            <v>6059</v>
          </cell>
          <cell r="E12">
            <v>6058.87</v>
          </cell>
          <cell r="F12">
            <v>6058.87</v>
          </cell>
          <cell r="G12">
            <v>6058.87</v>
          </cell>
          <cell r="H12">
            <v>6058.87</v>
          </cell>
          <cell r="I12">
            <v>6058.87</v>
          </cell>
          <cell r="J12">
            <v>6058.87</v>
          </cell>
          <cell r="K12">
            <v>6058.87</v>
          </cell>
          <cell r="L12">
            <v>6058.87</v>
          </cell>
          <cell r="M12">
            <v>6058.87</v>
          </cell>
          <cell r="N12">
            <v>72706.83</v>
          </cell>
        </row>
        <row r="13">
          <cell r="A13" t="str">
            <v>Salaries - News Contract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 xml:space="preserve">Salaries - News Overtime             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 t="str">
            <v>Salaries - Announcers</v>
          </cell>
          <cell r="B15">
            <v>78635</v>
          </cell>
          <cell r="C15">
            <v>70271</v>
          </cell>
          <cell r="D15">
            <v>81117</v>
          </cell>
          <cell r="E15">
            <v>92907.937614678885</v>
          </cell>
          <cell r="F15">
            <v>85014.71590214067</v>
          </cell>
          <cell r="G15">
            <v>85014.71590214067</v>
          </cell>
          <cell r="H15">
            <v>85014.71590214067</v>
          </cell>
          <cell r="I15">
            <v>85014.71590214067</v>
          </cell>
          <cell r="J15">
            <v>85014.71590214067</v>
          </cell>
          <cell r="K15">
            <v>85014.71590214067</v>
          </cell>
          <cell r="L15">
            <v>85014.71590214067</v>
          </cell>
          <cell r="M15">
            <v>85014.71590214067</v>
          </cell>
          <cell r="N15">
            <v>1003048.6648318045</v>
          </cell>
        </row>
        <row r="16">
          <cell r="A16" t="str">
            <v>Salaries - Announcers - Contract</v>
          </cell>
          <cell r="B16">
            <v>3125</v>
          </cell>
          <cell r="C16">
            <v>4512</v>
          </cell>
          <cell r="D16">
            <v>10097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17734</v>
          </cell>
        </row>
        <row r="17">
          <cell r="A17" t="str">
            <v>Salaries - Announcers - Talent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 t="str">
            <v xml:space="preserve">Salaries - Announcers Overtime         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>Salaries - Technical</v>
          </cell>
          <cell r="B19">
            <v>10706</v>
          </cell>
          <cell r="C19">
            <v>10706</v>
          </cell>
          <cell r="D19">
            <v>10706</v>
          </cell>
          <cell r="E19">
            <v>10705.85</v>
          </cell>
          <cell r="F19">
            <v>10705.85</v>
          </cell>
          <cell r="G19">
            <v>10705.85</v>
          </cell>
          <cell r="H19">
            <v>10705.85</v>
          </cell>
          <cell r="I19">
            <v>10705.85</v>
          </cell>
          <cell r="J19">
            <v>10705.85</v>
          </cell>
          <cell r="K19">
            <v>10705.85</v>
          </cell>
          <cell r="L19">
            <v>10705.85</v>
          </cell>
          <cell r="M19">
            <v>10705.85</v>
          </cell>
          <cell r="N19">
            <v>128470.65000000002</v>
          </cell>
        </row>
        <row r="20">
          <cell r="A20" t="str">
            <v>Salaries - Technical Contract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Salaries - Sales</v>
          </cell>
          <cell r="B21">
            <v>112639</v>
          </cell>
          <cell r="C21">
            <v>110139</v>
          </cell>
          <cell r="D21">
            <v>114806</v>
          </cell>
          <cell r="E21">
            <v>118143.42237003057</v>
          </cell>
          <cell r="F21">
            <v>118143.42237003057</v>
          </cell>
          <cell r="G21">
            <v>119101.74570336391</v>
          </cell>
          <cell r="H21">
            <v>119101.74570336391</v>
          </cell>
          <cell r="I21">
            <v>119101.74570336391</v>
          </cell>
          <cell r="J21">
            <v>119101.74570336391</v>
          </cell>
          <cell r="K21">
            <v>119101.74570336391</v>
          </cell>
          <cell r="L21">
            <v>119101.74570336391</v>
          </cell>
          <cell r="M21">
            <v>119101.74570336391</v>
          </cell>
          <cell r="N21">
            <v>1407583.0646636081</v>
          </cell>
        </row>
        <row r="22">
          <cell r="A22" t="str">
            <v>Salaries - Sales - Contract</v>
          </cell>
          <cell r="B22">
            <v>-225</v>
          </cell>
          <cell r="C22">
            <v>225</v>
          </cell>
          <cell r="D22">
            <v>-225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-225</v>
          </cell>
        </row>
        <row r="23">
          <cell r="A23" t="str">
            <v xml:space="preserve">Salaries - Sales Overtime        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 t="str">
            <v>Salaries - Promotion</v>
          </cell>
          <cell r="B24">
            <v>29065</v>
          </cell>
          <cell r="C24">
            <v>32874</v>
          </cell>
          <cell r="D24">
            <v>26014</v>
          </cell>
          <cell r="E24">
            <v>25420.840000000004</v>
          </cell>
          <cell r="F24">
            <v>25420.840000000004</v>
          </cell>
          <cell r="G24">
            <v>25420.840000000004</v>
          </cell>
          <cell r="H24">
            <v>25420.840000000004</v>
          </cell>
          <cell r="I24">
            <v>25420.840000000004</v>
          </cell>
          <cell r="J24">
            <v>25420.840000000004</v>
          </cell>
          <cell r="K24">
            <v>25420.840000000004</v>
          </cell>
          <cell r="L24">
            <v>25420.840000000004</v>
          </cell>
          <cell r="M24">
            <v>25420.840000000004</v>
          </cell>
          <cell r="N24">
            <v>316740.56000000006</v>
          </cell>
        </row>
        <row r="25">
          <cell r="A25" t="str">
            <v>Bonus</v>
          </cell>
          <cell r="B25">
            <v>7833</v>
          </cell>
          <cell r="C25">
            <v>7833</v>
          </cell>
          <cell r="D25">
            <v>7833</v>
          </cell>
          <cell r="E25">
            <v>7833.333333333333</v>
          </cell>
          <cell r="F25">
            <v>7833.333333333333</v>
          </cell>
          <cell r="G25">
            <v>7833.333333333333</v>
          </cell>
          <cell r="H25">
            <v>7833.333333333333</v>
          </cell>
          <cell r="I25">
            <v>7833.333333333333</v>
          </cell>
          <cell r="J25">
            <v>7833.333333333333</v>
          </cell>
          <cell r="K25">
            <v>7833.333333333333</v>
          </cell>
          <cell r="L25">
            <v>7833.333333333333</v>
          </cell>
          <cell r="M25">
            <v>7833.333333333333</v>
          </cell>
          <cell r="N25">
            <v>70500</v>
          </cell>
        </row>
        <row r="26">
          <cell r="A26" t="str">
            <v>Salaries - Sales Commission</v>
          </cell>
          <cell r="B26">
            <v>15330</v>
          </cell>
          <cell r="C26">
            <v>17309</v>
          </cell>
          <cell r="D26">
            <v>20365</v>
          </cell>
          <cell r="E26">
            <v>19665.287777777776</v>
          </cell>
          <cell r="F26">
            <v>19665.287777777776</v>
          </cell>
          <cell r="G26">
            <v>19498.617777777778</v>
          </cell>
          <cell r="H26">
            <v>19498.617777777778</v>
          </cell>
          <cell r="I26">
            <v>19498.617777777778</v>
          </cell>
          <cell r="J26">
            <v>19498.617777777778</v>
          </cell>
          <cell r="K26">
            <v>19498.617777777778</v>
          </cell>
          <cell r="L26">
            <v>19498.617777777778</v>
          </cell>
          <cell r="M26">
            <v>19498.617777777778</v>
          </cell>
          <cell r="N26">
            <v>228824.9</v>
          </cell>
        </row>
        <row r="27">
          <cell r="A27" t="str">
            <v>Salaries - Football/Sport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Salaries - Football/Sport Contract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Salaries - Football/Sport Talent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 t="str">
            <v xml:space="preserve">Salaries - Temp Staff         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Salaries - Redundancies</v>
          </cell>
          <cell r="B31">
            <v>0</v>
          </cell>
          <cell r="C31">
            <v>11717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11717</v>
          </cell>
        </row>
        <row r="32">
          <cell r="A32" t="str">
            <v>Salaries - Termination Pay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 t="str">
            <v>Salaries - MV Allowance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Salaries - Telephone Allowance</v>
          </cell>
          <cell r="B34">
            <v>1394</v>
          </cell>
          <cell r="C34">
            <v>1223</v>
          </cell>
          <cell r="D34">
            <v>1512</v>
          </cell>
          <cell r="E34">
            <v>1150</v>
          </cell>
          <cell r="F34">
            <v>1150</v>
          </cell>
          <cell r="G34">
            <v>1150</v>
          </cell>
          <cell r="H34">
            <v>1150</v>
          </cell>
          <cell r="I34">
            <v>1150</v>
          </cell>
          <cell r="J34">
            <v>1150</v>
          </cell>
          <cell r="K34">
            <v>1150</v>
          </cell>
          <cell r="L34">
            <v>1150</v>
          </cell>
          <cell r="M34">
            <v>1150</v>
          </cell>
          <cell r="N34">
            <v>14479</v>
          </cell>
        </row>
        <row r="35">
          <cell r="A35" t="str">
            <v>Salaries - Recoveries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 t="str">
            <v>Total Wages &amp; Salaries</v>
          </cell>
          <cell r="B36">
            <v>341140</v>
          </cell>
          <cell r="C36">
            <v>346219</v>
          </cell>
          <cell r="D36">
            <v>348887</v>
          </cell>
          <cell r="E36">
            <v>356824.22539245663</v>
          </cell>
          <cell r="F36">
            <v>351527.45534658508</v>
          </cell>
          <cell r="G36">
            <v>352527.1086799184</v>
          </cell>
          <cell r="H36">
            <v>350135.1086799184</v>
          </cell>
          <cell r="I36">
            <v>350135.1086799184</v>
          </cell>
          <cell r="J36">
            <v>350135.1086799184</v>
          </cell>
          <cell r="K36">
            <v>350135.1086799184</v>
          </cell>
          <cell r="L36">
            <v>348468.44201325177</v>
          </cell>
          <cell r="M36">
            <v>348468.44201325177</v>
          </cell>
          <cell r="N36">
            <v>4194602.1081651375</v>
          </cell>
        </row>
        <row r="39">
          <cell r="A39" t="str">
            <v>Salaries - Administration</v>
          </cell>
          <cell r="B39">
            <v>26019.472266819568</v>
          </cell>
          <cell r="C39">
            <v>26019.472266819568</v>
          </cell>
          <cell r="D39">
            <v>26019.472266819568</v>
          </cell>
          <cell r="E39">
            <v>26019.472266819568</v>
          </cell>
          <cell r="F39">
            <v>26019.472266819568</v>
          </cell>
          <cell r="G39">
            <v>26019.472266819568</v>
          </cell>
          <cell r="H39">
            <v>26019.472266819568</v>
          </cell>
          <cell r="I39">
            <v>26019.472266819568</v>
          </cell>
          <cell r="J39">
            <v>26019.472266819568</v>
          </cell>
          <cell r="K39">
            <v>26019.472266819568</v>
          </cell>
          <cell r="L39">
            <v>26019.472266819568</v>
          </cell>
          <cell r="M39">
            <v>26019.472266819568</v>
          </cell>
          <cell r="N39">
            <v>312233.66720183479</v>
          </cell>
        </row>
        <row r="40">
          <cell r="A40" t="str">
            <v>Salaries - Administration Contract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 t="str">
            <v xml:space="preserve">Salaries - Administration Overtime    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 t="str">
            <v>Salaries - Administration Commission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 t="str">
            <v>Salaries - Digital</v>
          </cell>
          <cell r="B43">
            <v>4678.166666666667</v>
          </cell>
          <cell r="C43">
            <v>4678.166666666667</v>
          </cell>
          <cell r="D43">
            <v>4678.166666666667</v>
          </cell>
          <cell r="E43">
            <v>5232.5833333333339</v>
          </cell>
          <cell r="F43">
            <v>5232.5833333333339</v>
          </cell>
          <cell r="G43">
            <v>5232.5833333333339</v>
          </cell>
          <cell r="H43">
            <v>5232.5833333333339</v>
          </cell>
          <cell r="I43">
            <v>5232.5833333333339</v>
          </cell>
          <cell r="J43">
            <v>5232.5833333333339</v>
          </cell>
          <cell r="K43">
            <v>5232.5833333333339</v>
          </cell>
          <cell r="L43">
            <v>5232.5833333333339</v>
          </cell>
          <cell r="M43">
            <v>5232.5833333333339</v>
          </cell>
          <cell r="N43">
            <v>61127.750000000022</v>
          </cell>
        </row>
        <row r="44">
          <cell r="A44" t="str">
            <v xml:space="preserve">Salaries - Production         </v>
          </cell>
          <cell r="B44">
            <v>41790.412844036691</v>
          </cell>
          <cell r="C44">
            <v>41790.412844036691</v>
          </cell>
          <cell r="D44">
            <v>41790.412844036691</v>
          </cell>
          <cell r="E44">
            <v>43199.496177370027</v>
          </cell>
          <cell r="F44">
            <v>43199.496177370027</v>
          </cell>
          <cell r="G44">
            <v>43199.496177370027</v>
          </cell>
          <cell r="H44">
            <v>43199.496177370027</v>
          </cell>
          <cell r="I44">
            <v>43199.496177370027</v>
          </cell>
          <cell r="J44">
            <v>43199.496177370027</v>
          </cell>
          <cell r="K44">
            <v>43199.496177370027</v>
          </cell>
          <cell r="L44">
            <v>43199.496177370027</v>
          </cell>
          <cell r="M44">
            <v>43199.496177370027</v>
          </cell>
          <cell r="N44">
            <v>514166.70412844029</v>
          </cell>
        </row>
        <row r="45">
          <cell r="A45" t="str">
            <v>Salaries - Production Contract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 t="str">
            <v xml:space="preserve">Salaries - Production Overtime    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 t="str">
            <v>Salaries - Market Research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 t="str">
            <v xml:space="preserve">Salaries - News               </v>
          </cell>
          <cell r="B48">
            <v>7892.2018348623842</v>
          </cell>
          <cell r="C48">
            <v>7892.2018348623842</v>
          </cell>
          <cell r="D48">
            <v>7892.2018348623842</v>
          </cell>
          <cell r="E48">
            <v>7892.2018348623842</v>
          </cell>
          <cell r="F48">
            <v>7892.2018348623842</v>
          </cell>
          <cell r="G48">
            <v>7892.2018348623842</v>
          </cell>
          <cell r="H48">
            <v>7892.2018348623842</v>
          </cell>
          <cell r="I48">
            <v>7892.2018348623842</v>
          </cell>
          <cell r="J48">
            <v>7892.2018348623842</v>
          </cell>
          <cell r="K48">
            <v>7892.2018348623842</v>
          </cell>
          <cell r="L48">
            <v>7892.2018348623842</v>
          </cell>
          <cell r="M48">
            <v>7892.2018348623842</v>
          </cell>
          <cell r="N48">
            <v>94706.422018348603</v>
          </cell>
        </row>
        <row r="49">
          <cell r="A49" t="str">
            <v>Salaries - News Contract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 t="str">
            <v xml:space="preserve">Salaries - News Overtime             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A51" t="str">
            <v xml:space="preserve">Salaries - Announcers         </v>
          </cell>
          <cell r="B51">
            <v>89992.504281345551</v>
          </cell>
          <cell r="C51">
            <v>89992.504281345551</v>
          </cell>
          <cell r="D51">
            <v>89992.504281345551</v>
          </cell>
          <cell r="E51">
            <v>92907.937614678885</v>
          </cell>
          <cell r="F51">
            <v>83324.604281345557</v>
          </cell>
          <cell r="G51">
            <v>79157.937614678885</v>
          </cell>
          <cell r="H51">
            <v>79157.937614678885</v>
          </cell>
          <cell r="I51">
            <v>79157.937614678885</v>
          </cell>
          <cell r="J51">
            <v>79157.937614678885</v>
          </cell>
          <cell r="K51">
            <v>79157.937614678885</v>
          </cell>
          <cell r="L51">
            <v>79157.937614678885</v>
          </cell>
          <cell r="M51">
            <v>79157.937614678885</v>
          </cell>
          <cell r="N51">
            <v>1000315.6180428133</v>
          </cell>
        </row>
        <row r="52">
          <cell r="A52" t="str">
            <v>Salaries - Announcers Contract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Salaries - Announcers Talent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A54" t="str">
            <v xml:space="preserve">Salaries - Announcers Overtime         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A55" t="str">
            <v xml:space="preserve">Salaries - Technical          </v>
          </cell>
          <cell r="B55">
            <v>10656.077981651375</v>
          </cell>
          <cell r="C55">
            <v>10656.077981651375</v>
          </cell>
          <cell r="D55">
            <v>10656.077981651375</v>
          </cell>
          <cell r="E55">
            <v>10656.077981651375</v>
          </cell>
          <cell r="F55">
            <v>10656.077981651375</v>
          </cell>
          <cell r="G55">
            <v>10656.077981651375</v>
          </cell>
          <cell r="H55">
            <v>10656.077981651375</v>
          </cell>
          <cell r="I55">
            <v>10656.077981651375</v>
          </cell>
          <cell r="J55">
            <v>10656.077981651375</v>
          </cell>
          <cell r="K55">
            <v>10656.077981651375</v>
          </cell>
          <cell r="L55">
            <v>10656.077981651375</v>
          </cell>
          <cell r="M55">
            <v>10656.077981651375</v>
          </cell>
          <cell r="N55">
            <v>127872.93577981653</v>
          </cell>
        </row>
        <row r="56">
          <cell r="A56" t="str">
            <v>Salaries - Technical Contract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A57" t="str">
            <v xml:space="preserve">Salaries - Sales              </v>
          </cell>
          <cell r="B57">
            <v>109926.48829580205</v>
          </cell>
          <cell r="C57">
            <v>109926.48829580205</v>
          </cell>
          <cell r="D57">
            <v>109926.48829580205</v>
          </cell>
          <cell r="E57">
            <v>109926.48829580205</v>
          </cell>
          <cell r="F57">
            <v>109926.48829580205</v>
          </cell>
          <cell r="G57">
            <v>109926.48829580205</v>
          </cell>
          <cell r="H57">
            <v>109926.48829580205</v>
          </cell>
          <cell r="I57">
            <v>109926.48829580205</v>
          </cell>
          <cell r="J57">
            <v>109926.48829580205</v>
          </cell>
          <cell r="K57">
            <v>109926.48829580205</v>
          </cell>
          <cell r="L57">
            <v>109926.48829580205</v>
          </cell>
          <cell r="M57">
            <v>109926.48829580205</v>
          </cell>
          <cell r="N57">
            <v>1319117.8595496248</v>
          </cell>
        </row>
        <row r="58">
          <cell r="A58" t="str">
            <v>Salaries - Sales Contract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 xml:space="preserve">Salaries - Sales Overtime        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A60" t="str">
            <v>Salaries - Promotion</v>
          </cell>
          <cell r="B60">
            <v>29745.865443425078</v>
          </cell>
          <cell r="C60">
            <v>29745.865443425078</v>
          </cell>
          <cell r="D60">
            <v>29745.865443425078</v>
          </cell>
          <cell r="E60">
            <v>26162.532110091743</v>
          </cell>
          <cell r="F60">
            <v>26162.532110091743</v>
          </cell>
          <cell r="G60">
            <v>26162.532110091743</v>
          </cell>
          <cell r="H60">
            <v>26162.532110091743</v>
          </cell>
          <cell r="I60">
            <v>26162.532110091743</v>
          </cell>
          <cell r="J60">
            <v>26162.532110091743</v>
          </cell>
          <cell r="K60">
            <v>26162.532110091743</v>
          </cell>
          <cell r="L60">
            <v>26162.532110091743</v>
          </cell>
          <cell r="M60">
            <v>26162.532110091743</v>
          </cell>
          <cell r="N60">
            <v>324700.38532110094</v>
          </cell>
        </row>
        <row r="61">
          <cell r="A61" t="str">
            <v>Salaries - Promotion Overtime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Salaries - Sales Commission</v>
          </cell>
          <cell r="B62">
            <v>18562.5</v>
          </cell>
          <cell r="C62">
            <v>18562.5</v>
          </cell>
          <cell r="D62">
            <v>18562.5</v>
          </cell>
          <cell r="E62">
            <v>18562.5</v>
          </cell>
          <cell r="F62">
            <v>18562.5</v>
          </cell>
          <cell r="G62">
            <v>18562.5</v>
          </cell>
          <cell r="H62">
            <v>18562.5</v>
          </cell>
          <cell r="I62">
            <v>18562.5</v>
          </cell>
          <cell r="J62">
            <v>18562.5</v>
          </cell>
          <cell r="K62">
            <v>18562.5</v>
          </cell>
          <cell r="L62">
            <v>18562.5</v>
          </cell>
          <cell r="M62">
            <v>18562.5</v>
          </cell>
          <cell r="N62">
            <v>222750</v>
          </cell>
        </row>
        <row r="63">
          <cell r="A63" t="str">
            <v>Salaries - Football/Sport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Salaries - Football/Sport Contract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</sheetData>
      <sheetData sheetId="19"/>
      <sheetData sheetId="20"/>
      <sheetData sheetId="2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Saldenliste"/>
      <sheetName val="Salden"/>
      <sheetName val="Struktur"/>
      <sheetName val="IC-Salden"/>
      <sheetName val="Anlagenbew"/>
      <sheetName val="Ruckstbew"/>
      <sheetName val="Kapitalbew"/>
      <sheetName val="current1"/>
    </sheetNames>
    <sheetDataSet>
      <sheetData sheetId="0"/>
      <sheetData sheetId="1"/>
      <sheetData sheetId="2">
        <row r="2">
          <cell r="B2" t="str">
            <v>001</v>
          </cell>
        </row>
        <row r="3">
          <cell r="G3" t="str">
            <v>EUR</v>
          </cell>
        </row>
        <row r="5">
          <cell r="F5" t="str">
            <v>06.2002</v>
          </cell>
          <cell r="G5" t="str">
            <v>06.2003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Schedule "/>
      <sheetName val="Journal"/>
      <sheetName val="TXT"/>
      <sheetName val="0 value"/>
      <sheetName val="Sheet1"/>
      <sheetName val="sheet2"/>
      <sheetName val="paste special &gt; value"/>
      <sheetName val="ACCRUAL"/>
      <sheetName val="BLANK"/>
      <sheetName val="Lead_Schedule_"/>
      <sheetName val="0_value"/>
      <sheetName val="paste_special_&gt;_value"/>
    </sheetNames>
    <sheetDataSet>
      <sheetData sheetId="0">
        <row r="5">
          <cell r="C5" t="str">
            <v>GL COMPANY</v>
          </cell>
        </row>
        <row r="6">
          <cell r="B6">
            <v>1</v>
          </cell>
          <cell r="C6" t="str">
            <v>Auckland Colour &amp; Design (AD)</v>
          </cell>
          <cell r="D6" t="str">
            <v>AD</v>
          </cell>
          <cell r="F6">
            <v>1</v>
          </cell>
          <cell r="G6" t="str">
            <v>Blank</v>
          </cell>
          <cell r="I6">
            <v>1</v>
          </cell>
          <cell r="J6" t="str">
            <v>July</v>
          </cell>
          <cell r="K6" t="str">
            <v>31/07/05</v>
          </cell>
        </row>
        <row r="7">
          <cell r="B7">
            <v>2</v>
          </cell>
          <cell r="C7" t="str">
            <v>Bravoscar Eliminations (BE)</v>
          </cell>
          <cell r="D7" t="str">
            <v>BE</v>
          </cell>
          <cell r="F7">
            <v>2</v>
          </cell>
          <cell r="G7" t="str">
            <v>Accrual</v>
          </cell>
          <cell r="I7">
            <v>2</v>
          </cell>
          <cell r="J7" t="str">
            <v>August</v>
          </cell>
          <cell r="K7" t="str">
            <v>28/08/05</v>
          </cell>
        </row>
        <row r="8">
          <cell r="B8">
            <v>3</v>
          </cell>
          <cell r="C8" t="str">
            <v>Bravoscar Finance Company Pty Ltd (BF)</v>
          </cell>
          <cell r="D8" t="str">
            <v>BF</v>
          </cell>
          <cell r="I8">
            <v>3</v>
          </cell>
          <cell r="J8" t="str">
            <v>September</v>
          </cell>
          <cell r="K8" t="str">
            <v>02/10/05</v>
          </cell>
        </row>
        <row r="9">
          <cell r="B9">
            <v>4</v>
          </cell>
          <cell r="C9" t="str">
            <v>Bravoscar Nominees Pty Ltd (BN)</v>
          </cell>
          <cell r="D9" t="str">
            <v>BN</v>
          </cell>
          <cell r="I9">
            <v>4</v>
          </cell>
          <cell r="J9" t="str">
            <v>October</v>
          </cell>
          <cell r="K9" t="str">
            <v>30/10/05</v>
          </cell>
        </row>
        <row r="10">
          <cell r="B10">
            <v>5</v>
          </cell>
          <cell r="C10" t="str">
            <v>Eliminations (EL)</v>
          </cell>
          <cell r="D10" t="str">
            <v>EL</v>
          </cell>
          <cell r="I10">
            <v>5</v>
          </cell>
          <cell r="J10" t="str">
            <v>November</v>
          </cell>
          <cell r="K10" t="str">
            <v>27/11/05</v>
          </cell>
        </row>
        <row r="11">
          <cell r="B11">
            <v>6</v>
          </cell>
          <cell r="C11" t="str">
            <v>FGL Property T'ee Pty Ltd (PT)</v>
          </cell>
          <cell r="D11" t="str">
            <v>PT</v>
          </cell>
          <cell r="I11">
            <v>6</v>
          </cell>
          <cell r="J11" t="str">
            <v>December</v>
          </cell>
          <cell r="K11" t="str">
            <v>01/01/06</v>
          </cell>
        </row>
        <row r="12">
          <cell r="B12">
            <v>7</v>
          </cell>
          <cell r="C12" t="str">
            <v>Foxtrot Wholesaling P/L</v>
          </cell>
          <cell r="D12" t="str">
            <v>FX</v>
          </cell>
          <cell r="I12">
            <v>7</v>
          </cell>
          <cell r="J12" t="str">
            <v>January</v>
          </cell>
          <cell r="K12" t="str">
            <v>29/01/06</v>
          </cell>
        </row>
        <row r="13">
          <cell r="B13">
            <v>8</v>
          </cell>
          <cell r="C13" t="str">
            <v>Freedom Brands Pty Ltd (FB)</v>
          </cell>
          <cell r="D13" t="str">
            <v>FB</v>
          </cell>
          <cell r="I13">
            <v>8</v>
          </cell>
          <cell r="J13" t="str">
            <v>February</v>
          </cell>
          <cell r="K13" t="str">
            <v>26/02/06</v>
          </cell>
        </row>
        <row r="14">
          <cell r="B14">
            <v>9</v>
          </cell>
          <cell r="C14" t="str">
            <v>Freedom Consolidated (FC)</v>
          </cell>
          <cell r="D14" t="str">
            <v>FC</v>
          </cell>
          <cell r="I14">
            <v>9</v>
          </cell>
          <cell r="J14" t="str">
            <v>March</v>
          </cell>
          <cell r="K14" t="str">
            <v>02/04/06</v>
          </cell>
        </row>
        <row r="15">
          <cell r="B15">
            <v>10</v>
          </cell>
          <cell r="C15" t="str">
            <v>Freedom Furniture New Zealand (NZ)</v>
          </cell>
          <cell r="D15" t="str">
            <v>NZ</v>
          </cell>
          <cell r="I15">
            <v>10</v>
          </cell>
          <cell r="J15" t="str">
            <v>April</v>
          </cell>
          <cell r="K15" t="str">
            <v>30/04/06</v>
          </cell>
        </row>
        <row r="16">
          <cell r="B16">
            <v>11</v>
          </cell>
          <cell r="C16" t="str">
            <v>Freedom Furniture Partnership (FF)</v>
          </cell>
          <cell r="D16" t="str">
            <v>FF</v>
          </cell>
          <cell r="I16">
            <v>11</v>
          </cell>
          <cell r="J16" t="str">
            <v>May</v>
          </cell>
          <cell r="K16" t="str">
            <v>28/05/06</v>
          </cell>
        </row>
        <row r="17">
          <cell r="B17">
            <v>12</v>
          </cell>
          <cell r="C17" t="str">
            <v>Freedom Lidcombe Property Trust (FP)</v>
          </cell>
          <cell r="D17" t="str">
            <v>FP</v>
          </cell>
          <cell r="I17">
            <v>12</v>
          </cell>
          <cell r="J17" t="str">
            <v>June</v>
          </cell>
          <cell r="K17" t="str">
            <v>02/07/06</v>
          </cell>
        </row>
        <row r="18">
          <cell r="B18">
            <v>13</v>
          </cell>
          <cell r="C18" t="str">
            <v>Freedom Ltd (FL)</v>
          </cell>
          <cell r="D18" t="str">
            <v>FL</v>
          </cell>
        </row>
        <row r="19">
          <cell r="B19">
            <v>14</v>
          </cell>
          <cell r="C19" t="str">
            <v>Freedom Ltd Consolidated (CF)</v>
          </cell>
          <cell r="D19" t="str">
            <v>CF</v>
          </cell>
        </row>
        <row r="20">
          <cell r="B20">
            <v>15</v>
          </cell>
          <cell r="C20" t="str">
            <v>Freedom Retail P/L (FR)</v>
          </cell>
          <cell r="D20" t="str">
            <v>FR</v>
          </cell>
        </row>
        <row r="21">
          <cell r="B21">
            <v>16</v>
          </cell>
          <cell r="C21" t="str">
            <v>Kings Park Property Unit Trust (KP)</v>
          </cell>
          <cell r="D21" t="str">
            <v>KP</v>
          </cell>
        </row>
        <row r="22">
          <cell r="B22">
            <v>17</v>
          </cell>
          <cell r="C22" t="str">
            <v>Lifestyle Trends (LT)</v>
          </cell>
          <cell r="D22" t="str">
            <v>LT</v>
          </cell>
        </row>
        <row r="23">
          <cell r="B23">
            <v>18</v>
          </cell>
          <cell r="C23" t="str">
            <v>Lonaka (LO)</v>
          </cell>
          <cell r="D23" t="str">
            <v>LO</v>
          </cell>
        </row>
        <row r="24">
          <cell r="B24">
            <v>19</v>
          </cell>
          <cell r="C24" t="str">
            <v>Prosequi (PR)</v>
          </cell>
          <cell r="D24" t="str">
            <v>PR</v>
          </cell>
        </row>
        <row r="25">
          <cell r="B25">
            <v>20</v>
          </cell>
          <cell r="C25" t="str">
            <v>Steinhoff Pacific Pty Ltd (SP)</v>
          </cell>
          <cell r="D25" t="str">
            <v>SP</v>
          </cell>
        </row>
        <row r="26">
          <cell r="B26">
            <v>21</v>
          </cell>
          <cell r="C26" t="str">
            <v>Zaraba (ZA)</v>
          </cell>
          <cell r="D26" t="str">
            <v>ZA</v>
          </cell>
        </row>
        <row r="27">
          <cell r="B27">
            <v>22</v>
          </cell>
          <cell r="C27" t="str">
            <v>Foxtrot Wholesaling Pty LTd</v>
          </cell>
          <cell r="D27" t="str">
            <v>FX</v>
          </cell>
        </row>
        <row r="28">
          <cell r="B28">
            <v>23</v>
          </cell>
          <cell r="C28" t="str">
            <v>Levenes - Freedom Furniture NZ Ltd</v>
          </cell>
          <cell r="D28" t="str">
            <v>LV</v>
          </cell>
        </row>
        <row r="29">
          <cell r="B29">
            <v>24</v>
          </cell>
          <cell r="C29" t="str">
            <v>Lifestyle Trends</v>
          </cell>
          <cell r="D29" t="str">
            <v>LT</v>
          </cell>
        </row>
        <row r="30">
          <cell r="B30">
            <v>25</v>
          </cell>
          <cell r="C30" t="str">
            <v>Lonaka</v>
          </cell>
          <cell r="D30" t="str">
            <v>LO</v>
          </cell>
        </row>
        <row r="31">
          <cell r="B31">
            <v>26</v>
          </cell>
          <cell r="C31" t="str">
            <v>Prosequi</v>
          </cell>
          <cell r="D31" t="str">
            <v>PR</v>
          </cell>
        </row>
        <row r="32">
          <cell r="B32">
            <v>27</v>
          </cell>
          <cell r="C32" t="str">
            <v>Steinhoff Pacific Pty Ltd</v>
          </cell>
          <cell r="D32" t="str">
            <v>SP</v>
          </cell>
        </row>
        <row r="33">
          <cell r="B33">
            <v>28</v>
          </cell>
          <cell r="C33" t="str">
            <v>Zaraba</v>
          </cell>
          <cell r="D33" t="str">
            <v>ZA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GL COMPANY</v>
          </cell>
        </row>
      </sheetData>
      <sheetData sheetId="10"/>
      <sheetData sheetId="1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mary"/>
      <sheetName val="Reconciliation"/>
      <sheetName val="bridge"/>
      <sheetName val="Call Sheet"/>
      <sheetName val="Weekly Budget"/>
      <sheetName val="Salaries"/>
      <sheetName val="Head count"/>
      <sheetName val="Ratings"/>
      <sheetName val="Summary Movement"/>
      <sheetName val="GP Input Sheet"/>
      <sheetName val="FY11 Fcast"/>
      <sheetName val="Data Input Sheet"/>
      <sheetName val="PERTH MARKET"/>
      <sheetName val="TOTAL MARKET"/>
      <sheetName val="AGENCY"/>
      <sheetName val="DIRECT"/>
      <sheetName val="NEW STH WALES"/>
      <sheetName val="SOUTHAUST"/>
      <sheetName val="QUEENSLAND"/>
      <sheetName val="VICTORIA"/>
      <sheetName val="Revenue"/>
      <sheetName val="Rate card"/>
      <sheetName val="KPIs"/>
      <sheetName val="Salaries &amp; FTE"/>
      <sheetName val="Sales ROI"/>
      <sheetName val="Sales ROI (2)"/>
      <sheetName val="Marketing"/>
      <sheetName val="Sponsorship"/>
      <sheetName val="Digital Media"/>
      <sheetName val="937 EBITDA"/>
      <sheetName val="Nova 937"/>
      <sheetName val="Nova 937 P&amp;L"/>
      <sheetName val="CAPEX"/>
      <sheetName val="AUR"/>
      <sheetName val="Deloitte"/>
      <sheetName val="AUR old"/>
      <sheetName val="From recharges"/>
      <sheetName val="bridge revenue"/>
      <sheetName val="Grid for PPT"/>
      <sheetName val="Grid for PPT 3"/>
      <sheetName val="PPT 2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34">
          <cell r="E34">
            <v>40000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4">
          <cell r="A4" t="str">
            <v>Nova919 - Adelaide</v>
          </cell>
        </row>
        <row r="5">
          <cell r="A5" t="str">
            <v>Nova1069 - Brisbane</v>
          </cell>
        </row>
        <row r="6">
          <cell r="A6" t="str">
            <v>Nova100 - Melbourne</v>
          </cell>
        </row>
        <row r="7">
          <cell r="A7" t="str">
            <v>Nova937 - Perth</v>
          </cell>
        </row>
        <row r="8">
          <cell r="A8" t="str">
            <v>Nova969 - Sydney</v>
          </cell>
        </row>
        <row r="9">
          <cell r="A9" t="str">
            <v>Classic Rock 915 - Melbourne</v>
          </cell>
        </row>
        <row r="10">
          <cell r="A10" t="str">
            <v>Classic Rock 953 - Sydney</v>
          </cell>
        </row>
        <row r="11">
          <cell r="A11" t="str">
            <v>FIVEaa - Adelaide</v>
          </cell>
        </row>
        <row r="12">
          <cell r="A12" t="str">
            <v>StarFM - Gosford</v>
          </cell>
        </row>
        <row r="13">
          <cell r="A13" t="str">
            <v>DAB+</v>
          </cell>
        </row>
        <row r="14">
          <cell r="A14" t="str">
            <v>Corporate</v>
          </cell>
        </row>
        <row r="18">
          <cell r="A18" t="str">
            <v>Yes</v>
          </cell>
        </row>
        <row r="19">
          <cell r="A19" t="str">
            <v>No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tro"/>
      <sheetName val="StepChart_ErrorBar"/>
      <sheetName val="Inventory_Line"/>
      <sheetName val="Price_Line"/>
    </sheetNames>
    <sheetDataSet>
      <sheetData sheetId="0"/>
      <sheetData sheetId="1"/>
      <sheetData sheetId="2">
        <row r="3">
          <cell r="B3" t="str">
            <v>Price</v>
          </cell>
        </row>
      </sheetData>
      <sheetData sheetId="3">
        <row r="5">
          <cell r="E5"/>
          <cell r="F5" t="str">
            <v>dd-mmm
14</v>
          </cell>
          <cell r="G5">
            <v>42747</v>
          </cell>
          <cell r="H5">
            <v>14</v>
          </cell>
        </row>
        <row r="6">
          <cell r="G6">
            <v>42767</v>
          </cell>
        </row>
        <row r="7">
          <cell r="G7">
            <v>42767</v>
          </cell>
        </row>
        <row r="8">
          <cell r="G8">
            <v>42786</v>
          </cell>
        </row>
        <row r="9">
          <cell r="G9">
            <v>42786</v>
          </cell>
        </row>
        <row r="10">
          <cell r="G10">
            <v>42809</v>
          </cell>
        </row>
        <row r="11">
          <cell r="G11">
            <v>42809</v>
          </cell>
        </row>
        <row r="12">
          <cell r="G12">
            <v>42835</v>
          </cell>
        </row>
        <row r="13">
          <cell r="G13">
            <v>42835</v>
          </cell>
        </row>
        <row r="14">
          <cell r="G14">
            <v>42860</v>
          </cell>
        </row>
        <row r="15">
          <cell r="G15">
            <v>42860</v>
          </cell>
        </row>
        <row r="16">
          <cell r="G16">
            <v>42892</v>
          </cell>
        </row>
        <row r="17">
          <cell r="G17">
            <v>42892</v>
          </cell>
        </row>
        <row r="18">
          <cell r="G18">
            <v>42923</v>
          </cell>
        </row>
        <row r="19">
          <cell r="G19">
            <v>42923</v>
          </cell>
        </row>
        <row r="20">
          <cell r="G20"/>
        </row>
        <row r="21">
          <cell r="G21"/>
        </row>
        <row r="22">
          <cell r="G22"/>
        </row>
        <row r="23">
          <cell r="G23"/>
        </row>
        <row r="24">
          <cell r="G24"/>
        </row>
        <row r="25">
          <cell r="G25"/>
        </row>
        <row r="26">
          <cell r="G26"/>
        </row>
        <row r="27">
          <cell r="G27"/>
        </row>
        <row r="28">
          <cell r="G28"/>
        </row>
        <row r="29">
          <cell r="G29"/>
        </row>
      </sheetData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ection_4"/>
      <sheetName val="Section_5"/>
      <sheetName val="Section_6"/>
      <sheetName val="Section_7"/>
      <sheetName val="Section_8"/>
      <sheetName val="Section_9"/>
      <sheetName val="Section_10"/>
      <sheetName val="Section_11"/>
      <sheetName val="Section_12"/>
      <sheetName val="Section_13"/>
      <sheetName val="Section_13Gantt"/>
      <sheetName val="Section_14"/>
      <sheetName val="Appendix"/>
    </sheetNames>
    <sheetDataSet>
      <sheetData sheetId="0"/>
      <sheetData sheetId="1">
        <row r="48">
          <cell r="B48" t="str">
            <v>Month</v>
          </cell>
          <cell r="C48" t="str">
            <v>Sales. Rev</v>
          </cell>
        </row>
        <row r="49">
          <cell r="B49" t="str">
            <v>Jan</v>
          </cell>
          <cell r="C49">
            <v>220</v>
          </cell>
        </row>
        <row r="50">
          <cell r="B50" t="str">
            <v>Feb</v>
          </cell>
          <cell r="C50">
            <v>210</v>
          </cell>
        </row>
        <row r="51">
          <cell r="B51" t="str">
            <v>Mar</v>
          </cell>
          <cell r="C51">
            <v>200</v>
          </cell>
        </row>
        <row r="52">
          <cell r="B52" t="str">
            <v>Apr</v>
          </cell>
          <cell r="C52">
            <v>230</v>
          </cell>
        </row>
        <row r="53">
          <cell r="B53" t="str">
            <v>May</v>
          </cell>
          <cell r="C53">
            <v>190</v>
          </cell>
        </row>
        <row r="54">
          <cell r="B54" t="str">
            <v>Jun</v>
          </cell>
          <cell r="C54">
            <v>180</v>
          </cell>
        </row>
        <row r="55">
          <cell r="B55" t="str">
            <v>Jul</v>
          </cell>
          <cell r="C55">
            <v>198</v>
          </cell>
        </row>
        <row r="56">
          <cell r="B56" t="str">
            <v>Aug</v>
          </cell>
          <cell r="C56">
            <v>217</v>
          </cell>
        </row>
        <row r="57">
          <cell r="B57" t="str">
            <v>Sep</v>
          </cell>
          <cell r="C57">
            <v>230</v>
          </cell>
        </row>
        <row r="58">
          <cell r="B58" t="str">
            <v>Oct</v>
          </cell>
          <cell r="C58">
            <v>215</v>
          </cell>
        </row>
        <row r="59">
          <cell r="B59" t="str">
            <v>Nov</v>
          </cell>
          <cell r="C59">
            <v>220</v>
          </cell>
        </row>
        <row r="60">
          <cell r="B60" t="str">
            <v>Dec</v>
          </cell>
          <cell r="C60">
            <v>225</v>
          </cell>
        </row>
        <row r="61">
          <cell r="B61" t="str">
            <v>Jan</v>
          </cell>
          <cell r="C61">
            <v>225</v>
          </cell>
        </row>
        <row r="62">
          <cell r="B62" t="str">
            <v>Feb</v>
          </cell>
          <cell r="C62">
            <v>220</v>
          </cell>
        </row>
        <row r="63">
          <cell r="B63" t="str">
            <v>Mar</v>
          </cell>
          <cell r="C63">
            <v>200</v>
          </cell>
        </row>
        <row r="64">
          <cell r="B64" t="str">
            <v>Apr</v>
          </cell>
          <cell r="C64">
            <v>210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</sheetData>
      <sheetData sheetId="2"/>
      <sheetData sheetId="3"/>
      <sheetData sheetId="4"/>
      <sheetData sheetId="5">
        <row r="4">
          <cell r="B4" t="str">
            <v>Sales</v>
          </cell>
        </row>
      </sheetData>
      <sheetData sheetId="6"/>
      <sheetData sheetId="7"/>
      <sheetData sheetId="8">
        <row r="7">
          <cell r="I7" t="str">
            <v>Actual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ries"/>
      <sheetName val="2"/>
      <sheetName val="4"/>
      <sheetName val="5"/>
      <sheetName val="5A"/>
      <sheetName val="6"/>
      <sheetName val="8"/>
      <sheetName val="8A"/>
      <sheetName val="8B"/>
      <sheetName val="8C"/>
      <sheetName val="8D"/>
      <sheetName val="8E"/>
      <sheetName val="8F"/>
      <sheetName val="8H"/>
      <sheetName val="8G"/>
      <sheetName val="8I"/>
      <sheetName val="8J"/>
      <sheetName val="8K"/>
      <sheetName val="8L"/>
      <sheetName val="8N"/>
      <sheetName val="8M"/>
      <sheetName val="Data Input Sheet"/>
      <sheetName val="Call Sheet"/>
      <sheetName val="GP Input Sheet"/>
      <sheetName val="CAPEX"/>
      <sheetName val="Head count"/>
      <sheetName val="Ratings"/>
      <sheetName val="Interstate revenue"/>
      <sheetName val="AUR"/>
      <sheetName val="Rate card"/>
      <sheetName val="Sponsorsh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4">
          <cell r="B14">
            <v>0</v>
          </cell>
        </row>
        <row r="15">
          <cell r="B15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Freedom (FY14)"/>
      <sheetName val="MyFreedom"/>
      <sheetName val="data (im413)"/>
      <sheetName val="tm1 upload"/>
      <sheetName val="lookup"/>
      <sheetName val="Sheet2"/>
      <sheetName val="MyFreedom_(FY14)"/>
      <sheetName val="data_(im413)"/>
      <sheetName val="tm1_upload"/>
    </sheetNames>
    <sheetDataSet>
      <sheetData sheetId="0"/>
      <sheetData sheetId="1"/>
      <sheetData sheetId="2"/>
      <sheetData sheetId="3"/>
      <sheetData sheetId="4">
        <row r="1">
          <cell r="A1" t="str">
            <v>Warehouse</v>
          </cell>
          <cell r="B1" t="str">
            <v>Brand</v>
          </cell>
          <cell r="C1" t="str">
            <v>Type</v>
          </cell>
          <cell r="D1" t="str">
            <v>DC</v>
          </cell>
          <cell r="F1" t="str">
            <v>Start</v>
          </cell>
          <cell r="G1" t="str">
            <v>End</v>
          </cell>
          <cell r="H1" t="str">
            <v>Week</v>
          </cell>
        </row>
        <row r="2">
          <cell r="A2" t="str">
            <v>AAS</v>
          </cell>
          <cell r="B2" t="str">
            <v>Freedom</v>
          </cell>
          <cell r="C2" t="str">
            <v>Company</v>
          </cell>
          <cell r="D2" t="str">
            <v>No</v>
          </cell>
          <cell r="F2">
            <v>41085</v>
          </cell>
          <cell r="G2">
            <v>41091</v>
          </cell>
          <cell r="H2">
            <v>0</v>
          </cell>
        </row>
        <row r="3">
          <cell r="A3" t="str">
            <v>ABS</v>
          </cell>
          <cell r="B3" t="str">
            <v>Freedom</v>
          </cell>
          <cell r="C3" t="str">
            <v>Company</v>
          </cell>
          <cell r="D3" t="str">
            <v>No</v>
          </cell>
          <cell r="F3">
            <v>41092</v>
          </cell>
          <cell r="G3">
            <v>41098</v>
          </cell>
          <cell r="H3">
            <v>1</v>
          </cell>
        </row>
        <row r="4">
          <cell r="A4" t="str">
            <v>ABV</v>
          </cell>
          <cell r="B4" t="str">
            <v>Bay Leather</v>
          </cell>
          <cell r="C4" t="str">
            <v>Franchise</v>
          </cell>
          <cell r="D4" t="str">
            <v>No</v>
          </cell>
          <cell r="F4">
            <v>41099</v>
          </cell>
          <cell r="G4">
            <v>41105</v>
          </cell>
          <cell r="H4">
            <v>2</v>
          </cell>
        </row>
        <row r="5">
          <cell r="A5" t="str">
            <v>ACS</v>
          </cell>
          <cell r="B5" t="str">
            <v>Freedom</v>
          </cell>
          <cell r="C5" t="str">
            <v>Company</v>
          </cell>
          <cell r="D5" t="str">
            <v>No</v>
          </cell>
          <cell r="F5">
            <v>41106</v>
          </cell>
          <cell r="G5">
            <v>41112</v>
          </cell>
          <cell r="H5">
            <v>3</v>
          </cell>
        </row>
        <row r="6">
          <cell r="A6" t="str">
            <v>ADS</v>
          </cell>
          <cell r="B6" t="str">
            <v>Freedom</v>
          </cell>
          <cell r="C6" t="str">
            <v>Company</v>
          </cell>
          <cell r="D6" t="str">
            <v>No</v>
          </cell>
          <cell r="F6">
            <v>41113</v>
          </cell>
          <cell r="G6">
            <v>41119</v>
          </cell>
          <cell r="H6">
            <v>4</v>
          </cell>
        </row>
        <row r="7">
          <cell r="A7" t="str">
            <v>AIS</v>
          </cell>
          <cell r="B7" t="str">
            <v>Freedom</v>
          </cell>
          <cell r="C7" t="str">
            <v>Franchise</v>
          </cell>
          <cell r="D7" t="str">
            <v>No</v>
          </cell>
          <cell r="F7">
            <v>41120</v>
          </cell>
          <cell r="G7">
            <v>41126</v>
          </cell>
          <cell r="H7">
            <v>5</v>
          </cell>
        </row>
        <row r="8">
          <cell r="A8" t="str">
            <v>ALS</v>
          </cell>
          <cell r="B8" t="str">
            <v>Freedom</v>
          </cell>
          <cell r="C8" t="str">
            <v>Franchise</v>
          </cell>
          <cell r="D8" t="str">
            <v>No</v>
          </cell>
          <cell r="F8">
            <v>41127</v>
          </cell>
          <cell r="G8">
            <v>41133</v>
          </cell>
          <cell r="H8">
            <v>6</v>
          </cell>
        </row>
        <row r="9">
          <cell r="A9" t="str">
            <v>AMS</v>
          </cell>
          <cell r="B9" t="str">
            <v>Freedom</v>
          </cell>
          <cell r="C9" t="str">
            <v>Company</v>
          </cell>
          <cell r="D9" t="str">
            <v>No</v>
          </cell>
          <cell r="F9">
            <v>41134</v>
          </cell>
          <cell r="G9">
            <v>41140</v>
          </cell>
          <cell r="H9">
            <v>7</v>
          </cell>
        </row>
        <row r="10">
          <cell r="A10" t="str">
            <v>ARV</v>
          </cell>
          <cell r="B10" t="str">
            <v>Bay Leather</v>
          </cell>
          <cell r="C10" t="str">
            <v>Company</v>
          </cell>
          <cell r="D10" t="str">
            <v>No</v>
          </cell>
          <cell r="F10">
            <v>41141</v>
          </cell>
          <cell r="G10">
            <v>41147</v>
          </cell>
          <cell r="H10">
            <v>8</v>
          </cell>
        </row>
        <row r="11">
          <cell r="A11" t="str">
            <v>ASG</v>
          </cell>
          <cell r="B11" t="str">
            <v>BBO</v>
          </cell>
          <cell r="C11" t="str">
            <v>Company</v>
          </cell>
          <cell r="D11" t="str">
            <v>No</v>
          </cell>
          <cell r="F11">
            <v>41148</v>
          </cell>
          <cell r="G11">
            <v>41154</v>
          </cell>
          <cell r="H11">
            <v>9</v>
          </cell>
        </row>
        <row r="12">
          <cell r="A12" t="str">
            <v>AUV</v>
          </cell>
          <cell r="B12" t="str">
            <v>Bay Leather</v>
          </cell>
          <cell r="C12" t="str">
            <v>Company</v>
          </cell>
          <cell r="D12" t="str">
            <v>No</v>
          </cell>
          <cell r="F12">
            <v>41155</v>
          </cell>
          <cell r="G12">
            <v>41161</v>
          </cell>
          <cell r="H12">
            <v>10</v>
          </cell>
        </row>
        <row r="13">
          <cell r="A13" t="str">
            <v>BAS</v>
          </cell>
          <cell r="B13" t="str">
            <v>Freedom</v>
          </cell>
          <cell r="C13" t="str">
            <v>Company</v>
          </cell>
          <cell r="D13" t="str">
            <v>No</v>
          </cell>
          <cell r="F13">
            <v>41162</v>
          </cell>
          <cell r="G13">
            <v>41168</v>
          </cell>
          <cell r="H13">
            <v>11</v>
          </cell>
        </row>
        <row r="14">
          <cell r="A14" t="str">
            <v>BCG</v>
          </cell>
          <cell r="B14" t="str">
            <v>BBO</v>
          </cell>
          <cell r="C14" t="str">
            <v>Company</v>
          </cell>
          <cell r="D14" t="str">
            <v>No</v>
          </cell>
          <cell r="F14">
            <v>41169</v>
          </cell>
          <cell r="G14">
            <v>41175</v>
          </cell>
          <cell r="H14">
            <v>12</v>
          </cell>
        </row>
        <row r="15">
          <cell r="A15" t="str">
            <v>BGS</v>
          </cell>
          <cell r="B15" t="str">
            <v>Freedom</v>
          </cell>
          <cell r="C15" t="str">
            <v>Company</v>
          </cell>
          <cell r="D15" t="str">
            <v>No</v>
          </cell>
          <cell r="F15">
            <v>41176</v>
          </cell>
          <cell r="G15">
            <v>41182</v>
          </cell>
          <cell r="H15">
            <v>13</v>
          </cell>
        </row>
        <row r="16">
          <cell r="A16" t="str">
            <v>BLV</v>
          </cell>
          <cell r="B16" t="str">
            <v>Bay Leather</v>
          </cell>
          <cell r="C16" t="str">
            <v>Company</v>
          </cell>
          <cell r="D16" t="str">
            <v>No</v>
          </cell>
          <cell r="F16">
            <v>41183</v>
          </cell>
          <cell r="G16">
            <v>41189</v>
          </cell>
          <cell r="H16">
            <v>14</v>
          </cell>
        </row>
        <row r="17">
          <cell r="A17" t="str">
            <v>BNG</v>
          </cell>
          <cell r="B17" t="str">
            <v>BBO</v>
          </cell>
          <cell r="C17" t="str">
            <v>Company</v>
          </cell>
          <cell r="D17" t="str">
            <v>No</v>
          </cell>
          <cell r="F17">
            <v>41190</v>
          </cell>
          <cell r="G17">
            <v>41196</v>
          </cell>
          <cell r="H17">
            <v>15</v>
          </cell>
        </row>
        <row r="18">
          <cell r="A18" t="str">
            <v>BNS</v>
          </cell>
          <cell r="B18" t="str">
            <v>Freedom</v>
          </cell>
          <cell r="C18" t="str">
            <v>Company</v>
          </cell>
          <cell r="D18" t="str">
            <v>No</v>
          </cell>
          <cell r="F18">
            <v>41197</v>
          </cell>
          <cell r="G18">
            <v>41203</v>
          </cell>
          <cell r="H18">
            <v>16</v>
          </cell>
        </row>
        <row r="19">
          <cell r="A19" t="str">
            <v>BSS</v>
          </cell>
          <cell r="B19" t="str">
            <v>Freedom</v>
          </cell>
          <cell r="C19" t="str">
            <v>Company</v>
          </cell>
          <cell r="D19" t="str">
            <v>No</v>
          </cell>
          <cell r="F19">
            <v>41204</v>
          </cell>
          <cell r="G19">
            <v>41210</v>
          </cell>
          <cell r="H19">
            <v>17</v>
          </cell>
        </row>
        <row r="20">
          <cell r="A20" t="str">
            <v>BTS</v>
          </cell>
          <cell r="B20" t="str">
            <v>Freedom</v>
          </cell>
          <cell r="C20" t="str">
            <v>Company</v>
          </cell>
          <cell r="D20" t="str">
            <v>No</v>
          </cell>
          <cell r="F20">
            <v>41211</v>
          </cell>
          <cell r="G20">
            <v>41217</v>
          </cell>
          <cell r="H20">
            <v>18</v>
          </cell>
        </row>
        <row r="21">
          <cell r="A21" t="str">
            <v>BUV</v>
          </cell>
          <cell r="B21" t="str">
            <v>Bay Leather</v>
          </cell>
          <cell r="C21" t="str">
            <v>Company</v>
          </cell>
          <cell r="D21" t="str">
            <v>No</v>
          </cell>
          <cell r="F21">
            <v>41218</v>
          </cell>
          <cell r="G21">
            <v>41224</v>
          </cell>
          <cell r="H21">
            <v>19</v>
          </cell>
        </row>
        <row r="22">
          <cell r="A22" t="str">
            <v>CAS</v>
          </cell>
          <cell r="B22" t="str">
            <v>Freedom</v>
          </cell>
          <cell r="C22" t="str">
            <v>Company</v>
          </cell>
          <cell r="D22" t="str">
            <v>No</v>
          </cell>
          <cell r="F22">
            <v>41225</v>
          </cell>
          <cell r="G22">
            <v>41231</v>
          </cell>
          <cell r="H22">
            <v>20</v>
          </cell>
        </row>
        <row r="23">
          <cell r="A23" t="str">
            <v>CAV</v>
          </cell>
          <cell r="B23" t="str">
            <v>Bay Leather</v>
          </cell>
          <cell r="C23" t="str">
            <v>Franchise</v>
          </cell>
          <cell r="D23" t="str">
            <v>No</v>
          </cell>
          <cell r="F23">
            <v>41232</v>
          </cell>
          <cell r="G23">
            <v>41238</v>
          </cell>
          <cell r="H23">
            <v>21</v>
          </cell>
        </row>
        <row r="24">
          <cell r="A24" t="str">
            <v>CBS</v>
          </cell>
          <cell r="B24" t="str">
            <v>Freedom</v>
          </cell>
          <cell r="C24" t="str">
            <v>Franchise</v>
          </cell>
          <cell r="D24" t="str">
            <v>No</v>
          </cell>
          <cell r="F24">
            <v>41239</v>
          </cell>
          <cell r="G24">
            <v>41245</v>
          </cell>
          <cell r="H24">
            <v>22</v>
          </cell>
        </row>
        <row r="25">
          <cell r="A25" t="str">
            <v>CES</v>
          </cell>
          <cell r="B25" t="str">
            <v>Freedom</v>
          </cell>
          <cell r="C25" t="str">
            <v>Company</v>
          </cell>
          <cell r="D25" t="str">
            <v>No</v>
          </cell>
          <cell r="F25">
            <v>41246</v>
          </cell>
          <cell r="G25">
            <v>41252</v>
          </cell>
          <cell r="H25">
            <v>23</v>
          </cell>
        </row>
        <row r="26">
          <cell r="A26" t="str">
            <v>CGS</v>
          </cell>
          <cell r="B26" t="str">
            <v>Freedom</v>
          </cell>
          <cell r="C26" t="str">
            <v>Franchise</v>
          </cell>
          <cell r="D26" t="str">
            <v>No</v>
          </cell>
          <cell r="F26">
            <v>41253</v>
          </cell>
          <cell r="G26">
            <v>41259</v>
          </cell>
          <cell r="H26">
            <v>24</v>
          </cell>
        </row>
        <row r="27">
          <cell r="A27" t="str">
            <v>CHV</v>
          </cell>
          <cell r="B27" t="str">
            <v>Bay Leather</v>
          </cell>
          <cell r="C27" t="str">
            <v>Company</v>
          </cell>
          <cell r="D27" t="str">
            <v>No</v>
          </cell>
          <cell r="F27">
            <v>41260</v>
          </cell>
          <cell r="G27">
            <v>41266</v>
          </cell>
          <cell r="H27">
            <v>25</v>
          </cell>
        </row>
        <row r="28">
          <cell r="A28" t="str">
            <v>CIS</v>
          </cell>
          <cell r="B28" t="str">
            <v>Freedom</v>
          </cell>
          <cell r="C28" t="str">
            <v>Company</v>
          </cell>
          <cell r="D28" t="str">
            <v>No</v>
          </cell>
          <cell r="F28">
            <v>41267</v>
          </cell>
          <cell r="G28">
            <v>41273</v>
          </cell>
          <cell r="H28">
            <v>26</v>
          </cell>
        </row>
        <row r="29">
          <cell r="A29" t="str">
            <v>CLS</v>
          </cell>
          <cell r="B29" t="str">
            <v>Freedom</v>
          </cell>
          <cell r="C29" t="str">
            <v>Company</v>
          </cell>
          <cell r="D29" t="str">
            <v>No</v>
          </cell>
          <cell r="F29">
            <v>41274</v>
          </cell>
          <cell r="G29">
            <v>41280</v>
          </cell>
          <cell r="H29">
            <v>27</v>
          </cell>
        </row>
        <row r="30">
          <cell r="A30" t="str">
            <v>COS</v>
          </cell>
          <cell r="B30" t="str">
            <v>Freedom</v>
          </cell>
          <cell r="C30" t="str">
            <v>Company</v>
          </cell>
          <cell r="D30" t="str">
            <v>No</v>
          </cell>
          <cell r="F30">
            <v>41281</v>
          </cell>
          <cell r="G30">
            <v>41287</v>
          </cell>
          <cell r="H30">
            <v>28</v>
          </cell>
        </row>
        <row r="31">
          <cell r="A31" t="str">
            <v>DAG</v>
          </cell>
          <cell r="B31" t="str">
            <v>BBO</v>
          </cell>
          <cell r="C31" t="str">
            <v>Company</v>
          </cell>
          <cell r="D31" t="str">
            <v>No</v>
          </cell>
          <cell r="F31">
            <v>41288</v>
          </cell>
          <cell r="G31">
            <v>41294</v>
          </cell>
          <cell r="H31">
            <v>29</v>
          </cell>
        </row>
        <row r="32">
          <cell r="A32" t="str">
            <v>DBS</v>
          </cell>
          <cell r="B32" t="str">
            <v>Freedom</v>
          </cell>
          <cell r="C32" t="str">
            <v>Franchise</v>
          </cell>
          <cell r="D32" t="str">
            <v>No</v>
          </cell>
          <cell r="F32">
            <v>41295</v>
          </cell>
          <cell r="G32">
            <v>41301</v>
          </cell>
          <cell r="H32">
            <v>30</v>
          </cell>
        </row>
        <row r="33">
          <cell r="A33" t="str">
            <v>DUS</v>
          </cell>
          <cell r="B33" t="str">
            <v>Freedom</v>
          </cell>
          <cell r="C33" t="str">
            <v>Franchise</v>
          </cell>
          <cell r="D33" t="str">
            <v>No</v>
          </cell>
          <cell r="F33">
            <v>41302</v>
          </cell>
          <cell r="G33">
            <v>41308</v>
          </cell>
          <cell r="H33">
            <v>31</v>
          </cell>
        </row>
        <row r="34">
          <cell r="A34" t="str">
            <v>eas</v>
          </cell>
          <cell r="B34" t="str">
            <v>Freedom</v>
          </cell>
          <cell r="C34" t="str">
            <v>Company</v>
          </cell>
          <cell r="D34" t="str">
            <v>No</v>
          </cell>
          <cell r="F34">
            <v>41309</v>
          </cell>
          <cell r="G34">
            <v>41315</v>
          </cell>
          <cell r="H34">
            <v>32</v>
          </cell>
        </row>
        <row r="35">
          <cell r="A35" t="str">
            <v>EEV</v>
          </cell>
          <cell r="B35" t="str">
            <v>Bay Leather</v>
          </cell>
          <cell r="C35" t="str">
            <v>Franchise</v>
          </cell>
          <cell r="D35" t="str">
            <v>No</v>
          </cell>
          <cell r="F35">
            <v>41316</v>
          </cell>
          <cell r="G35">
            <v>41322</v>
          </cell>
          <cell r="H35">
            <v>33</v>
          </cell>
        </row>
        <row r="36">
          <cell r="A36" t="str">
            <v>EIS</v>
          </cell>
          <cell r="B36" t="str">
            <v>Freedom</v>
          </cell>
          <cell r="C36" t="str">
            <v>Franchise</v>
          </cell>
          <cell r="D36" t="str">
            <v>No</v>
          </cell>
          <cell r="F36">
            <v>41323</v>
          </cell>
          <cell r="G36">
            <v>41329</v>
          </cell>
          <cell r="H36">
            <v>34</v>
          </cell>
        </row>
        <row r="37">
          <cell r="A37" t="str">
            <v>ESS</v>
          </cell>
          <cell r="B37" t="str">
            <v>Freedom</v>
          </cell>
          <cell r="C37" t="str">
            <v>Company</v>
          </cell>
          <cell r="D37" t="str">
            <v>No</v>
          </cell>
          <cell r="F37">
            <v>41330</v>
          </cell>
          <cell r="G37">
            <v>41336</v>
          </cell>
          <cell r="H37">
            <v>35</v>
          </cell>
        </row>
        <row r="38">
          <cell r="A38" t="str">
            <v>ESV</v>
          </cell>
          <cell r="B38" t="str">
            <v>Bay Leather</v>
          </cell>
          <cell r="C38" t="str">
            <v>Company</v>
          </cell>
          <cell r="D38" t="str">
            <v>No</v>
          </cell>
          <cell r="F38">
            <v>41337</v>
          </cell>
          <cell r="G38">
            <v>41343</v>
          </cell>
          <cell r="H38">
            <v>36</v>
          </cell>
        </row>
        <row r="39">
          <cell r="A39" t="str">
            <v>F01</v>
          </cell>
          <cell r="B39" t="str">
            <v>Freedom</v>
          </cell>
          <cell r="C39" t="str">
            <v>Company</v>
          </cell>
          <cell r="D39" t="str">
            <v>Yes</v>
          </cell>
          <cell r="F39">
            <v>41344</v>
          </cell>
          <cell r="G39">
            <v>41350</v>
          </cell>
          <cell r="H39">
            <v>37</v>
          </cell>
        </row>
        <row r="40">
          <cell r="A40" t="str">
            <v>FAS</v>
          </cell>
          <cell r="B40" t="str">
            <v>Freedom</v>
          </cell>
          <cell r="C40" t="str">
            <v>Company</v>
          </cell>
          <cell r="D40" t="str">
            <v>No</v>
          </cell>
          <cell r="F40">
            <v>41351</v>
          </cell>
          <cell r="G40">
            <v>41357</v>
          </cell>
          <cell r="H40">
            <v>38</v>
          </cell>
        </row>
        <row r="41">
          <cell r="A41" t="str">
            <v>FCS</v>
          </cell>
          <cell r="B41" t="str">
            <v>Freedom</v>
          </cell>
          <cell r="C41" t="str">
            <v>Company</v>
          </cell>
          <cell r="D41" t="str">
            <v>No</v>
          </cell>
          <cell r="F41">
            <v>41358</v>
          </cell>
          <cell r="G41">
            <v>41364</v>
          </cell>
          <cell r="H41">
            <v>39</v>
          </cell>
        </row>
        <row r="42">
          <cell r="A42" t="str">
            <v>FFS</v>
          </cell>
          <cell r="B42" t="str">
            <v>Freedom</v>
          </cell>
          <cell r="C42" t="str">
            <v>Company</v>
          </cell>
          <cell r="D42" t="str">
            <v>No</v>
          </cell>
          <cell r="F42">
            <v>41365</v>
          </cell>
          <cell r="G42">
            <v>41371</v>
          </cell>
          <cell r="H42">
            <v>40</v>
          </cell>
        </row>
        <row r="43">
          <cell r="A43" t="str">
            <v>FGS</v>
          </cell>
          <cell r="B43" t="str">
            <v>Freedom</v>
          </cell>
          <cell r="C43" t="str">
            <v>Company</v>
          </cell>
          <cell r="D43" t="str">
            <v>No</v>
          </cell>
          <cell r="F43">
            <v>41372</v>
          </cell>
          <cell r="G43">
            <v>41378</v>
          </cell>
          <cell r="H43">
            <v>41</v>
          </cell>
        </row>
        <row r="44">
          <cell r="A44" t="str">
            <v>FMS</v>
          </cell>
          <cell r="B44" t="str">
            <v>Freedom</v>
          </cell>
          <cell r="C44" t="str">
            <v>Company</v>
          </cell>
          <cell r="D44" t="str">
            <v>No</v>
          </cell>
          <cell r="F44">
            <v>41379</v>
          </cell>
          <cell r="G44">
            <v>41385</v>
          </cell>
          <cell r="H44">
            <v>42</v>
          </cell>
        </row>
        <row r="45">
          <cell r="A45" t="str">
            <v>FQS</v>
          </cell>
          <cell r="B45" t="str">
            <v>Freedom</v>
          </cell>
          <cell r="C45" t="str">
            <v>Company</v>
          </cell>
          <cell r="D45" t="str">
            <v>No</v>
          </cell>
          <cell r="F45">
            <v>41386</v>
          </cell>
          <cell r="G45">
            <v>41392</v>
          </cell>
          <cell r="H45">
            <v>43</v>
          </cell>
        </row>
        <row r="46">
          <cell r="A46" t="str">
            <v>FSS</v>
          </cell>
          <cell r="B46" t="str">
            <v>Freedom</v>
          </cell>
          <cell r="C46" t="str">
            <v>Company</v>
          </cell>
          <cell r="D46" t="str">
            <v>No</v>
          </cell>
          <cell r="F46">
            <v>41393</v>
          </cell>
          <cell r="G46">
            <v>41399</v>
          </cell>
          <cell r="H46">
            <v>44</v>
          </cell>
        </row>
        <row r="47">
          <cell r="A47" t="str">
            <v>FVS</v>
          </cell>
          <cell r="B47" t="str">
            <v>Freedom</v>
          </cell>
          <cell r="C47" t="str">
            <v>Company</v>
          </cell>
          <cell r="D47" t="str">
            <v>No</v>
          </cell>
          <cell r="F47">
            <v>41400</v>
          </cell>
          <cell r="G47">
            <v>41406</v>
          </cell>
          <cell r="H47">
            <v>45</v>
          </cell>
        </row>
        <row r="48">
          <cell r="A48" t="str">
            <v>FWS</v>
          </cell>
          <cell r="B48" t="str">
            <v>Freedom</v>
          </cell>
          <cell r="C48" t="str">
            <v>Company</v>
          </cell>
          <cell r="D48" t="str">
            <v>No</v>
          </cell>
          <cell r="F48">
            <v>41407</v>
          </cell>
          <cell r="G48">
            <v>41413</v>
          </cell>
          <cell r="H48">
            <v>46</v>
          </cell>
        </row>
        <row r="49">
          <cell r="A49" t="str">
            <v>FYS</v>
          </cell>
          <cell r="B49" t="str">
            <v>Freedom</v>
          </cell>
          <cell r="C49" t="str">
            <v>Company</v>
          </cell>
          <cell r="D49" t="str">
            <v>No</v>
          </cell>
          <cell r="F49">
            <v>41414</v>
          </cell>
          <cell r="G49">
            <v>41420</v>
          </cell>
          <cell r="H49">
            <v>47</v>
          </cell>
        </row>
        <row r="50">
          <cell r="A50" t="str">
            <v>FYV</v>
          </cell>
          <cell r="B50" t="str">
            <v>Bay Leather</v>
          </cell>
          <cell r="C50" t="str">
            <v>Company</v>
          </cell>
          <cell r="D50" t="str">
            <v>No</v>
          </cell>
          <cell r="F50">
            <v>41421</v>
          </cell>
          <cell r="G50">
            <v>41427</v>
          </cell>
          <cell r="H50">
            <v>48</v>
          </cell>
        </row>
        <row r="51">
          <cell r="A51" t="str">
            <v>GES</v>
          </cell>
          <cell r="B51" t="str">
            <v>Freedom</v>
          </cell>
          <cell r="C51" t="str">
            <v>Company</v>
          </cell>
          <cell r="D51" t="str">
            <v>Yes</v>
          </cell>
          <cell r="F51">
            <v>41428</v>
          </cell>
          <cell r="G51">
            <v>41434</v>
          </cell>
          <cell r="H51">
            <v>49</v>
          </cell>
        </row>
        <row r="52">
          <cell r="A52" t="str">
            <v>HBS</v>
          </cell>
          <cell r="B52" t="str">
            <v>Freedom</v>
          </cell>
          <cell r="C52" t="str">
            <v>Franchise</v>
          </cell>
          <cell r="D52" t="str">
            <v>No</v>
          </cell>
          <cell r="F52">
            <v>41435</v>
          </cell>
          <cell r="G52">
            <v>41441</v>
          </cell>
          <cell r="H52">
            <v>50</v>
          </cell>
        </row>
        <row r="53">
          <cell r="A53" t="str">
            <v>HCS</v>
          </cell>
          <cell r="B53" t="str">
            <v>Freedom</v>
          </cell>
          <cell r="C53" t="str">
            <v>Company</v>
          </cell>
          <cell r="D53" t="str">
            <v>No</v>
          </cell>
          <cell r="F53">
            <v>41442</v>
          </cell>
          <cell r="G53">
            <v>41448</v>
          </cell>
          <cell r="H53">
            <v>51</v>
          </cell>
        </row>
        <row r="54">
          <cell r="A54" t="str">
            <v>HMS</v>
          </cell>
          <cell r="B54" t="str">
            <v>Freedom</v>
          </cell>
          <cell r="C54" t="str">
            <v>Company</v>
          </cell>
          <cell r="D54" t="str">
            <v>No</v>
          </cell>
          <cell r="F54">
            <v>41449</v>
          </cell>
          <cell r="G54">
            <v>41455</v>
          </cell>
          <cell r="H54">
            <v>52</v>
          </cell>
        </row>
        <row r="55">
          <cell r="A55" t="str">
            <v>HNS</v>
          </cell>
          <cell r="B55" t="str">
            <v>Freedom</v>
          </cell>
          <cell r="C55" t="str">
            <v>Company</v>
          </cell>
          <cell r="D55" t="str">
            <v>Yes</v>
          </cell>
          <cell r="F55">
            <v>41456</v>
          </cell>
          <cell r="G55">
            <v>41462</v>
          </cell>
          <cell r="H55">
            <v>1</v>
          </cell>
        </row>
        <row r="56">
          <cell r="A56" t="str">
            <v>JIS</v>
          </cell>
          <cell r="B56" t="str">
            <v>Freedom</v>
          </cell>
          <cell r="C56" t="str">
            <v>Company</v>
          </cell>
          <cell r="D56" t="str">
            <v>No</v>
          </cell>
          <cell r="F56">
            <v>41463</v>
          </cell>
          <cell r="G56">
            <v>41469</v>
          </cell>
          <cell r="H56">
            <v>2</v>
          </cell>
        </row>
        <row r="57">
          <cell r="A57" t="str">
            <v>JOS</v>
          </cell>
          <cell r="B57" t="str">
            <v>Freedom</v>
          </cell>
          <cell r="C57" t="str">
            <v>Company</v>
          </cell>
          <cell r="D57" t="str">
            <v>No</v>
          </cell>
          <cell r="F57">
            <v>41470</v>
          </cell>
          <cell r="G57">
            <v>41476</v>
          </cell>
          <cell r="H57">
            <v>3</v>
          </cell>
        </row>
        <row r="58">
          <cell r="A58" t="str">
            <v>KOS</v>
          </cell>
          <cell r="B58" t="str">
            <v>Freedom</v>
          </cell>
          <cell r="C58" t="str">
            <v>Company</v>
          </cell>
          <cell r="D58" t="str">
            <v>No</v>
          </cell>
          <cell r="F58">
            <v>41477</v>
          </cell>
          <cell r="G58">
            <v>41483</v>
          </cell>
          <cell r="H58">
            <v>4</v>
          </cell>
        </row>
        <row r="59">
          <cell r="A59" t="str">
            <v>kov</v>
          </cell>
          <cell r="B59" t="str">
            <v>Bay Leather</v>
          </cell>
          <cell r="C59" t="str">
            <v>Company</v>
          </cell>
          <cell r="D59" t="str">
            <v>No</v>
          </cell>
          <cell r="F59">
            <v>41484</v>
          </cell>
          <cell r="G59">
            <v>41490</v>
          </cell>
          <cell r="H59">
            <v>5</v>
          </cell>
        </row>
        <row r="60">
          <cell r="A60" t="str">
            <v>LIS</v>
          </cell>
          <cell r="B60" t="str">
            <v>Freedom</v>
          </cell>
          <cell r="C60" t="str">
            <v>Company</v>
          </cell>
          <cell r="D60" t="str">
            <v>Yes</v>
          </cell>
          <cell r="F60">
            <v>41491</v>
          </cell>
          <cell r="G60">
            <v>41497</v>
          </cell>
          <cell r="H60">
            <v>6</v>
          </cell>
        </row>
        <row r="61">
          <cell r="A61" t="str">
            <v>MAS</v>
          </cell>
          <cell r="B61" t="str">
            <v>Freedom</v>
          </cell>
          <cell r="C61" t="str">
            <v>Franchise</v>
          </cell>
          <cell r="D61" t="str">
            <v>No</v>
          </cell>
          <cell r="F61">
            <v>41498</v>
          </cell>
          <cell r="G61">
            <v>41504</v>
          </cell>
          <cell r="H61">
            <v>7</v>
          </cell>
        </row>
        <row r="62">
          <cell r="A62" t="str">
            <v>MAV</v>
          </cell>
          <cell r="B62" t="str">
            <v>Bay Leather</v>
          </cell>
          <cell r="C62" t="str">
            <v>Company</v>
          </cell>
          <cell r="D62" t="str">
            <v>No</v>
          </cell>
          <cell r="F62">
            <v>41505</v>
          </cell>
          <cell r="G62">
            <v>41511</v>
          </cell>
          <cell r="H62">
            <v>8</v>
          </cell>
        </row>
        <row r="63">
          <cell r="A63" t="str">
            <v>MEV</v>
          </cell>
          <cell r="B63" t="str">
            <v>Bay Leather</v>
          </cell>
          <cell r="C63" t="str">
            <v>Company</v>
          </cell>
          <cell r="D63" t="str">
            <v>No</v>
          </cell>
          <cell r="F63">
            <v>41512</v>
          </cell>
          <cell r="G63">
            <v>41518</v>
          </cell>
          <cell r="H63">
            <v>9</v>
          </cell>
        </row>
        <row r="64">
          <cell r="A64" t="str">
            <v>MLS</v>
          </cell>
          <cell r="B64" t="str">
            <v>Freedom</v>
          </cell>
          <cell r="C64" t="str">
            <v>Company</v>
          </cell>
          <cell r="D64" t="str">
            <v>No</v>
          </cell>
          <cell r="F64">
            <v>41519</v>
          </cell>
          <cell r="G64">
            <v>41525</v>
          </cell>
          <cell r="H64">
            <v>10</v>
          </cell>
        </row>
        <row r="65">
          <cell r="A65" t="str">
            <v>MNG</v>
          </cell>
          <cell r="B65" t="str">
            <v>BBO</v>
          </cell>
          <cell r="C65" t="str">
            <v>Company</v>
          </cell>
          <cell r="D65" t="str">
            <v>No</v>
          </cell>
          <cell r="F65">
            <v>41526</v>
          </cell>
          <cell r="G65">
            <v>41532</v>
          </cell>
          <cell r="H65">
            <v>11</v>
          </cell>
        </row>
        <row r="66">
          <cell r="A66" t="str">
            <v>MNS</v>
          </cell>
          <cell r="B66" t="str">
            <v>Freedom</v>
          </cell>
          <cell r="C66" t="str">
            <v>Company</v>
          </cell>
          <cell r="D66" t="str">
            <v>No</v>
          </cell>
          <cell r="F66">
            <v>41533</v>
          </cell>
          <cell r="G66">
            <v>41539</v>
          </cell>
          <cell r="H66">
            <v>12</v>
          </cell>
        </row>
        <row r="67">
          <cell r="A67" t="str">
            <v>MOS</v>
          </cell>
          <cell r="B67" t="str">
            <v>Freedom</v>
          </cell>
          <cell r="C67" t="str">
            <v>Company</v>
          </cell>
          <cell r="D67" t="str">
            <v>No</v>
          </cell>
          <cell r="F67">
            <v>41540</v>
          </cell>
          <cell r="G67">
            <v>41546</v>
          </cell>
          <cell r="H67">
            <v>13</v>
          </cell>
        </row>
        <row r="68">
          <cell r="A68" t="str">
            <v>MOV</v>
          </cell>
          <cell r="B68" t="str">
            <v>Bay Leather</v>
          </cell>
          <cell r="C68" t="str">
            <v>Company</v>
          </cell>
          <cell r="D68" t="str">
            <v>No</v>
          </cell>
          <cell r="F68">
            <v>41547</v>
          </cell>
          <cell r="G68">
            <v>41553</v>
          </cell>
          <cell r="H68">
            <v>14</v>
          </cell>
        </row>
        <row r="69">
          <cell r="A69" t="str">
            <v>MPS</v>
          </cell>
          <cell r="B69" t="str">
            <v>Freedom</v>
          </cell>
          <cell r="C69" t="str">
            <v>Company</v>
          </cell>
          <cell r="D69" t="str">
            <v>No</v>
          </cell>
          <cell r="F69">
            <v>41554</v>
          </cell>
          <cell r="G69">
            <v>41560</v>
          </cell>
          <cell r="H69">
            <v>15</v>
          </cell>
        </row>
        <row r="70">
          <cell r="A70" t="str">
            <v>MUS</v>
          </cell>
          <cell r="B70" t="str">
            <v>Freedom</v>
          </cell>
          <cell r="C70" t="str">
            <v>Company</v>
          </cell>
          <cell r="D70" t="str">
            <v>Yes</v>
          </cell>
          <cell r="F70">
            <v>41561</v>
          </cell>
          <cell r="G70">
            <v>41567</v>
          </cell>
          <cell r="H70">
            <v>16</v>
          </cell>
        </row>
        <row r="71">
          <cell r="A71" t="str">
            <v>NOS</v>
          </cell>
          <cell r="B71" t="str">
            <v>Freedom</v>
          </cell>
          <cell r="C71" t="str">
            <v>Company</v>
          </cell>
          <cell r="D71" t="str">
            <v>No</v>
          </cell>
          <cell r="F71">
            <v>41568</v>
          </cell>
          <cell r="G71">
            <v>41574</v>
          </cell>
          <cell r="H71">
            <v>17</v>
          </cell>
        </row>
        <row r="72">
          <cell r="A72" t="str">
            <v>NRS</v>
          </cell>
          <cell r="B72" t="str">
            <v>Freedom</v>
          </cell>
          <cell r="C72" t="str">
            <v>Company</v>
          </cell>
          <cell r="D72" t="str">
            <v>No</v>
          </cell>
          <cell r="F72">
            <v>41575</v>
          </cell>
          <cell r="G72">
            <v>41581</v>
          </cell>
          <cell r="H72">
            <v>18</v>
          </cell>
        </row>
        <row r="73">
          <cell r="A73" t="str">
            <v>NRV</v>
          </cell>
          <cell r="B73" t="str">
            <v>Bay Leather</v>
          </cell>
          <cell r="C73" t="str">
            <v>Company</v>
          </cell>
          <cell r="D73" t="str">
            <v>No</v>
          </cell>
          <cell r="F73">
            <v>41582</v>
          </cell>
          <cell r="G73">
            <v>41588</v>
          </cell>
          <cell r="H73">
            <v>19</v>
          </cell>
        </row>
        <row r="74">
          <cell r="A74" t="str">
            <v>NUS</v>
          </cell>
          <cell r="B74" t="str">
            <v>Freedom</v>
          </cell>
          <cell r="C74" t="str">
            <v>Company</v>
          </cell>
          <cell r="D74" t="str">
            <v>No</v>
          </cell>
          <cell r="F74">
            <v>41589</v>
          </cell>
          <cell r="G74">
            <v>41595</v>
          </cell>
          <cell r="H74">
            <v>20</v>
          </cell>
        </row>
        <row r="75">
          <cell r="A75" t="str">
            <v>NUV</v>
          </cell>
          <cell r="B75" t="str">
            <v>Bay Leather</v>
          </cell>
          <cell r="C75" t="str">
            <v>Company</v>
          </cell>
          <cell r="D75" t="str">
            <v>No</v>
          </cell>
          <cell r="F75">
            <v>41596</v>
          </cell>
          <cell r="G75">
            <v>41602</v>
          </cell>
          <cell r="H75">
            <v>21</v>
          </cell>
        </row>
        <row r="76">
          <cell r="A76" t="str">
            <v>OPS</v>
          </cell>
          <cell r="B76" t="str">
            <v>Freedom</v>
          </cell>
          <cell r="C76" t="str">
            <v>Company</v>
          </cell>
          <cell r="D76" t="str">
            <v>No</v>
          </cell>
          <cell r="F76">
            <v>41603</v>
          </cell>
          <cell r="G76">
            <v>41609</v>
          </cell>
          <cell r="H76">
            <v>22</v>
          </cell>
        </row>
        <row r="77">
          <cell r="A77" t="str">
            <v>OPV</v>
          </cell>
          <cell r="B77" t="str">
            <v>Bay Leather</v>
          </cell>
          <cell r="C77" t="str">
            <v>Company</v>
          </cell>
          <cell r="D77" t="str">
            <v>No</v>
          </cell>
          <cell r="F77">
            <v>41610</v>
          </cell>
          <cell r="G77">
            <v>41616</v>
          </cell>
          <cell r="H77">
            <v>23</v>
          </cell>
        </row>
        <row r="78">
          <cell r="A78" t="str">
            <v>PES</v>
          </cell>
          <cell r="B78" t="str">
            <v>Freedom</v>
          </cell>
          <cell r="C78" t="str">
            <v>Company</v>
          </cell>
          <cell r="D78" t="str">
            <v>Yes</v>
          </cell>
          <cell r="F78">
            <v>41617</v>
          </cell>
          <cell r="G78">
            <v>41623</v>
          </cell>
          <cell r="H78">
            <v>24</v>
          </cell>
        </row>
        <row r="79">
          <cell r="A79" t="str">
            <v>PHS</v>
          </cell>
          <cell r="B79" t="str">
            <v>Freedom</v>
          </cell>
          <cell r="C79" t="str">
            <v>Company</v>
          </cell>
          <cell r="D79" t="str">
            <v>No</v>
          </cell>
          <cell r="F79">
            <v>41624</v>
          </cell>
          <cell r="G79">
            <v>41630</v>
          </cell>
          <cell r="H79">
            <v>25</v>
          </cell>
        </row>
        <row r="80">
          <cell r="A80" t="str">
            <v>PMS</v>
          </cell>
          <cell r="B80" t="str">
            <v>Freedom</v>
          </cell>
          <cell r="C80" t="str">
            <v>Company</v>
          </cell>
          <cell r="D80" t="str">
            <v>No</v>
          </cell>
          <cell r="F80">
            <v>41631</v>
          </cell>
          <cell r="G80">
            <v>41637</v>
          </cell>
          <cell r="H80">
            <v>26</v>
          </cell>
        </row>
        <row r="81">
          <cell r="A81" t="str">
            <v>RIS</v>
          </cell>
          <cell r="B81" t="str">
            <v>Freedom</v>
          </cell>
          <cell r="C81" t="str">
            <v>Company</v>
          </cell>
          <cell r="D81" t="str">
            <v>No</v>
          </cell>
          <cell r="F81">
            <v>41638</v>
          </cell>
          <cell r="G81">
            <v>41644</v>
          </cell>
          <cell r="H81">
            <v>27</v>
          </cell>
        </row>
        <row r="82">
          <cell r="A82" t="str">
            <v>RIV</v>
          </cell>
          <cell r="B82" t="str">
            <v>Bay Leather</v>
          </cell>
          <cell r="C82" t="str">
            <v>Company</v>
          </cell>
          <cell r="D82" t="str">
            <v>No</v>
          </cell>
          <cell r="F82">
            <v>41645</v>
          </cell>
          <cell r="G82">
            <v>41651</v>
          </cell>
          <cell r="H82">
            <v>28</v>
          </cell>
        </row>
        <row r="83">
          <cell r="A83" t="str">
            <v>SCS</v>
          </cell>
          <cell r="B83" t="str">
            <v>Freedom</v>
          </cell>
          <cell r="C83" t="str">
            <v>Company</v>
          </cell>
          <cell r="D83" t="str">
            <v>No</v>
          </cell>
          <cell r="F83">
            <v>41652</v>
          </cell>
          <cell r="G83">
            <v>41658</v>
          </cell>
          <cell r="H83">
            <v>29</v>
          </cell>
        </row>
        <row r="84">
          <cell r="A84" t="str">
            <v>SOS</v>
          </cell>
          <cell r="B84" t="str">
            <v>Freedom</v>
          </cell>
          <cell r="C84" t="str">
            <v>Company</v>
          </cell>
          <cell r="D84" t="str">
            <v>No</v>
          </cell>
          <cell r="F84">
            <v>41659</v>
          </cell>
          <cell r="G84">
            <v>41665</v>
          </cell>
          <cell r="H84">
            <v>30</v>
          </cell>
        </row>
        <row r="85">
          <cell r="A85" t="str">
            <v>SPS</v>
          </cell>
          <cell r="B85" t="str">
            <v>Freedom</v>
          </cell>
          <cell r="C85" t="str">
            <v>Company</v>
          </cell>
          <cell r="D85" t="str">
            <v>No</v>
          </cell>
          <cell r="F85">
            <v>41666</v>
          </cell>
          <cell r="G85">
            <v>41672</v>
          </cell>
          <cell r="H85">
            <v>31</v>
          </cell>
        </row>
        <row r="86">
          <cell r="A86" t="str">
            <v>SPV</v>
          </cell>
          <cell r="B86" t="str">
            <v>Bay Leather</v>
          </cell>
          <cell r="C86" t="str">
            <v>Company</v>
          </cell>
          <cell r="D86" t="str">
            <v>No</v>
          </cell>
          <cell r="F86">
            <v>41673</v>
          </cell>
          <cell r="G86">
            <v>41679</v>
          </cell>
          <cell r="H86">
            <v>32</v>
          </cell>
        </row>
        <row r="87">
          <cell r="A87" t="str">
            <v>SYS</v>
          </cell>
          <cell r="B87" t="str">
            <v>Freedom</v>
          </cell>
          <cell r="C87" t="str">
            <v>Company</v>
          </cell>
          <cell r="D87" t="str">
            <v>No</v>
          </cell>
          <cell r="F87">
            <v>41680</v>
          </cell>
          <cell r="G87">
            <v>41686</v>
          </cell>
          <cell r="H87">
            <v>33</v>
          </cell>
        </row>
        <row r="88">
          <cell r="A88" t="str">
            <v>TNS</v>
          </cell>
          <cell r="B88" t="str">
            <v>Freedom</v>
          </cell>
          <cell r="C88" t="str">
            <v>Franchise</v>
          </cell>
          <cell r="D88" t="str">
            <v>No</v>
          </cell>
          <cell r="F88">
            <v>41687</v>
          </cell>
          <cell r="G88">
            <v>41693</v>
          </cell>
          <cell r="H88">
            <v>34</v>
          </cell>
        </row>
        <row r="89">
          <cell r="A89" t="str">
            <v>WIS</v>
          </cell>
          <cell r="B89" t="str">
            <v>Freedom</v>
          </cell>
          <cell r="C89" t="str">
            <v>Company</v>
          </cell>
          <cell r="D89" t="str">
            <v>No</v>
          </cell>
          <cell r="F89">
            <v>41694</v>
          </cell>
          <cell r="G89">
            <v>41700</v>
          </cell>
          <cell r="H89">
            <v>35</v>
          </cell>
        </row>
        <row r="90">
          <cell r="A90" t="str">
            <v>WRS</v>
          </cell>
          <cell r="B90" t="str">
            <v>Freedom</v>
          </cell>
          <cell r="C90" t="str">
            <v>Franchise</v>
          </cell>
          <cell r="D90" t="str">
            <v>No</v>
          </cell>
          <cell r="F90">
            <v>41701</v>
          </cell>
          <cell r="G90">
            <v>41707</v>
          </cell>
          <cell r="H90">
            <v>36</v>
          </cell>
        </row>
        <row r="91">
          <cell r="A91" t="str">
            <v>AKS</v>
          </cell>
          <cell r="B91" t="str">
            <v>NZ</v>
          </cell>
          <cell r="C91" t="str">
            <v>Company</v>
          </cell>
          <cell r="D91" t="str">
            <v>Yes</v>
          </cell>
          <cell r="F91">
            <v>41708</v>
          </cell>
          <cell r="G91">
            <v>41714</v>
          </cell>
          <cell r="H91">
            <v>37</v>
          </cell>
        </row>
        <row r="92">
          <cell r="A92" t="str">
            <v>WAS</v>
          </cell>
          <cell r="B92" t="str">
            <v>Freedom</v>
          </cell>
          <cell r="C92" t="str">
            <v>Franchise</v>
          </cell>
          <cell r="D92" t="str">
            <v>No</v>
          </cell>
          <cell r="F92">
            <v>41715</v>
          </cell>
          <cell r="G92">
            <v>41721</v>
          </cell>
          <cell r="H92">
            <v>38</v>
          </cell>
        </row>
        <row r="93">
          <cell r="A93" t="str">
            <v>000</v>
          </cell>
          <cell r="B93" t="str">
            <v>Franchise</v>
          </cell>
          <cell r="C93" t="str">
            <v>Franchise</v>
          </cell>
          <cell r="D93" t="str">
            <v>No</v>
          </cell>
          <cell r="F93">
            <v>41722</v>
          </cell>
          <cell r="G93">
            <v>41728</v>
          </cell>
          <cell r="H93">
            <v>39</v>
          </cell>
        </row>
        <row r="94">
          <cell r="A94" t="str">
            <v>als</v>
          </cell>
          <cell r="B94" t="str">
            <v>Freedom</v>
          </cell>
          <cell r="C94" t="str">
            <v>Franchise</v>
          </cell>
          <cell r="D94" t="str">
            <v>No</v>
          </cell>
          <cell r="F94">
            <v>41729</v>
          </cell>
          <cell r="G94">
            <v>41735</v>
          </cell>
          <cell r="H94">
            <v>40</v>
          </cell>
        </row>
        <row r="95">
          <cell r="A95" t="str">
            <v>cbs</v>
          </cell>
          <cell r="B95" t="str">
            <v>Freedom</v>
          </cell>
          <cell r="C95" t="str">
            <v>Franchise</v>
          </cell>
          <cell r="D95" t="str">
            <v>No</v>
          </cell>
          <cell r="F95">
            <v>41736</v>
          </cell>
          <cell r="G95">
            <v>41742</v>
          </cell>
          <cell r="H95">
            <v>41</v>
          </cell>
        </row>
        <row r="96">
          <cell r="A96" t="str">
            <v>dbs</v>
          </cell>
          <cell r="B96" t="str">
            <v>Freedom</v>
          </cell>
          <cell r="C96" t="str">
            <v>Franchise</v>
          </cell>
          <cell r="D96" t="str">
            <v>No</v>
          </cell>
          <cell r="F96">
            <v>41743</v>
          </cell>
          <cell r="G96">
            <v>41749</v>
          </cell>
          <cell r="H96">
            <v>42</v>
          </cell>
        </row>
        <row r="97">
          <cell r="A97" t="str">
            <v>h02</v>
          </cell>
          <cell r="B97" t="str">
            <v>Freedom</v>
          </cell>
          <cell r="C97" t="str">
            <v>Company</v>
          </cell>
          <cell r="D97" t="str">
            <v>No</v>
          </cell>
          <cell r="F97">
            <v>41750</v>
          </cell>
          <cell r="G97">
            <v>41756</v>
          </cell>
          <cell r="H97">
            <v>43</v>
          </cell>
        </row>
        <row r="98">
          <cell r="A98" t="str">
            <v>hbs</v>
          </cell>
          <cell r="B98" t="str">
            <v>Freedom</v>
          </cell>
          <cell r="C98" t="str">
            <v>Franchise</v>
          </cell>
          <cell r="D98" t="str">
            <v>No</v>
          </cell>
          <cell r="F98">
            <v>41757</v>
          </cell>
          <cell r="G98">
            <v>41763</v>
          </cell>
          <cell r="H98">
            <v>44</v>
          </cell>
        </row>
        <row r="99">
          <cell r="A99" t="str">
            <v>mas</v>
          </cell>
          <cell r="B99" t="str">
            <v>Freedom</v>
          </cell>
          <cell r="C99" t="str">
            <v>Franchise</v>
          </cell>
          <cell r="D99" t="str">
            <v>No</v>
          </cell>
          <cell r="F99">
            <v>41764</v>
          </cell>
          <cell r="G99">
            <v>41770</v>
          </cell>
          <cell r="H99">
            <v>45</v>
          </cell>
        </row>
        <row r="100">
          <cell r="A100" t="str">
            <v>nos</v>
          </cell>
          <cell r="B100" t="str">
            <v>Freedom</v>
          </cell>
          <cell r="C100" t="str">
            <v>Franchise</v>
          </cell>
          <cell r="D100" t="str">
            <v>No</v>
          </cell>
          <cell r="F100">
            <v>41771</v>
          </cell>
          <cell r="G100">
            <v>41777</v>
          </cell>
          <cell r="H100">
            <v>46</v>
          </cell>
        </row>
        <row r="101">
          <cell r="A101" t="str">
            <v>wrs</v>
          </cell>
          <cell r="B101" t="str">
            <v>Freedom</v>
          </cell>
          <cell r="C101" t="str">
            <v>Franchise</v>
          </cell>
          <cell r="D101" t="str">
            <v>No</v>
          </cell>
          <cell r="F101">
            <v>41778</v>
          </cell>
          <cell r="G101">
            <v>41784</v>
          </cell>
          <cell r="H101">
            <v>47</v>
          </cell>
        </row>
        <row r="102">
          <cell r="A102" t="str">
            <v>bla</v>
          </cell>
          <cell r="B102" t="str">
            <v>Freedom</v>
          </cell>
          <cell r="C102" t="str">
            <v>Company</v>
          </cell>
          <cell r="D102" t="str">
            <v>No</v>
          </cell>
          <cell r="F102">
            <v>41785</v>
          </cell>
          <cell r="G102">
            <v>41791</v>
          </cell>
          <cell r="H102">
            <v>48</v>
          </cell>
        </row>
        <row r="103">
          <cell r="A103" t="str">
            <v>brs</v>
          </cell>
          <cell r="B103" t="str">
            <v>Freedom</v>
          </cell>
          <cell r="C103" t="str">
            <v>Company</v>
          </cell>
          <cell r="D103" t="str">
            <v>No</v>
          </cell>
          <cell r="F103">
            <v>41792</v>
          </cell>
          <cell r="G103">
            <v>41798</v>
          </cell>
          <cell r="H103">
            <v>49</v>
          </cell>
        </row>
        <row r="104">
          <cell r="A104" t="str">
            <v>h01</v>
          </cell>
          <cell r="B104" t="str">
            <v>Freedom</v>
          </cell>
          <cell r="C104" t="str">
            <v>Company</v>
          </cell>
          <cell r="D104" t="str">
            <v>No</v>
          </cell>
          <cell r="F104">
            <v>41799</v>
          </cell>
          <cell r="G104">
            <v>41805</v>
          </cell>
          <cell r="H104">
            <v>50</v>
          </cell>
        </row>
        <row r="105">
          <cell r="A105" t="str">
            <v>oas</v>
          </cell>
          <cell r="B105" t="str">
            <v>Freedom</v>
          </cell>
          <cell r="C105" t="str">
            <v>Company</v>
          </cell>
          <cell r="D105" t="str">
            <v>NO</v>
          </cell>
          <cell r="F105">
            <v>41806</v>
          </cell>
          <cell r="G105">
            <v>41812</v>
          </cell>
          <cell r="H105">
            <v>51</v>
          </cell>
        </row>
        <row r="106">
          <cell r="F106">
            <v>41813</v>
          </cell>
          <cell r="G106">
            <v>41819</v>
          </cell>
          <cell r="H106">
            <v>52</v>
          </cell>
        </row>
        <row r="107">
          <cell r="F107">
            <v>41820</v>
          </cell>
          <cell r="G107">
            <v>41826</v>
          </cell>
          <cell r="H107">
            <v>1</v>
          </cell>
        </row>
        <row r="108">
          <cell r="F108">
            <v>41827</v>
          </cell>
          <cell r="G108">
            <v>41833</v>
          </cell>
          <cell r="H108">
            <v>2</v>
          </cell>
        </row>
        <row r="109">
          <cell r="F109">
            <v>41834</v>
          </cell>
          <cell r="G109">
            <v>41840</v>
          </cell>
          <cell r="H109">
            <v>3</v>
          </cell>
        </row>
        <row r="110">
          <cell r="F110">
            <v>41841</v>
          </cell>
          <cell r="G110">
            <v>41847</v>
          </cell>
          <cell r="H110">
            <v>4</v>
          </cell>
        </row>
        <row r="111">
          <cell r="F111">
            <v>41848</v>
          </cell>
          <cell r="G111">
            <v>41854</v>
          </cell>
          <cell r="H111">
            <v>5</v>
          </cell>
        </row>
        <row r="112">
          <cell r="F112">
            <v>41855</v>
          </cell>
          <cell r="G112">
            <v>41861</v>
          </cell>
          <cell r="H112">
            <v>6</v>
          </cell>
        </row>
        <row r="113">
          <cell r="F113">
            <v>41862</v>
          </cell>
          <cell r="G113">
            <v>41868</v>
          </cell>
          <cell r="H113">
            <v>7</v>
          </cell>
        </row>
        <row r="114">
          <cell r="F114">
            <v>41869</v>
          </cell>
          <cell r="G114">
            <v>41875</v>
          </cell>
          <cell r="H114">
            <v>8</v>
          </cell>
        </row>
        <row r="115">
          <cell r="F115">
            <v>41876</v>
          </cell>
          <cell r="G115">
            <v>41882</v>
          </cell>
          <cell r="H115">
            <v>9</v>
          </cell>
        </row>
        <row r="116">
          <cell r="F116">
            <v>41883</v>
          </cell>
          <cell r="G116">
            <v>41889</v>
          </cell>
          <cell r="H116">
            <v>10</v>
          </cell>
        </row>
        <row r="117">
          <cell r="F117">
            <v>41890</v>
          </cell>
          <cell r="G117">
            <v>41896</v>
          </cell>
          <cell r="H117">
            <v>11</v>
          </cell>
        </row>
        <row r="118">
          <cell r="F118">
            <v>41897</v>
          </cell>
          <cell r="G118">
            <v>41903</v>
          </cell>
          <cell r="H118">
            <v>12</v>
          </cell>
        </row>
        <row r="119">
          <cell r="F119">
            <v>41904</v>
          </cell>
          <cell r="G119">
            <v>41910</v>
          </cell>
          <cell r="H119">
            <v>13</v>
          </cell>
        </row>
        <row r="120">
          <cell r="F120">
            <v>41911</v>
          </cell>
          <cell r="G120">
            <v>41917</v>
          </cell>
          <cell r="H120">
            <v>14</v>
          </cell>
        </row>
        <row r="121">
          <cell r="F121">
            <v>41918</v>
          </cell>
          <cell r="G121">
            <v>41924</v>
          </cell>
          <cell r="H121">
            <v>15</v>
          </cell>
        </row>
        <row r="122">
          <cell r="F122">
            <v>41925</v>
          </cell>
          <cell r="G122">
            <v>41931</v>
          </cell>
          <cell r="H122">
            <v>16</v>
          </cell>
        </row>
        <row r="123">
          <cell r="F123">
            <v>41932</v>
          </cell>
          <cell r="G123">
            <v>41938</v>
          </cell>
          <cell r="H123">
            <v>17</v>
          </cell>
        </row>
        <row r="124">
          <cell r="F124">
            <v>41939</v>
          </cell>
          <cell r="G124">
            <v>41945</v>
          </cell>
          <cell r="H124">
            <v>18</v>
          </cell>
        </row>
        <row r="125">
          <cell r="F125">
            <v>41946</v>
          </cell>
          <cell r="G125">
            <v>41952</v>
          </cell>
          <cell r="H125">
            <v>19</v>
          </cell>
        </row>
        <row r="126">
          <cell r="F126">
            <v>41953</v>
          </cell>
          <cell r="G126">
            <v>41959</v>
          </cell>
          <cell r="H126">
            <v>20</v>
          </cell>
        </row>
        <row r="127">
          <cell r="F127">
            <v>41960</v>
          </cell>
          <cell r="G127">
            <v>41966</v>
          </cell>
          <cell r="H127">
            <v>21</v>
          </cell>
        </row>
        <row r="128">
          <cell r="F128">
            <v>41967</v>
          </cell>
          <cell r="G128">
            <v>41973</v>
          </cell>
          <cell r="H128">
            <v>22</v>
          </cell>
        </row>
        <row r="129">
          <cell r="F129">
            <v>41974</v>
          </cell>
          <cell r="G129">
            <v>41980</v>
          </cell>
          <cell r="H129">
            <v>23</v>
          </cell>
        </row>
        <row r="130">
          <cell r="F130">
            <v>41981</v>
          </cell>
          <cell r="G130">
            <v>41987</v>
          </cell>
          <cell r="H130">
            <v>24</v>
          </cell>
        </row>
        <row r="131">
          <cell r="F131">
            <v>41988</v>
          </cell>
          <cell r="G131">
            <v>41994</v>
          </cell>
          <cell r="H131">
            <v>25</v>
          </cell>
        </row>
        <row r="132">
          <cell r="F132">
            <v>41995</v>
          </cell>
          <cell r="G132">
            <v>42001</v>
          </cell>
          <cell r="H132">
            <v>26</v>
          </cell>
        </row>
        <row r="133">
          <cell r="F133">
            <v>42002</v>
          </cell>
          <cell r="G133">
            <v>42008</v>
          </cell>
          <cell r="H133">
            <v>27</v>
          </cell>
        </row>
        <row r="134">
          <cell r="F134">
            <v>42009</v>
          </cell>
          <cell r="G134">
            <v>42015</v>
          </cell>
          <cell r="H134">
            <v>28</v>
          </cell>
        </row>
        <row r="135">
          <cell r="F135">
            <v>42016</v>
          </cell>
          <cell r="G135">
            <v>42022</v>
          </cell>
          <cell r="H135">
            <v>29</v>
          </cell>
        </row>
        <row r="136">
          <cell r="F136">
            <v>42023</v>
          </cell>
          <cell r="G136">
            <v>42029</v>
          </cell>
          <cell r="H136">
            <v>30</v>
          </cell>
        </row>
        <row r="137">
          <cell r="F137">
            <v>42030</v>
          </cell>
          <cell r="G137">
            <v>42036</v>
          </cell>
          <cell r="H137">
            <v>31</v>
          </cell>
        </row>
        <row r="138">
          <cell r="F138">
            <v>42037</v>
          </cell>
          <cell r="G138">
            <v>42043</v>
          </cell>
          <cell r="H138">
            <v>32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Cognos_Office_Connection_Cache"/>
      <sheetName val="GM % Var vs Budget"/>
      <sheetName val="06. Executive Summary - Written"/>
      <sheetName val="GM% vs Bud - Category"/>
      <sheetName val="0. Control"/>
      <sheetName val="2nd Margin Trend"/>
      <sheetName val="0. LST"/>
      <sheetName val="Presentation -&gt;"/>
      <sheetName val="Australia &gt;&gt;&gt;"/>
      <sheetName val="01. Cover Page"/>
      <sheetName val="02. Contents"/>
      <sheetName val="3. Executive Summary - ANZ "/>
      <sheetName val="3.1_NZ DELIVERED"/>
      <sheetName val="3.2_NZ - Wr Sales"/>
      <sheetName val="4. Executive Summary - AU "/>
      <sheetName val="4.1 Written Sales"/>
      <sheetName val="05. Executive Summary - Chart"/>
      <sheetName val="4.2 P&amp;L_MTD"/>
      <sheetName val="P&amp;L_YTD"/>
      <sheetName val="Full P&amp;L excl AASB16 "/>
      <sheetName val="5.1_Sales &amp; EBIT by month"/>
      <sheetName val="5.2 Inventory Issue &amp; OMS"/>
      <sheetName val="07. Undelivered Pipeline"/>
      <sheetName val="24. Inventory"/>
      <sheetName val="21.1_Inv TM1"/>
      <sheetName val="21.2_Inventory Support"/>
      <sheetName val="21.3_Inventory Support ST (DNU)"/>
      <sheetName val="21.4_MF WK21 (DNU)"/>
      <sheetName val="FY23 BUDGET"/>
      <sheetName val="CAT"/>
      <sheetName val="STR"/>
      <sheetName val="Sheet1"/>
      <sheetName val="28. Capex."/>
      <sheetName val="29. Key Merchandise Category"/>
      <sheetName val="Key Merchandise Performance"/>
      <sheetName val="29. Key Merchandise Categor ytd"/>
      <sheetName val="29.1_Key Category"/>
      <sheetName val="30. Store Performance"/>
      <sheetName val="Store Network"/>
      <sheetName val="30.2_Store Counts"/>
      <sheetName val="30.1_WS KPIs"/>
      <sheetName val="10_WS GM%"/>
      <sheetName val="30.3_SQM"/>
      <sheetName val="31. Store Trading Review - MTD"/>
      <sheetName val="31. Store Trading Review -  YTD"/>
      <sheetName val="32.Store Trading Review - YTD"/>
      <sheetName val="32. YTD Store Trading Excl.Cent"/>
      <sheetName val="32.Store Trading Increment-OLD"/>
      <sheetName val="32.Store Trading Excl.Centr-OLD"/>
      <sheetName val="31.1_EBIT &amp; LFL"/>
      <sheetName val="31.2_LFL Data"/>
      <sheetName val="31.3_Data"/>
      <sheetName val="33. E-Commerce(DNU)"/>
      <sheetName val="33 E-Commerce"/>
      <sheetName val="33.1 Online"/>
      <sheetName val="33.2_E-Commerce"/>
      <sheetName val="FY22 Budget - Online"/>
      <sheetName val="33.2_Click &amp; Collect"/>
      <sheetName val="Store Trading Review - Quarter"/>
      <sheetName val="Sheet2"/>
      <sheetName val="Store Trading Review- Half Year"/>
      <sheetName val="Inventory - Current"/>
      <sheetName val="Inventory - Forward"/>
      <sheetName val="Supplementary Info -&gt;"/>
      <sheetName val="Supplementary Information &gt;"/>
      <sheetName val="Trading by Store"/>
      <sheetName val="Detail"/>
      <sheetName val="Supporting-&gt;"/>
      <sheetName val="2_P&amp;L"/>
      <sheetName val="2_P&amp;L MGT"/>
      <sheetName val="2_PnL Detail"/>
      <sheetName val="3_BS"/>
      <sheetName val="3_BS TM1"/>
      <sheetName val="8_Merch Waterfall"/>
      <sheetName val="Internal Audit"/>
      <sheetName val="Strategy Initiatives"/>
      <sheetName val="Brand Mapping"/>
      <sheetName val="GLB 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B2" t="str">
            <v>FY24</v>
          </cell>
        </row>
        <row r="3">
          <cell r="B3" t="str">
            <v>FY23</v>
          </cell>
        </row>
        <row r="4">
          <cell r="B4" t="str">
            <v>Week 21</v>
          </cell>
        </row>
        <row r="5">
          <cell r="B5" t="str">
            <v>Feb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>
        <row r="8">
          <cell r="H8" t="str">
            <v>YTD EBIT Post Support Centre Allocation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a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M12"/>
      <sheetName val="Data Input Sheet - summary"/>
      <sheetName val="Data Input Sheet - KPI's"/>
      <sheetName val="Data Input Sheet - Deloittes"/>
      <sheetName val="Debtors Position"/>
      <sheetName val="Data"/>
      <sheetName val="Sheet1"/>
      <sheetName val="Board Papers"/>
      <sheetName val="Sales Report"/>
      <sheetName val="Forward Revenue"/>
    </sheetNames>
    <sheetDataSet>
      <sheetData sheetId="0" refreshError="1"/>
      <sheetData sheetId="1" refreshError="1"/>
      <sheetData sheetId="2" refreshError="1"/>
      <sheetData sheetId="3">
        <row r="19">
          <cell r="F19">
            <v>15148.440829999998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>
        <row r="5">
          <cell r="A5" t="str">
            <v>DMG RADIO AUSTRALIA PTY LTD</v>
          </cell>
        </row>
        <row r="19">
          <cell r="B19">
            <v>40482</v>
          </cell>
          <cell r="C19">
            <v>40512</v>
          </cell>
          <cell r="D19">
            <v>40543</v>
          </cell>
          <cell r="E19">
            <v>40574</v>
          </cell>
          <cell r="F19">
            <v>40602</v>
          </cell>
          <cell r="G19">
            <v>40633</v>
          </cell>
          <cell r="H19">
            <v>40663</v>
          </cell>
          <cell r="I19">
            <v>40694</v>
          </cell>
          <cell r="J19">
            <v>40724</v>
          </cell>
          <cell r="K19">
            <v>40755</v>
          </cell>
          <cell r="L19">
            <v>40786</v>
          </cell>
          <cell r="M19">
            <v>40816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gnoreBlanks"/>
      <sheetName val="Data"/>
    </sheetNames>
    <sheetDataSet>
      <sheetData sheetId="0"/>
      <sheetData sheetId="1">
        <row r="36">
          <cell r="E36">
            <v>42736</v>
          </cell>
          <cell r="F36">
            <v>100</v>
          </cell>
        </row>
        <row r="37">
          <cell r="E37">
            <v>42737</v>
          </cell>
          <cell r="F37">
            <v>120</v>
          </cell>
        </row>
        <row r="38">
          <cell r="E38">
            <v>42739</v>
          </cell>
          <cell r="F38">
            <v>160</v>
          </cell>
        </row>
        <row r="39">
          <cell r="E39">
            <v>42740</v>
          </cell>
          <cell r="F39">
            <v>150</v>
          </cell>
        </row>
        <row r="40">
          <cell r="E40">
            <v>42741</v>
          </cell>
          <cell r="F40">
            <v>200</v>
          </cell>
        </row>
        <row r="41">
          <cell r="E41">
            <v>42742</v>
          </cell>
          <cell r="F41">
            <v>220</v>
          </cell>
        </row>
        <row r="42">
          <cell r="E42">
            <v>42743</v>
          </cell>
          <cell r="F42">
            <v>240</v>
          </cell>
        </row>
        <row r="43">
          <cell r="E43">
            <v>42745</v>
          </cell>
          <cell r="F43">
            <v>280</v>
          </cell>
        </row>
        <row r="44">
          <cell r="E44">
            <v>42746</v>
          </cell>
          <cell r="F44">
            <v>300</v>
          </cell>
        </row>
        <row r="45">
          <cell r="E45">
            <v>42747</v>
          </cell>
          <cell r="F45">
            <v>300</v>
          </cell>
        </row>
        <row r="46">
          <cell r="E46">
            <v>42751</v>
          </cell>
          <cell r="F46">
            <v>400</v>
          </cell>
        </row>
        <row r="47">
          <cell r="E47">
            <v>42752</v>
          </cell>
          <cell r="F47">
            <v>410</v>
          </cell>
        </row>
        <row r="48">
          <cell r="E48">
            <v>42753</v>
          </cell>
          <cell r="F48">
            <v>400</v>
          </cell>
        </row>
        <row r="49">
          <cell r="E49">
            <v>42756</v>
          </cell>
          <cell r="F49">
            <v>420</v>
          </cell>
        </row>
        <row r="50">
          <cell r="E50">
            <v>42757</v>
          </cell>
          <cell r="F50">
            <v>430</v>
          </cell>
        </row>
        <row r="51">
          <cell r="E51">
            <v>42758</v>
          </cell>
          <cell r="F51">
            <v>440</v>
          </cell>
        </row>
        <row r="52">
          <cell r="E52">
            <v>42759</v>
          </cell>
          <cell r="F52">
            <v>450</v>
          </cell>
        </row>
        <row r="53">
          <cell r="E53"/>
          <cell r="F53"/>
        </row>
        <row r="54">
          <cell r="E54"/>
          <cell r="F54"/>
        </row>
        <row r="55">
          <cell r="E55"/>
          <cell r="F55"/>
        </row>
        <row r="56">
          <cell r="E56"/>
          <cell r="F56"/>
        </row>
      </sheetData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LL"/>
      <sheetName val="Revenue"/>
      <sheetName val="Advert"/>
      <sheetName val="Rent HLP"/>
      <sheetName val="Training Comp Maint Subs"/>
      <sheetName val="Program Costs"/>
      <sheetName val="Salaries"/>
      <sheetName val="Talent"/>
      <sheetName val="Contractors"/>
      <sheetName val="MV FBT"/>
      <sheetName val="Depn"/>
      <sheetName val="Capex"/>
      <sheetName val="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Saldenliste"/>
      <sheetName val="Kontensalden"/>
      <sheetName val="gueltigeKonten"/>
      <sheetName val="Struktur"/>
      <sheetName val="Sensitivity"/>
      <sheetName val="Assumptions"/>
    </sheetNames>
    <sheetDataSet>
      <sheetData sheetId="0"/>
      <sheetData sheetId="1"/>
      <sheetData sheetId="2"/>
      <sheetData sheetId="3"/>
      <sheetData sheetId="4">
        <row r="2">
          <cell r="C2" t="str">
            <v>DEU</v>
          </cell>
        </row>
      </sheetData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"/>
      <sheetName val="Monthly"/>
      <sheetName val="Wr Sales"/>
      <sheetName val="StkDebtorsCDep"/>
      <sheetName val="Wr_Sale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_Control"/>
      <sheetName val="1_Inventory"/>
      <sheetName val="1_Inv TM1"/>
      <sheetName val="1_Inventory Support"/>
      <sheetName val="1_Inventory Support ST"/>
      <sheetName val="1_MF WK43"/>
      <sheetName val="2_Key Merchandise Category"/>
      <sheetName val="2_Key Category"/>
      <sheetName val="3_Waterfall"/>
      <sheetName val="Budget By Cat"/>
      <sheetName val="4_Inventory Movt"/>
      <sheetName val="4_Inv by Mth TM1"/>
    </sheetNames>
    <sheetDataSet>
      <sheetData sheetId="0">
        <row r="2">
          <cell r="C2" t="str">
            <v>Jul Forecast</v>
          </cell>
        </row>
        <row r="4">
          <cell r="C4" t="str">
            <v>Jul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INV_CF"/>
      <sheetName val="Contents"/>
      <sheetName val="Overview"/>
      <sheetName val="BUD_TO"/>
      <sheetName val="DS_TO"/>
      <sheetName val="DS_TA"/>
      <sheetName val="COGS_TO"/>
      <sheetName val="GM_TO"/>
      <sheetName val="GM_TA"/>
      <sheetName val="EM_TO"/>
      <sheetName val="EM_TA"/>
      <sheetName val="AD_TO"/>
      <sheetName val="AD_TA"/>
      <sheetName val="PR_TO"/>
      <sheetName val="PR_TA"/>
      <sheetName val="OT_TO"/>
      <sheetName val="OT_TA"/>
      <sheetName val="SO_TO"/>
      <sheetName val="SO_TA"/>
      <sheetName val="BUD_DTO_FY16"/>
      <sheetName val="BUD_DTO_LU"/>
      <sheetName val="BUD_NS_DTO_LU"/>
      <sheetName val="ACT_DTO_FY16"/>
      <sheetName val="ACT_DTO_RT_FY16"/>
      <sheetName val="BUD_DTO_FY16(B)"/>
      <sheetName val="BUD_DTO_RT_FY16(B)"/>
      <sheetName val="ACT_DTO_FY15"/>
      <sheetName val="ACT_DTO_RT_FY15"/>
      <sheetName val="F'cst_DTO_FY16"/>
      <sheetName val="F'cst_DTO_LM"/>
      <sheetName val="Calender_LU"/>
      <sheetName val="ACT_FY16"/>
      <sheetName val="P.L. STATEMENT"/>
      <sheetName val="KPI_MTD_FY16"/>
      <sheetName val="KPI_YTD_FY16"/>
      <sheetName val="BSC_FY15"/>
      <sheetName val="P.L. S'sor_A'lyst_FY14"/>
      <sheetName val="KPI_QTR_FY16"/>
      <sheetName val="ACT_BSC_R12_FY16"/>
      <sheetName val="BUD_BSC_R12_FY16"/>
      <sheetName val="ACT_BSC_R12_FY15"/>
      <sheetName val="ACT_BSC_R12_FY14"/>
      <sheetName val="Cover_BR"/>
      <sheetName val="Contents_BR"/>
      <sheetName val="Retail KPI's"/>
      <sheetName val="KPI Definitions"/>
      <sheetName val="BU Specific KPIs"/>
      <sheetName val="Detailed P&amp;L"/>
      <sheetName val="F'cst_P&amp;L"/>
      <sheetName val="Act_P&amp;L_vs_Prior_F'cst"/>
      <sheetName val="SWOT"/>
      <sheetName val="Loss_Making_Store"/>
      <sheetName val="Receivable Analysis"/>
      <sheetName val="Inventory Analysis"/>
      <sheetName val="Cashflow Analysis"/>
      <sheetName val="Cashflow Worksheet"/>
      <sheetName val="CAPEX "/>
      <sheetName val="Graph_OMF"/>
      <sheetName val="Wkly_Bud"/>
      <sheetName val="Loc_LU"/>
      <sheetName val="TS_LU"/>
      <sheetName val="Periods"/>
      <sheetName val="Report"/>
    </sheetNames>
    <sheetDataSet>
      <sheetData sheetId="0"/>
      <sheetData sheetId="1"/>
      <sheetData sheetId="2"/>
      <sheetData sheetId="3"/>
      <sheetData sheetId="4"/>
      <sheetData sheetId="5">
        <row r="1">
          <cell r="H1">
            <v>0</v>
          </cell>
        </row>
      </sheetData>
      <sheetData sheetId="6">
        <row r="15">
          <cell r="A15" t="str">
            <v>Number of Days in a week</v>
          </cell>
        </row>
      </sheetData>
      <sheetData sheetId="7">
        <row r="19">
          <cell r="I19" t="str">
            <v>Cost of Good Sold Outputs</v>
          </cell>
        </row>
      </sheetData>
      <sheetData sheetId="8">
        <row r="19">
          <cell r="I19" t="str">
            <v>Gross Margin Outputs</v>
          </cell>
        </row>
      </sheetData>
      <sheetData sheetId="9">
        <row r="19">
          <cell r="I19" t="str">
            <v>Gross Margin Assumptions</v>
          </cell>
        </row>
      </sheetData>
      <sheetData sheetId="10">
        <row r="19">
          <cell r="I19" t="str">
            <v>Employment Outputs</v>
          </cell>
        </row>
      </sheetData>
      <sheetData sheetId="11">
        <row r="9">
          <cell r="AJ9">
            <v>36</v>
          </cell>
        </row>
      </sheetData>
      <sheetData sheetId="12">
        <row r="19">
          <cell r="I19" t="str">
            <v>Advertising Outputs</v>
          </cell>
        </row>
      </sheetData>
      <sheetData sheetId="13">
        <row r="19">
          <cell r="I19" t="str">
            <v>Advertising Assumptions</v>
          </cell>
        </row>
      </sheetData>
      <sheetData sheetId="14">
        <row r="7">
          <cell r="R7">
            <v>41821</v>
          </cell>
        </row>
      </sheetData>
      <sheetData sheetId="15">
        <row r="9">
          <cell r="P9">
            <v>16</v>
          </cell>
        </row>
        <row r="109">
          <cell r="R109">
            <v>41821</v>
          </cell>
          <cell r="U109">
            <v>1.0249999999999999</v>
          </cell>
        </row>
        <row r="110">
          <cell r="R110">
            <v>42186</v>
          </cell>
        </row>
        <row r="111">
          <cell r="R111">
            <v>365</v>
          </cell>
        </row>
      </sheetData>
      <sheetData sheetId="16">
        <row r="16">
          <cell r="R16">
            <v>27</v>
          </cell>
        </row>
      </sheetData>
      <sheetData sheetId="17">
        <row r="110">
          <cell r="BC110">
            <v>1.0249999999999999</v>
          </cell>
        </row>
      </sheetData>
      <sheetData sheetId="18"/>
      <sheetData sheetId="19">
        <row r="122">
          <cell r="I122" t="str">
            <v>Employment &amp; Oncost Assumptions</v>
          </cell>
        </row>
      </sheetData>
      <sheetData sheetId="20"/>
      <sheetData sheetId="21">
        <row r="7">
          <cell r="H7">
            <v>1</v>
          </cell>
        </row>
      </sheetData>
      <sheetData sheetId="22"/>
      <sheetData sheetId="23"/>
      <sheetData sheetId="24">
        <row r="22">
          <cell r="Q22">
            <v>16230971.799999999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7">
          <cell r="F17" t="str">
            <v>Store Locations</v>
          </cell>
        </row>
      </sheetData>
      <sheetData sheetId="61"/>
      <sheetData sheetId="62">
        <row r="74">
          <cell r="B74">
            <v>41821</v>
          </cell>
        </row>
      </sheetData>
      <sheetData sheetId="6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Contents"/>
      <sheetName val="Overview"/>
      <sheetName val="BUD_TO"/>
      <sheetName val="DS_TO"/>
      <sheetName val="DS_TA"/>
      <sheetName val="COGS_TO"/>
      <sheetName val="GM_TO"/>
      <sheetName val="GM_TA"/>
      <sheetName val="EM_TO"/>
      <sheetName val="EM_TA"/>
      <sheetName val="AD_TO"/>
      <sheetName val="AD_TA"/>
      <sheetName val="PR_TO"/>
      <sheetName val="PR_TA"/>
      <sheetName val="OT_TO"/>
      <sheetName val="OT_TA"/>
      <sheetName val="SO_TO"/>
      <sheetName val="SO_TA"/>
      <sheetName val="BUD_DTO_FY17"/>
      <sheetName val="BUD_DTO_LU"/>
      <sheetName val="BUD_DTO_NS_LU"/>
      <sheetName val="BUD_DTO_FY17(B)"/>
      <sheetName val="BUD_DTO_RT_FY17(B)"/>
      <sheetName val="ACT_DTO_FY17"/>
      <sheetName val="ACT_DTO_RT_FY17"/>
      <sheetName val="ACT_DTO_FY16"/>
      <sheetName val="ACT_DTO_RT_FY16"/>
      <sheetName val="F'cst_DTO_FY17"/>
      <sheetName val="F'cst_DTO_FY17_LM"/>
      <sheetName val="Calender_LU"/>
      <sheetName val="Board_Report_KPI"/>
      <sheetName val="SR_MTD"/>
      <sheetName val="SR_QTR"/>
      <sheetName val="SR_YTD"/>
      <sheetName val="Balance_Sheet"/>
      <sheetName val="ACT_FY17"/>
      <sheetName val="P.L. STATEMENT"/>
      <sheetName val="KPI_MTD_FY17"/>
      <sheetName val="KPI_QTR_FY17"/>
      <sheetName val="KPI_YTD_FY17"/>
      <sheetName val="P.L. S'sor_A'lyst"/>
      <sheetName val="Pay_Totals_History"/>
      <sheetName val="Review_by_Qtr"/>
      <sheetName val="Fin_BR"/>
      <sheetName val="Chart"/>
      <sheetName val="WFG_DS"/>
      <sheetName val="WFG_EBIT"/>
      <sheetName val="Risk_Register"/>
      <sheetName val="Quarterly_Review"/>
      <sheetName val="Cover_BR"/>
      <sheetName val="Contents_BR"/>
      <sheetName val="Retail KPI's"/>
      <sheetName val="KPI Definitions"/>
      <sheetName val="BU Specific KPIs"/>
      <sheetName val="Detailed P&amp;L"/>
      <sheetName val="Detailed P&amp;L_Q5"/>
      <sheetName val="F'cst_P&amp;L"/>
      <sheetName val="F'cst_P&amp;L_Q5"/>
      <sheetName val="Act_P&amp;L_vs_Prior_F'cst"/>
      <sheetName val="SWOT"/>
      <sheetName val="Loss_Making_Store"/>
      <sheetName val="Receivable Analysis"/>
      <sheetName val="Inventory Analysis"/>
      <sheetName val="INV_CF"/>
      <sheetName val="Cashflow Analysis"/>
      <sheetName val="CAPEX "/>
      <sheetName val="Wkly_Bud"/>
      <sheetName val="Cashflow Worksheet"/>
      <sheetName val="Loc_LU"/>
      <sheetName val="Period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H10" t="str">
            <v>Month_End_Date</v>
          </cell>
        </row>
      </sheetData>
      <sheetData sheetId="5">
        <row r="15">
          <cell r="A15" t="str">
            <v>Number of Days in a week</v>
          </cell>
        </row>
      </sheetData>
      <sheetData sheetId="6">
        <row r="19">
          <cell r="I19" t="str">
            <v>Cost of Good Sold Outputs</v>
          </cell>
        </row>
      </sheetData>
      <sheetData sheetId="7">
        <row r="19">
          <cell r="I19" t="str">
            <v>Gross Margin Outputs</v>
          </cell>
        </row>
      </sheetData>
      <sheetData sheetId="8">
        <row r="19">
          <cell r="I19" t="str">
            <v>Gross Margin Assumptions</v>
          </cell>
        </row>
      </sheetData>
      <sheetData sheetId="9">
        <row r="19">
          <cell r="I19" t="str">
            <v>Employment Outputs</v>
          </cell>
        </row>
      </sheetData>
      <sheetData sheetId="10">
        <row r="9">
          <cell r="S9">
            <v>19</v>
          </cell>
        </row>
      </sheetData>
      <sheetData sheetId="11">
        <row r="19">
          <cell r="I19" t="str">
            <v>Advertising Outputs</v>
          </cell>
        </row>
      </sheetData>
      <sheetData sheetId="12">
        <row r="19">
          <cell r="I19" t="str">
            <v>Advertising Assumptions</v>
          </cell>
        </row>
      </sheetData>
      <sheetData sheetId="13">
        <row r="7">
          <cell r="R7">
            <v>42186</v>
          </cell>
        </row>
      </sheetData>
      <sheetData sheetId="14">
        <row r="9">
          <cell r="P9">
            <v>16</v>
          </cell>
        </row>
        <row r="114">
          <cell r="N114" t="str">
            <v>Store Open Date</v>
          </cell>
        </row>
        <row r="115">
          <cell r="K115" t="str">
            <v>West Gosford</v>
          </cell>
          <cell r="N115">
            <v>40006</v>
          </cell>
        </row>
        <row r="116">
          <cell r="K116" t="str">
            <v>Bankstown</v>
          </cell>
          <cell r="N116">
            <v>39417</v>
          </cell>
        </row>
        <row r="117">
          <cell r="K117" t="str">
            <v>Bathurst</v>
          </cell>
          <cell r="N117">
            <v>39291</v>
          </cell>
        </row>
        <row r="118">
          <cell r="K118" t="str">
            <v>Rutherford</v>
          </cell>
          <cell r="N118">
            <v>39263</v>
          </cell>
        </row>
        <row r="119">
          <cell r="K119" t="str">
            <v>Warrawong</v>
          </cell>
          <cell r="N119">
            <v>39537</v>
          </cell>
        </row>
        <row r="120">
          <cell r="K120" t="str">
            <v>Prospect</v>
          </cell>
          <cell r="N120">
            <v>38917</v>
          </cell>
        </row>
        <row r="121">
          <cell r="K121" t="str">
            <v>Auburn</v>
          </cell>
          <cell r="N121">
            <v>39760</v>
          </cell>
        </row>
        <row r="122">
          <cell r="K122" t="str">
            <v>Nowra</v>
          </cell>
          <cell r="N122">
            <v>39690</v>
          </cell>
        </row>
        <row r="123">
          <cell r="K123" t="str">
            <v>Castle Hill</v>
          </cell>
          <cell r="N123">
            <v>40090</v>
          </cell>
        </row>
        <row r="124">
          <cell r="K124" t="str">
            <v>Artarmon</v>
          </cell>
          <cell r="N124">
            <v>40254</v>
          </cell>
        </row>
        <row r="125">
          <cell r="K125" t="str">
            <v>Tuggerah</v>
          </cell>
          <cell r="N125">
            <v>40097</v>
          </cell>
        </row>
        <row r="126">
          <cell r="K126" t="str">
            <v>Fyshwick</v>
          </cell>
          <cell r="N126">
            <v>40870</v>
          </cell>
        </row>
        <row r="127">
          <cell r="K127" t="str">
            <v>Bennetts Green</v>
          </cell>
          <cell r="N127">
            <v>41129</v>
          </cell>
        </row>
        <row r="128">
          <cell r="K128" t="str">
            <v>Dubbo</v>
          </cell>
          <cell r="N128">
            <v>41258</v>
          </cell>
        </row>
        <row r="129">
          <cell r="K129" t="str">
            <v>Crossroads</v>
          </cell>
          <cell r="N129">
            <v>41327</v>
          </cell>
        </row>
        <row r="130">
          <cell r="K130" t="str">
            <v>Belrose</v>
          </cell>
          <cell r="N130">
            <v>41951</v>
          </cell>
        </row>
        <row r="131">
          <cell r="K131" t="str">
            <v>Caringbah</v>
          </cell>
          <cell r="N131">
            <v>41992</v>
          </cell>
        </row>
        <row r="135">
          <cell r="K135" t="str">
            <v>Wagga Wagga</v>
          </cell>
          <cell r="N135">
            <v>42300</v>
          </cell>
        </row>
        <row r="139">
          <cell r="K139" t="str">
            <v>Alexandria</v>
          </cell>
          <cell r="N139">
            <v>42583</v>
          </cell>
        </row>
        <row r="140">
          <cell r="K140" t="str">
            <v>MacGregor</v>
          </cell>
          <cell r="N140">
            <v>42611</v>
          </cell>
        </row>
        <row r="141">
          <cell r="K141" t="str">
            <v>Tweed Heads</v>
          </cell>
          <cell r="N141">
            <v>42646</v>
          </cell>
        </row>
        <row r="142">
          <cell r="K142" t="str">
            <v>Capalaba</v>
          </cell>
          <cell r="N142">
            <v>42646</v>
          </cell>
        </row>
        <row r="143">
          <cell r="K143" t="str">
            <v>Tamworth</v>
          </cell>
          <cell r="N143">
            <v>42674</v>
          </cell>
        </row>
        <row r="144">
          <cell r="K144" t="str">
            <v>Bundall</v>
          </cell>
          <cell r="N144">
            <v>42793</v>
          </cell>
        </row>
        <row r="145">
          <cell r="K145" t="str">
            <v>Ballina</v>
          </cell>
          <cell r="N145">
            <v>42793</v>
          </cell>
        </row>
        <row r="146">
          <cell r="K146" t="str">
            <v>FY17_NS_08</v>
          </cell>
        </row>
        <row r="147">
          <cell r="K147" t="str">
            <v>FY17_NS_09</v>
          </cell>
        </row>
        <row r="148">
          <cell r="K148" t="str">
            <v>FY17_NS_10</v>
          </cell>
        </row>
        <row r="149">
          <cell r="K149" t="str">
            <v>FY17_NS_11</v>
          </cell>
          <cell r="N149">
            <v>0</v>
          </cell>
        </row>
        <row r="157">
          <cell r="K157" t="str">
            <v>FY18_NS_01</v>
          </cell>
          <cell r="N157">
            <v>42917</v>
          </cell>
        </row>
        <row r="158">
          <cell r="K158" t="str">
            <v>FY18_NS_02</v>
          </cell>
          <cell r="N158">
            <v>42917</v>
          </cell>
        </row>
        <row r="159">
          <cell r="K159" t="str">
            <v>FY18_NS_03</v>
          </cell>
          <cell r="N159">
            <v>42948</v>
          </cell>
        </row>
        <row r="160">
          <cell r="K160" t="str">
            <v>FY18_NS_04</v>
          </cell>
          <cell r="N160">
            <v>42948</v>
          </cell>
        </row>
        <row r="161">
          <cell r="K161" t="str">
            <v>FY18_NS_05</v>
          </cell>
          <cell r="N161">
            <v>42979</v>
          </cell>
        </row>
        <row r="162">
          <cell r="K162" t="str">
            <v>FY18_NS_06</v>
          </cell>
          <cell r="N162">
            <v>43010</v>
          </cell>
        </row>
        <row r="163">
          <cell r="K163" t="str">
            <v>FY18_NS_07</v>
          </cell>
          <cell r="N163">
            <v>43040</v>
          </cell>
        </row>
        <row r="164">
          <cell r="K164" t="str">
            <v>FY18_NS_08</v>
          </cell>
          <cell r="N164">
            <v>43132</v>
          </cell>
        </row>
        <row r="165">
          <cell r="K165" t="str">
            <v>FY18_NS_09</v>
          </cell>
          <cell r="N165">
            <v>43132</v>
          </cell>
        </row>
        <row r="166">
          <cell r="K166" t="str">
            <v>FY18_NS_10</v>
          </cell>
          <cell r="N166">
            <v>43160</v>
          </cell>
        </row>
        <row r="175">
          <cell r="K175" t="str">
            <v>FY19_NS_01</v>
          </cell>
          <cell r="N175">
            <v>43282</v>
          </cell>
        </row>
        <row r="176">
          <cell r="K176" t="str">
            <v>FY19_NS_02</v>
          </cell>
          <cell r="N176">
            <v>43313</v>
          </cell>
        </row>
        <row r="177">
          <cell r="K177" t="str">
            <v>FY19_NS_03</v>
          </cell>
          <cell r="N177">
            <v>43313</v>
          </cell>
        </row>
        <row r="178">
          <cell r="K178" t="str">
            <v>FY19_NS_04</v>
          </cell>
          <cell r="N178">
            <v>43344</v>
          </cell>
        </row>
        <row r="179">
          <cell r="K179" t="str">
            <v>FY19_NS_05</v>
          </cell>
          <cell r="N179">
            <v>43344</v>
          </cell>
        </row>
        <row r="180">
          <cell r="K180" t="str">
            <v>FY19_NS_06</v>
          </cell>
          <cell r="N180">
            <v>43374</v>
          </cell>
        </row>
        <row r="181">
          <cell r="K181" t="str">
            <v>FY19_NS_07</v>
          </cell>
          <cell r="N181">
            <v>43374</v>
          </cell>
        </row>
        <row r="182">
          <cell r="K182" t="str">
            <v>FY19_NS_08</v>
          </cell>
          <cell r="N182">
            <v>43405</v>
          </cell>
        </row>
      </sheetData>
      <sheetData sheetId="15">
        <row r="16">
          <cell r="R16">
            <v>26</v>
          </cell>
        </row>
      </sheetData>
      <sheetData sheetId="16">
        <row r="111">
          <cell r="AL111">
            <v>1.0249999999999999</v>
          </cell>
        </row>
      </sheetData>
      <sheetData sheetId="17" refreshError="1"/>
      <sheetData sheetId="18">
        <row r="127">
          <cell r="I127" t="str">
            <v>Employment &amp; Oncost Assumptions</v>
          </cell>
        </row>
      </sheetData>
      <sheetData sheetId="19" refreshError="1"/>
      <sheetData sheetId="20">
        <row r="7">
          <cell r="G7">
            <v>1</v>
          </cell>
        </row>
      </sheetData>
      <sheetData sheetId="21">
        <row r="7">
          <cell r="G7">
            <v>1</v>
          </cell>
        </row>
      </sheetData>
      <sheetData sheetId="22" refreshError="1"/>
      <sheetData sheetId="23" refreshError="1"/>
      <sheetData sheetId="24">
        <row r="5">
          <cell r="PJ5" t="str">
            <v>MacGregor</v>
          </cell>
        </row>
      </sheetData>
      <sheetData sheetId="25" refreshError="1"/>
      <sheetData sheetId="26" refreshError="1"/>
      <sheetData sheetId="27" refreshError="1"/>
      <sheetData sheetId="28"/>
      <sheetData sheetId="29" refreshError="1"/>
      <sheetData sheetId="30">
        <row r="1">
          <cell r="B1">
            <v>41821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1">
          <cell r="D11" t="str">
            <v>CON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8">
          <cell r="D18" t="str">
            <v>CON</v>
          </cell>
        </row>
      </sheetData>
      <sheetData sheetId="7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"/>
    </sheetNames>
    <sheetDataSet>
      <sheetData sheetId="0">
        <row r="7">
          <cell r="C7">
            <v>2023315.52</v>
          </cell>
        </row>
        <row r="57">
          <cell r="C57">
            <v>3876237.88</v>
          </cell>
        </row>
        <row r="58">
          <cell r="C58">
            <v>500000</v>
          </cell>
        </row>
        <row r="60">
          <cell r="C60">
            <v>403687.33</v>
          </cell>
        </row>
        <row r="63">
          <cell r="C63">
            <v>403687.33</v>
          </cell>
        </row>
        <row r="66">
          <cell r="C66">
            <v>284415.26</v>
          </cell>
        </row>
        <row r="67">
          <cell r="C67">
            <v>1819247.24</v>
          </cell>
        </row>
        <row r="68">
          <cell r="C68">
            <v>0</v>
          </cell>
        </row>
        <row r="71">
          <cell r="C71">
            <v>868888.05</v>
          </cell>
        </row>
        <row r="72">
          <cell r="C72">
            <v>868888.05</v>
          </cell>
        </row>
        <row r="74">
          <cell r="C74">
            <v>126882.21</v>
          </cell>
        </row>
        <row r="102">
          <cell r="C102">
            <v>0</v>
          </cell>
        </row>
        <row r="107">
          <cell r="C107">
            <v>0</v>
          </cell>
        </row>
        <row r="116">
          <cell r="C116">
            <v>0</v>
          </cell>
        </row>
        <row r="117">
          <cell r="C117">
            <v>0</v>
          </cell>
        </row>
        <row r="148">
          <cell r="C148">
            <v>24720179.539999999</v>
          </cell>
        </row>
        <row r="150">
          <cell r="C150">
            <v>24720179.539999999</v>
          </cell>
        </row>
        <row r="151">
          <cell r="C151">
            <v>18710326.649999999</v>
          </cell>
        </row>
        <row r="153">
          <cell r="C153">
            <v>18710326.649999999</v>
          </cell>
        </row>
        <row r="154">
          <cell r="C154">
            <v>6009852.8900000006</v>
          </cell>
        </row>
        <row r="155">
          <cell r="C155">
            <v>930032.91</v>
          </cell>
        </row>
        <row r="156">
          <cell r="C156">
            <v>2953359.89</v>
          </cell>
        </row>
        <row r="157">
          <cell r="C157">
            <v>2126460.0900000003</v>
          </cell>
        </row>
        <row r="158">
          <cell r="C158">
            <v>297349.65999999997</v>
          </cell>
        </row>
        <row r="159">
          <cell r="C159">
            <v>91986.14</v>
          </cell>
        </row>
        <row r="161">
          <cell r="C161">
            <v>205363.52</v>
          </cell>
        </row>
        <row r="162">
          <cell r="C162">
            <v>278680.75</v>
          </cell>
        </row>
        <row r="163">
          <cell r="C163">
            <v>6499.17</v>
          </cell>
        </row>
        <row r="164">
          <cell r="C164">
            <v>272181.58</v>
          </cell>
        </row>
        <row r="165">
          <cell r="C165">
            <v>2145129.0000000005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R"/>
      <sheetName val="TM1"/>
      <sheetName val="check to TM1"/>
      <sheetName val="CUSTOMER DEPOSITS RECON JUN FY1"/>
      <sheetName val="check_to_TM1"/>
      <sheetName val="CUSTOMER_DEPOSITS_RECON_JUN_FY1"/>
    </sheetNames>
    <sheetDataSet>
      <sheetData sheetId="0"/>
      <sheetData sheetId="1">
        <row r="12">
          <cell r="B12">
            <v>1100</v>
          </cell>
          <cell r="C12" t="str">
            <v>AUD</v>
          </cell>
          <cell r="D12" t="str">
            <v/>
          </cell>
          <cell r="E12" t="str">
            <v/>
          </cell>
          <cell r="F12">
            <v>20533.600000000013</v>
          </cell>
          <cell r="G12">
            <v>392238.47</v>
          </cell>
          <cell r="H12">
            <v>0</v>
          </cell>
        </row>
        <row r="13">
          <cell r="B13">
            <v>2350</v>
          </cell>
          <cell r="C13" t="str">
            <v>AUD</v>
          </cell>
          <cell r="D13" t="str">
            <v/>
          </cell>
          <cell r="E13" t="str">
            <v/>
          </cell>
          <cell r="F13">
            <v>5765.9499999999989</v>
          </cell>
          <cell r="G13">
            <v>137262.43000000002</v>
          </cell>
          <cell r="H13">
            <v>0</v>
          </cell>
        </row>
        <row r="14">
          <cell r="B14">
            <v>2050</v>
          </cell>
          <cell r="C14" t="str">
            <v>AUD</v>
          </cell>
          <cell r="D14" t="str">
            <v/>
          </cell>
          <cell r="E14" t="str">
            <v/>
          </cell>
          <cell r="F14">
            <v>7861.4999999999982</v>
          </cell>
          <cell r="G14">
            <v>198074.60999999996</v>
          </cell>
          <cell r="H14">
            <v>0</v>
          </cell>
        </row>
        <row r="15">
          <cell r="B15">
            <v>2100</v>
          </cell>
          <cell r="C15" t="str">
            <v>AUD</v>
          </cell>
          <cell r="D15" t="str">
            <v/>
          </cell>
          <cell r="E15" t="str">
            <v/>
          </cell>
          <cell r="F15">
            <v>5797.7500000000036</v>
          </cell>
          <cell r="G15">
            <v>84297.779999999984</v>
          </cell>
          <cell r="H15">
            <v>0</v>
          </cell>
        </row>
        <row r="16">
          <cell r="B16">
            <v>2180</v>
          </cell>
          <cell r="C16" t="str">
            <v>AUD</v>
          </cell>
          <cell r="D16" t="str">
            <v/>
          </cell>
          <cell r="E16" t="str">
            <v/>
          </cell>
          <cell r="F16">
            <v>39558.07</v>
          </cell>
          <cell r="G16">
            <v>286031.52999999997</v>
          </cell>
          <cell r="H16">
            <v>19439.47</v>
          </cell>
        </row>
        <row r="17">
          <cell r="B17">
            <v>2870</v>
          </cell>
          <cell r="C17" t="str">
            <v>AUD</v>
          </cell>
          <cell r="D17" t="str">
            <v/>
          </cell>
          <cell r="E17" t="str">
            <v/>
          </cell>
          <cell r="F17">
            <v>0</v>
          </cell>
          <cell r="G17">
            <v>-3234.8</v>
          </cell>
          <cell r="H17">
            <v>0</v>
          </cell>
        </row>
        <row r="18">
          <cell r="B18">
            <v>2150</v>
          </cell>
          <cell r="C18" t="str">
            <v>AUD</v>
          </cell>
          <cell r="D18" t="str">
            <v/>
          </cell>
          <cell r="E18" t="str">
            <v/>
          </cell>
          <cell r="F18">
            <v>0</v>
          </cell>
          <cell r="G18">
            <v>623.79999999999995</v>
          </cell>
          <cell r="H18">
            <v>0</v>
          </cell>
        </row>
        <row r="19">
          <cell r="B19">
            <v>2700</v>
          </cell>
          <cell r="C19" t="str">
            <v>AUD</v>
          </cell>
          <cell r="D19" t="str">
            <v/>
          </cell>
          <cell r="E19" t="str">
            <v/>
          </cell>
          <cell r="F19">
            <v>0</v>
          </cell>
          <cell r="G19">
            <v>7106.0000000000009</v>
          </cell>
          <cell r="H19">
            <v>0</v>
          </cell>
        </row>
        <row r="20">
          <cell r="B20">
            <v>2900</v>
          </cell>
          <cell r="C20" t="str">
            <v>AUD</v>
          </cell>
          <cell r="D20" t="str">
            <v/>
          </cell>
          <cell r="E20" t="str">
            <v/>
          </cell>
          <cell r="F20">
            <v>0</v>
          </cell>
          <cell r="G20">
            <v>202.44</v>
          </cell>
          <cell r="H20">
            <v>0</v>
          </cell>
        </row>
        <row r="21">
          <cell r="B21">
            <v>2620</v>
          </cell>
          <cell r="C21" t="str">
            <v>AUD</v>
          </cell>
          <cell r="D21" t="str">
            <v/>
          </cell>
          <cell r="E21" t="str">
            <v/>
          </cell>
          <cell r="F21">
            <v>29282.199999999997</v>
          </cell>
          <cell r="G21">
            <v>149292.16000000003</v>
          </cell>
          <cell r="H21">
            <v>19.899999999999999</v>
          </cell>
        </row>
        <row r="22">
          <cell r="B22">
            <v>2490</v>
          </cell>
          <cell r="C22" t="str">
            <v>AUD</v>
          </cell>
          <cell r="D22" t="str">
            <v/>
          </cell>
          <cell r="E22" t="str">
            <v/>
          </cell>
          <cell r="F22">
            <v>37863.040000000008</v>
          </cell>
          <cell r="G22">
            <v>212303.64999999991</v>
          </cell>
          <cell r="H22">
            <v>0</v>
          </cell>
        </row>
        <row r="23">
          <cell r="B23">
            <v>2250</v>
          </cell>
          <cell r="C23" t="str">
            <v>AUD</v>
          </cell>
          <cell r="D23" t="str">
            <v/>
          </cell>
          <cell r="E23" t="str">
            <v/>
          </cell>
          <cell r="F23">
            <v>0</v>
          </cell>
          <cell r="G23">
            <v>209.35000000000002</v>
          </cell>
          <cell r="H23">
            <v>0</v>
          </cell>
        </row>
        <row r="24">
          <cell r="B24">
            <v>2460</v>
          </cell>
          <cell r="C24" t="str">
            <v>AUD</v>
          </cell>
          <cell r="D24" t="str">
            <v/>
          </cell>
          <cell r="E24" t="str">
            <v/>
          </cell>
          <cell r="F24">
            <v>10850.500000000005</v>
          </cell>
          <cell r="G24">
            <v>179888.50000000003</v>
          </cell>
          <cell r="H24">
            <v>0</v>
          </cell>
        </row>
        <row r="25">
          <cell r="B25">
            <v>2450</v>
          </cell>
          <cell r="C25" t="str">
            <v>AUD</v>
          </cell>
          <cell r="D25" t="str">
            <v/>
          </cell>
          <cell r="E25" t="str">
            <v/>
          </cell>
          <cell r="F25">
            <v>52855.05999999999</v>
          </cell>
          <cell r="G25">
            <v>514743.9600000002</v>
          </cell>
          <cell r="H25">
            <v>0</v>
          </cell>
        </row>
        <row r="26">
          <cell r="B26">
            <v>2610</v>
          </cell>
          <cell r="C26" t="str">
            <v>AUD</v>
          </cell>
          <cell r="D26" t="str">
            <v/>
          </cell>
          <cell r="E26" t="str">
            <v/>
          </cell>
          <cell r="F26">
            <v>39427.19</v>
          </cell>
          <cell r="G26">
            <v>189266.43000000005</v>
          </cell>
          <cell r="H26">
            <v>0</v>
          </cell>
        </row>
        <row r="27">
          <cell r="B27">
            <v>2630</v>
          </cell>
          <cell r="C27" t="str">
            <v>AUD</v>
          </cell>
          <cell r="D27" t="str">
            <v/>
          </cell>
          <cell r="E27" t="str">
            <v/>
          </cell>
          <cell r="F27">
            <v>2000.0000000000036</v>
          </cell>
          <cell r="G27">
            <v>130810.82</v>
          </cell>
          <cell r="H27">
            <v>0</v>
          </cell>
        </row>
        <row r="28">
          <cell r="B28">
            <v>4600</v>
          </cell>
          <cell r="C28" t="str">
            <v>AUD</v>
          </cell>
          <cell r="D28" t="str">
            <v/>
          </cell>
          <cell r="E28" t="str">
            <v/>
          </cell>
          <cell r="F28">
            <v>-1.0004441719502211E-11</v>
          </cell>
          <cell r="G28">
            <v>7003.8399999999956</v>
          </cell>
          <cell r="H28">
            <v>0</v>
          </cell>
        </row>
        <row r="29">
          <cell r="B29">
            <v>4430</v>
          </cell>
          <cell r="C29" t="str">
            <v>AUD</v>
          </cell>
          <cell r="D29" t="str">
            <v/>
          </cell>
          <cell r="E29" t="str">
            <v/>
          </cell>
          <cell r="F29">
            <v>10985.300000000001</v>
          </cell>
          <cell r="G29">
            <v>140618.97999999998</v>
          </cell>
          <cell r="H29">
            <v>0</v>
          </cell>
        </row>
        <row r="30">
          <cell r="B30">
            <v>4450</v>
          </cell>
          <cell r="C30" t="str">
            <v>AUD</v>
          </cell>
          <cell r="D30" t="str">
            <v/>
          </cell>
          <cell r="E30" t="str">
            <v/>
          </cell>
          <cell r="F30">
            <v>13612.849999999999</v>
          </cell>
          <cell r="G30">
            <v>259609.82000000007</v>
          </cell>
          <cell r="H30">
            <v>0</v>
          </cell>
        </row>
        <row r="31">
          <cell r="B31" t="str">
            <v>0626</v>
          </cell>
          <cell r="C31" t="str">
            <v>AUD</v>
          </cell>
          <cell r="D31" t="str">
            <v/>
          </cell>
          <cell r="E31" t="str">
            <v/>
          </cell>
          <cell r="F31">
            <v>0</v>
          </cell>
          <cell r="G31">
            <v>-3807.95</v>
          </cell>
          <cell r="H31">
            <v>0</v>
          </cell>
        </row>
        <row r="32">
          <cell r="B32">
            <v>4100</v>
          </cell>
          <cell r="C32" t="str">
            <v>AUD</v>
          </cell>
          <cell r="D32" t="str">
            <v/>
          </cell>
          <cell r="E32" t="str">
            <v/>
          </cell>
          <cell r="F32">
            <v>36635.099999999991</v>
          </cell>
          <cell r="G32">
            <v>202275.26000000004</v>
          </cell>
          <cell r="H32">
            <v>0</v>
          </cell>
        </row>
        <row r="33">
          <cell r="B33">
            <v>4550</v>
          </cell>
          <cell r="C33" t="str">
            <v>AUD</v>
          </cell>
          <cell r="D33" t="str">
            <v/>
          </cell>
          <cell r="E33" t="str">
            <v/>
          </cell>
          <cell r="F33">
            <v>13633.35</v>
          </cell>
          <cell r="G33">
            <v>121502.88999999998</v>
          </cell>
          <cell r="H33">
            <v>0</v>
          </cell>
        </row>
        <row r="34">
          <cell r="B34">
            <v>4530</v>
          </cell>
          <cell r="C34" t="str">
            <v>AUD</v>
          </cell>
          <cell r="D34" t="str">
            <v/>
          </cell>
          <cell r="E34" t="str">
            <v/>
          </cell>
          <cell r="F34">
            <v>999</v>
          </cell>
          <cell r="G34">
            <v>2.59</v>
          </cell>
          <cell r="H34">
            <v>0</v>
          </cell>
        </row>
        <row r="35">
          <cell r="B35">
            <v>4150</v>
          </cell>
          <cell r="C35" t="str">
            <v>AUD</v>
          </cell>
          <cell r="D35" t="str">
            <v/>
          </cell>
          <cell r="E35" t="str">
            <v/>
          </cell>
          <cell r="F35">
            <v>27849.559999999994</v>
          </cell>
          <cell r="G35">
            <v>200645.66999999998</v>
          </cell>
          <cell r="H35">
            <v>7842.68</v>
          </cell>
        </row>
        <row r="36">
          <cell r="B36">
            <v>4200</v>
          </cell>
          <cell r="C36" t="str">
            <v>AUD</v>
          </cell>
          <cell r="D36" t="str">
            <v/>
          </cell>
          <cell r="E36" t="str">
            <v/>
          </cell>
          <cell r="F36">
            <v>4280</v>
          </cell>
          <cell r="G36">
            <v>126265.32999999999</v>
          </cell>
          <cell r="H36">
            <v>0</v>
          </cell>
        </row>
        <row r="37">
          <cell r="B37">
            <v>4300</v>
          </cell>
          <cell r="C37" t="str">
            <v>AUD</v>
          </cell>
          <cell r="D37" t="str">
            <v/>
          </cell>
          <cell r="E37" t="str">
            <v/>
          </cell>
          <cell r="F37">
            <v>0</v>
          </cell>
          <cell r="G37">
            <v>-2518.8200000000002</v>
          </cell>
          <cell r="H37">
            <v>0</v>
          </cell>
        </row>
        <row r="38">
          <cell r="B38">
            <v>4250</v>
          </cell>
          <cell r="C38" t="str">
            <v>AUD</v>
          </cell>
          <cell r="D38" t="str">
            <v/>
          </cell>
          <cell r="E38" t="str">
            <v/>
          </cell>
          <cell r="F38">
            <v>30175.30000000001</v>
          </cell>
          <cell r="G38">
            <v>290728.34999999998</v>
          </cell>
          <cell r="H38">
            <v>0</v>
          </cell>
        </row>
        <row r="39">
          <cell r="B39">
            <v>1500</v>
          </cell>
          <cell r="C39" t="str">
            <v>AUD</v>
          </cell>
          <cell r="D39" t="str">
            <v/>
          </cell>
          <cell r="E39" t="str">
            <v/>
          </cell>
          <cell r="F39">
            <v>16902.999999999989</v>
          </cell>
          <cell r="G39">
            <v>279867.47000000009</v>
          </cell>
          <cell r="H39">
            <v>0</v>
          </cell>
        </row>
        <row r="40">
          <cell r="B40">
            <v>1530</v>
          </cell>
          <cell r="C40" t="str">
            <v>AUD</v>
          </cell>
          <cell r="D40" t="str">
            <v/>
          </cell>
          <cell r="E40" t="str">
            <v/>
          </cell>
          <cell r="F40">
            <v>17373.999999999996</v>
          </cell>
          <cell r="G40">
            <v>150938.74</v>
          </cell>
          <cell r="H40">
            <v>0</v>
          </cell>
        </row>
        <row r="41">
          <cell r="B41">
            <v>1520</v>
          </cell>
          <cell r="C41" t="str">
            <v>AUD</v>
          </cell>
          <cell r="D41" t="str">
            <v/>
          </cell>
          <cell r="E41" t="str">
            <v/>
          </cell>
          <cell r="F41">
            <v>0</v>
          </cell>
          <cell r="G41">
            <v>217.01</v>
          </cell>
          <cell r="H41">
            <v>0</v>
          </cell>
        </row>
        <row r="42">
          <cell r="B42">
            <v>3660</v>
          </cell>
          <cell r="C42" t="str">
            <v>AUD</v>
          </cell>
          <cell r="D42" t="str">
            <v/>
          </cell>
          <cell r="E42" t="str">
            <v/>
          </cell>
          <cell r="F42">
            <v>11091.499999999996</v>
          </cell>
          <cell r="G42">
            <v>95254.310000000012</v>
          </cell>
          <cell r="H42">
            <v>0</v>
          </cell>
        </row>
        <row r="43">
          <cell r="B43">
            <v>3800</v>
          </cell>
          <cell r="C43" t="str">
            <v>AUD</v>
          </cell>
          <cell r="D43" t="str">
            <v/>
          </cell>
          <cell r="E43" t="str">
            <v/>
          </cell>
          <cell r="F43">
            <v>55773.179999999993</v>
          </cell>
          <cell r="G43">
            <v>341497.99999999994</v>
          </cell>
          <cell r="H43">
            <v>0</v>
          </cell>
        </row>
        <row r="44">
          <cell r="B44">
            <v>3500</v>
          </cell>
          <cell r="C44" t="str">
            <v>AUD</v>
          </cell>
          <cell r="D44" t="str">
            <v/>
          </cell>
          <cell r="E44" t="str">
            <v/>
          </cell>
          <cell r="F44">
            <v>21280.780000000002</v>
          </cell>
          <cell r="G44">
            <v>117545.70000000008</v>
          </cell>
          <cell r="H44">
            <v>0</v>
          </cell>
        </row>
        <row r="45">
          <cell r="B45">
            <v>3100</v>
          </cell>
          <cell r="C45" t="str">
            <v>AUD</v>
          </cell>
          <cell r="D45" t="str">
            <v/>
          </cell>
          <cell r="E45" t="str">
            <v/>
          </cell>
          <cell r="F45">
            <v>0</v>
          </cell>
          <cell r="G45">
            <v>-1411.48</v>
          </cell>
          <cell r="H45">
            <v>0</v>
          </cell>
        </row>
        <row r="46">
          <cell r="B46">
            <v>3670</v>
          </cell>
          <cell r="C46" t="str">
            <v>AUD</v>
          </cell>
          <cell r="D46" t="str">
            <v/>
          </cell>
          <cell r="E46" t="str">
            <v/>
          </cell>
          <cell r="F46">
            <v>0</v>
          </cell>
          <cell r="G46">
            <v>161.77000000000001</v>
          </cell>
          <cell r="H46">
            <v>0</v>
          </cell>
        </row>
        <row r="47">
          <cell r="B47">
            <v>3450</v>
          </cell>
          <cell r="C47" t="str">
            <v>AUD</v>
          </cell>
          <cell r="D47" t="str">
            <v/>
          </cell>
          <cell r="E47" t="str">
            <v/>
          </cell>
          <cell r="F47">
            <v>26963.500000000007</v>
          </cell>
          <cell r="G47">
            <v>308647.18000000023</v>
          </cell>
          <cell r="H47">
            <v>0</v>
          </cell>
        </row>
        <row r="48">
          <cell r="B48">
            <v>3250</v>
          </cell>
          <cell r="C48" t="str">
            <v>AUD</v>
          </cell>
          <cell r="D48" t="str">
            <v/>
          </cell>
          <cell r="E48" t="str">
            <v/>
          </cell>
          <cell r="F48">
            <v>49797.049999999981</v>
          </cell>
          <cell r="G48">
            <v>304769.33000000007</v>
          </cell>
          <cell r="H48">
            <v>0</v>
          </cell>
        </row>
        <row r="49">
          <cell r="B49">
            <v>3650</v>
          </cell>
          <cell r="C49" t="str">
            <v>AUD</v>
          </cell>
          <cell r="D49" t="str">
            <v/>
          </cell>
          <cell r="E49" t="str">
            <v/>
          </cell>
          <cell r="F49">
            <v>28296.350000000006</v>
          </cell>
          <cell r="G49">
            <v>288662.00000000017</v>
          </cell>
          <cell r="H49">
            <v>1447.45</v>
          </cell>
        </row>
        <row r="50">
          <cell r="B50">
            <v>3300</v>
          </cell>
          <cell r="C50" t="str">
            <v>AUD</v>
          </cell>
          <cell r="D50" t="str">
            <v/>
          </cell>
          <cell r="E50" t="str">
            <v/>
          </cell>
          <cell r="F50">
            <v>12783.000000000007</v>
          </cell>
          <cell r="G50">
            <v>172076.32</v>
          </cell>
          <cell r="H50">
            <v>0</v>
          </cell>
        </row>
        <row r="51">
          <cell r="B51">
            <v>1630</v>
          </cell>
          <cell r="C51" t="str">
            <v>AUD</v>
          </cell>
          <cell r="D51" t="str">
            <v/>
          </cell>
          <cell r="E51" t="str">
            <v/>
          </cell>
          <cell r="F51">
            <v>47064.749999999985</v>
          </cell>
          <cell r="G51">
            <v>440273.56999999995</v>
          </cell>
          <cell r="H51">
            <v>9.0949470177292824E-13</v>
          </cell>
        </row>
        <row r="52">
          <cell r="B52">
            <v>1600</v>
          </cell>
          <cell r="C52" t="str">
            <v>AUD</v>
          </cell>
          <cell r="D52" t="str">
            <v/>
          </cell>
          <cell r="E52" t="str">
            <v/>
          </cell>
          <cell r="F52">
            <v>2.7284841053187847E-12</v>
          </cell>
          <cell r="G52">
            <v>4495.900000000036</v>
          </cell>
          <cell r="H52">
            <v>0</v>
          </cell>
        </row>
        <row r="53">
          <cell r="B53" t="str">
            <v>0628</v>
          </cell>
          <cell r="C53" t="str">
            <v>AUD</v>
          </cell>
          <cell r="D53" t="str">
            <v/>
          </cell>
          <cell r="E53" t="str">
            <v/>
          </cell>
          <cell r="F53">
            <v>0</v>
          </cell>
          <cell r="G53">
            <v>-403.94</v>
          </cell>
          <cell r="H53">
            <v>0</v>
          </cell>
        </row>
        <row r="54">
          <cell r="B54">
            <v>1620</v>
          </cell>
          <cell r="C54" t="str">
            <v>AUD</v>
          </cell>
          <cell r="D54" t="str">
            <v/>
          </cell>
          <cell r="E54" t="str">
            <v/>
          </cell>
          <cell r="F54">
            <v>35300.699999999983</v>
          </cell>
          <cell r="G54">
            <v>287066.29999999993</v>
          </cell>
          <cell r="H54">
            <v>2.1827872842550278E-11</v>
          </cell>
        </row>
        <row r="55">
          <cell r="B55">
            <v>1640</v>
          </cell>
          <cell r="C55" t="str">
            <v>AUD</v>
          </cell>
          <cell r="D55" t="str">
            <v/>
          </cell>
          <cell r="E55" t="str">
            <v/>
          </cell>
          <cell r="F55">
            <v>26721.230000000003</v>
          </cell>
          <cell r="G55">
            <v>155969.88999999998</v>
          </cell>
          <cell r="H55">
            <v>0</v>
          </cell>
        </row>
        <row r="56">
          <cell r="B56">
            <v>1650</v>
          </cell>
          <cell r="C56" t="str">
            <v>AUD</v>
          </cell>
          <cell r="D56" t="str">
            <v/>
          </cell>
          <cell r="E56" t="str">
            <v/>
          </cell>
          <cell r="F56">
            <v>22764.499999999993</v>
          </cell>
          <cell r="G56">
            <v>164935.25000000003</v>
          </cell>
          <cell r="H56">
            <v>0</v>
          </cell>
        </row>
        <row r="57">
          <cell r="B57">
            <v>1610</v>
          </cell>
          <cell r="C57" t="str">
            <v>AUD</v>
          </cell>
          <cell r="D57" t="str">
            <v/>
          </cell>
          <cell r="E57" t="str">
            <v/>
          </cell>
          <cell r="F57">
            <v>48234.590000000018</v>
          </cell>
          <cell r="G57">
            <v>585035.74999999988</v>
          </cell>
          <cell r="H57">
            <v>0</v>
          </cell>
        </row>
        <row r="58">
          <cell r="B58" t="str">
            <v>0450</v>
          </cell>
          <cell r="C58" t="str">
            <v>AUD</v>
          </cell>
          <cell r="D58" t="str">
            <v/>
          </cell>
          <cell r="E58" t="str">
            <v/>
          </cell>
          <cell r="F58">
            <v>0</v>
          </cell>
          <cell r="G58">
            <v>-50</v>
          </cell>
          <cell r="H58">
            <v>0</v>
          </cell>
        </row>
        <row r="59">
          <cell r="B59">
            <v>8225</v>
          </cell>
          <cell r="C59" t="str">
            <v>LOCAL</v>
          </cell>
          <cell r="D59" t="str">
            <v>*KEY_ERR</v>
          </cell>
          <cell r="E59" t="str">
            <v>*KEY_ERR</v>
          </cell>
          <cell r="F59">
            <v>73951.650000000009</v>
          </cell>
          <cell r="G59">
            <v>174289.43999999997</v>
          </cell>
          <cell r="H59">
            <v>0</v>
          </cell>
        </row>
        <row r="60">
          <cell r="B60">
            <v>8270</v>
          </cell>
          <cell r="C60" t="str">
            <v>LOCAL</v>
          </cell>
          <cell r="D60" t="str">
            <v>*KEY_ERR</v>
          </cell>
          <cell r="E60" t="str">
            <v>*KEY_ERR</v>
          </cell>
          <cell r="F60">
            <v>0</v>
          </cell>
          <cell r="G60">
            <v>342.78999999999724</v>
          </cell>
          <cell r="H60">
            <v>0</v>
          </cell>
        </row>
        <row r="61">
          <cell r="B61">
            <v>8230</v>
          </cell>
          <cell r="C61" t="str">
            <v>LOCAL</v>
          </cell>
          <cell r="D61" t="str">
            <v>*KEY_ERR</v>
          </cell>
          <cell r="E61" t="str">
            <v>*KEY_ERR</v>
          </cell>
          <cell r="F61">
            <v>89378.25</v>
          </cell>
          <cell r="G61">
            <v>205831.62999999986</v>
          </cell>
          <cell r="H61">
            <v>0</v>
          </cell>
        </row>
        <row r="62">
          <cell r="B62">
            <v>8285</v>
          </cell>
          <cell r="C62" t="str">
            <v>LOCAL</v>
          </cell>
          <cell r="D62" t="str">
            <v>*KEY_ERR</v>
          </cell>
          <cell r="E62" t="str">
            <v>*KEY_ERR</v>
          </cell>
          <cell r="F62">
            <v>0</v>
          </cell>
          <cell r="G62">
            <v>0</v>
          </cell>
          <cell r="H62">
            <v>0</v>
          </cell>
        </row>
        <row r="63">
          <cell r="B63">
            <v>8260</v>
          </cell>
          <cell r="C63" t="str">
            <v>LOCAL</v>
          </cell>
          <cell r="D63" t="str">
            <v>*KEY_ERR</v>
          </cell>
          <cell r="E63" t="str">
            <v>*KEY_ERR</v>
          </cell>
          <cell r="F63">
            <v>2064</v>
          </cell>
          <cell r="G63">
            <v>-568.04999999996721</v>
          </cell>
          <cell r="H63">
            <v>0</v>
          </cell>
        </row>
        <row r="64">
          <cell r="B64">
            <v>8220</v>
          </cell>
          <cell r="C64" t="str">
            <v>LOCAL</v>
          </cell>
          <cell r="D64" t="str">
            <v>*KEY_ERR</v>
          </cell>
          <cell r="E64" t="str">
            <v>*KEY_ERR</v>
          </cell>
          <cell r="F64">
            <v>96327.559999999969</v>
          </cell>
          <cell r="G64">
            <v>407827.66000000003</v>
          </cell>
          <cell r="H64">
            <v>0</v>
          </cell>
        </row>
        <row r="65">
          <cell r="B65">
            <v>8210</v>
          </cell>
          <cell r="C65" t="str">
            <v>LOCAL</v>
          </cell>
          <cell r="D65" t="str">
            <v>*KEY_ERR</v>
          </cell>
          <cell r="E65" t="str">
            <v>*KEY_ERR</v>
          </cell>
          <cell r="F65">
            <v>88105.960000000021</v>
          </cell>
          <cell r="G65">
            <v>333847.87000000017</v>
          </cell>
          <cell r="H65">
            <v>0</v>
          </cell>
        </row>
        <row r="66">
          <cell r="B66">
            <v>8200</v>
          </cell>
          <cell r="C66" t="str">
            <v>LOCAL</v>
          </cell>
          <cell r="D66" t="str">
            <v>*KEY_ERR</v>
          </cell>
          <cell r="E66" t="str">
            <v>*KEY_ERR</v>
          </cell>
          <cell r="F66">
            <v>98060.469999999972</v>
          </cell>
          <cell r="G66">
            <v>343040.95999999996</v>
          </cell>
          <cell r="H66">
            <v>0</v>
          </cell>
        </row>
        <row r="67">
          <cell r="B67" t="str">
            <v>0095</v>
          </cell>
          <cell r="C67" t="str">
            <v>LOCAL</v>
          </cell>
          <cell r="D67" t="str">
            <v>*KEY_ERR</v>
          </cell>
          <cell r="E67" t="str">
            <v>*KEY_ERR</v>
          </cell>
          <cell r="F67">
            <v>0</v>
          </cell>
          <cell r="G67">
            <v>197915.97</v>
          </cell>
          <cell r="H67">
            <v>0</v>
          </cell>
        </row>
        <row r="68">
          <cell r="B68">
            <v>8310</v>
          </cell>
          <cell r="C68" t="str">
            <v>LOCAL</v>
          </cell>
          <cell r="D68" t="str">
            <v>*KEY_ERR</v>
          </cell>
          <cell r="E68" t="str">
            <v>*KEY_ERR</v>
          </cell>
          <cell r="F68">
            <v>0</v>
          </cell>
          <cell r="G68">
            <v>0</v>
          </cell>
          <cell r="H68">
            <v>0</v>
          </cell>
        </row>
        <row r="69">
          <cell r="B69">
            <v>8290</v>
          </cell>
          <cell r="C69" t="str">
            <v>LOCAL</v>
          </cell>
          <cell r="D69" t="str">
            <v>*KEY_ERR</v>
          </cell>
          <cell r="E69" t="str">
            <v>*KEY_ERR</v>
          </cell>
          <cell r="F69">
            <v>0</v>
          </cell>
          <cell r="G69">
            <v>0</v>
          </cell>
          <cell r="H69">
            <v>0</v>
          </cell>
        </row>
        <row r="70">
          <cell r="B70">
            <v>8800</v>
          </cell>
          <cell r="C70" t="str">
            <v>LOCAL</v>
          </cell>
          <cell r="D70" t="str">
            <v>*KEY_ERR</v>
          </cell>
          <cell r="E70" t="str">
            <v>*KEY_ERR</v>
          </cell>
          <cell r="F70">
            <v>0</v>
          </cell>
          <cell r="G70">
            <v>0</v>
          </cell>
          <cell r="H70">
            <v>0</v>
          </cell>
        </row>
        <row r="71">
          <cell r="B71">
            <v>5620</v>
          </cell>
          <cell r="C71" t="str">
            <v>AUD</v>
          </cell>
          <cell r="D71" t="str">
            <v/>
          </cell>
          <cell r="E71" t="str">
            <v/>
          </cell>
          <cell r="F71">
            <v>0</v>
          </cell>
          <cell r="G71">
            <v>35993.74</v>
          </cell>
          <cell r="H71">
            <v>0</v>
          </cell>
        </row>
        <row r="72">
          <cell r="B72">
            <v>5600</v>
          </cell>
          <cell r="C72" t="str">
            <v>AUD</v>
          </cell>
          <cell r="D72" t="str">
            <v/>
          </cell>
          <cell r="E72" t="str">
            <v/>
          </cell>
          <cell r="F72">
            <v>0</v>
          </cell>
          <cell r="G72">
            <v>2319</v>
          </cell>
          <cell r="H72">
            <v>0</v>
          </cell>
        </row>
        <row r="73">
          <cell r="B73">
            <v>5570</v>
          </cell>
          <cell r="C73" t="str">
            <v>AUD</v>
          </cell>
          <cell r="D73" t="str">
            <v/>
          </cell>
          <cell r="E73" t="str">
            <v/>
          </cell>
          <cell r="F73">
            <v>0</v>
          </cell>
          <cell r="G73">
            <v>6890.9</v>
          </cell>
          <cell r="H73">
            <v>0</v>
          </cell>
        </row>
        <row r="74">
          <cell r="B74">
            <v>5520</v>
          </cell>
          <cell r="C74" t="str">
            <v>AUD</v>
          </cell>
          <cell r="D74" t="str">
            <v/>
          </cell>
          <cell r="E74" t="str">
            <v/>
          </cell>
          <cell r="F74">
            <v>0</v>
          </cell>
          <cell r="G74">
            <v>1388.77</v>
          </cell>
          <cell r="H74">
            <v>0</v>
          </cell>
        </row>
        <row r="75">
          <cell r="B75">
            <v>5660</v>
          </cell>
          <cell r="C75" t="str">
            <v>AUD</v>
          </cell>
          <cell r="D75" t="str">
            <v/>
          </cell>
          <cell r="E75" t="str">
            <v/>
          </cell>
          <cell r="F75">
            <v>0</v>
          </cell>
          <cell r="G75">
            <v>0</v>
          </cell>
          <cell r="H75">
            <v>0</v>
          </cell>
        </row>
        <row r="76">
          <cell r="B76">
            <v>5640</v>
          </cell>
          <cell r="C76" t="str">
            <v>AUD</v>
          </cell>
          <cell r="D76" t="str">
            <v/>
          </cell>
          <cell r="E76" t="str">
            <v/>
          </cell>
          <cell r="F76">
            <v>0</v>
          </cell>
          <cell r="G76">
            <v>90</v>
          </cell>
          <cell r="H76">
            <v>0</v>
          </cell>
        </row>
        <row r="77">
          <cell r="B77">
            <v>6510</v>
          </cell>
          <cell r="C77" t="str">
            <v>AUD</v>
          </cell>
          <cell r="D77" t="str">
            <v/>
          </cell>
          <cell r="E77" t="str">
            <v/>
          </cell>
          <cell r="F77">
            <v>0</v>
          </cell>
          <cell r="G77">
            <v>-0.14000000000000001</v>
          </cell>
          <cell r="H77">
            <v>0</v>
          </cell>
        </row>
        <row r="78">
          <cell r="B78">
            <v>6520</v>
          </cell>
          <cell r="C78" t="str">
            <v>AUD</v>
          </cell>
          <cell r="D78" t="str">
            <v/>
          </cell>
          <cell r="E78" t="str">
            <v/>
          </cell>
          <cell r="F78">
            <v>0</v>
          </cell>
          <cell r="G78">
            <v>-850</v>
          </cell>
          <cell r="H78">
            <v>0</v>
          </cell>
        </row>
        <row r="79">
          <cell r="B79">
            <v>9555</v>
          </cell>
          <cell r="C79" t="str">
            <v>AUD</v>
          </cell>
          <cell r="D79" t="str">
            <v/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</row>
        <row r="80">
          <cell r="B80">
            <v>9630</v>
          </cell>
          <cell r="C80" t="str">
            <v>AUD</v>
          </cell>
          <cell r="D80" t="str">
            <v/>
          </cell>
          <cell r="E80" t="str">
            <v/>
          </cell>
          <cell r="F80">
            <v>0</v>
          </cell>
          <cell r="G80">
            <v>0</v>
          </cell>
          <cell r="H80">
            <v>0</v>
          </cell>
        </row>
        <row r="81">
          <cell r="B81">
            <v>9515</v>
          </cell>
          <cell r="C81" t="str">
            <v>AUD</v>
          </cell>
          <cell r="D81" t="str">
            <v/>
          </cell>
          <cell r="E81" t="str">
            <v/>
          </cell>
          <cell r="F81">
            <v>0</v>
          </cell>
          <cell r="G81">
            <v>0</v>
          </cell>
          <cell r="H81">
            <v>0</v>
          </cell>
        </row>
        <row r="82">
          <cell r="B82">
            <v>9695</v>
          </cell>
          <cell r="C82" t="str">
            <v>AUD</v>
          </cell>
          <cell r="D82" t="str">
            <v/>
          </cell>
          <cell r="E82" t="str">
            <v/>
          </cell>
          <cell r="F82">
            <v>0</v>
          </cell>
          <cell r="G82">
            <v>322991.45000000007</v>
          </cell>
          <cell r="H82">
            <v>0</v>
          </cell>
        </row>
        <row r="83">
          <cell r="B83">
            <v>9715</v>
          </cell>
          <cell r="C83" t="str">
            <v>AUD</v>
          </cell>
          <cell r="D83" t="str">
            <v/>
          </cell>
          <cell r="E83" t="str">
            <v/>
          </cell>
          <cell r="F83">
            <v>0</v>
          </cell>
          <cell r="G83">
            <v>0</v>
          </cell>
          <cell r="H83">
            <v>0</v>
          </cell>
        </row>
        <row r="84">
          <cell r="B84">
            <v>9718</v>
          </cell>
          <cell r="C84" t="str">
            <v>AUD</v>
          </cell>
          <cell r="D84" t="str">
            <v/>
          </cell>
          <cell r="E84" t="str">
            <v/>
          </cell>
          <cell r="F84">
            <v>0</v>
          </cell>
          <cell r="G84">
            <v>-7.2759576141834259E-12</v>
          </cell>
          <cell r="H84">
            <v>0</v>
          </cell>
        </row>
        <row r="85">
          <cell r="B85">
            <v>9680</v>
          </cell>
          <cell r="C85" t="str">
            <v>AUD</v>
          </cell>
          <cell r="D85" t="str">
            <v/>
          </cell>
          <cell r="E85" t="str">
            <v/>
          </cell>
          <cell r="F85">
            <v>0</v>
          </cell>
          <cell r="G85">
            <v>0</v>
          </cell>
          <cell r="H85">
            <v>0</v>
          </cell>
        </row>
        <row r="86">
          <cell r="B86">
            <v>9640</v>
          </cell>
          <cell r="C86" t="str">
            <v>AUD</v>
          </cell>
          <cell r="D86" t="str">
            <v/>
          </cell>
          <cell r="E86" t="str">
            <v/>
          </cell>
          <cell r="F86">
            <v>0</v>
          </cell>
          <cell r="G86">
            <v>0</v>
          </cell>
          <cell r="H86">
            <v>0</v>
          </cell>
        </row>
        <row r="87">
          <cell r="B87">
            <v>9505</v>
          </cell>
          <cell r="C87" t="str">
            <v>AUD</v>
          </cell>
          <cell r="D87" t="str">
            <v/>
          </cell>
          <cell r="E87" t="str">
            <v/>
          </cell>
          <cell r="F87">
            <v>0</v>
          </cell>
          <cell r="G87">
            <v>0</v>
          </cell>
          <cell r="H87">
            <v>0</v>
          </cell>
        </row>
        <row r="88">
          <cell r="B88">
            <v>9660</v>
          </cell>
          <cell r="C88" t="str">
            <v>AUD</v>
          </cell>
          <cell r="D88" t="str">
            <v/>
          </cell>
          <cell r="E88" t="str">
            <v/>
          </cell>
          <cell r="F88">
            <v>0</v>
          </cell>
          <cell r="G88">
            <v>0</v>
          </cell>
          <cell r="H88">
            <v>0</v>
          </cell>
        </row>
        <row r="89">
          <cell r="B89">
            <v>9730</v>
          </cell>
          <cell r="C89" t="str">
            <v>AUD</v>
          </cell>
          <cell r="D89" t="str">
            <v/>
          </cell>
          <cell r="E89" t="str">
            <v/>
          </cell>
          <cell r="F89">
            <v>0</v>
          </cell>
          <cell r="G89">
            <v>149072.84000000003</v>
          </cell>
          <cell r="H89">
            <v>0</v>
          </cell>
        </row>
        <row r="90">
          <cell r="B90">
            <v>9620</v>
          </cell>
          <cell r="C90" t="str">
            <v>AUD</v>
          </cell>
          <cell r="D90" t="str">
            <v/>
          </cell>
          <cell r="E90" t="str">
            <v/>
          </cell>
          <cell r="F90">
            <v>0</v>
          </cell>
          <cell r="G90">
            <v>0</v>
          </cell>
          <cell r="H90">
            <v>0</v>
          </cell>
        </row>
        <row r="91">
          <cell r="B91">
            <v>9670</v>
          </cell>
          <cell r="C91" t="str">
            <v>AUD</v>
          </cell>
          <cell r="D91" t="str">
            <v/>
          </cell>
          <cell r="E91" t="str">
            <v/>
          </cell>
          <cell r="F91">
            <v>0</v>
          </cell>
          <cell r="G91">
            <v>101308.34</v>
          </cell>
          <cell r="H91">
            <v>0</v>
          </cell>
        </row>
        <row r="92">
          <cell r="B92">
            <v>9675</v>
          </cell>
          <cell r="C92" t="str">
            <v>AUD</v>
          </cell>
          <cell r="D92" t="str">
            <v/>
          </cell>
          <cell r="E92" t="str">
            <v/>
          </cell>
          <cell r="F92">
            <v>0</v>
          </cell>
          <cell r="G92">
            <v>53276.17</v>
          </cell>
          <cell r="H92">
            <v>0</v>
          </cell>
        </row>
        <row r="93">
          <cell r="B93">
            <v>9685</v>
          </cell>
          <cell r="C93" t="str">
            <v>AUD</v>
          </cell>
          <cell r="D93" t="str">
            <v/>
          </cell>
          <cell r="E93" t="str">
            <v/>
          </cell>
          <cell r="F93">
            <v>0</v>
          </cell>
          <cell r="G93">
            <v>100217.41</v>
          </cell>
          <cell r="H93">
            <v>0</v>
          </cell>
        </row>
        <row r="94">
          <cell r="B94">
            <v>9700</v>
          </cell>
          <cell r="C94" t="str">
            <v>AUD</v>
          </cell>
          <cell r="D94" t="str">
            <v/>
          </cell>
          <cell r="E94" t="str">
            <v/>
          </cell>
          <cell r="F94">
            <v>0</v>
          </cell>
          <cell r="G94">
            <v>0</v>
          </cell>
          <cell r="H94">
            <v>0</v>
          </cell>
        </row>
        <row r="95">
          <cell r="B95">
            <v>9710</v>
          </cell>
          <cell r="C95" t="str">
            <v>AUD</v>
          </cell>
          <cell r="D95" t="str">
            <v/>
          </cell>
          <cell r="E95" t="str">
            <v/>
          </cell>
          <cell r="F95">
            <v>0</v>
          </cell>
          <cell r="G95">
            <v>-2.2737367544323206E-13</v>
          </cell>
          <cell r="H95">
            <v>0</v>
          </cell>
        </row>
        <row r="96">
          <cell r="B96">
            <v>5110</v>
          </cell>
          <cell r="C96" t="str">
            <v>AUD</v>
          </cell>
          <cell r="D96" t="str">
            <v/>
          </cell>
          <cell r="E96" t="str">
            <v/>
          </cell>
          <cell r="F96">
            <v>0</v>
          </cell>
          <cell r="G96">
            <v>0</v>
          </cell>
          <cell r="H96">
            <v>0</v>
          </cell>
        </row>
        <row r="97">
          <cell r="B97">
            <v>5120</v>
          </cell>
          <cell r="C97" t="str">
            <v>AUD</v>
          </cell>
          <cell r="D97" t="str">
            <v/>
          </cell>
          <cell r="E97" t="str">
            <v/>
          </cell>
          <cell r="F97">
            <v>0</v>
          </cell>
          <cell r="G97">
            <v>829.85</v>
          </cell>
          <cell r="H97">
            <v>0</v>
          </cell>
        </row>
        <row r="98">
          <cell r="B98">
            <v>5130</v>
          </cell>
          <cell r="C98" t="str">
            <v>AUD</v>
          </cell>
          <cell r="D98" t="str">
            <v/>
          </cell>
          <cell r="E98" t="str">
            <v/>
          </cell>
          <cell r="F98">
            <v>0</v>
          </cell>
          <cell r="G98">
            <v>60</v>
          </cell>
          <cell r="H98">
            <v>0</v>
          </cell>
        </row>
        <row r="99">
          <cell r="B99">
            <v>5136</v>
          </cell>
          <cell r="C99" t="str">
            <v>AUD</v>
          </cell>
          <cell r="D99" t="str">
            <v/>
          </cell>
          <cell r="E99" t="str">
            <v/>
          </cell>
          <cell r="F99">
            <v>0</v>
          </cell>
          <cell r="G99">
            <v>0</v>
          </cell>
          <cell r="H99">
            <v>0</v>
          </cell>
        </row>
        <row r="100">
          <cell r="B100">
            <v>5160</v>
          </cell>
          <cell r="C100" t="str">
            <v>AUD</v>
          </cell>
          <cell r="D100" t="str">
            <v/>
          </cell>
          <cell r="E100" t="str">
            <v/>
          </cell>
          <cell r="F100">
            <v>0</v>
          </cell>
          <cell r="G100">
            <v>0</v>
          </cell>
          <cell r="H100">
            <v>0</v>
          </cell>
        </row>
        <row r="101">
          <cell r="B101">
            <v>5175</v>
          </cell>
          <cell r="C101" t="str">
            <v>AUD</v>
          </cell>
          <cell r="D101" t="str">
            <v/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</row>
        <row r="102">
          <cell r="B102">
            <v>5180</v>
          </cell>
          <cell r="C102" t="str">
            <v>AUD</v>
          </cell>
          <cell r="D102" t="str">
            <v/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</row>
        <row r="103">
          <cell r="B103">
            <v>5190</v>
          </cell>
          <cell r="C103" t="str">
            <v>AUD</v>
          </cell>
          <cell r="D103" t="str">
            <v/>
          </cell>
          <cell r="E103" t="str">
            <v/>
          </cell>
          <cell r="F103">
            <v>0</v>
          </cell>
          <cell r="G103">
            <v>-23.85</v>
          </cell>
          <cell r="H103">
            <v>0</v>
          </cell>
        </row>
        <row r="104">
          <cell r="B104">
            <v>6345</v>
          </cell>
          <cell r="C104" t="str">
            <v>AUD</v>
          </cell>
          <cell r="D104" t="str">
            <v/>
          </cell>
          <cell r="E104" t="str">
            <v/>
          </cell>
          <cell r="F104">
            <v>65331.9</v>
          </cell>
          <cell r="G104">
            <v>258755.23999999996</v>
          </cell>
          <cell r="H104">
            <v>0</v>
          </cell>
        </row>
        <row r="105">
          <cell r="B105">
            <v>6310</v>
          </cell>
          <cell r="C105" t="str">
            <v>AUD</v>
          </cell>
          <cell r="D105" t="str">
            <v/>
          </cell>
          <cell r="E105" t="str">
            <v/>
          </cell>
          <cell r="F105">
            <v>31273.600000000002</v>
          </cell>
          <cell r="G105">
            <v>123408.51</v>
          </cell>
          <cell r="H105">
            <v>0</v>
          </cell>
        </row>
        <row r="106">
          <cell r="B106">
            <v>6320</v>
          </cell>
          <cell r="C106" t="str">
            <v>AUD</v>
          </cell>
          <cell r="D106" t="str">
            <v/>
          </cell>
          <cell r="E106" t="str">
            <v/>
          </cell>
          <cell r="F106">
            <v>59336.399999999994</v>
          </cell>
          <cell r="G106">
            <v>239199.43999999994</v>
          </cell>
          <cell r="H106">
            <v>0</v>
          </cell>
        </row>
        <row r="107">
          <cell r="B107">
            <v>6420</v>
          </cell>
          <cell r="C107" t="str">
            <v>AUD</v>
          </cell>
          <cell r="D107" t="str">
            <v/>
          </cell>
          <cell r="E107" t="str">
            <v/>
          </cell>
          <cell r="F107">
            <v>133066.80000000002</v>
          </cell>
          <cell r="G107">
            <v>401643.10000000003</v>
          </cell>
          <cell r="H107">
            <v>0</v>
          </cell>
        </row>
        <row r="108">
          <cell r="B108">
            <v>6340</v>
          </cell>
          <cell r="C108" t="str">
            <v>AUD</v>
          </cell>
          <cell r="D108" t="str">
            <v/>
          </cell>
          <cell r="E108" t="str">
            <v/>
          </cell>
          <cell r="F108">
            <v>38680.499999999985</v>
          </cell>
          <cell r="G108">
            <v>199350.77999999997</v>
          </cell>
          <cell r="H108">
            <v>0</v>
          </cell>
        </row>
        <row r="109">
          <cell r="B109">
            <v>6330</v>
          </cell>
          <cell r="C109" t="str">
            <v>AUD</v>
          </cell>
          <cell r="D109" t="str">
            <v/>
          </cell>
          <cell r="E109" t="str">
            <v/>
          </cell>
          <cell r="F109">
            <v>105390.54999999999</v>
          </cell>
          <cell r="G109">
            <v>379446.31000000006</v>
          </cell>
          <cell r="H109">
            <v>0</v>
          </cell>
        </row>
        <row r="110">
          <cell r="B110">
            <v>6335</v>
          </cell>
          <cell r="C110" t="str">
            <v>AUD</v>
          </cell>
          <cell r="D110" t="str">
            <v/>
          </cell>
          <cell r="E110" t="str">
            <v/>
          </cell>
          <cell r="F110">
            <v>51654</v>
          </cell>
          <cell r="G110">
            <v>154360.95000000001</v>
          </cell>
          <cell r="H110">
            <v>0</v>
          </cell>
        </row>
        <row r="111">
          <cell r="B111">
            <v>6360</v>
          </cell>
          <cell r="C111" t="str">
            <v>AUD</v>
          </cell>
          <cell r="D111" t="str">
            <v/>
          </cell>
          <cell r="E111" t="str">
            <v/>
          </cell>
          <cell r="F111">
            <v>40273</v>
          </cell>
          <cell r="G111">
            <v>153987.91000000006</v>
          </cell>
          <cell r="H111">
            <v>0</v>
          </cell>
        </row>
        <row r="112">
          <cell r="B112">
            <v>6350</v>
          </cell>
          <cell r="C112" t="str">
            <v>AUD</v>
          </cell>
          <cell r="D112" t="str">
            <v/>
          </cell>
          <cell r="E112" t="str">
            <v/>
          </cell>
          <cell r="F112">
            <v>114849</v>
          </cell>
          <cell r="G112">
            <v>289635.15000000002</v>
          </cell>
          <cell r="H112">
            <v>0</v>
          </cell>
        </row>
        <row r="113">
          <cell r="B113">
            <v>6410</v>
          </cell>
          <cell r="C113" t="str">
            <v>AUD</v>
          </cell>
          <cell r="D113" t="str">
            <v/>
          </cell>
          <cell r="E113" t="str">
            <v/>
          </cell>
          <cell r="F113">
            <v>48743.15</v>
          </cell>
          <cell r="G113">
            <v>243031.20999999996</v>
          </cell>
          <cell r="H113">
            <v>0</v>
          </cell>
        </row>
        <row r="114">
          <cell r="B114">
            <v>6390</v>
          </cell>
          <cell r="C114" t="str">
            <v>AUD</v>
          </cell>
          <cell r="D114" t="str">
            <v/>
          </cell>
          <cell r="E114" t="str">
            <v/>
          </cell>
          <cell r="F114">
            <v>109283.2</v>
          </cell>
          <cell r="G114">
            <v>644600.8899999999</v>
          </cell>
          <cell r="H114">
            <v>0</v>
          </cell>
        </row>
        <row r="115">
          <cell r="B115">
            <v>6070</v>
          </cell>
          <cell r="C115" t="str">
            <v>AUD</v>
          </cell>
          <cell r="D115" t="str">
            <v/>
          </cell>
          <cell r="E115" t="str">
            <v/>
          </cell>
          <cell r="F115">
            <v>0</v>
          </cell>
          <cell r="G115">
            <v>0</v>
          </cell>
          <cell r="H115">
            <v>0</v>
          </cell>
        </row>
        <row r="116">
          <cell r="B116">
            <v>4120</v>
          </cell>
          <cell r="C116" t="str">
            <v>AUD</v>
          </cell>
          <cell r="D116" t="str">
            <v/>
          </cell>
          <cell r="E116" t="str">
            <v/>
          </cell>
          <cell r="F116">
            <v>0</v>
          </cell>
          <cell r="G116">
            <v>50023.619999999995</v>
          </cell>
          <cell r="H116">
            <v>0</v>
          </cell>
        </row>
        <row r="117">
          <cell r="B117">
            <v>5550</v>
          </cell>
          <cell r="C117" t="str">
            <v>AUD</v>
          </cell>
          <cell r="D117" t="str">
            <v/>
          </cell>
          <cell r="E117" t="str">
            <v/>
          </cell>
          <cell r="F117">
            <v>0</v>
          </cell>
          <cell r="G117">
            <v>194375.1</v>
          </cell>
          <cell r="H117">
            <v>0</v>
          </cell>
        </row>
        <row r="118">
          <cell r="B118">
            <v>3120</v>
          </cell>
          <cell r="C118" t="str">
            <v>AUD</v>
          </cell>
          <cell r="D118" t="str">
            <v/>
          </cell>
          <cell r="E118" t="str">
            <v/>
          </cell>
          <cell r="F118">
            <v>0</v>
          </cell>
          <cell r="G118">
            <v>-665</v>
          </cell>
          <cell r="H118">
            <v>0</v>
          </cell>
        </row>
        <row r="119">
          <cell r="B119">
            <v>7838</v>
          </cell>
          <cell r="C119" t="str">
            <v>AUD</v>
          </cell>
          <cell r="D119" t="str">
            <v/>
          </cell>
          <cell r="E119" t="str">
            <v/>
          </cell>
          <cell r="F119">
            <v>0</v>
          </cell>
          <cell r="G119">
            <v>0</v>
          </cell>
          <cell r="H119">
            <v>0</v>
          </cell>
        </row>
        <row r="120">
          <cell r="B120">
            <v>7822</v>
          </cell>
          <cell r="C120" t="str">
            <v>AUD</v>
          </cell>
          <cell r="D120" t="str">
            <v/>
          </cell>
          <cell r="E120" t="str">
            <v/>
          </cell>
          <cell r="F120">
            <v>0</v>
          </cell>
          <cell r="G120">
            <v>-44.25</v>
          </cell>
          <cell r="H120">
            <v>0</v>
          </cell>
        </row>
        <row r="121">
          <cell r="B121">
            <v>7814</v>
          </cell>
          <cell r="C121" t="str">
            <v>AUD</v>
          </cell>
          <cell r="D121" t="str">
            <v/>
          </cell>
          <cell r="E121" t="str">
            <v/>
          </cell>
          <cell r="F121">
            <v>0</v>
          </cell>
          <cell r="G121">
            <v>339</v>
          </cell>
          <cell r="H121">
            <v>0</v>
          </cell>
        </row>
        <row r="122">
          <cell r="B122">
            <v>7846</v>
          </cell>
          <cell r="C122" t="str">
            <v>AUD</v>
          </cell>
          <cell r="D122" t="str">
            <v/>
          </cell>
          <cell r="E122" t="str">
            <v/>
          </cell>
          <cell r="F122">
            <v>0</v>
          </cell>
          <cell r="G122">
            <v>-371.42</v>
          </cell>
          <cell r="H122">
            <v>0</v>
          </cell>
        </row>
        <row r="123">
          <cell r="B123">
            <v>7826</v>
          </cell>
          <cell r="C123" t="str">
            <v>AUD</v>
          </cell>
          <cell r="D123" t="str">
            <v/>
          </cell>
          <cell r="E123" t="str">
            <v/>
          </cell>
          <cell r="F123">
            <v>0</v>
          </cell>
          <cell r="G123">
            <v>-0.06</v>
          </cell>
          <cell r="H123">
            <v>0</v>
          </cell>
        </row>
        <row r="124">
          <cell r="B124">
            <v>7810</v>
          </cell>
          <cell r="C124" t="str">
            <v>AUD</v>
          </cell>
          <cell r="D124" t="str">
            <v/>
          </cell>
          <cell r="E124" t="str">
            <v/>
          </cell>
          <cell r="F124">
            <v>0</v>
          </cell>
          <cell r="G124">
            <v>-25.1</v>
          </cell>
          <cell r="H124">
            <v>0</v>
          </cell>
        </row>
        <row r="125">
          <cell r="B125">
            <v>7840</v>
          </cell>
          <cell r="C125" t="str">
            <v>AUD</v>
          </cell>
          <cell r="D125" t="str">
            <v/>
          </cell>
          <cell r="E125" t="str">
            <v/>
          </cell>
          <cell r="F125">
            <v>0</v>
          </cell>
          <cell r="G125">
            <v>80.3</v>
          </cell>
          <cell r="H125">
            <v>0</v>
          </cell>
        </row>
        <row r="126">
          <cell r="B126">
            <v>7832</v>
          </cell>
          <cell r="C126" t="str">
            <v>AUD</v>
          </cell>
          <cell r="D126" t="str">
            <v/>
          </cell>
          <cell r="E126" t="str">
            <v/>
          </cell>
          <cell r="F126">
            <v>0</v>
          </cell>
          <cell r="G126">
            <v>0</v>
          </cell>
          <cell r="H126">
            <v>0</v>
          </cell>
        </row>
        <row r="127">
          <cell r="B127">
            <v>7824</v>
          </cell>
          <cell r="C127" t="str">
            <v>AUD</v>
          </cell>
          <cell r="D127" t="str">
            <v/>
          </cell>
          <cell r="E127" t="str">
            <v/>
          </cell>
          <cell r="F127">
            <v>0</v>
          </cell>
          <cell r="G127">
            <v>-286.95</v>
          </cell>
          <cell r="H127">
            <v>0</v>
          </cell>
        </row>
        <row r="128">
          <cell r="B128">
            <v>7828</v>
          </cell>
          <cell r="C128" t="str">
            <v>AUD</v>
          </cell>
          <cell r="D128" t="str">
            <v/>
          </cell>
          <cell r="E128" t="str">
            <v/>
          </cell>
          <cell r="F128">
            <v>6099</v>
          </cell>
          <cell r="G128">
            <v>110.1</v>
          </cell>
          <cell r="H128">
            <v>0</v>
          </cell>
        </row>
        <row r="129">
          <cell r="B129">
            <v>7816</v>
          </cell>
          <cell r="C129" t="str">
            <v>AUD</v>
          </cell>
          <cell r="D129" t="str">
            <v/>
          </cell>
          <cell r="E129" t="str">
            <v/>
          </cell>
          <cell r="F129">
            <v>0</v>
          </cell>
          <cell r="G129">
            <v>360.14000000000033</v>
          </cell>
          <cell r="H129">
            <v>0</v>
          </cell>
        </row>
        <row r="130">
          <cell r="B130">
            <v>7836</v>
          </cell>
          <cell r="C130" t="str">
            <v>AUD</v>
          </cell>
          <cell r="D130" t="str">
            <v/>
          </cell>
          <cell r="E130" t="str">
            <v/>
          </cell>
          <cell r="F130">
            <v>2277.0000000000009</v>
          </cell>
          <cell r="G130">
            <v>354.06000000000381</v>
          </cell>
          <cell r="H130">
            <v>0</v>
          </cell>
        </row>
        <row r="131">
          <cell r="B131">
            <v>7830</v>
          </cell>
          <cell r="C131" t="str">
            <v>AUD</v>
          </cell>
          <cell r="D131" t="str">
            <v/>
          </cell>
          <cell r="E131" t="str">
            <v/>
          </cell>
          <cell r="F131">
            <v>0</v>
          </cell>
          <cell r="G131">
            <v>0</v>
          </cell>
          <cell r="H131">
            <v>0</v>
          </cell>
        </row>
        <row r="132">
          <cell r="B132">
            <v>7844</v>
          </cell>
          <cell r="C132" t="str">
            <v>AUD</v>
          </cell>
          <cell r="D132" t="str">
            <v/>
          </cell>
          <cell r="E132" t="str">
            <v/>
          </cell>
          <cell r="F132">
            <v>0</v>
          </cell>
          <cell r="G132">
            <v>-471.89</v>
          </cell>
          <cell r="H132">
            <v>0</v>
          </cell>
        </row>
        <row r="133">
          <cell r="B133">
            <v>7818</v>
          </cell>
          <cell r="C133" t="str">
            <v>AUD</v>
          </cell>
          <cell r="D133" t="str">
            <v/>
          </cell>
          <cell r="E133" t="str">
            <v/>
          </cell>
          <cell r="F133">
            <v>0</v>
          </cell>
          <cell r="G133">
            <v>232.25</v>
          </cell>
          <cell r="H133">
            <v>0</v>
          </cell>
        </row>
        <row r="134">
          <cell r="B134">
            <v>7842</v>
          </cell>
          <cell r="C134" t="str">
            <v>AUD</v>
          </cell>
          <cell r="D134" t="str">
            <v/>
          </cell>
          <cell r="E134" t="str">
            <v/>
          </cell>
          <cell r="F134">
            <v>0</v>
          </cell>
          <cell r="G134">
            <v>1</v>
          </cell>
          <cell r="H134">
            <v>0</v>
          </cell>
        </row>
        <row r="135">
          <cell r="B135">
            <v>7834</v>
          </cell>
          <cell r="C135" t="str">
            <v>AUD</v>
          </cell>
          <cell r="D135" t="str">
            <v/>
          </cell>
          <cell r="E135" t="str">
            <v/>
          </cell>
          <cell r="F135">
            <v>0</v>
          </cell>
          <cell r="G135">
            <v>1291.55</v>
          </cell>
          <cell r="H135">
            <v>0</v>
          </cell>
        </row>
        <row r="136">
          <cell r="B136">
            <v>8100</v>
          </cell>
          <cell r="C136" t="str">
            <v>AUD</v>
          </cell>
          <cell r="D136" t="str">
            <v/>
          </cell>
          <cell r="E136" t="str">
            <v/>
          </cell>
          <cell r="F136">
            <v>0</v>
          </cell>
          <cell r="G136">
            <v>233259.93000000005</v>
          </cell>
          <cell r="H136">
            <v>0</v>
          </cell>
        </row>
        <row r="137">
          <cell r="B137">
            <v>2650</v>
          </cell>
          <cell r="C137" t="str">
            <v>AUD</v>
          </cell>
          <cell r="D137" t="str">
            <v/>
          </cell>
          <cell r="E137" t="str">
            <v/>
          </cell>
          <cell r="F137">
            <v>-18549.400000000001</v>
          </cell>
          <cell r="G137">
            <v>184962.77</v>
          </cell>
          <cell r="H137">
            <v>0</v>
          </cell>
        </row>
        <row r="138">
          <cell r="B138" t="str">
            <v>0001</v>
          </cell>
          <cell r="C138" t="str">
            <v>AUD</v>
          </cell>
          <cell r="D138" t="str">
            <v/>
          </cell>
          <cell r="E138" t="str">
            <v/>
          </cell>
          <cell r="F138">
            <v>-12325</v>
          </cell>
          <cell r="G138">
            <v>197619.68</v>
          </cell>
          <cell r="H138">
            <v>0</v>
          </cell>
        </row>
        <row r="139">
          <cell r="B139">
            <v>2200</v>
          </cell>
          <cell r="C139" t="str">
            <v>AUD</v>
          </cell>
          <cell r="D139" t="str">
            <v/>
          </cell>
          <cell r="E139" t="str">
            <v/>
          </cell>
          <cell r="F139">
            <v>-5650.85</v>
          </cell>
          <cell r="G139">
            <v>231603.73</v>
          </cell>
          <cell r="H139">
            <v>0</v>
          </cell>
        </row>
        <row r="140">
          <cell r="B140">
            <v>8500</v>
          </cell>
          <cell r="C140" t="str">
            <v>AUD</v>
          </cell>
          <cell r="D140" t="str">
            <v/>
          </cell>
          <cell r="E140" t="str">
            <v/>
          </cell>
          <cell r="F140">
            <v>79982.290000000008</v>
          </cell>
          <cell r="G140">
            <v>8388320.3099999987</v>
          </cell>
          <cell r="H140">
            <v>0</v>
          </cell>
        </row>
        <row r="141">
          <cell r="B141">
            <v>8250</v>
          </cell>
          <cell r="C141" t="str">
            <v>AUD</v>
          </cell>
          <cell r="D141" t="str">
            <v/>
          </cell>
          <cell r="E141" t="str">
            <v/>
          </cell>
          <cell r="F141">
            <v>7478</v>
          </cell>
          <cell r="G141">
            <v>100295.83000000003</v>
          </cell>
          <cell r="H141">
            <v>0</v>
          </cell>
        </row>
        <row r="142">
          <cell r="B142">
            <v>2950</v>
          </cell>
          <cell r="C142" t="str">
            <v>AUD</v>
          </cell>
          <cell r="D142" t="str">
            <v/>
          </cell>
          <cell r="E142" t="str">
            <v/>
          </cell>
          <cell r="F142">
            <v>0</v>
          </cell>
          <cell r="G142">
            <v>202634.12</v>
          </cell>
          <cell r="H142">
            <v>0</v>
          </cell>
        </row>
        <row r="143">
          <cell r="B143">
            <v>8450</v>
          </cell>
          <cell r="C143" t="str">
            <v>AUD</v>
          </cell>
          <cell r="D143" t="str">
            <v/>
          </cell>
          <cell r="E143" t="str">
            <v/>
          </cell>
          <cell r="F143">
            <v>6082.1</v>
          </cell>
          <cell r="G143">
            <v>264989.82</v>
          </cell>
          <cell r="H143">
            <v>0</v>
          </cell>
        </row>
        <row r="144">
          <cell r="B144">
            <v>2750</v>
          </cell>
          <cell r="C144" t="str">
            <v>AUD</v>
          </cell>
          <cell r="D144" t="str">
            <v/>
          </cell>
          <cell r="E144" t="str">
            <v/>
          </cell>
          <cell r="F144">
            <v>-4023</v>
          </cell>
          <cell r="G144">
            <v>-7302.99</v>
          </cell>
          <cell r="H144">
            <v>0</v>
          </cell>
        </row>
        <row r="145">
          <cell r="B145">
            <v>2600</v>
          </cell>
          <cell r="C145" t="str">
            <v>AUD</v>
          </cell>
          <cell r="D145" t="str">
            <v/>
          </cell>
          <cell r="E145" t="str">
            <v/>
          </cell>
          <cell r="F145">
            <v>0</v>
          </cell>
          <cell r="G145">
            <v>92332.96</v>
          </cell>
          <cell r="H145">
            <v>0</v>
          </cell>
        </row>
        <row r="146">
          <cell r="B146">
            <v>8600</v>
          </cell>
          <cell r="C146" t="str">
            <v>AUD</v>
          </cell>
          <cell r="D146" t="str">
            <v/>
          </cell>
          <cell r="E146" t="str">
            <v/>
          </cell>
          <cell r="F146">
            <v>0</v>
          </cell>
          <cell r="G146">
            <v>3273534.84</v>
          </cell>
          <cell r="H146">
            <v>0</v>
          </cell>
        </row>
        <row r="147">
          <cell r="B147">
            <v>8656</v>
          </cell>
          <cell r="C147" t="str">
            <v>AUD</v>
          </cell>
          <cell r="D147" t="str">
            <v/>
          </cell>
          <cell r="E147" t="str">
            <v/>
          </cell>
          <cell r="F147">
            <v>158558.69</v>
          </cell>
          <cell r="G147">
            <v>25000324.32</v>
          </cell>
          <cell r="H147">
            <v>0</v>
          </cell>
        </row>
        <row r="148">
          <cell r="B148">
            <v>8650</v>
          </cell>
          <cell r="C148" t="str">
            <v>AUD</v>
          </cell>
          <cell r="D148" t="str">
            <v/>
          </cell>
          <cell r="E148" t="str">
            <v/>
          </cell>
          <cell r="F148">
            <v>179742.94</v>
          </cell>
          <cell r="G148">
            <v>8442575.2599999998</v>
          </cell>
          <cell r="H148">
            <v>0</v>
          </cell>
        </row>
        <row r="149">
          <cell r="B149">
            <v>4350</v>
          </cell>
          <cell r="C149" t="str">
            <v>AUD</v>
          </cell>
          <cell r="D149" t="str">
            <v/>
          </cell>
          <cell r="E149" t="str">
            <v/>
          </cell>
          <cell r="F149">
            <v>-6916.9</v>
          </cell>
          <cell r="G149">
            <v>-4801.5</v>
          </cell>
          <cell r="H149">
            <v>0</v>
          </cell>
        </row>
        <row r="150">
          <cell r="B150">
            <v>8653</v>
          </cell>
          <cell r="C150" t="str">
            <v>AUD</v>
          </cell>
          <cell r="D150" t="str">
            <v/>
          </cell>
          <cell r="E150" t="str">
            <v/>
          </cell>
          <cell r="F150">
            <v>0</v>
          </cell>
          <cell r="G150">
            <v>428670.84</v>
          </cell>
          <cell r="H150">
            <v>0</v>
          </cell>
        </row>
        <row r="151">
          <cell r="B151">
            <v>4360</v>
          </cell>
          <cell r="C151" t="str">
            <v>AUD</v>
          </cell>
          <cell r="D151" t="str">
            <v/>
          </cell>
          <cell r="E151" t="str">
            <v/>
          </cell>
          <cell r="F151">
            <v>-20074.439999999999</v>
          </cell>
          <cell r="G151">
            <v>-69927.89</v>
          </cell>
          <cell r="H151">
            <v>0</v>
          </cell>
        </row>
        <row r="152">
          <cell r="B152">
            <v>8654</v>
          </cell>
          <cell r="C152" t="str">
            <v>AUD</v>
          </cell>
          <cell r="D152" t="str">
            <v/>
          </cell>
          <cell r="E152" t="str">
            <v/>
          </cell>
          <cell r="F152">
            <v>217534.63</v>
          </cell>
          <cell r="G152">
            <v>6279365.21</v>
          </cell>
          <cell r="H152">
            <v>0</v>
          </cell>
        </row>
        <row r="153">
          <cell r="B153">
            <v>8651</v>
          </cell>
          <cell r="C153" t="str">
            <v>AUD</v>
          </cell>
          <cell r="D153" t="str">
            <v/>
          </cell>
          <cell r="E153" t="str">
            <v/>
          </cell>
          <cell r="F153">
            <v>-50222.92</v>
          </cell>
          <cell r="G153">
            <v>98124.309999999983</v>
          </cell>
          <cell r="H153">
            <v>0</v>
          </cell>
        </row>
        <row r="154">
          <cell r="B154">
            <v>3350</v>
          </cell>
          <cell r="C154" t="str">
            <v>AUD</v>
          </cell>
          <cell r="D154" t="str">
            <v/>
          </cell>
          <cell r="E154" t="str">
            <v/>
          </cell>
          <cell r="F154">
            <v>0</v>
          </cell>
          <cell r="G154">
            <v>4141622.67</v>
          </cell>
          <cell r="H154">
            <v>0</v>
          </cell>
        </row>
        <row r="155">
          <cell r="B155">
            <v>3200</v>
          </cell>
          <cell r="C155" t="str">
            <v>AUD</v>
          </cell>
          <cell r="D155" t="str">
            <v/>
          </cell>
          <cell r="E155" t="str">
            <v/>
          </cell>
          <cell r="F155">
            <v>3945.5500000000011</v>
          </cell>
          <cell r="G155">
            <v>40669.469999999979</v>
          </cell>
          <cell r="H155">
            <v>0</v>
          </cell>
        </row>
        <row r="156">
          <cell r="B156">
            <v>8130</v>
          </cell>
          <cell r="C156" t="str">
            <v>LOCAL</v>
          </cell>
          <cell r="D156" t="str">
            <v>*KEY_ERR</v>
          </cell>
          <cell r="E156" t="str">
            <v>*KEY_ERR</v>
          </cell>
          <cell r="F156">
            <v>11616.239999999998</v>
          </cell>
          <cell r="G156">
            <v>72893.030000000013</v>
          </cell>
          <cell r="H156">
            <v>0</v>
          </cell>
        </row>
        <row r="157">
          <cell r="B157">
            <v>8140</v>
          </cell>
          <cell r="C157" t="str">
            <v>LOCAL</v>
          </cell>
          <cell r="D157" t="str">
            <v>*KEY_ERR</v>
          </cell>
          <cell r="E157" t="str">
            <v>*KEY_ERR</v>
          </cell>
          <cell r="F157">
            <v>21372.76</v>
          </cell>
          <cell r="G157">
            <v>37269.840000000011</v>
          </cell>
          <cell r="H157">
            <v>0</v>
          </cell>
        </row>
        <row r="158">
          <cell r="B158">
            <v>8150</v>
          </cell>
          <cell r="C158" t="str">
            <v>LOCAL</v>
          </cell>
          <cell r="D158" t="str">
            <v>*KEY_ERR</v>
          </cell>
          <cell r="E158" t="str">
            <v>*KEY_ERR</v>
          </cell>
          <cell r="F158">
            <v>34010.989999999991</v>
          </cell>
          <cell r="G158">
            <v>63019.989999999976</v>
          </cell>
          <cell r="H158">
            <v>0</v>
          </cell>
        </row>
        <row r="159">
          <cell r="B159">
            <v>8170</v>
          </cell>
          <cell r="C159" t="str">
            <v>LOCAL</v>
          </cell>
          <cell r="D159" t="str">
            <v>*KEY_ERR</v>
          </cell>
          <cell r="E159" t="str">
            <v>*KEY_ERR</v>
          </cell>
          <cell r="F159">
            <v>10742.619999999999</v>
          </cell>
          <cell r="G159">
            <v>43642.14</v>
          </cell>
          <cell r="H159">
            <v>0</v>
          </cell>
        </row>
        <row r="160">
          <cell r="B160">
            <v>8190</v>
          </cell>
          <cell r="C160" t="str">
            <v>LOCAL</v>
          </cell>
          <cell r="D160" t="str">
            <v>*KEY_ERR</v>
          </cell>
          <cell r="E160" t="str">
            <v>*KEY_ERR</v>
          </cell>
          <cell r="F160">
            <v>1494.1599999999999</v>
          </cell>
          <cell r="G160">
            <v>52004.960000000006</v>
          </cell>
          <cell r="H160">
            <v>0</v>
          </cell>
        </row>
        <row r="161">
          <cell r="B161">
            <v>3700</v>
          </cell>
          <cell r="C161" t="str">
            <v>AUD</v>
          </cell>
          <cell r="D161" t="str">
            <v/>
          </cell>
          <cell r="E161" t="str">
            <v/>
          </cell>
          <cell r="F161">
            <v>0</v>
          </cell>
          <cell r="G161">
            <v>4129.57</v>
          </cell>
          <cell r="H161">
            <v>0</v>
          </cell>
        </row>
        <row r="162">
          <cell r="B162">
            <v>6075</v>
          </cell>
          <cell r="C162" t="str">
            <v>AUD</v>
          </cell>
          <cell r="D162" t="str">
            <v/>
          </cell>
          <cell r="E162" t="str">
            <v/>
          </cell>
          <cell r="F162">
            <v>0</v>
          </cell>
          <cell r="G162">
            <v>0</v>
          </cell>
          <cell r="H162">
            <v>0</v>
          </cell>
        </row>
        <row r="163">
          <cell r="B163">
            <v>5195</v>
          </cell>
          <cell r="C163" t="str">
            <v>AUD</v>
          </cell>
          <cell r="D163" t="str">
            <v/>
          </cell>
          <cell r="E163" t="str">
            <v/>
          </cell>
          <cell r="F163">
            <v>0</v>
          </cell>
          <cell r="G163">
            <v>0</v>
          </cell>
          <cell r="H163">
            <v>0</v>
          </cell>
        </row>
        <row r="164">
          <cell r="B164">
            <v>6550</v>
          </cell>
          <cell r="C164" t="str">
            <v>AUD</v>
          </cell>
          <cell r="D164" t="str">
            <v/>
          </cell>
          <cell r="E164" t="str">
            <v/>
          </cell>
          <cell r="F164">
            <v>0</v>
          </cell>
          <cell r="G164">
            <v>0</v>
          </cell>
          <cell r="H164">
            <v>0</v>
          </cell>
        </row>
        <row r="165">
          <cell r="B165">
            <v>5510</v>
          </cell>
          <cell r="C165" t="str">
            <v>AUD</v>
          </cell>
          <cell r="D165" t="str">
            <v/>
          </cell>
          <cell r="E165" t="str">
            <v/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0625</v>
          </cell>
          <cell r="C166" t="str">
            <v>AUD</v>
          </cell>
          <cell r="D166" t="str">
            <v/>
          </cell>
          <cell r="E166" t="str">
            <v/>
          </cell>
          <cell r="F166">
            <v>0</v>
          </cell>
          <cell r="G166">
            <v>-4810.8</v>
          </cell>
          <cell r="H166">
            <v>0</v>
          </cell>
        </row>
        <row r="167">
          <cell r="B167" t="str">
            <v>0629</v>
          </cell>
          <cell r="C167" t="str">
            <v>AUD</v>
          </cell>
          <cell r="D167" t="str">
            <v/>
          </cell>
          <cell r="E167" t="str">
            <v/>
          </cell>
          <cell r="F167">
            <v>0</v>
          </cell>
          <cell r="G167">
            <v>-865.93</v>
          </cell>
          <cell r="H167">
            <v>0</v>
          </cell>
        </row>
        <row r="168">
          <cell r="B168" t="str">
            <v>0627</v>
          </cell>
          <cell r="C168" t="str">
            <v>AUD</v>
          </cell>
          <cell r="D168" t="str">
            <v/>
          </cell>
          <cell r="E168" t="str">
            <v/>
          </cell>
          <cell r="F168">
            <v>0</v>
          </cell>
          <cell r="G168">
            <v>-935.96</v>
          </cell>
          <cell r="H168">
            <v>0</v>
          </cell>
        </row>
        <row r="169">
          <cell r="B169" t="str">
            <v>0628</v>
          </cell>
          <cell r="C169" t="str">
            <v>AUD</v>
          </cell>
          <cell r="D169" t="str">
            <v/>
          </cell>
          <cell r="E169" t="str">
            <v/>
          </cell>
          <cell r="F169">
            <v>0</v>
          </cell>
          <cell r="G169">
            <v>-403.94</v>
          </cell>
          <cell r="H169">
            <v>0</v>
          </cell>
        </row>
        <row r="170">
          <cell r="B170">
            <v>6800</v>
          </cell>
          <cell r="C170" t="str">
            <v>AUD</v>
          </cell>
          <cell r="D170" t="str">
            <v/>
          </cell>
          <cell r="E170" t="str">
            <v/>
          </cell>
          <cell r="F170">
            <v>0</v>
          </cell>
          <cell r="G170">
            <v>0</v>
          </cell>
          <cell r="H170">
            <v>0</v>
          </cell>
        </row>
        <row r="171">
          <cell r="B171">
            <v>2060</v>
          </cell>
          <cell r="C171" t="str">
            <v>AUD</v>
          </cell>
          <cell r="D171" t="str">
            <v/>
          </cell>
          <cell r="E171" t="str">
            <v/>
          </cell>
          <cell r="F171">
            <v>0</v>
          </cell>
          <cell r="G171">
            <v>-107.59999999999854</v>
          </cell>
          <cell r="H171">
            <v>0</v>
          </cell>
        </row>
        <row r="172">
          <cell r="B172">
            <v>8990</v>
          </cell>
          <cell r="C172" t="str">
            <v>AUD</v>
          </cell>
          <cell r="D172" t="str">
            <v/>
          </cell>
          <cell r="E172" t="str">
            <v/>
          </cell>
          <cell r="F172">
            <v>0</v>
          </cell>
          <cell r="G172">
            <v>0</v>
          </cell>
          <cell r="H172">
            <v>0</v>
          </cell>
        </row>
        <row r="173">
          <cell r="B173">
            <v>6325</v>
          </cell>
          <cell r="C173" t="str">
            <v>AUD</v>
          </cell>
          <cell r="D173" t="str">
            <v/>
          </cell>
          <cell r="E173" t="str">
            <v/>
          </cell>
          <cell r="F173">
            <v>59863.75</v>
          </cell>
          <cell r="G173">
            <v>263869.59999999992</v>
          </cell>
          <cell r="H173">
            <v>0</v>
          </cell>
        </row>
        <row r="174">
          <cell r="B174" t="str">
            <v>0626</v>
          </cell>
          <cell r="C174" t="str">
            <v>AUD</v>
          </cell>
          <cell r="D174" t="str">
            <v/>
          </cell>
          <cell r="E174" t="str">
            <v/>
          </cell>
          <cell r="F174">
            <v>0</v>
          </cell>
          <cell r="G174">
            <v>-3807.95</v>
          </cell>
          <cell r="H174">
            <v>0</v>
          </cell>
        </row>
        <row r="175">
          <cell r="B175">
            <v>2105</v>
          </cell>
          <cell r="C175" t="str">
            <v>AUD</v>
          </cell>
          <cell r="D175" t="str">
            <v/>
          </cell>
          <cell r="E175" t="str">
            <v/>
          </cell>
          <cell r="F175">
            <v>64343.710000000006</v>
          </cell>
          <cell r="G175">
            <v>360564.04</v>
          </cell>
          <cell r="H175">
            <v>-9.0949470177292824E-13</v>
          </cell>
        </row>
        <row r="176">
          <cell r="B176">
            <v>1525</v>
          </cell>
          <cell r="C176" t="str">
            <v>AUD</v>
          </cell>
          <cell r="D176" t="str">
            <v/>
          </cell>
          <cell r="E176" t="str">
            <v/>
          </cell>
          <cell r="F176">
            <v>27043.360000000008</v>
          </cell>
          <cell r="G176">
            <v>249828.97000000006</v>
          </cell>
          <cell r="H176">
            <v>0</v>
          </cell>
        </row>
        <row r="177">
          <cell r="B177">
            <v>8601</v>
          </cell>
          <cell r="C177" t="str">
            <v>AUD</v>
          </cell>
          <cell r="D177" t="str">
            <v/>
          </cell>
          <cell r="E177" t="str">
            <v/>
          </cell>
          <cell r="F177">
            <v>2407.9499999999998</v>
          </cell>
          <cell r="G177">
            <v>166365.19000000003</v>
          </cell>
          <cell r="H177">
            <v>0</v>
          </cell>
        </row>
        <row r="178">
          <cell r="B178">
            <v>6326</v>
          </cell>
          <cell r="C178" t="str">
            <v>AUD</v>
          </cell>
          <cell r="D178" t="str">
            <v/>
          </cell>
          <cell r="E178" t="str">
            <v/>
          </cell>
          <cell r="F178">
            <v>54836</v>
          </cell>
          <cell r="G178">
            <v>229813.07999999996</v>
          </cell>
          <cell r="H178">
            <v>0</v>
          </cell>
        </row>
        <row r="179">
          <cell r="B179">
            <v>6375</v>
          </cell>
          <cell r="C179" t="str">
            <v>AUD</v>
          </cell>
          <cell r="D179" t="str">
            <v/>
          </cell>
          <cell r="E179" t="str">
            <v/>
          </cell>
          <cell r="F179">
            <v>32305.900000000016</v>
          </cell>
          <cell r="G179">
            <v>211154.19999999998</v>
          </cell>
          <cell r="H179">
            <v>0</v>
          </cell>
        </row>
        <row r="180">
          <cell r="B180">
            <v>6328</v>
          </cell>
          <cell r="C180" t="str">
            <v>AUD</v>
          </cell>
          <cell r="D180" t="str">
            <v/>
          </cell>
          <cell r="E180" t="str">
            <v/>
          </cell>
          <cell r="F180">
            <v>70253.750000000015</v>
          </cell>
          <cell r="G180">
            <v>287533.52000000008</v>
          </cell>
          <cell r="H180">
            <v>0</v>
          </cell>
        </row>
        <row r="181">
          <cell r="B181">
            <v>2640</v>
          </cell>
          <cell r="C181" t="str">
            <v>AUD</v>
          </cell>
          <cell r="D181" t="str">
            <v/>
          </cell>
          <cell r="E181" t="str">
            <v/>
          </cell>
          <cell r="F181">
            <v>23681.500000000004</v>
          </cell>
          <cell r="G181">
            <v>281673.75</v>
          </cell>
          <cell r="H181">
            <v>0</v>
          </cell>
        </row>
        <row r="182">
          <cell r="B182">
            <v>3680</v>
          </cell>
          <cell r="C182" t="str">
            <v>AUD</v>
          </cell>
          <cell r="D182" t="str">
            <v/>
          </cell>
          <cell r="E182" t="str">
            <v/>
          </cell>
          <cell r="F182">
            <v>24089.599999999991</v>
          </cell>
          <cell r="G182">
            <v>213933.47999999995</v>
          </cell>
          <cell r="H182">
            <v>960.3</v>
          </cell>
        </row>
        <row r="183">
          <cell r="B183">
            <v>8664</v>
          </cell>
          <cell r="C183" t="str">
            <v>AUD</v>
          </cell>
          <cell r="D183" t="str">
            <v/>
          </cell>
          <cell r="E183" t="str">
            <v/>
          </cell>
          <cell r="F183">
            <v>0</v>
          </cell>
          <cell r="G183">
            <v>114695.05999999998</v>
          </cell>
          <cell r="H183">
            <v>0</v>
          </cell>
        </row>
        <row r="184">
          <cell r="B184">
            <v>2010</v>
          </cell>
          <cell r="C184" t="str">
            <v>AUD</v>
          </cell>
          <cell r="D184" t="str">
            <v/>
          </cell>
          <cell r="E184" t="str">
            <v/>
          </cell>
          <cell r="F184">
            <v>0</v>
          </cell>
          <cell r="G184">
            <v>0.4599999999973079</v>
          </cell>
          <cell r="H184">
            <v>0</v>
          </cell>
        </row>
        <row r="185">
          <cell r="B185">
            <v>6430</v>
          </cell>
          <cell r="C185" t="str">
            <v>AUD</v>
          </cell>
          <cell r="D185" t="str">
            <v/>
          </cell>
          <cell r="E185" t="str">
            <v/>
          </cell>
          <cell r="F185">
            <v>119994.8</v>
          </cell>
          <cell r="G185">
            <v>413861.95</v>
          </cell>
          <cell r="H185">
            <v>0</v>
          </cell>
        </row>
        <row r="186">
          <cell r="B186">
            <v>5680</v>
          </cell>
          <cell r="C186" t="str">
            <v>AUD</v>
          </cell>
          <cell r="D186" t="str">
            <v/>
          </cell>
          <cell r="E186" t="str">
            <v/>
          </cell>
          <cell r="F186">
            <v>0</v>
          </cell>
          <cell r="G186">
            <v>4581.25</v>
          </cell>
          <cell r="H186">
            <v>0</v>
          </cell>
        </row>
        <row r="187">
          <cell r="B187">
            <v>4122</v>
          </cell>
          <cell r="C187" t="str">
            <v>AUD</v>
          </cell>
          <cell r="D187" t="str">
            <v/>
          </cell>
          <cell r="E187" t="str">
            <v/>
          </cell>
          <cell r="F187">
            <v>0</v>
          </cell>
          <cell r="G187">
            <v>12168.200000000004</v>
          </cell>
          <cell r="H187">
            <v>0</v>
          </cell>
        </row>
        <row r="188">
          <cell r="B188">
            <v>2370</v>
          </cell>
          <cell r="C188" t="str">
            <v>AUD</v>
          </cell>
          <cell r="D188" t="str">
            <v/>
          </cell>
          <cell r="E188" t="str">
            <v/>
          </cell>
          <cell r="F188">
            <v>0</v>
          </cell>
          <cell r="G188">
            <v>19757.66</v>
          </cell>
          <cell r="H188">
            <v>0</v>
          </cell>
        </row>
        <row r="189">
          <cell r="B189">
            <v>2380</v>
          </cell>
          <cell r="C189" t="str">
            <v>AUD</v>
          </cell>
          <cell r="D189" t="str">
            <v/>
          </cell>
          <cell r="E189" t="str">
            <v/>
          </cell>
          <cell r="F189">
            <v>0</v>
          </cell>
          <cell r="G189">
            <v>31172.1</v>
          </cell>
          <cell r="H189">
            <v>0</v>
          </cell>
        </row>
        <row r="190">
          <cell r="B190">
            <v>8245</v>
          </cell>
          <cell r="C190" t="str">
            <v>LOCAL</v>
          </cell>
          <cell r="D190" t="str">
            <v/>
          </cell>
          <cell r="E190" t="str">
            <v/>
          </cell>
          <cell r="F190">
            <v>125457.90999999999</v>
          </cell>
          <cell r="G190">
            <v>304511.38999999996</v>
          </cell>
          <cell r="H190">
            <v>0</v>
          </cell>
        </row>
        <row r="191">
          <cell r="B191">
            <v>2255</v>
          </cell>
          <cell r="C191" t="str">
            <v>AUD</v>
          </cell>
          <cell r="D191" t="str">
            <v/>
          </cell>
          <cell r="E191" t="str">
            <v/>
          </cell>
          <cell r="F191">
            <v>16262.000000000004</v>
          </cell>
          <cell r="G191">
            <v>149682.28</v>
          </cell>
          <cell r="H191">
            <v>0</v>
          </cell>
        </row>
        <row r="192">
          <cell r="B192">
            <v>8995</v>
          </cell>
          <cell r="C192" t="str">
            <v>LOCAL</v>
          </cell>
          <cell r="D192" t="str">
            <v/>
          </cell>
          <cell r="E192" t="str">
            <v/>
          </cell>
          <cell r="F192">
            <v>0</v>
          </cell>
          <cell r="G192">
            <v>-298</v>
          </cell>
          <cell r="H192">
            <v>0</v>
          </cell>
        </row>
        <row r="193">
          <cell r="B193">
            <v>5180</v>
          </cell>
          <cell r="C193" t="str">
            <v>AUD</v>
          </cell>
          <cell r="D193" t="str">
            <v/>
          </cell>
          <cell r="E193" t="str">
            <v/>
          </cell>
          <cell r="F193">
            <v>0</v>
          </cell>
          <cell r="G193">
            <v>0</v>
          </cell>
          <cell r="H193">
            <v>0</v>
          </cell>
        </row>
      </sheetData>
      <sheetData sheetId="2"/>
      <sheetData sheetId="3" refreshError="1"/>
      <sheetData sheetId="4"/>
      <sheetData sheetId="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S"/>
      <sheetName val="CF"/>
      <sheetName val="Control"/>
      <sheetName val="Sheet2"/>
    </sheetNames>
    <sheetDataSet>
      <sheetData sheetId="0"/>
      <sheetData sheetId="1" refreshError="1"/>
      <sheetData sheetId="2" refreshError="1"/>
      <sheetData sheetId="3" refreshError="1">
        <row r="2">
          <cell r="F2" t="str">
            <v>Mth 0</v>
          </cell>
          <cell r="G2">
            <v>0.05</v>
          </cell>
        </row>
        <row r="3">
          <cell r="F3" t="str">
            <v>Mth 1</v>
          </cell>
          <cell r="G3">
            <v>0.1</v>
          </cell>
        </row>
        <row r="4">
          <cell r="F4" t="str">
            <v>Mth 2</v>
          </cell>
          <cell r="G4">
            <v>0.8</v>
          </cell>
        </row>
        <row r="5">
          <cell r="F5" t="str">
            <v>Mth 3</v>
          </cell>
          <cell r="G5">
            <v>0.05</v>
          </cell>
        </row>
        <row r="6">
          <cell r="F6" t="str">
            <v>Mth 4</v>
          </cell>
          <cell r="G6">
            <v>0</v>
          </cell>
        </row>
      </sheetData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Beach-P&amp;L"/>
      <sheetName val="xlsBeach-P&amp;L - Annual"/>
      <sheetName val="xlsBeach-P&amp;L - Mthly"/>
      <sheetName val="xlsBeach-PL - Annual"/>
      <sheetName val="xlsBeach-PL - Mthly"/>
      <sheetName val="xlsBeach-SOFP-Mthly"/>
      <sheetName val="SOFP-Mthly"/>
      <sheetName val="StkDebtorsCDep"/>
      <sheetName val="Capex"/>
      <sheetName val="xlsBeach-PL - Annual (Stores)"/>
      <sheetName val="xlsBeach-P&amp;L_-_Annual"/>
      <sheetName val="xlsBeach-P&amp;L_-_Mthly"/>
      <sheetName val="xlsBeach-PL_-_Annual"/>
      <sheetName val="xlsBeach-PL_-_Mthly"/>
      <sheetName val="xlsBeach-PL_-_Annual_(Store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hly Forecast"/>
      <sheetName val="Sheet1"/>
      <sheetName val="Imports_FM"/>
      <sheetName val="Wkly Update"/>
      <sheetName val="Intercoy Sales"/>
      <sheetName val="Mthly_Forecast"/>
      <sheetName val="Wkly_Update"/>
      <sheetName val="Intercoy_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a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M12"/>
      <sheetName val="Data Input Sheet - summary"/>
      <sheetName val="Data Input Sheet - KPI's"/>
      <sheetName val="Data Input Sheet - Deloittes"/>
      <sheetName val="Data"/>
      <sheetName val="Sheet1"/>
    </sheetNames>
    <sheetDataSet>
      <sheetData sheetId="0"/>
      <sheetData sheetId="1">
        <row r="15">
          <cell r="C15" t="str">
            <v>Nova937 - Perth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2">
          <cell r="P12">
            <v>391.49415000000005</v>
          </cell>
        </row>
      </sheetData>
      <sheetData sheetId="15"/>
      <sheetData sheetId="16"/>
      <sheetData sheetId="17">
        <row r="5">
          <cell r="A5" t="str">
            <v>DMG RADIO AUSTRALIA PTY LTD</v>
          </cell>
        </row>
        <row r="6">
          <cell r="A6" t="str">
            <v>Nova919 - Adelaide</v>
          </cell>
        </row>
        <row r="7">
          <cell r="A7" t="str">
            <v>Nova1069 - Brisbane</v>
          </cell>
        </row>
        <row r="8">
          <cell r="A8" t="str">
            <v>Nova100 - Melbourne</v>
          </cell>
        </row>
        <row r="9">
          <cell r="A9" t="str">
            <v>Nova937 - Perth</v>
          </cell>
        </row>
        <row r="10">
          <cell r="A10" t="str">
            <v>Nova969 - Sydney</v>
          </cell>
        </row>
        <row r="11">
          <cell r="A11" t="str">
            <v>Classic Rock 915 - Melbourne</v>
          </cell>
        </row>
        <row r="12">
          <cell r="A12" t="str">
            <v>Classic Rock 953 - Sydney</v>
          </cell>
        </row>
        <row r="13">
          <cell r="A13" t="str">
            <v>FIVEaa - Adelaide</v>
          </cell>
        </row>
        <row r="14">
          <cell r="A14" t="str">
            <v>StarFM - Gosford</v>
          </cell>
        </row>
        <row r="15">
          <cell r="A15" t="str">
            <v>DAB+</v>
          </cell>
        </row>
        <row r="16">
          <cell r="A16" t="str">
            <v>Corporate</v>
          </cell>
        </row>
      </sheetData>
      <sheetData sheetId="1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TD Summary Page"/>
      <sheetName val="YTD Summary Page"/>
      <sheetName val="Balance Sheet"/>
      <sheetName val="P&amp;L"/>
      <sheetName val="Pivot"/>
      <sheetName val="Raw data Jun17"/>
      <sheetName val="Filter Conditions Selected Pa"/>
      <sheetName val="Raw data Jun16"/>
      <sheetName val="P&amp;L 2016"/>
      <sheetName val="MTD_Summary_Page"/>
      <sheetName val="YTD_Summary_Page"/>
      <sheetName val="Balance_Sheet"/>
      <sheetName val="Raw_data_Jun17"/>
      <sheetName val="Filter_Conditions_Selected_Pa"/>
      <sheetName val="Raw_data_Jun16"/>
      <sheetName val="P&amp;L_2016"/>
      <sheetName val="Inventory_Line"/>
    </sheetNames>
    <sheetDataSet>
      <sheetData sheetId="0"/>
      <sheetData sheetId="1">
        <row r="74">
          <cell r="H74">
            <v>-680634.22000000009</v>
          </cell>
        </row>
      </sheetData>
      <sheetData sheetId="2"/>
      <sheetData sheetId="3"/>
      <sheetData sheetId="4">
        <row r="8">
          <cell r="AD8">
            <v>-87600</v>
          </cell>
        </row>
      </sheetData>
      <sheetData sheetId="5">
        <row r="4">
          <cell r="A4" t="str">
            <v>Account</v>
          </cell>
          <cell r="B4" t="str">
            <v>GL Account Code Description</v>
          </cell>
          <cell r="C4" t="str">
            <v>1101</v>
          </cell>
          <cell r="D4" t="str">
            <v>2201</v>
          </cell>
          <cell r="E4" t="str">
            <v>2203</v>
          </cell>
          <cell r="F4" t="str">
            <v>2301</v>
          </cell>
          <cell r="G4" t="str">
            <v>2401</v>
          </cell>
          <cell r="H4" t="str">
            <v>3101</v>
          </cell>
          <cell r="I4" t="str">
            <v>3201</v>
          </cell>
          <cell r="J4" t="str">
            <v>3302</v>
          </cell>
          <cell r="K4" t="str">
            <v>3401</v>
          </cell>
          <cell r="L4" t="str">
            <v>3501</v>
          </cell>
          <cell r="M4" t="str">
            <v>3601</v>
          </cell>
          <cell r="N4" t="str">
            <v>4101</v>
          </cell>
          <cell r="O4" t="str">
            <v>8101</v>
          </cell>
          <cell r="P4" t="str">
            <v>8201</v>
          </cell>
          <cell r="Q4" t="str">
            <v>8401</v>
          </cell>
          <cell r="R4" t="str">
            <v>8501</v>
          </cell>
          <cell r="S4" t="str">
            <v>9301</v>
          </cell>
          <cell r="T4" t="str">
            <v>9901</v>
          </cell>
          <cell r="U4" t="str">
            <v>2501</v>
          </cell>
          <cell r="V4" t="str">
            <v>8301</v>
          </cell>
          <cell r="W4" t="str">
            <v>(blank)</v>
          </cell>
          <cell r="X4" t="str">
            <v>3332</v>
          </cell>
          <cell r="Y4" t="str">
            <v>Grand Total</v>
          </cell>
        </row>
      </sheetData>
      <sheetData sheetId="6"/>
      <sheetData sheetId="7"/>
      <sheetData sheetId="8"/>
      <sheetData sheetId="9"/>
      <sheetData sheetId="10">
        <row r="74">
          <cell r="H74">
            <v>-680634.22000000009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Summary Page"/>
      <sheetName val="YTD Summary Page"/>
      <sheetName val="Balance Sheet"/>
      <sheetName val="P&amp;L"/>
      <sheetName val="Pivot"/>
      <sheetName val="Raw data Feb 2016"/>
      <sheetName val="Filter Conditions Selected Pa"/>
      <sheetName val="Detailed Balance Sheet"/>
      <sheetName val="Raw data Jan 2015"/>
      <sheetName val="P&amp;L 2015"/>
      <sheetName val="Chart"/>
      <sheetName val="MTD_Summary_Page"/>
      <sheetName val="YTD_Summary_Page"/>
      <sheetName val="Balance_Sheet"/>
      <sheetName val="Raw_data_Feb_2016"/>
      <sheetName val="Filter_Conditions_Selected_Pa"/>
      <sheetName val="Detailed_Balance_Sheet"/>
      <sheetName val="Raw_data_Jan_2015"/>
      <sheetName val="P&amp;L_20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 t="str">
            <v>Account No</v>
          </cell>
          <cell r="B4" t="str">
            <v>301</v>
          </cell>
          <cell r="C4" t="str">
            <v>303</v>
          </cell>
          <cell r="D4" t="str">
            <v>304</v>
          </cell>
          <cell r="E4" t="str">
            <v>307</v>
          </cell>
          <cell r="F4" t="str">
            <v>309</v>
          </cell>
          <cell r="G4" t="str">
            <v>399</v>
          </cell>
          <cell r="H4" t="str">
            <v>900</v>
          </cell>
          <cell r="I4" t="str">
            <v>221</v>
          </cell>
          <cell r="J4" t="str">
            <v>310</v>
          </cell>
          <cell r="K4" t="str">
            <v>Z3C</v>
          </cell>
          <cell r="L4" t="str">
            <v>(blank)</v>
          </cell>
          <cell r="M4" t="str">
            <v>Grand Total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"/>
      <sheetName val="W1"/>
      <sheetName val="Revenue Input"/>
      <sheetName val="Revenue Drivers Input"/>
      <sheetName val="M10"/>
      <sheetName val="M11"/>
      <sheetName val="Weekly Input"/>
      <sheetName val="Budget"/>
      <sheetName val="Last Year"/>
      <sheetName val="GL24"/>
      <sheetName val="Instructions"/>
      <sheetName val="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C2">
            <v>40818</v>
          </cell>
        </row>
        <row r="3">
          <cell r="C3">
            <v>40825</v>
          </cell>
        </row>
        <row r="4">
          <cell r="C4">
            <v>40832</v>
          </cell>
        </row>
        <row r="5">
          <cell r="C5">
            <v>40839</v>
          </cell>
        </row>
        <row r="6">
          <cell r="C6">
            <v>40846</v>
          </cell>
        </row>
        <row r="7">
          <cell r="C7">
            <v>40853</v>
          </cell>
        </row>
        <row r="8">
          <cell r="C8">
            <v>40860</v>
          </cell>
        </row>
        <row r="9">
          <cell r="C9">
            <v>40867</v>
          </cell>
        </row>
        <row r="10">
          <cell r="C10">
            <v>40874</v>
          </cell>
        </row>
        <row r="11">
          <cell r="C11">
            <v>40881</v>
          </cell>
        </row>
        <row r="12">
          <cell r="C12">
            <v>40888</v>
          </cell>
        </row>
        <row r="13">
          <cell r="C13">
            <v>40895</v>
          </cell>
        </row>
        <row r="14">
          <cell r="C14">
            <v>40902</v>
          </cell>
        </row>
        <row r="15">
          <cell r="C15">
            <v>40909</v>
          </cell>
        </row>
        <row r="16">
          <cell r="C16">
            <v>40916</v>
          </cell>
        </row>
        <row r="17">
          <cell r="C17">
            <v>40923</v>
          </cell>
        </row>
        <row r="18">
          <cell r="C18">
            <v>40930</v>
          </cell>
        </row>
        <row r="19">
          <cell r="C19">
            <v>40937</v>
          </cell>
        </row>
        <row r="20">
          <cell r="C20">
            <v>40944</v>
          </cell>
        </row>
        <row r="21">
          <cell r="C21">
            <v>40951</v>
          </cell>
        </row>
        <row r="22">
          <cell r="C22">
            <v>40958</v>
          </cell>
        </row>
        <row r="23">
          <cell r="C23">
            <v>40965</v>
          </cell>
        </row>
        <row r="24">
          <cell r="C24">
            <v>40972</v>
          </cell>
        </row>
        <row r="25">
          <cell r="C25">
            <v>40979</v>
          </cell>
        </row>
        <row r="26">
          <cell r="C26">
            <v>40986</v>
          </cell>
        </row>
        <row r="27">
          <cell r="C27">
            <v>40993</v>
          </cell>
        </row>
        <row r="28">
          <cell r="C28">
            <v>41000</v>
          </cell>
        </row>
        <row r="29">
          <cell r="C29">
            <v>41007</v>
          </cell>
        </row>
        <row r="30">
          <cell r="C30">
            <v>41014</v>
          </cell>
        </row>
        <row r="31">
          <cell r="C31">
            <v>41021</v>
          </cell>
        </row>
        <row r="32">
          <cell r="C32">
            <v>41028</v>
          </cell>
        </row>
        <row r="33">
          <cell r="C33">
            <v>41035</v>
          </cell>
        </row>
        <row r="34">
          <cell r="C34">
            <v>41042</v>
          </cell>
        </row>
        <row r="35">
          <cell r="C35">
            <v>41049</v>
          </cell>
        </row>
        <row r="36">
          <cell r="C36">
            <v>41056</v>
          </cell>
        </row>
        <row r="37">
          <cell r="C37">
            <v>41063</v>
          </cell>
        </row>
        <row r="38">
          <cell r="C38">
            <v>41070</v>
          </cell>
        </row>
        <row r="39">
          <cell r="C39">
            <v>41077</v>
          </cell>
        </row>
        <row r="40">
          <cell r="C40">
            <v>41084</v>
          </cell>
        </row>
        <row r="41">
          <cell r="C41">
            <v>41091</v>
          </cell>
        </row>
        <row r="42">
          <cell r="C42">
            <v>41098</v>
          </cell>
        </row>
        <row r="43">
          <cell r="C43">
            <v>41105</v>
          </cell>
        </row>
        <row r="44">
          <cell r="C44">
            <v>41112</v>
          </cell>
        </row>
        <row r="45">
          <cell r="C45">
            <v>41119</v>
          </cell>
        </row>
        <row r="46">
          <cell r="C46">
            <v>41126</v>
          </cell>
        </row>
        <row r="47">
          <cell r="C47">
            <v>41133</v>
          </cell>
        </row>
        <row r="48">
          <cell r="C48">
            <v>41140</v>
          </cell>
        </row>
        <row r="49">
          <cell r="C49">
            <v>41147</v>
          </cell>
        </row>
        <row r="50">
          <cell r="C50">
            <v>41154</v>
          </cell>
        </row>
        <row r="51">
          <cell r="C51">
            <v>41161</v>
          </cell>
        </row>
        <row r="52">
          <cell r="C52">
            <v>41168</v>
          </cell>
        </row>
        <row r="53">
          <cell r="C53">
            <v>41175</v>
          </cell>
        </row>
        <row r="54">
          <cell r="C54">
            <v>41182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Wa"/>
      <sheetName val="W1"/>
      <sheetName val="M10"/>
      <sheetName val="M11"/>
      <sheetName val="GL24"/>
      <sheetName val="Weekly Input"/>
      <sheetName val="Budget"/>
      <sheetName val="Last Year"/>
      <sheetName val="Revenue Input"/>
      <sheetName val="AUR &amp; Fill Input"/>
      <sheetName val="KPI Input"/>
      <sheetName val="Data"/>
    </sheetNames>
    <sheetDataSet>
      <sheetData sheetId="0">
        <row r="2">
          <cell r="B2" t="str">
            <v>Wa</v>
          </cell>
        </row>
      </sheetData>
      <sheetData sheetId="1">
        <row r="14">
          <cell r="C14" t="str">
            <v>STATION WEEKLY REPORTING:</v>
          </cell>
        </row>
      </sheetData>
      <sheetData sheetId="2">
        <row r="3">
          <cell r="A3" t="str">
            <v xml:space="preserve">PROFIT AND LOSS AND KEY REVENUE DRIVERS </v>
          </cell>
        </row>
      </sheetData>
      <sheetData sheetId="3">
        <row r="1">
          <cell r="A1" t="str">
            <v>NOVA969 SYDNEY: MONTHLY 6</v>
          </cell>
        </row>
      </sheetData>
      <sheetData sheetId="4">
        <row r="1">
          <cell r="A1" t="str">
            <v>NOVA969 SYDNEY: MONTHLY 7</v>
          </cell>
        </row>
      </sheetData>
      <sheetData sheetId="5">
        <row r="1">
          <cell r="A1" t="str">
            <v>DMG Radio Australia Pty Ltd</v>
          </cell>
        </row>
      </sheetData>
      <sheetData sheetId="6">
        <row r="1">
          <cell r="A1" t="str">
            <v>DMG Radio Australia Pty Ltd</v>
          </cell>
        </row>
      </sheetData>
      <sheetData sheetId="7">
        <row r="2">
          <cell r="B2" t="str">
            <v>W/E</v>
          </cell>
        </row>
      </sheetData>
      <sheetData sheetId="8">
        <row r="1">
          <cell r="A1" t="str">
            <v>DMG Radio Australia Pty Ltd</v>
          </cell>
        </row>
      </sheetData>
      <sheetData sheetId="9">
        <row r="1">
          <cell r="A1" t="str">
            <v>NOVA969 SYDNEY</v>
          </cell>
        </row>
      </sheetData>
      <sheetData sheetId="10">
        <row r="3">
          <cell r="B3" t="str">
            <v>sDayPartName</v>
          </cell>
        </row>
      </sheetData>
      <sheetData sheetId="11">
        <row r="1">
          <cell r="A1" t="str">
            <v>NOVA969 SYDNEY</v>
          </cell>
        </row>
      </sheetData>
      <sheetData sheetId="12">
        <row r="1">
          <cell r="A1" t="str">
            <v>Wk No.</v>
          </cell>
        </row>
        <row r="2">
          <cell r="C2">
            <v>40818</v>
          </cell>
        </row>
        <row r="3">
          <cell r="C3">
            <v>40825</v>
          </cell>
        </row>
        <row r="4">
          <cell r="C4">
            <v>40832</v>
          </cell>
        </row>
        <row r="5">
          <cell r="C5">
            <v>40839</v>
          </cell>
        </row>
        <row r="6">
          <cell r="C6">
            <v>40846</v>
          </cell>
        </row>
        <row r="7">
          <cell r="C7">
            <v>40853</v>
          </cell>
        </row>
        <row r="8">
          <cell r="C8">
            <v>40860</v>
          </cell>
        </row>
        <row r="9">
          <cell r="C9">
            <v>40867</v>
          </cell>
        </row>
        <row r="10">
          <cell r="C10">
            <v>40874</v>
          </cell>
        </row>
        <row r="11">
          <cell r="C11">
            <v>40881</v>
          </cell>
        </row>
        <row r="12">
          <cell r="C12">
            <v>40888</v>
          </cell>
        </row>
        <row r="13">
          <cell r="C13">
            <v>40895</v>
          </cell>
        </row>
        <row r="14">
          <cell r="C14">
            <v>40902</v>
          </cell>
        </row>
        <row r="15">
          <cell r="C15">
            <v>40909</v>
          </cell>
        </row>
        <row r="16">
          <cell r="C16">
            <v>40916</v>
          </cell>
        </row>
        <row r="17">
          <cell r="C17">
            <v>40923</v>
          </cell>
        </row>
        <row r="18">
          <cell r="C18">
            <v>40930</v>
          </cell>
        </row>
        <row r="19">
          <cell r="C19">
            <v>40937</v>
          </cell>
        </row>
        <row r="20">
          <cell r="C20">
            <v>40944</v>
          </cell>
        </row>
        <row r="21">
          <cell r="C21">
            <v>40951</v>
          </cell>
        </row>
        <row r="22">
          <cell r="C22">
            <v>40958</v>
          </cell>
        </row>
        <row r="23">
          <cell r="C23">
            <v>40965</v>
          </cell>
        </row>
        <row r="24">
          <cell r="C24">
            <v>40972</v>
          </cell>
        </row>
        <row r="25">
          <cell r="C25">
            <v>40979</v>
          </cell>
        </row>
        <row r="26">
          <cell r="C26">
            <v>40986</v>
          </cell>
        </row>
        <row r="27">
          <cell r="C27">
            <v>40993</v>
          </cell>
        </row>
        <row r="28">
          <cell r="C28">
            <v>41000</v>
          </cell>
        </row>
        <row r="29">
          <cell r="C29">
            <v>41007</v>
          </cell>
        </row>
        <row r="30">
          <cell r="C30">
            <v>41014</v>
          </cell>
        </row>
        <row r="31">
          <cell r="C31">
            <v>41021</v>
          </cell>
        </row>
        <row r="32">
          <cell r="C32">
            <v>41028</v>
          </cell>
        </row>
        <row r="33">
          <cell r="C33">
            <v>41035</v>
          </cell>
        </row>
        <row r="34">
          <cell r="C34">
            <v>41042</v>
          </cell>
        </row>
        <row r="35">
          <cell r="C35">
            <v>41049</v>
          </cell>
        </row>
        <row r="36">
          <cell r="C36">
            <v>41056</v>
          </cell>
        </row>
        <row r="37">
          <cell r="C37">
            <v>41063</v>
          </cell>
        </row>
        <row r="38">
          <cell r="C38">
            <v>41070</v>
          </cell>
        </row>
        <row r="39">
          <cell r="C39">
            <v>41077</v>
          </cell>
        </row>
        <row r="40">
          <cell r="C40">
            <v>41084</v>
          </cell>
        </row>
        <row r="41">
          <cell r="C41">
            <v>41091</v>
          </cell>
        </row>
        <row r="42">
          <cell r="C42">
            <v>41098</v>
          </cell>
        </row>
        <row r="43">
          <cell r="C43">
            <v>41105</v>
          </cell>
        </row>
        <row r="44">
          <cell r="C44">
            <v>41112</v>
          </cell>
        </row>
        <row r="45">
          <cell r="C45">
            <v>41119</v>
          </cell>
        </row>
        <row r="46">
          <cell r="C46">
            <v>41126</v>
          </cell>
        </row>
        <row r="47">
          <cell r="C47">
            <v>41133</v>
          </cell>
        </row>
        <row r="48">
          <cell r="C48">
            <v>41140</v>
          </cell>
        </row>
        <row r="49">
          <cell r="C49">
            <v>41147</v>
          </cell>
        </row>
        <row r="50">
          <cell r="C50">
            <v>41154</v>
          </cell>
        </row>
        <row r="51">
          <cell r="C51">
            <v>41161</v>
          </cell>
        </row>
        <row r="52">
          <cell r="C52">
            <v>41168</v>
          </cell>
        </row>
        <row r="53">
          <cell r="C53">
            <v>41175</v>
          </cell>
        </row>
        <row r="54">
          <cell r="C54">
            <v>41182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 Requirement"/>
      <sheetName val="Tax Pack Instructions"/>
      <sheetName val="FY07 Due Dates"/>
      <sheetName val="FM AU"/>
      <sheetName val="Title"/>
      <sheetName val="Index"/>
      <sheetName val="TB"/>
      <sheetName val="Fixed assets - Acc owned"/>
      <sheetName val="Fixed assets - Acc leased"/>
      <sheetName val="Fixed assets - Acc total"/>
      <sheetName val="Consolidated ACC"/>
      <sheetName val="Greenfields ACC"/>
      <sheetName val="Kings Park ACC"/>
      <sheetName val="Fixed assets - Tax owned"/>
      <sheetName val="Consolidated TAX"/>
      <sheetName val="Greenfields TAX"/>
      <sheetName val="Kings Park TAX"/>
      <sheetName val="ITR Tax Depn"/>
      <sheetName val="Fixed asset proof"/>
      <sheetName val="Disposals"/>
      <sheetName val="Disposal Details (to obtain)"/>
      <sheetName val="Additions"/>
      <sheetName val="Finance Leases"/>
      <sheetName val="Finance&amp;Op Leases (to obtain)"/>
      <sheetName val="Prepayments"/>
      <sheetName val="Donations"/>
      <sheetName val="Legal Fees"/>
      <sheetName val="Prof Fees"/>
      <sheetName val="R&amp;M"/>
      <sheetName val="Entertainment"/>
      <sheetName val="Accruals"/>
      <sheetName val="Provisions"/>
      <sheetName val="LSL Non-Current (to obtain)"/>
      <sheetName val="LSL Summary (to obtain)"/>
      <sheetName val="LSL Worksheet (to obtain)"/>
      <sheetName val="FBT"/>
      <sheetName val="Loans"/>
      <sheetName val="Management Fees"/>
      <sheetName val="ITR Royalty Exp"/>
      <sheetName val="Rent "/>
      <sheetName val="Lease Incentve&amp;Landlord Contrib"/>
      <sheetName val="Franchise Acq"/>
      <sheetName val="Deferred Exp"/>
      <sheetName val="Insurance Claims"/>
      <sheetName val="Sundry Inc &amp; Exp"/>
      <sheetName val="Int Inc"/>
      <sheetName val="ITR Int Exp"/>
      <sheetName val="PAYG Inst"/>
      <sheetName val="ITR Salary"/>
      <sheetName val="ITR Tot Debt &amp; Purchases &amp; Loan"/>
      <sheetName val="Info_Requirement"/>
      <sheetName val="Tax_Pack_Instructions"/>
      <sheetName val="FY07_Due_Dates"/>
      <sheetName val="FM_AU"/>
      <sheetName val="Fixed_assets_-_Acc_owned"/>
      <sheetName val="Fixed_assets_-_Acc_leased"/>
      <sheetName val="Fixed_assets_-_Acc_total"/>
      <sheetName val="Consolidated_ACC"/>
      <sheetName val="Greenfields_ACC"/>
      <sheetName val="Kings_Park_ACC"/>
      <sheetName val="Fixed_assets_-_Tax_owned"/>
      <sheetName val="Consolidated_TAX"/>
      <sheetName val="Greenfields_TAX"/>
      <sheetName val="Kings_Park_TAX"/>
      <sheetName val="ITR_Tax_Depn"/>
      <sheetName val="Fixed_asset_proof"/>
      <sheetName val="Disposal_Details_(to_obtain)"/>
      <sheetName val="Finance_Leases"/>
      <sheetName val="Finance&amp;Op_Leases_(to_obtain)"/>
      <sheetName val="Legal_Fees"/>
      <sheetName val="Prof_Fees"/>
      <sheetName val="LSL_Non-Current_(to_obtain)"/>
      <sheetName val="LSL_Summary_(to_obtain)"/>
      <sheetName val="LSL_Worksheet_(to_obtain)"/>
      <sheetName val="Management_Fees"/>
      <sheetName val="ITR_Royalty_Exp"/>
      <sheetName val="Rent_"/>
      <sheetName val="Lease_Incentve&amp;Landlord_Contrib"/>
      <sheetName val="Franchise_Acq"/>
      <sheetName val="Deferred_Exp"/>
      <sheetName val="Insurance_Claims"/>
      <sheetName val="Sundry_Inc_&amp;_Exp"/>
      <sheetName val="Int_Inc"/>
      <sheetName val="ITR_Int_Exp"/>
      <sheetName val="PAYG_Inst"/>
      <sheetName val="ITR_Salary"/>
      <sheetName val="ITR_Tot_Debt_&amp;_Purchases_&amp;_Lo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"/>
      <sheetName val="Mvmt Schedule"/>
      <sheetName val="TB Workings"/>
      <sheetName val="Raw AURA TB"/>
      <sheetName val="4b96faeec24496bed040523dfc9146"/>
      <sheetName val="Mvmt_Schedule"/>
      <sheetName val="TB_Workings"/>
      <sheetName val="Raw_AURA_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48.477713541666" backgroundQuery="1" createdVersion="8" refreshedVersion="8" minRefreshableVersion="3" recordCount="0" supportSubquery="1" supportAdvancedDrill="1" xr:uid="{34D094F8-5565-41DA-8A85-B1C9F62F6578}">
  <cacheSource type="external" connectionId="1"/>
  <cacheFields count="8">
    <cacheField name="[BI metrics].[TimePeriod].[TimePeriod]" caption="TimePeriod" numFmtId="0" hierarchy="16" level="1">
      <sharedItems containsSemiMixedTypes="0" containsString="0"/>
    </cacheField>
    <cacheField name="[BI metrics].[Fin_Period].[Fin_Period]" caption="Fin_Period" numFmtId="0" level="1">
      <sharedItems count="98">
        <s v="[BI metrics].[Fin_Period].&amp;[202501]" c="202501"/>
        <s v="[BI metrics].[Fin_Period].&amp;[202502]" c="202502"/>
        <s v="[BI metrics].[Fin_Period].&amp;[202503]" c="202503"/>
        <s v="[BI metrics].[Fin_Period].&amp;[202504]" c="202504"/>
        <s v="[BI metrics].[Fin_Period].&amp;[202505]" c="202505"/>
        <s v="[BI metrics].[Fin_Period].&amp;[202506]" c="202506"/>
        <s v="[BI metrics].[Fin_Period].&amp;[202507]" c="202507"/>
        <s v="[BI metrics].[Fin_Period].&amp;[202508]" c="202508"/>
        <s v="[BI metrics].[Fin_Period].&amp;[202509]" c="202509"/>
        <s v="[BI metrics].[Fin_Period].&amp;[202510]" c="202510"/>
        <s v="[BI metrics].[Fin_Period].&amp;[202511]" c="202511"/>
        <s v="[BI metrics].[Fin_Period].&amp;[202512]" c="202512"/>
        <s v="[BI metrics].[Fin_Period].&amp;[202513]" c="202513"/>
        <s v="[BI metrics].[Fin_Period].&amp;[202514]" c="202514"/>
        <s v="[BI metrics].[Fin_Period].&amp;[202515]" c="202515"/>
        <s v="[BI metrics].[Fin_Period].&amp;[202516]" c="202516"/>
        <s v="[BI metrics].[Fin_Period].&amp;[202517]" c="202517"/>
        <s v="[BI metrics].[Fin_Period].&amp;[202518]" c="202518"/>
        <s v="[BI metrics].[Fin_Period].&amp;[202519]" c="202519"/>
        <s v="[BI metrics].[Fin_Period].&amp;[202520]" c="202520"/>
        <s v="[BI metrics].[Fin_Period].&amp;[202521]" c="202521"/>
        <s v="[BI metrics].[Fin_Period].&amp;[202522]" c="202522"/>
        <s v="[BI metrics].[Fin_Period].&amp;[202523]" c="202523"/>
        <s v="[BI metrics].[Fin_Period].&amp;[202524]" c="202524"/>
        <s v="[BI metrics].[Fin_Period].&amp;[202525]" c="202525"/>
        <s v="[BI metrics].[Fin_Period].&amp;[202526]" c="202526"/>
        <s v="[BI metrics].[Fin_Period].&amp;[202527]" c="202527"/>
        <s v="[BI metrics].[Fin_Period].&amp;[202528]" c="202528"/>
        <s v="[BI metrics].[Fin_Period].&amp;[202529]" c="202529"/>
        <s v="[BI metrics].[Fin_Period].&amp;[202530]" c="202530"/>
        <s v="[BI metrics].[Fin_Period].&amp;[202531]" c="202531"/>
        <s v="[BI metrics].[Fin_Period].&amp;[202532]" c="202532"/>
        <s v="[BI metrics].[Fin_Period].&amp;[202533]" c="202533"/>
        <s v="[BI metrics].[Fin_Period].&amp;[202534]" c="202534"/>
        <s v="[BI metrics].[Fin_Period].&amp;[202535]" c="202535"/>
        <s v="[BI metrics].[Fin_Period].&amp;[202536]" c="202536"/>
        <s v="[BI metrics].[Fin_Period].&amp;[202537]" c="202537"/>
        <s v="[BI metrics].[Fin_Period].&amp;[202538]" c="202538"/>
        <s v="[BI metrics].[Fin_Period].&amp;[202539]" c="202539"/>
        <s v="[BI metrics].[Fin_Period].&amp;[202540]" c="202540"/>
        <s v="[BI metrics].[Fin_Period].&amp;[202541]" c="202541"/>
        <s v="[BI metrics].[Fin_Period].&amp;[202542]" c="202542"/>
        <s v="[BI metrics].[Fin_Period].&amp;[202543]" c="202543"/>
        <s v="[BI metrics].[Fin_Period].&amp;[202544]" c="202544"/>
        <s v="[BI metrics].[Fin_Period].&amp;[202545]" c="202545"/>
        <s v="[BI metrics].[Fin_Period].&amp;[202546]" c="202546"/>
        <s v="[BI metrics].[Fin_Period].&amp;[202547]" c="202547"/>
        <s v="[BI metrics].[Fin_Period].&amp;[202548]" c="202548"/>
        <s v="[BI metrics].[Fin_Period].&amp;[202549]" c="202549"/>
        <s v="[BI metrics].[Fin_Period].&amp;[202550]" c="202550"/>
        <s v="[BI metrics].[Fin_Period].&amp;[202551]" c="202551"/>
        <s v="[BI metrics].[Fin_Period].&amp;[202552]" c="202552"/>
        <s v="[BI metrics].[Fin_Period].&amp;[202601]" c="202601"/>
        <s v="[BI metrics].[Fin_Period].&amp;[202602]" c="202602"/>
        <s v="[BI metrics].[Fin_Period].&amp;[202603]" c="202603"/>
        <s v="[BI metrics].[Fin_Period].&amp;[202604]" c="202604"/>
        <s v="[BI metrics].[Fin_Period].&amp;[202605]" c="202605"/>
        <s v="[BI metrics].[Fin_Period].&amp;[202606]" c="202606"/>
        <s v="[BI metrics].[Fin_Period].&amp;[202607]" c="202607"/>
        <s v="[BI metrics].[Fin_Period].&amp;[202608]" c="202608"/>
        <s v="[BI metrics].[Fin_Period].&amp;[202609]" c="202609"/>
        <s v="[BI metrics].[Fin_Period].&amp;[202610]" c="202610"/>
        <s v="[BI metrics].[Fin_Period].&amp;[202611]" c="202611"/>
        <s v="[BI metrics].[Fin_Period].&amp;[202612]" c="202612"/>
        <s v="[BI metrics].[Fin_Period].&amp;[202613]" c="202613"/>
        <s v="[BI metrics].[Fin_Period].&amp;[202614]" c="202614"/>
        <s v="[BI metrics].[Fin_Period].&amp;[202615]" c="202615"/>
        <s v="[BI metrics].[Fin_Period].&amp;[202616]" c="202616"/>
        <s v="[BI metrics].[Fin_Period].&amp;[202617]" c="202617"/>
        <s v="[BI metrics].[Fin_Period].&amp;[202618]" c="202618"/>
        <s v="[BI metrics].[Fin_Period].&amp;[202619]" c="202619"/>
        <s v="[BI metrics].[Fin_Period].&amp;[202620]" c="202620"/>
        <s v="[BI metrics].[Fin_Period].&amp;[202621]" c="202621"/>
        <s v="[BI metrics].[Fin_Period].&amp;[202622]" c="202622"/>
        <s v="[BI metrics].[Fin_Period].&amp;[202623]" c="202623"/>
        <s v="[BI metrics].[Fin_Period].&amp;[202624]" c="202624"/>
        <s v="[BI metrics].[Fin_Period].&amp;[202625]" c="202625"/>
        <s v="[BI metrics].[Fin_Period].&amp;[202626]" c="202626"/>
        <s v="[BI metrics].[Fin_Period].&amp;[202627]" c="202627"/>
        <s v="[BI metrics].[Fin_Period].&amp;[202628]" c="202628"/>
        <s v="[BI metrics].[Fin_Period].&amp;[202629]" c="202629"/>
        <s v="[BI metrics].[Fin_Period].&amp;[202630]" c="202630"/>
        <s v="[BI metrics].[Fin_Period].&amp;[202631]" c="202631"/>
        <s v="[BI metrics].[Fin_Period].&amp;[202632]" c="202632"/>
        <s v="[BI metrics].[Fin_Period].&amp;[202633]" c="202633"/>
        <s v="[BI metrics].[Fin_Period].&amp;[202634]" c="202634"/>
        <s v="[BI metrics].[Fin_Period].&amp;[202635]" c="202635"/>
        <s v="[BI metrics].[Fin_Period].&amp;[202636]" c="202636"/>
        <s v="[BI metrics].[Fin_Period].&amp;[202637]" c="202637"/>
        <s v="[BI metrics].[Fin_Period].&amp;[202638]" c="202638"/>
        <s v="[BI metrics].[Fin_Period].&amp;[202639]" c="202639"/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</sharedItems>
    </cacheField>
    <cacheField name="[BI vw_DynamicsDeliveredSales].[CHANNEL].[CHANNEL]" caption="CHANNEL" numFmtId="0" hierarchy="38" level="1">
      <sharedItems count="3">
        <s v="[BI vw_DynamicsDeliveredSales].[CHANNEL].&amp;[Dropship]" c="Dropship"/>
        <s v="[BI vw_DynamicsDeliveredSales].[CHANNEL].&amp;[In Store]" c="In Store"/>
        <s v="[BI vw_DynamicsDeliveredSales].[CHANNEL].&amp;[Online]" c="Online"/>
      </sharedItems>
    </cacheField>
    <cacheField name="[BI vw_Store].[Country].[Country]" caption="Country" numFmtId="0" hierarchy="142" level="1">
      <sharedItems count="1">
        <s v="[BI vw_Store].[Country].&amp;[AU]" c="AU"/>
      </sharedItems>
    </cacheField>
    <cacheField name="[BI vw_Store].[BranchType].[BranchType]" caption="BranchType" numFmtId="0" hierarchy="140" level="1">
      <sharedItems containsSemiMixedTypes="0" containsString="0"/>
    </cacheField>
    <cacheField name="[BI vw_DynamicsDeliveredSales].[Sales Order Type].[Sales Order Type]" caption="Sales Order Type" numFmtId="0" hierarchy="101" level="1">
      <sharedItems containsSemiMixedTypes="0" containsString="0"/>
    </cacheField>
    <cacheField name="[BI vw_DynamicsDeliveredSales].[Division].[Division]" caption="Division" numFmtId="0" hierarchy="60" level="1">
      <sharedItems count="2">
        <s v="[BI vw_DynamicsDeliveredSales].[Division].&amp;[Furniture]" c="Furniture"/>
        <s v="[BI vw_DynamicsDeliveredSales].[Division].&amp;[Homewares]" c="Homewares"/>
      </sharedItems>
    </cacheField>
    <cacheField name="[Measures].[R-Trading Margin TY $]" caption="R-Trading Margin TY $" numFmtId="0" hierarchy="270" level="32767"/>
  </cacheFields>
  <cacheHierarchies count="311"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1"/>
      </fieldsUsage>
    </cacheHierarchy>
    <cacheHierarchy uniqueName="[BI metrics].[Fin_Week]" caption="Fin_Week" attribute="1" defaultMemberUniqueName="[BI metrics].[Fin_Week].[All]" allUniqueName="[BI metrics].[Fin_Week].[All]" dimensionUniqueName="[BI metrics]" displayFolder="" count="0" memberValueDatatype="130" unbalanced="0"/>
    <cacheHierarchy uniqueName="[BI metrics].[Fin_Year]" caption="Fin_Year" attribute="1" defaultMemberUniqueName="[BI metrics].[Fin_Year].[All]" allUniqueName="[BI metrics].[Fin_Year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13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5" unbalanced="0"/>
    <cacheHierarchy uniqueName="[BI metrics].[LastYear_Week]" caption="LastYear_Week" attribute="1" defaultMemberUniqueName="[BI metrics].[LastYear_Week].[All]" allUniqueName="[BI metrics].[LastYear_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5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5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0"/>
      </fieldsUsage>
    </cacheHierarchy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vw_Budget Duplicate].[BudgetDollar]" caption="BudgetDollar" attribute="1" defaultMemberUniqueName="[BI vw_Budget Duplicate].[BudgetDollar].[All]" allUniqueName="[BI vw_Budget Duplicate].[BudgetDollar].[All]" dimensionUniqueName="[BI vw_Budget Duplicate]" displayFolder="" count="0" memberValueDatatype="6" unbalanced="0"/>
    <cacheHierarchy uniqueName="[BI vw_Budget Duplicate].[BudgetYear]" caption="BudgetYear" attribute="1" defaultMemberUniqueName="[BI vw_Budget Duplicate].[BudgetYear].[All]" allUniqueName="[BI vw_Budget Duplicate].[BudgetYear].[All]" dimensionUniqueName="[BI vw_Budget Duplicate]" displayFolder="" count="0" memberValueDatatype="20" unbalanced="0"/>
    <cacheHierarchy uniqueName="[BI vw_Budget Duplicate].[FinPeriod]" caption="FinPeriod" attribute="1" defaultMemberUniqueName="[BI vw_Budget Duplicate].[FinPeriod].[All]" allUniqueName="[BI vw_Budget Duplicate].[FinPeriod].[All]" dimensionUniqueName="[BI vw_Budget Duplicate]" displayFolder="" count="0" memberValueDatatype="130" unbalanced="0"/>
    <cacheHierarchy uniqueName="[BI vw_Budget Duplicate].[Store]" caption="Store" attribute="1" defaultMemberUniqueName="[BI vw_Budget Duplicate].[Store].[All]" allUniqueName="[BI vw_Budget Duplicate].[Store].[All]" dimensionUniqueName="[BI vw_Budget Duplicate]" displayFolder="" count="0" memberValueDatatype="130" unbalanced="0"/>
    <cacheHierarchy uniqueName="[BI vw_Budget Duplicate].[YearFinPeriod]" caption="YearFinPeriod" attribute="1" defaultMemberUniqueName="[BI vw_Budget Duplicate].[YearFinPeriod].[All]" allUniqueName="[BI vw_Budget Duplicate].[YearFinPeriod].[All]" dimensionUniqueName="[BI vw_Budget Duplicate]" displayFolder="" count="0" memberValueDatatype="130" unbalanced="0"/>
    <cacheHierarchy uniqueName="[BI vw_BudgetDeliveredSalesByStore].[Budget_Key]" caption="Budget_Key" attribute="1" defaultMemberUniqueName="[BI vw_BudgetDeliveredSalesByStore].[Budget_Key].[All]" allUniqueName="[BI vw_BudgetDeliveredSalesByStore].[Budget_Key].[All]" dimensionUniqueName="[BI vw_BudgetDeliveredSalesByStore]" displayFolder="" count="0" memberValueDatatype="130" unbalanced="0"/>
    <cacheHierarchy uniqueName="[BI vw_BudgetDeliveredSalesByStore].[BudgetDollar]" caption="BudgetDollar" attribute="1" defaultMemberUniqueName="[BI vw_BudgetDeliveredSalesByStore].[BudgetDollar].[All]" allUniqueName="[BI vw_BudgetDeliveredSalesByStore].[BudgetDollar].[All]" dimensionUniqueName="[BI vw_BudgetDeliveredSalesByStore]" displayFolder="" count="0" memberValueDatatype="6" unbalanced="0"/>
    <cacheHierarchy uniqueName="[BI vw_BudgetDeliveredSalesByStore].[BudgetYear]" caption="BudgetYear" attribute="1" defaultMemberUniqueName="[BI vw_BudgetDeliveredSalesByStore].[BudgetYear].[All]" allUniqueName="[BI vw_BudgetDeliveredSalesByStore].[BudgetYear].[All]" dimensionUniqueName="[BI vw_BudgetDeliveredSalesByStore]" displayFolder="" count="0" memberValueDatatype="20" unbalanced="0"/>
    <cacheHierarchy uniqueName="[BI vw_BudgetDeliveredSalesByStore].[FinPeriod]" caption="FinPeriod" attribute="1" defaultMemberUniqueName="[BI vw_BudgetDeliveredSalesByStore].[FinPeriod].[All]" allUniqueName="[BI vw_BudgetDeliveredSalesByStore].[FinPeriod].[All]" dimensionUniqueName="[BI vw_BudgetDeliveredSalesByStore]" displayFolder="" count="0" memberValueDatatype="130" unbalanced="0"/>
    <cacheHierarchy uniqueName="[BI vw_BudgetDeliveredSalesByStore].[Store]" caption="Store" attribute="1" defaultMemberUniqueName="[BI vw_BudgetDeliveredSalesByStore].[Store].[All]" allUniqueName="[BI vw_BudgetDeliveredSalesByStore].[Store].[All]" dimensionUniqueName="[BI vw_BudgetDeliveredSalesByStore]" displayFolder="" count="0" memberValueDatatype="130" unbalanced="0"/>
    <cacheHierarchy uniqueName="[BI vw_BudgetDeliveredSalesByStore].[YearFinPeriod]" caption="YearFinPeriod" attribute="1" defaultMemberUniqueName="[BI vw_BudgetDeliveredSalesByStore].[YearFinPeriod].[All]" allUniqueName="[BI vw_BudgetDeliveredSalesByStore].[YearFinPeriod].[All]" dimensionUniqueName="[BI vw_BudgetDeliveredSalesByStore]" displayFolder="" count="0" memberValueDatatype="130" unbalanced="0"/>
    <cacheHierarchy uniqueName="[BI vw_Dynamics_FFAFDropshipwholesaleprice].[Key]" caption="Key" attribute="1" defaultMemberUniqueName="[BI vw_Dynamics_FFAFDropshipwholesaleprice].[Key].[All]" allUniqueName="[BI vw_Dynamics_FFAFDropshipwholesaleprice].[Key].[All]" dimensionUniqueName="[BI vw_Dynamics_FFAFDropshipwholesaleprice]" displayFolder="" count="0" memberValueDatatype="130" unbalanced="0"/>
    <cacheHierarchy uniqueName="[BI vw_Dynamics_FFAFDropshipwholesaleprice].[WholeSalePrice_FFAFdropship]" caption="WholeSalePrice_FFAFdropship" attribute="1" defaultMemberUniqueName="[BI vw_Dynamics_FFAFDropshipwholesaleprice].[WholeSalePrice_FFAFdropship].[All]" allUniqueName="[BI vw_Dynamics_FFAFDropshipwholesaleprice].[WholeSalePrice_FFAFdropship].[All]" dimensionUniqueName="[BI vw_Dynamics_FFAFDropshipwholesaleprice]" displayFolder="" count="0" memberValueDatatype="5" unbalanced="0"/>
    <cacheHierarchy uniqueName="[BI vw_DynamicsDeliveredSales].[AU-AU]" caption="AU-AU" attribute="1" defaultMemberUniqueName="[BI vw_DynamicsDeliveredSales].[AU-AU].[All]" allUniqueName="[BI vw_DynamicsDeliveredSales].[AU-AU].[All]" dimensionUniqueName="[BI vw_DynamicsDeliveredSales]" displayFolder="" count="0" memberValueDatatype="5" unbalanced="0"/>
    <cacheHierarchy uniqueName="[BI vw_DynamicsDeliveredSales].[AU-NZ]" caption="AU-NZ" attribute="1" defaultMemberUniqueName="[BI vw_DynamicsDeliveredSales].[AU-NZ].[All]" allUniqueName="[BI vw_DynamicsDeliveredSales].[AU-NZ].[All]" dimensionUniqueName="[BI vw_DynamicsDeliveredSales]" displayFolder="" count="0" memberValueDatatype="5" unbalanced="0"/>
    <cacheHierarchy uniqueName="[BI vw_DynamicsDeliveredSales].[BI vw_Dynamics_FFAFDropshipwholesaleprice.WholeSalePrice_FFAFdropship]" caption="BI vw_Dynamics_FFAFDropshipwholesaleprice.WholeSalePrice_FFAFdropship" attribute="1" defaultMemberUniqueName="[BI vw_DynamicsDeliveredSales].[BI vw_Dynamics_FFAFDropshipwholesaleprice.WholeSalePrice_FFAFdropship].[All]" allUniqueName="[BI vw_DynamicsDeliveredSales].[BI vw_Dynamics_FFAFDropshipwholesaleprice.WholeSalePrice_FFAFdropship].[All]" dimensionUniqueName="[BI vw_DynamicsDeliveredSales]" displayFolder="" count="0" memberValueDatatype="5" unbalanced="0"/>
    <cacheHierarchy uniqueName="[BI vw_DynamicsDeliveredSales].[BranchType]" caption="BranchType" attribute="1" defaultMemberUniqueName="[BI vw_DynamicsDeliveredSales].[BranchType].[All]" allUniqueName="[BI vw_DynamicsDeliveredSales].[BranchType].[All]" dimensionUniqueName="[BI vw_DynamicsDeliveredSales]" displayFolder="" count="0" memberValueDatatype="130" unbalanced="0"/>
    <cacheHierarchy uniqueName="[BI vw_DynamicsDeliveredSales].[Budget_Key]" caption="Budget_Key" attribute="1" defaultMemberUniqueName="[BI vw_DynamicsDeliveredSales].[Budget_Key].[All]" allUniqueName="[BI vw_DynamicsDeliveredSales].[Budget_Key].[All]" dimensionUniqueName="[BI vw_DynamicsDeliveredSales]" displayFolder="" count="0" memberValueDatatype="130" unbalanced="0"/>
    <cacheHierarchy uniqueName="[BI vw_DynamicsDeliveredSales].[CHANNEL]" caption="CHANNEL" attribute="1" defaultMemberUniqueName="[BI vw_DynamicsDeliveredSales].[CHANNEL].[All]" allUniqueName="[BI vw_DynamicsDeliveredSales].[CHANNEL].[All]" dimensionUniqueName="[BI vw_DynamicsDeliveredSales]" displayFolder="" count="2" memberValueDatatype="130" unbalanced="0">
      <fieldsUsage count="2">
        <fieldUsage x="-1"/>
        <fieldUsage x="2"/>
      </fieldsUsage>
    </cacheHierarchy>
    <cacheHierarchy uniqueName="[BI vw_DynamicsDeliveredSales].[ClassDesc]" caption="ClassDesc" attribute="1" defaultMemberUniqueName="[BI vw_DynamicsDeliveredSales].[ClassDesc].[All]" allUniqueName="[BI vw_DynamicsDeliveredSales].[ClassDesc].[All]" dimensionUniqueName="[BI vw_DynamicsDeliveredSales]" displayFolder="" count="0" memberValueDatatype="130" unbalanced="0"/>
    <cacheHierarchy uniqueName="[BI vw_DynamicsDeliveredSales].[COMPANY]" caption="COMPANY" attribute="1" defaultMemberUniqueName="[BI vw_DynamicsDeliveredSales].[COMPANY].[All]" allUniqueName="[BI vw_DynamicsDeliveredSales].[COMPANY].[All]" dimensionUniqueName="[BI vw_DynamicsDeliveredSales]" displayFolder="" count="0" memberValueDatatype="130" unbalanced="0"/>
    <cacheHierarchy uniqueName="[BI vw_DynamicsDeliveredSales].[CONTRIBUTIONMARGIN]" caption="CONTRIBUTIONMARGIN" attribute="1" defaultMemberUniqueName="[BI vw_DynamicsDeliveredSales].[CONTRIBUTIONMARGIN].[All]" allUniqueName="[BI vw_DynamicsDeliveredSales].[CONTRIBUTIONMARGIN].[All]" dimensionUniqueName="[BI vw_DynamicsDeliveredSales]" displayFolder="" count="0" memberValueDatatype="5" unbalanced="0"/>
    <cacheHierarchy uniqueName="[BI vw_DynamicsDeliveredSales].[CONTRIBUTIONMARGININVOICED]" caption="CONTRIBUTIONMARGININVOICED" attribute="1" defaultMemberUniqueName="[BI vw_DynamicsDeliveredSales].[CONTRIBUTIONMARGININVOICED].[All]" allUniqueName="[BI vw_DynamicsDeliveredSales].[CONTRIBUTIONMARGININVOICED].[All]" dimensionUniqueName="[BI vw_DynamicsDeliveredSales]" displayFolder="" count="0" memberValueDatatype="5" unbalanced="0"/>
    <cacheHierarchy uniqueName="[BI vw_DynamicsDeliveredSales].[COSTAMOUNTSTD]" caption="COSTAMOUNTSTD" attribute="1" defaultMemberUniqueName="[BI vw_DynamicsDeliveredSales].[COSTAMOUNTSTD].[All]" allUniqueName="[BI vw_DynamicsDeliveredSales].[COSTAMOUNTSTD].[All]" dimensionUniqueName="[BI vw_DynamicsDeliveredSales]" displayFolder="" count="0" memberValueDatatype="5" unbalanced="0"/>
    <cacheHierarchy uniqueName="[BI vw_DynamicsDeliveredSales].[COSTAMOUNTSTDADJUSTMENT]" caption="COSTAMOUNTSTDADJUSTMENT" attribute="1" defaultMemberUniqueName="[BI vw_DynamicsDeliveredSales].[COSTAMOUNTSTDADJUSTMENT].[All]" allUniqueName="[BI vw_DynamicsDeliveredSales].[COSTAMOUNTSTDADJUSTMENT].[All]" dimensionUniqueName="[BI vw_DynamicsDeliveredSales]" displayFolder="" count="0" memberValueDatatype="5" unbalanced="0"/>
    <cacheHierarchy uniqueName="[BI vw_DynamicsDeliveredSales].[COSTINVOICEDCOST]" caption="COSTINVOICEDCOST" attribute="1" defaultMemberUniqueName="[BI vw_DynamicsDeliveredSales].[COSTINVOICEDCOST].[All]" allUniqueName="[BI vw_DynamicsDeliveredSales].[COSTINVOICEDCOST].[All]" dimensionUniqueName="[BI vw_DynamicsDeliveredSales]" displayFolder="" count="0" memberValueDatatype="5" unbalanced="0"/>
    <cacheHierarchy uniqueName="[BI vw_DynamicsDeliveredSales].[Country]" caption="Country" attribute="1" defaultMemberUniqueName="[BI vw_DynamicsDeliveredSales].[Country].[All]" allUniqueName="[BI vw_DynamicsDeliveredSales].[Country].[All]" dimensionUniqueName="[BI vw_DynamicsDeliveredSales]" displayFolder="" count="0" memberValueDatatype="130" unbalanced="0"/>
    <cacheHierarchy uniqueName="[BI vw_DynamicsDeliveredSales].[CUSTACCOUNT]" caption="CUSTACCOUNT" attribute="1" defaultMemberUniqueName="[BI vw_DynamicsDeliveredSales].[CUSTACCOUNT].[All]" allUniqueName="[BI vw_DynamicsDeliveredSales].[CUSTACCOUNT].[All]" dimensionUniqueName="[BI vw_DynamicsDeliveredSales]" displayFolder="" count="0" memberValueDatatype="130" unbalanced="0"/>
    <cacheHierarchy uniqueName="[BI vw_DynamicsDeliveredSales].[CUSTACCOUNT - Copy]" caption="CUSTACCOUNT - Copy" attribute="1" defaultMemberUniqueName="[BI vw_DynamicsDeliveredSales].[CUSTACCOUNT - Copy].[All]" allUniqueName="[BI vw_DynamicsDeliveredSales].[CUSTACCOUNT - Copy].[All]" dimensionUniqueName="[BI vw_DynamicsDeliveredSales]" displayFolder="" count="0" memberValueDatatype="130" unbalanced="0"/>
    <cacheHierarchy uniqueName="[BI vw_DynamicsDeliveredSales].[CUSTOMERNAME]" caption="CUSTOMERNAME" attribute="1" defaultMemberUniqueName="[BI vw_DynamicsDeliveredSales].[CUSTOMERNAME].[All]" allUniqueName="[BI vw_DynamicsDeliveredSales].[CUSTOMERNAME].[All]" dimensionUniqueName="[BI vw_DynamicsDeliveredSales]" displayFolder="" count="0" memberValueDatatype="130" unbalanced="0"/>
    <cacheHierarchy uniqueName="[BI vw_DynamicsDeliveredSales].[CUSTOMERSORDERREFERENCE]" caption="CUSTOMERSORDERREFERENCE" attribute="1" defaultMemberUniqueName="[BI vw_DynamicsDeliveredSales].[CUSTOMERSORDERREFERENCE].[All]" allUniqueName="[BI vw_DynamicsDeliveredSales].[CUSTOMERSORDERREFERENCE].[All]" dimensionUniqueName="[BI vw_DynamicsDeliveredSales]" displayFolder="" count="0" memberValueDatatype="130" unbalanced="0"/>
    <cacheHierarchy uniqueName="[BI vw_DynamicsDeliveredSales].[DATAAREAID]" caption="DATAAREAID" attribute="1" defaultMemberUniqueName="[BI vw_DynamicsDeliveredSales].[DATAAREAID].[All]" allUniqueName="[BI vw_DynamicsDeliveredSales].[DATAAREAID].[All]" dimensionUniqueName="[BI vw_DynamicsDeliveredSales]" displayFolder="" count="0" memberValueDatatype="130" unbalanced="0"/>
    <cacheHierarchy uniqueName="[BI vw_DynamicsDeliveredSales].[DC Name]" caption="DC Name" attribute="1" defaultMemberUniqueName="[BI vw_DynamicsDeliveredSales].[DC Name].[All]" allUniqueName="[BI vw_DynamicsDeliveredSales].[DC Name].[All]" dimensionUniqueName="[BI vw_DynamicsDeliveredSales]" displayFolder="" count="0" memberValueDatatype="130" unbalanced="0"/>
    <cacheHierarchy uniqueName="[BI vw_DynamicsDeliveredSales].[DC SO Name]" caption="DC SO Name" attribute="1" defaultMemberUniqueName="[BI vw_DynamicsDeliveredSales].[DC SO Name].[All]" allUniqueName="[BI vw_DynamicsDeliveredSales].[DC SO Name].[All]" dimensionUniqueName="[BI vw_DynamicsDeliveredSales]" displayFolder="" count="0" memberValueDatatype="20" unbalanced="0"/>
    <cacheHierarchy uniqueName="[BI vw_DynamicsDeliveredSales].[DEFAULTLEDGERDIMENSIONDISPLAYVALUE]" caption="DEFAULTLEDGERDIMENSIONDISPLAYVALUE" attribute="1" defaultMemberUniqueName="[BI vw_DynamicsDeliveredSales].[DEFAULTLEDGERDIMENSIONDISPLAYVALUE].[All]" allUniqueName="[BI vw_DynamicsDeliveredSales].[DEFAULTLEDGERDIMENSIONDISPLAYVALUE].[All]" dimensionUniqueName="[BI vw_DynamicsDeliveredSales]" displayFolder="" count="0" memberValueDatatype="130" unbalanced="0"/>
    <cacheHierarchy uniqueName="[BI vw_DynamicsDeliveredSales].[DEFAULTSHIPPINGWAREHOUSEID]" caption="DEFAULTSHIPPINGWAREHOUSEID" attribute="1" defaultMemberUniqueName="[BI vw_DynamicsDeliveredSales].[DEFAULTSHIPPINGWAREHOUSEID].[All]" allUniqueName="[BI vw_DynamicsDeliveredSales].[DEFAULTSHIPPINGWAREHOUSEID].[All]" dimensionUniqueName="[BI vw_DynamicsDeliveredSales]" displayFolder="" count="0" memberValueDatatype="130" unbalanced="0"/>
    <cacheHierarchy uniqueName="[BI vw_DynamicsDeliveredSales].[DELIVERYMODECODE]" caption="DELIVERYMODECODE" attribute="1" defaultMemberUniqueName="[BI vw_DynamicsDeliveredSales].[DELIVERYMODECODE].[All]" allUniqueName="[BI vw_DynamicsDeliveredSales].[DELIVERYMODECODE].[All]" dimensionUniqueName="[BI vw_DynamicsDeliveredSales]" displayFolder="" count="0" memberValueDatatype="130" unbalanced="0"/>
    <cacheHierarchy uniqueName="[BI vw_DynamicsDeliveredSales].[Department]" caption="Department" attribute="1" defaultMemberUniqueName="[BI vw_DynamicsDeliveredSales].[Department].[All]" allUniqueName="[BI vw_DynamicsDeliveredSales].[Department].[All]" dimensionUniqueName="[BI vw_DynamicsDeliveredSales]" displayFolder="" count="0" memberValueDatatype="5" unbalanced="0"/>
    <cacheHierarchy uniqueName="[BI vw_DynamicsDeliveredSales].[DepartmentDesc]" caption="DepartmentDesc" attribute="1" defaultMemberUniqueName="[BI vw_DynamicsDeliveredSales].[DepartmentDesc].[All]" allUniqueName="[BI vw_DynamicsDeliveredSales].[DepartmentDesc].[All]" dimensionUniqueName="[BI vw_DynamicsDeliveredSales]" displayFolder="" count="0" memberValueDatatype="130" unbalanced="0"/>
    <cacheHierarchy uniqueName="[BI vw_DynamicsDeliveredSales].[DISCINVOICEDDISC]" caption="DISCINVOICEDDISC" attribute="1" defaultMemberUniqueName="[BI vw_DynamicsDeliveredSales].[DISCINVOICEDDISC].[All]" allUniqueName="[BI vw_DynamicsDeliveredSales].[DISCINVOICEDDISC].[All]" dimensionUniqueName="[BI vw_DynamicsDeliveredSales]" displayFolder="" count="0" memberValueDatatype="5" unbalanced="0"/>
    <cacheHierarchy uniqueName="[BI vw_DynamicsDeliveredSales].[Division]" caption="Division" attribute="1" defaultMemberUniqueName="[BI vw_DynamicsDeliveredSales].[Division].[All]" allUniqueName="[BI vw_DynamicsDeliveredSales].[Division].[All]" dimensionUniqueName="[BI vw_DynamicsDeliveredSales]" displayFolder="" count="2" memberValueDatatype="130" unbalanced="0">
      <fieldsUsage count="2">
        <fieldUsage x="-1"/>
        <fieldUsage x="6"/>
      </fieldsUsage>
    </cacheHierarchy>
    <cacheHierarchy uniqueName="[BI vw_DynamicsDeliveredSales].[Dropship]" caption="Dropship" attribute="1" defaultMemberUniqueName="[BI vw_DynamicsDeliveredSales].[Dropship].[All]" allUniqueName="[BI vw_DynamicsDeliveredSales].[Dropship].[All]" dimensionUniqueName="[BI vw_DynamicsDeliveredSales]" displayFolder="" count="0" memberValueDatatype="130" unbalanced="0"/>
    <cacheHierarchy uniqueName="[BI vw_DynamicsDeliveredSales].[DXC_BASEITEMNUMBER]" caption="DXC_BASEITEMNUMBER" attribute="1" defaultMemberUniqueName="[BI vw_DynamicsDeliveredSales].[DXC_BASEITEMNUMBER].[All]" allUniqueName="[BI vw_DynamicsDeliveredSales].[DXC_BASEITEMNUMBER].[All]" dimensionUniqueName="[BI vw_DynamicsDeliveredSales]" displayFolder="" count="0" memberValueDatatype="130" unbalanced="0"/>
    <cacheHierarchy uniqueName="[BI vw_DynamicsDeliveredSales].[dxc_EXTERNALCREATEDDATE]" caption="dxc_EXTERNALCREATEDDATE" attribute="1" time="1" defaultMemberUniqueName="[BI vw_DynamicsDeliveredSales].[dxc_EXTERNALCREATEDDATE].[All]" allUniqueName="[BI vw_DynamicsDeliveredSales].[dxc_EXTERNALCREATEDDATE].[All]" dimensionUniqueName="[BI vw_DynamicsDeliveredSales]" displayFolder="" count="0" memberValueDatatype="7" unbalanced="0"/>
    <cacheHierarchy uniqueName="[BI vw_DynamicsDeliveredSales].[DXC_EXTERNALITEMNUMBER]" caption="DXC_EXTERNALITEMNUMBER" attribute="1" defaultMemberUniqueName="[BI vw_DynamicsDeliveredSales].[DXC_EXTERNALITEMNUMBER].[All]" allUniqueName="[BI vw_DynamicsDeliveredSales].[DXC_EXTERNALITEMNUMBER].[All]" dimensionUniqueName="[BI vw_DynamicsDeliveredSales]" displayFolder="" count="0" memberValueDatatype="130" unbalanced="0"/>
    <cacheHierarchy uniqueName="[BI vw_DynamicsDeliveredSales].[DXC_SALESPERSONID]" caption="DXC_SALESPERSONID" attribute="1" defaultMemberUniqueName="[BI vw_DynamicsDeliveredSales].[DXC_SALESPERSONID].[All]" allUniqueName="[BI vw_DynamicsDeliveredSales].[DXC_SALESPERSONID].[All]" dimensionUniqueName="[BI vw_DynamicsDeliveredSales]" displayFolder="" count="0" memberValueDatatype="130" unbalanced="0"/>
    <cacheHierarchy uniqueName="[BI vw_DynamicsDeliveredSales].[FINALUPC]" caption="FINALUPC" attribute="1" defaultMemberUniqueName="[BI vw_DynamicsDeliveredSales].[FINALUPC].[All]" allUniqueName="[BI vw_DynamicsDeliveredSales].[FINALUPC].[All]" dimensionUniqueName="[BI vw_DynamicsDeliveredSales]" displayFolder="" count="0" memberValueDatatype="20" unbalanced="0"/>
    <cacheHierarchy uniqueName="[BI vw_DynamicsDeliveredSales].[FinPeriod]" caption="FinPeriod" attribute="1" defaultMemberUniqueName="[BI vw_DynamicsDeliveredSales].[FinPeriod].[All]" allUniqueName="[BI vw_DynamicsDeliveredSales].[FinPeriod].[All]" dimensionUniqueName="[BI vw_DynamicsDeliveredSales]" displayFolder="" count="0" memberValueDatatype="20" unbalanced="0"/>
    <cacheHierarchy uniqueName="[BI vw_DynamicsDeliveredSales].[FinPeriod Cal]" caption="FinPeriod Cal" attribute="1" defaultMemberUniqueName="[BI vw_DynamicsDeliveredSales].[FinPeriod Cal].[All]" allUniqueName="[BI vw_DynamicsDeliveredSales].[FinPeriod Cal].[All]" dimensionUniqueName="[BI vw_DynamicsDeliveredSales]" displayFolder="" count="0" memberValueDatatype="20" unbalanced="0"/>
    <cacheHierarchy uniqueName="[BI vw_DynamicsDeliveredSales].[FirstWeek-Month]" caption="FirstWeek-Month" attribute="1" defaultMemberUniqueName="[BI vw_DynamicsDeliveredSales].[FirstWeek-Month].[All]" allUniqueName="[BI vw_DynamicsDeliveredSales].[FirstWeek-Month].[All]" dimensionUniqueName="[BI vw_DynamicsDeliveredSales]" displayFolder="" count="0" memberValueDatatype="20" unbalanced="0"/>
    <cacheHierarchy uniqueName="[BI vw_DynamicsDeliveredSales].[FirstWeek-QTD]" caption="FirstWeek-QTD" attribute="1" defaultMemberUniqueName="[BI vw_DynamicsDeliveredSales].[FirstWeek-QTD].[All]" allUniqueName="[BI vw_DynamicsDeliveredSales].[FirstWeek-QTD].[All]" dimensionUniqueName="[BI vw_DynamicsDeliveredSales]" displayFolder="" count="0" memberValueDatatype="20" unbalanced="0"/>
    <cacheHierarchy uniqueName="[BI vw_DynamicsDeliveredSales].[FirstWeek-Year]" caption="FirstWeek-Year" attribute="1" defaultMemberUniqueName="[BI vw_DynamicsDeliveredSales].[FirstWeek-Year].[All]" allUniqueName="[BI vw_DynamicsDeliveredSales].[FirstWeek-Year].[All]" dimensionUniqueName="[BI vw_DynamicsDeliveredSales]" displayFolder="" count="0" memberValueDatatype="130" unbalanced="0"/>
    <cacheHierarchy uniqueName="[BI vw_DynamicsDeliveredSales].[GROSSINVOICEDGROSS]" caption="GROSSINVOICEDGROSS" attribute="1" defaultMemberUniqueName="[BI vw_DynamicsDeliveredSales].[GROSSINVOICEDGROSS].[All]" allUniqueName="[BI vw_DynamicsDeliveredSales].[GROSSINVOICEDGROSS].[All]" dimensionUniqueName="[BI vw_DynamicsDeliveredSales]" displayFolder="" count="0" memberValueDatatype="5" unbalanced="0"/>
    <cacheHierarchy uniqueName="[BI vw_DynamicsDeliveredSales].[INVENTTRANSID]" caption="INVENTTRANSID" attribute="1" defaultMemberUniqueName="[BI vw_DynamicsDeliveredSales].[INVENTTRANSID].[All]" allUniqueName="[BI vw_DynamicsDeliveredSales].[INVENTTRANSID].[All]" dimensionUniqueName="[BI vw_DynamicsDeliveredSales]" displayFolder="" count="0" memberValueDatatype="130" unbalanced="0"/>
    <cacheHierarchy uniqueName="[BI vw_DynamicsDeliveredSales].[INVOICEDATE]" caption="INVOICEDATE" attribute="1" time="1" defaultMemberUniqueName="[BI vw_DynamicsDeliveredSales].[INVOICEDATE].[All]" allUniqueName="[BI vw_DynamicsDeliveredSales].[INVOICEDATE].[All]" dimensionUniqueName="[BI vw_DynamicsDeliveredSales]" displayFolder="" count="0" memberValueDatatype="7" unbalanced="0"/>
    <cacheHierarchy uniqueName="[BI vw_DynamicsDeliveredSales].[INVOICEID]" caption="INVOICEID" attribute="1" defaultMemberUniqueName="[BI vw_DynamicsDeliveredSales].[INVOICEID].[All]" allUniqueName="[BI vw_DynamicsDeliveredSales].[INVOICEID].[All]" dimensionUniqueName="[BI vw_DynamicsDeliveredSales]" displayFolder="" count="0" memberValueDatatype="130" unbalanced="0"/>
    <cacheHierarchy uniqueName="[BI vw_DynamicsDeliveredSales].[ISSELECTED]" caption="ISSELECTED" attribute="1" defaultMemberUniqueName="[BI vw_DynamicsDeliveredSales].[ISSELECTED].[All]" allUniqueName="[BI vw_DynamicsDeliveredSales].[ISSELECTED].[All]" dimensionUniqueName="[BI vw_DynamicsDeliveredSales]" displayFolder="" count="0" memberValueDatatype="20" unbalanced="0"/>
    <cacheHierarchy uniqueName="[BI vw_DynamicsDeliveredSales].[ITEMID]" caption="ITEMID" attribute="1" defaultMemberUniqueName="[BI vw_DynamicsDeliveredSales].[ITEMID].[All]" allUniqueName="[BI vw_DynamicsDeliveredSales].[ITEMID].[All]" dimensionUniqueName="[BI vw_DynamicsDeliveredSales]" displayFolder="" count="0" memberValueDatatype="130" unbalanced="0"/>
    <cacheHierarchy uniqueName="[BI vw_DynamicsDeliveredSales].[ITEMNAME]" caption="ITEMNAME" attribute="1" defaultMemberUniqueName="[BI vw_DynamicsDeliveredSales].[ITEMNAME].[All]" allUniqueName="[BI vw_DynamicsDeliveredSales].[ITEMNAME].[All]" dimensionUniqueName="[BI vw_DynamicsDeliveredSales]" displayFolder="" count="0" memberValueDatatype="130" unbalanced="0"/>
    <cacheHierarchy uniqueName="[BI vw_DynamicsDeliveredSales].[ITEMTYPE]" caption="ITEMTYPE" attribute="1" defaultMemberUniqueName="[BI vw_DynamicsDeliveredSales].[ITEMTYPE].[All]" allUniqueName="[BI vw_DynamicsDeliveredSales].[ITEMTYPE].[All]" dimensionUniqueName="[BI vw_DynamicsDeliveredSales]" displayFolder="" count="0" memberValueDatatype="130" unbalanced="0"/>
    <cacheHierarchy uniqueName="[BI vw_DynamicsDeliveredSales].[LINECREATIONSEQUENCENUMBER]" caption="LINECREATIONSEQUENCENUMBER" attribute="1" defaultMemberUniqueName="[BI vw_DynamicsDeliveredSales].[LINECREATIONSEQUENCENUMBER].[All]" allUniqueName="[BI vw_DynamicsDeliveredSales].[LINECREATIONSEQUENCENUMBER].[All]" dimensionUniqueName="[BI vw_DynamicsDeliveredSales]" displayFolder="" count="0" memberValueDatatype="20" unbalanced="0"/>
    <cacheHierarchy uniqueName="[BI vw_DynamicsDeliveredSales].[LINEDISC]" caption="LINEDISC" attribute="1" defaultMemberUniqueName="[BI vw_DynamicsDeliveredSales].[LINEDISC].[All]" allUniqueName="[BI vw_DynamicsDeliveredSales].[LINEDISC].[All]" dimensionUniqueName="[BI vw_DynamicsDeliveredSales]" displayFolder="" count="0" memberValueDatatype="5" unbalanced="0"/>
    <cacheHierarchy uniqueName="[BI vw_DynamicsDeliveredSales].[LINENUM]" caption="LINENUM" attribute="1" defaultMemberUniqueName="[BI vw_DynamicsDeliveredSales].[LINENUM].[All]" allUniqueName="[BI vw_DynamicsDeliveredSales].[LINENUM].[All]" dimensionUniqueName="[BI vw_DynamicsDeliveredSales]" displayFolder="" count="0" memberValueDatatype="20" unbalanced="0"/>
    <cacheHierarchy uniqueName="[BI vw_DynamicsDeliveredSales].[MarkdownAmounts.1]" caption="MarkdownAmounts.1" attribute="1" defaultMemberUniqueName="[BI vw_DynamicsDeliveredSales].[MarkdownAmounts.1].[All]" allUniqueName="[BI vw_DynamicsDeliveredSales].[MarkdownAmounts.1].[All]" dimensionUniqueName="[BI vw_DynamicsDeliveredSales]" displayFolder="" count="0" memberValueDatatype="5" unbalanced="0"/>
    <cacheHierarchy uniqueName="[BI vw_DynamicsDeliveredSales].[MarkdownAmounts.2]" caption="MarkdownAmounts.2" attribute="1" defaultMemberUniqueName="[BI vw_DynamicsDeliveredSales].[MarkdownAmounts.2].[All]" allUniqueName="[BI vw_DynamicsDeliveredSales].[MarkdownAmounts.2].[All]" dimensionUniqueName="[BI vw_DynamicsDeliveredSales]" displayFolder="" count="0" memberValueDatatype="5" unbalanced="0"/>
    <cacheHierarchy uniqueName="[BI vw_DynamicsDeliveredSales].[MarkdownCategory.1]" caption="MarkdownCategory.1" attribute="1" defaultMemberUniqueName="[BI vw_DynamicsDeliveredSales].[MarkdownCategory.1].[All]" allUniqueName="[BI vw_DynamicsDeliveredSales].[MarkdownCategory.1].[All]" dimensionUniqueName="[BI vw_DynamicsDeliveredSales]" displayFolder="" count="0" memberValueDatatype="130" unbalanced="0"/>
    <cacheHierarchy uniqueName="[BI vw_DynamicsDeliveredSales].[MarkdownCategory.2]" caption="MarkdownCategory.2" attribute="1" defaultMemberUniqueName="[BI vw_DynamicsDeliveredSales].[MarkdownCategory.2].[All]" allUniqueName="[BI vw_DynamicsDeliveredSales].[MarkdownCategory.2].[All]" dimensionUniqueName="[BI vw_DynamicsDeliveredSales]" displayFolder="" count="0" memberValueDatatype="130" unbalanced="0"/>
    <cacheHierarchy uniqueName="[BI vw_DynamicsDeliveredSales].[MarkdownCodes.1]" caption="MarkdownCodes.1" attribute="1" defaultMemberUniqueName="[BI vw_DynamicsDeliveredSales].[MarkdownCodes.1].[All]" allUniqueName="[BI vw_DynamicsDeliveredSales].[MarkdownCodes.1].[All]" dimensionUniqueName="[BI vw_DynamicsDeliveredSales]" displayFolder="" count="0" memberValueDatatype="130" unbalanced="0"/>
    <cacheHierarchy uniqueName="[BI vw_DynamicsDeliveredSales].[MarkdownCodes.2]" caption="MarkdownCodes.2" attribute="1" defaultMemberUniqueName="[BI vw_DynamicsDeliveredSales].[MarkdownCodes.2].[All]" allUniqueName="[BI vw_DynamicsDeliveredSales].[MarkdownCodes.2].[All]" dimensionUniqueName="[BI vw_DynamicsDeliveredSales]" displayFolder="" count="0" memberValueDatatype="130" unbalanced="0"/>
    <cacheHierarchy uniqueName="[BI vw_DynamicsDeliveredSales].[Merged]" caption="Merged" attribute="1" defaultMemberUniqueName="[BI vw_DynamicsDeliveredSales].[Merged].[All]" allUniqueName="[BI vw_DynamicsDeliveredSales].[Merged].[All]" dimensionUniqueName="[BI vw_DynamicsDeliveredSales]" displayFolder="" count="0" memberValueDatatype="130" unbalanced="0"/>
    <cacheHierarchy uniqueName="[BI vw_DynamicsDeliveredSales].[NETINVOICEDNET]" caption="NETINVOICEDNET" attribute="1" defaultMemberUniqueName="[BI vw_DynamicsDeliveredSales].[NETINVOICEDNET].[All]" allUniqueName="[BI vw_DynamicsDeliveredSales].[NETINVOICEDNET].[All]" dimensionUniqueName="[BI vw_DynamicsDeliveredSales]" displayFolder="" count="0" memberValueDatatype="5" unbalanced="0"/>
    <cacheHierarchy uniqueName="[BI vw_DynamicsDeliveredSales].[NETSALESNET]" caption="NETSALESNET" attribute="1" defaultMemberUniqueName="[BI vw_DynamicsDeliveredSales].[NETSALESNET].[All]" allUniqueName="[BI vw_DynamicsDeliveredSales].[NETSALESNET].[All]" dimensionUniqueName="[BI vw_DynamicsDeliveredSales]" displayFolder="" count="0" memberValueDatatype="5" unbalanced="0"/>
    <cacheHierarchy uniqueName="[BI vw_DynamicsDeliveredSales].[NZ-NZ]" caption="NZ-NZ" attribute="1" defaultMemberUniqueName="[BI vw_DynamicsDeliveredSales].[NZ-NZ].[All]" allUniqueName="[BI vw_DynamicsDeliveredSales].[NZ-NZ].[All]" dimensionUniqueName="[BI vw_DynamicsDeliveredSales]" displayFolder="" count="0" memberValueDatatype="5" unbalanced="0"/>
    <cacheHierarchy uniqueName="[BI vw_DynamicsDeliveredSales].[ORDERCREATIONDATETIME]" caption="ORDERCREATIONDATETIME" attribute="1" time="1" defaultMemberUniqueName="[BI vw_DynamicsDeliveredSales].[ORDERCREATIONDATETIME].[All]" allUniqueName="[BI vw_DynamicsDeliveredSales].[ORDERCREATIONDATETIME].[All]" dimensionUniqueName="[BI vw_DynamicsDeliveredSales]" displayFolder="" count="0" memberValueDatatype="7" unbalanced="0"/>
    <cacheHierarchy uniqueName="[BI vw_DynamicsDeliveredSales].[PARTITION]" caption="PARTITION" attribute="1" defaultMemberUniqueName="[BI vw_DynamicsDeliveredSales].[PARTITION].[All]" allUniqueName="[BI vw_DynamicsDeliveredSales].[PARTITION].[All]" dimensionUniqueName="[BI vw_DynamicsDeliveredSales]" displayFolder="" count="0" memberValueDatatype="130" unbalanced="0"/>
    <cacheHierarchy uniqueName="[BI vw_DynamicsDeliveredSales].[PRODUCTTYPE]" caption="PRODUCTTYPE" attribute="1" defaultMemberUniqueName="[BI vw_DynamicsDeliveredSales].[PRODUCTTYPE].[All]" allUniqueName="[BI vw_DynamicsDeliveredSales].[PRODUCTTYPE].[All]" dimensionUniqueName="[BI vw_DynamicsDeliveredSales]" displayFolder="" count="0" memberValueDatatype="20" unbalanced="0"/>
    <cacheHierarchy uniqueName="[BI vw_DynamicsDeliveredSales].[QTY]" caption="QTY" attribute="1" defaultMemberUniqueName="[BI vw_DynamicsDeliveredSales].[QTY].[All]" allUniqueName="[BI vw_DynamicsDeliveredSales].[QTY].[All]" dimensionUniqueName="[BI vw_DynamicsDeliveredSales]" displayFolder="" count="0" memberValueDatatype="5" unbalanced="0"/>
    <cacheHierarchy uniqueName="[BI vw_DynamicsDeliveredSales].[Range]" caption="Range" attribute="1" defaultMemberUniqueName="[BI vw_DynamicsDeliveredSales].[Range].[All]" allUniqueName="[BI vw_DynamicsDeliveredSales].[Range].[All]" dimensionUniqueName="[BI vw_DynamicsDeliveredSales]" displayFolder="" count="0" memberValueDatatype="130" unbalanced="0"/>
    <cacheHierarchy uniqueName="[BI vw_DynamicsDeliveredSales].[RECID]" caption="RECID" attribute="1" defaultMemberUniqueName="[BI vw_DynamicsDeliveredSales].[RECID].[All]" allUniqueName="[BI vw_DynamicsDeliveredSales].[RECID].[All]" dimensionUniqueName="[BI vw_DynamicsDeliveredSales]" displayFolder="" count="0" memberValueDatatype="20" unbalanced="0"/>
    <cacheHierarchy uniqueName="[BI vw_DynamicsDeliveredSales].[Retail/Not]" caption="Retail/Not" attribute="1" defaultMemberUniqueName="[BI vw_DynamicsDeliveredSales].[Retail/Not].[All]" allUniqueName="[BI vw_DynamicsDeliveredSales].[Retail/Not].[All]" dimensionUniqueName="[BI vw_DynamicsDeliveredSales]" displayFolder="" count="0" memberValueDatatype="130" unbalanced="0"/>
    <cacheHierarchy uniqueName="[BI vw_DynamicsDeliveredSales].[SaleOrderLineNumber]" caption="SaleOrderLineNumber" attribute="1" defaultMemberUniqueName="[BI vw_DynamicsDeliveredSales].[SaleOrderLineNumber].[All]" allUniqueName="[BI vw_DynamicsDeliveredSales].[SaleOrderLineNumber].[All]" dimensionUniqueName="[BI vw_DynamicsDeliveredSales]" displayFolder="" count="0" memberValueDatatype="20" unbalanced="0"/>
    <cacheHierarchy uniqueName="[BI vw_DynamicsDeliveredSales].[Sales Order Type]" caption="Sales Order Type" attribute="1" defaultMemberUniqueName="[BI vw_DynamicsDeliveredSales].[Sales Order Type].[All]" allUniqueName="[BI vw_DynamicsDeliveredSales].[Sales Order Type].[All]" dimensionUniqueName="[BI vw_DynamicsDeliveredSales]" displayFolder="" count="2" memberValueDatatype="130" unbalanced="0">
      <fieldsUsage count="2">
        <fieldUsage x="-1"/>
        <fieldUsage x="5"/>
      </fieldsUsage>
    </cacheHierarchy>
    <cacheHierarchy uniqueName="[BI vw_DynamicsDeliveredSales].[Sales Type]" caption="Sales Type" attribute="1" defaultMemberUniqueName="[BI vw_DynamicsDeliveredSales].[Sales Type].[All]" allUniqueName="[BI vw_DynamicsDeliveredSales].[Sales Type].[All]" dimensionUniqueName="[BI vw_DynamicsDeliveredSales]" displayFolder="" count="0" memberValueDatatype="130" unbalanced="0"/>
    <cacheHierarchy uniqueName="[BI vw_DynamicsDeliveredSales].[SALESID]" caption="SALESID" attribute="1" defaultMemberUniqueName="[BI vw_DynamicsDeliveredSales].[SALESID].[All]" allUniqueName="[BI vw_DynamicsDeliveredSales].[SALESID].[All]" dimensionUniqueName="[BI vw_DynamicsDeliveredSales]" displayFolder="" count="0" memberValueDatatype="130" unbalanced="0"/>
    <cacheHierarchy uniqueName="[BI vw_DynamicsDeliveredSales].[SALESORDERNUMBER]" caption="SALESORDERNUMBER" attribute="1" defaultMemberUniqueName="[BI vw_DynamicsDeliveredSales].[SALESORDERNUMBER].[All]" allUniqueName="[BI vw_DynamicsDeliveredSales].[SALESORDERNUMBER].[All]" dimensionUniqueName="[BI vw_DynamicsDeliveredSales]" displayFolder="" count="0" memberValueDatatype="130" unbalanced="0"/>
    <cacheHierarchy uniqueName="[BI vw_DynamicsDeliveredSales].[SALESPRICE]" caption="SALESPRICE" attribute="1" defaultMemberUniqueName="[BI vw_DynamicsDeliveredSales].[SALESPRICE].[All]" allUniqueName="[BI vw_DynamicsDeliveredSales].[SALESPRICE].[All]" dimensionUniqueName="[BI vw_DynamicsDeliveredSales]" displayFolder="" count="0" memberValueDatatype="5" unbalanced="0"/>
    <cacheHierarchy uniqueName="[BI vw_DynamicsDeliveredSales].[SHIPPINGWAREHOUSEID]" caption="SHIPPINGWAREHOUSEID" attribute="1" defaultMemberUniqueName="[BI vw_DynamicsDeliveredSales].[SHIPPINGWAREHOUSEID].[All]" allUniqueName="[BI vw_DynamicsDeliveredSales].[SHIPPINGWAREHOUSEID].[All]" dimensionUniqueName="[BI vw_DynamicsDeliveredSales]" displayFolder="" count="0" memberValueDatatype="130" unbalanced="0"/>
    <cacheHierarchy uniqueName="[BI vw_DynamicsDeliveredSales].[StoreCode]" caption="StoreCode" attribute="1" defaultMemberUniqueName="[BI vw_DynamicsDeliveredSales].[StoreCode].[All]" allUniqueName="[BI vw_DynamicsDeliveredSales].[StoreCode].[All]" dimensionUniqueName="[BI vw_DynamicsDeliveredSales]" displayFolder="" count="0" memberValueDatatype="130" unbalanced="0"/>
    <cacheHierarchy uniqueName="[BI vw_DynamicsDeliveredSales].[SubDepartmentDesc]" caption="SubDepartmentDesc" attribute="1" defaultMemberUniqueName="[BI vw_DynamicsDeliveredSales].[SubDepartmentDesc].[All]" allUniqueName="[BI vw_DynamicsDeliveredSales].[SubDepartmentDesc].[All]" dimensionUniqueName="[BI vw_DynamicsDeliveredSales]" displayFolder="" count="0" memberValueDatatype="130" unbalanced="0"/>
    <cacheHierarchy uniqueName="[BI vw_DynamicsDeliveredSales].[TAXAMOUNT]" caption="TAXAMOUNT" attribute="1" defaultMemberUniqueName="[BI vw_DynamicsDeliveredSales].[TAXAMOUNT].[All]" allUniqueName="[BI vw_DynamicsDeliveredSales].[TAXAMOUNT].[All]" dimensionUniqueName="[BI vw_DynamicsDeliveredSales]" displayFolder="" count="0" memberValueDatatype="5" unbalanced="0"/>
    <cacheHierarchy uniqueName="[BI vw_DynamicsDeliveredSales].[TAXGROUP]" caption="TAXGROUP" attribute="1" defaultMemberUniqueName="[BI vw_DynamicsDeliveredSales].[TAXGROUP].[All]" allUniqueName="[BI vw_DynamicsDeliveredSales].[TAXGROUP].[All]" dimensionUniqueName="[BI vw_DynamicsDeliveredSales]" displayFolder="" count="0" memberValueDatatype="130" unbalanced="0"/>
    <cacheHierarchy uniqueName="[BI vw_DynamicsDeliveredSales].[Total Cost Final]" caption="Total Cost Final" attribute="1" defaultMemberUniqueName="[BI vw_DynamicsDeliveredSales].[Total Cost Final].[All]" allUniqueName="[BI vw_DynamicsDeliveredSales].[Total Cost Final].[All]" dimensionUniqueName="[BI vw_DynamicsDeliveredSales]" displayFolder="" count="0" memberValueDatatype="130" unbalanced="0"/>
    <cacheHierarchy uniqueName="[BI vw_DynamicsDeliveredSales].[TRANSFERSTATUS]" caption="TRANSFERSTATUS" attribute="1" defaultMemberUniqueName="[BI vw_DynamicsDeliveredSales].[TRANSFERSTATUS].[All]" allUniqueName="[BI vw_DynamicsDeliveredSales].[TRANSFERSTATUS].[All]" dimensionUniqueName="[BI vw_DynamicsDeliveredSales]" displayFolder="" count="0" memberValueDatatype="20" unbalanced="0"/>
    <cacheHierarchy uniqueName="[BI vw_DynamicsDeliveredSales].[WAREHOUSE]" caption="WAREHOUSE" attribute="1" defaultMemberUniqueName="[BI vw_DynamicsDeliveredSales].[WAREHOUSE].[All]" allUniqueName="[BI vw_DynamicsDeliveredSales].[WAREHOUSE].[All]" dimensionUniqueName="[BI vw_DynamicsDeliveredSales]" displayFolder="" count="0" memberValueDatatype="130" unbalanced="0"/>
    <cacheHierarchy uniqueName="[BI vw_DynamicsDeliveredSales].[Week]" caption="Week" attribute="1" defaultMemberUniqueName="[BI vw_DynamicsDeliveredSales].[Week].[All]" allUniqueName="[BI vw_DynamicsDeliveredSales].[Week].[All]" dimensionUniqueName="[BI vw_DynamicsDeliveredSales]" displayFolder="" count="0" memberValueDatatype="20" unbalanced="0"/>
    <cacheHierarchy uniqueName="[BI vw_DynamicsDeliveredSales].[Year Month]" caption="Year Month" attribute="1" defaultMemberUniqueName="[BI vw_DynamicsDeliveredSales].[Year Month].[All]" allUniqueName="[BI vw_DynamicsDeliveredSales].[Year Month].[All]" dimensionUniqueName="[BI vw_DynamicsDeliveredSales]" displayFolder="" count="0" memberValueDatatype="20" unbalanced="0"/>
    <cacheHierarchy uniqueName="[BI vw_FinCalendar].[Date]" caption="Date" attribute="1" time="1" defaultMemberUniqueName="[BI vw_FinCalendar].[Date].[All]" allUniqueName="[BI vw_FinCalendar].[Date].[All]" dimensionUniqueName="[BI vw_FinCalendar]" displayFolder="" count="0" memberValueDatatype="7" unbalanced="0"/>
    <cacheHierarchy uniqueName="[BI vw_FinCalendar].[Day_Of_Week]" caption="Day_Of_Week" attribute="1" defaultMemberUniqueName="[BI vw_FinCalendar].[Day_Of_Week].[All]" allUniqueName="[BI vw_FinCalendar].[Day_Of_Week].[All]" dimensionUniqueName="[BI vw_FinCalendar]" displayFolder="" count="0" memberValueDatatype="130" unbalanced="0"/>
    <cacheHierarchy uniqueName="[BI vw_FinCalendar].[Day_Of_Week_Sort]" caption="Day_Of_Week_Sort" attribute="1" defaultMemberUniqueName="[BI vw_FinCalendar].[Day_Of_Week_Sort].[All]" allUniqueName="[BI vw_FinCalendar].[Day_Of_Week_Sort].[All]" dimensionUniqueName="[BI vw_FinCalendar]" displayFolder="" count="0" memberValueDatatype="130" unbalanced="0"/>
    <cacheHierarchy uniqueName="[BI vw_FinCalendar].[Fin_Period]" caption="Fin_Period" attribute="1" defaultMemberUniqueName="[BI vw_FinCalendar].[Fin_Period].[All]" allUniqueName="[BI vw_FinCalendar].[Fin_Period].[All]" dimensionUniqueName="[BI vw_FinCalendar]" displayFolder="" count="0" memberValueDatatype="20" unbalanced="0"/>
    <cacheHierarchy uniqueName="[BI vw_FinCalendar].[Fin_Week]" caption="Fin_Week" attribute="1" defaultMemberUniqueName="[BI vw_FinCalendar].[Fin_Week].[All]" allUniqueName="[BI vw_FinCalendar].[Fin_Week].[All]" dimensionUniqueName="[BI vw_FinCalendar]" displayFolder="" count="0" memberValueDatatype="20" unbalanced="0"/>
    <cacheHierarchy uniqueName="[BI vw_FinCalendar].[Fin_Year]" caption="Fin_Year" attribute="1" defaultMemberUniqueName="[BI vw_FinCalendar].[Fin_Year].[All]" allUniqueName="[BI vw_FinCalendar].[Fin_Year].[All]" dimensionUniqueName="[BI vw_FinCalendar]" displayFolder="" count="0" memberValueDatatype="20" unbalanced="0"/>
    <cacheHierarchy uniqueName="[BI vw_FinCalendar].[Fiscal Month]" caption="Fiscal Month" attribute="1" defaultMemberUniqueName="[BI vw_FinCalendar].[Fiscal Month].[All]" allUniqueName="[BI vw_FinCalendar].[Fiscal Month].[All]" dimensionUniqueName="[BI vw_FinCalendar]" displayFolder="" count="0" memberValueDatatype="130" unbalanced="0"/>
    <cacheHierarchy uniqueName="[BI vw_FinCalendar].[FY]" caption="FY" attribute="1" defaultMemberUniqueName="[BI vw_FinCalendar].[FY].[All]" allUniqueName="[BI vw_FinCalendar].[FY].[All]" dimensionUniqueName="[BI vw_FinCalendar]" displayFolder="" count="0" memberValueDatatype="130" unbalanced="0"/>
    <cacheHierarchy uniqueName="[BI vw_FinCalendar].[Is_Last_Week]" caption="Is_Last_Week" attribute="1" defaultMemberUniqueName="[BI vw_FinCalendar].[Is_Last_Week].[All]" allUniqueName="[BI vw_FinCalendar].[Is_Last_Week].[All]" dimensionUniqueName="[BI vw_FinCalendar]" displayFolder="" count="0" memberValueDatatype="20" unbalanced="0"/>
    <cacheHierarchy uniqueName="[BI vw_FinCalendar].[Is_ThisMonth]" caption="Is_ThisMonth" attribute="1" defaultMemberUniqueName="[BI vw_FinCalendar].[Is_ThisMonth].[All]" allUniqueName="[BI vw_FinCalendar].[Is_ThisMonth].[All]" dimensionUniqueName="[BI vw_FinCalendar]" displayFolder="" count="0" memberValueDatatype="20" unbalanced="0"/>
    <cacheHierarchy uniqueName="[BI vw_FinCalendar].[Is_ThisWeek]" caption="Is_ThisWeek" attribute="1" defaultMemberUniqueName="[BI vw_FinCalendar].[Is_ThisWeek].[All]" allUniqueName="[BI vw_FinCalendar].[Is_ThisWeek].[All]" dimensionUniqueName="[BI vw_FinCalendar]" displayFolder="" count="0" memberValueDatatype="20" unbalanced="0"/>
    <cacheHierarchy uniqueName="[BI vw_FinCalendar].[Is_ThisYear]" caption="Is_ThisYear" attribute="1" defaultMemberUniqueName="[BI vw_FinCalendar].[Is_ThisYear].[All]" allUniqueName="[BI vw_FinCalendar].[Is_ThisYear].[All]" dimensionUniqueName="[BI vw_FinCalendar]" displayFolder="" count="0" memberValueDatatype="20" unbalanced="0"/>
    <cacheHierarchy uniqueName="[BI vw_FinCalendar].[Is_Today]" caption="Is_Today" attribute="1" defaultMemberUniqueName="[BI vw_FinCalendar].[Is_Today].[All]" allUniqueName="[BI vw_FinCalendar].[Is_Today].[All]" dimensionUniqueName="[BI vw_FinCalendar]" displayFolder="" count="0" memberValueDatatype="20" unbalanced="0"/>
    <cacheHierarchy uniqueName="[BI vw_FinCalendar].[Month]" caption="Month" attribute="1" defaultMemberUniqueName="[BI vw_FinCalendar].[Month].[All]" allUniqueName="[BI vw_FinCalendar].[Month].[All]" dimensionUniqueName="[BI vw_FinCalendar]" displayFolder="" count="0" memberValueDatatype="130" unbalanced="0"/>
    <cacheHierarchy uniqueName="[BI vw_FinCalendar].[Month_Display]" caption="Month_Display" attribute="1" defaultMemberUniqueName="[BI vw_FinCalendar].[Month_Display].[All]" allUniqueName="[BI vw_FinCalendar].[Month_Display].[All]" dimensionUniqueName="[BI vw_FinCalendar]" displayFolder="" count="0" memberValueDatatype="130" unbalanced="0"/>
    <cacheHierarchy uniqueName="[BI vw_FinCalendar].[Month_Number]" caption="Month_Number" attribute="1" defaultMemberUniqueName="[BI vw_FinCalendar].[Month_Number].[All]" allUniqueName="[BI vw_FinCalendar].[Month_Number].[All]" dimensionUniqueName="[BI vw_FinCalendar]" displayFolder="" count="0" memberValueDatatype="20" unbalanced="0"/>
    <cacheHierarchy uniqueName="[BI vw_FinCalendar].[Quarter]" caption="Quarter" attribute="1" defaultMemberUniqueName="[BI vw_FinCalendar].[Quarter].[All]" allUniqueName="[BI vw_FinCalendar].[Quarter].[All]" dimensionUniqueName="[BI vw_FinCalendar]" displayFolder="" count="0" memberValueDatatype="130" unbalanced="0"/>
    <cacheHierarchy uniqueName="[BI vw_FinCalendar].[Quarter date]" caption="Quarter date" attribute="1" time="1" defaultMemberUniqueName="[BI vw_FinCalendar].[Quarter date].[All]" allUniqueName="[BI vw_FinCalendar].[Quarter date].[All]" dimensionUniqueName="[BI vw_FinCalendar]" displayFolder="" count="0" memberValueDatatype="7" unbalanced="0"/>
    <cacheHierarchy uniqueName="[BI vw_FinCalendar].[Querter]" caption="Querter" attribute="1" defaultMemberUniqueName="[BI vw_FinCalendar].[Querter].[All]" allUniqueName="[BI vw_FinCalendar].[Querter].[All]" dimensionUniqueName="[BI vw_FinCalendar]" displayFolder="" count="0" memberValueDatatype="20" unbalanced="0"/>
    <cacheHierarchy uniqueName="[BI vw_FinCalendar].[Sort_Order]" caption="Sort_Order" attribute="1" defaultMemberUniqueName="[BI vw_FinCalendar].[Sort_Order].[All]" allUniqueName="[BI vw_FinCalendar].[Sort_Order].[All]" dimensionUniqueName="[BI vw_FinCalendar]" displayFolder="" count="0" memberValueDatatype="20" unbalanced="0"/>
    <cacheHierarchy uniqueName="[BI vw_FinCalendar].[Sort_Order1]" caption="Sort_Order1" attribute="1" defaultMemberUniqueName="[BI vw_FinCalendar].[Sort_Order1].[All]" allUniqueName="[BI vw_FinCalendar].[Sort_Order1].[All]" dimensionUniqueName="[BI vw_FinCalendar]" displayFolder="" count="0" memberValueDatatype="20" unbalanced="0"/>
    <cacheHierarchy uniqueName="[BI vw_FinCalendar].[ThisQuarter]" caption="ThisQuarter" attribute="1" defaultMemberUniqueName="[BI vw_FinCalendar].[ThisQuarter].[All]" allUniqueName="[BI vw_FinCalendar].[ThisQuarter].[All]" dimensionUniqueName="[BI vw_FinCalendar]" displayFolder="" count="0" memberValueDatatype="130" unbalanced="0"/>
    <cacheHierarchy uniqueName="[BI vw_FinCalendar].[YearFinPeriod]" caption="YearFinPeriod" attribute="1" defaultMemberUniqueName="[BI vw_FinCalendar].[YearFinPeriod].[All]" allUniqueName="[BI vw_FinCalendar].[YearFinPeriod].[All]" dimensionUniqueName="[BI vw_FinCalendar]" displayFolder="" count="0" memberValueDatatype="130" unbalanced="0"/>
    <cacheHierarchy uniqueName="[BI vw_Store].[AreaLeader]" caption="AreaLeader" attribute="1" defaultMemberUniqueName="[BI vw_Store].[AreaLeader].[All]" allUniqueName="[BI vw_Store].[AreaLeader].[All]" dimensionUniqueName="[BI vw_Store]" displayFolder="" count="0" memberValueDatatype="130" unbalanced="0"/>
    <cacheHierarchy uniqueName="[BI vw_Store].[BranchType]" caption="BranchType" attribute="1" defaultMemberUniqueName="[BI vw_Store].[BranchType].[All]" allUniqueName="[BI vw_Store].[BranchType].[All]" dimensionUniqueName="[BI vw_Store]" displayFolder="" count="2" memberValueDatatype="130" unbalanced="0">
      <fieldsUsage count="2">
        <fieldUsage x="-1"/>
        <fieldUsage x="4"/>
      </fieldsUsage>
    </cacheHierarchy>
    <cacheHierarchy uniqueName="[BI vw_Store].[CompFlag]" caption="CompFlag" attribute="1" defaultMemberUniqueName="[BI vw_Store].[CompFlag].[All]" allUniqueName="[BI vw_Store].[CompFlag].[All]" dimensionUniqueName="[BI vw_Store]" displayFolder="" count="0" memberValueDatatype="130" unbalanced="0"/>
    <cacheHierarchy uniqueName="[BI vw_Store].[Country]" caption="Country" attribute="1" defaultMemberUniqueName="[BI vw_Store].[Country].[All]" allUniqueName="[BI vw_Store].[Country].[All]" dimensionUniqueName="[BI vw_Store]" displayFolder="" count="2" memberValueDatatype="130" unbalanced="0">
      <fieldsUsage count="2">
        <fieldUsage x="-1"/>
        <fieldUsage x="3"/>
      </fieldsUsage>
    </cacheHierarchy>
    <cacheHierarchy uniqueName="[BI vw_Store].[FreedomArea]" caption="FreedomArea" attribute="1" defaultMemberUniqueName="[BI vw_Store].[FreedomArea].[All]" allUniqueName="[BI vw_Store].[FreedomArea].[All]" dimensionUniqueName="[BI vw_Store]" displayFolder="" count="0" memberValueDatatype="5" unbalanced="0"/>
    <cacheHierarchy uniqueName="[BI vw_Store].[IsActive]" caption="IsActive" attribute="1" defaultMemberUniqueName="[BI vw_Store].[IsActive].[All]" allUniqueName="[BI vw_Store].[IsActive].[All]" dimensionUniqueName="[BI vw_Store]" displayFolder="" count="0" memberValueDatatype="130" unbalanced="0"/>
    <cacheHierarchy uniqueName="[BI vw_Store].[IsDC]" caption="IsDC" attribute="1" defaultMemberUniqueName="[BI vw_Store].[IsDC].[All]" allUniqueName="[BI vw_Store].[IsDC].[All]" dimensionUniqueName="[BI vw_Store]" displayFolder="" count="0" memberValueDatatype="11" unbalanced="0"/>
    <cacheHierarchy uniqueName="[BI vw_Store].[IsHO]" caption="IsHO" attribute="1" defaultMemberUniqueName="[BI vw_Store].[IsHO].[All]" allUniqueName="[BI vw_Store].[IsHO].[All]" dimensionUniqueName="[BI vw_Store]" displayFolder="" count="0" memberValueDatatype="11" unbalanced="0"/>
    <cacheHierarchy uniqueName="[BI vw_Store].[State]" caption="State" attribute="1" defaultMemberUniqueName="[BI vw_Store].[State].[All]" allUniqueName="[BI vw_Store].[State].[All]" dimensionUniqueName="[BI vw_Store]" displayFolder="" count="0" memberValueDatatype="130" unbalanced="0"/>
    <cacheHierarchy uniqueName="[BI vw_Store].[StoreCategory]" caption="StoreCategory" attribute="1" defaultMemberUniqueName="[BI vw_Store].[StoreCategory].[All]" allUniqueName="[BI vw_Store].[StoreCategory].[All]" dimensionUniqueName="[BI vw_Store]" displayFolder="" count="0" memberValueDatatype="130" unbalanced="0"/>
    <cacheHierarchy uniqueName="[BI vw_Store].[StoreCode]" caption="StoreCode" attribute="1" defaultMemberUniqueName="[BI vw_Store].[StoreCode].[All]" allUniqueName="[BI vw_Store].[StoreCode].[All]" dimensionUniqueName="[BI vw_Store]" displayFolder="" count="0" memberValueDatatype="130" unbalanced="0"/>
    <cacheHierarchy uniqueName="[BI vw_Store].[StoreKey]" caption="StoreKey" attribute="1" defaultMemberUniqueName="[BI vw_Store].[StoreKey].[All]" allUniqueName="[BI vw_Store].[StoreKey].[All]" dimensionUniqueName="[BI vw_Store]" displayFolder="" count="0" memberValueDatatype="130" unbalanced="0"/>
    <cacheHierarchy uniqueName="[BI vw_Store].[StoreName]" caption="StoreName" attribute="1" defaultMemberUniqueName="[BI vw_Store].[StoreName].[All]" allUniqueName="[BI vw_Store].[StoreName].[All]" dimensionUniqueName="[BI vw_Store]" displayFolder="" count="0" memberValueDatatype="130" unbalanced="0"/>
    <cacheHierarchy uniqueName="[BI vw_Store].[StoreType]" caption="StoreType" attribute="1" defaultMemberUniqueName="[BI vw_Store].[StoreType].[All]" allUniqueName="[BI vw_Store].[StoreType].[All]" dimensionUniqueName="[BI vw_Store]" displayFolder="" count="0" memberValueDatatype="130" unbalanced="0"/>
    <cacheHierarchy uniqueName="[BI vw_Store].[SubLeasedArea]" caption="SubLeasedArea" attribute="1" defaultMemberUniqueName="[BI vw_Store].[SubLeasedArea].[All]" allUniqueName="[BI vw_Store].[SubLeasedArea].[All]" dimensionUniqueName="[BI vw_Store]" displayFolder="" count="0" memberValueDatatype="5" unbalanced="0"/>
    <cacheHierarchy uniqueName="[BI vw_Store].[SubLeasedCompany]" caption="SubLeasedCompany" attribute="1" defaultMemberUniqueName="[BI vw_Store].[SubLeasedCompany].[All]" allUniqueName="[BI vw_Store].[SubLeasedCompany].[All]" dimensionUniqueName="[BI vw_Store]" displayFolder="" count="0" memberValueDatatype="130" unbalanced="0"/>
    <cacheHierarchy uniqueName="[BI vw_Store].[TotalArea]" caption="TotalArea" attribute="1" defaultMemberUniqueName="[BI vw_Store].[TotalArea].[All]" allUniqueName="[BI vw_Store].[TotalArea].[All]" dimensionUniqueName="[BI vw_Store]" displayFolder="" count="0" memberValueDatatype="5" unbalanced="0"/>
    <cacheHierarchy uniqueName="[CalendarMapping].[Fin_Year]" caption="Fin_Year" attribute="1" defaultMemberUniqueName="[CalendarMapping].[Fin_Year].[All]" allUniqueName="[CalendarMapping].[Fin_Year].[All]" dimensionUniqueName="[CalendarMapping]" displayFolder="" count="0" memberValueDatatype="20" unbalanced="0"/>
    <cacheHierarchy uniqueName="[CalendarMapping].[YearFinPeriod]" caption="YearFinPeriod" attribute="1" defaultMemberUniqueName="[CalendarMapping].[YearFinPeriod].[All]" allUniqueName="[CalendarMapping].[YearFinPeriod].[All]" dimensionUniqueName="[CalendarMapping]" displayFolder="" count="0" memberValueDatatype="130" unbalanced="0"/>
    <cacheHierarchy uniqueName="[DC SO].[EntityName]" caption="EntityName" attribute="1" defaultMemberUniqueName="[DC SO].[EntityName].[All]" allUniqueName="[DC SO].[EntityName].[All]" dimensionUniqueName="[DC SO]" displayFolder="" count="0" memberValueDatatype="130" unbalanced="0"/>
    <cacheHierarchy uniqueName="[DC SO].[SortOrder]" caption="SortOrder" attribute="1" defaultMemberUniqueName="[DC SO].[SortOrder].[All]" allUniqueName="[DC SO].[SortOrder].[All]" dimensionUniqueName="[DC SO]" displayFolder="" count="0" memberValueDatatype="20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Quarter]" caption="Quarter" attribute="1" defaultMemberUniqueName="[dim_period].[Quarter].[All]" allUniqueName="[dim_period].[Quarter].[All]" dimensionUniqueName="[dim_period]" displayFolder="" count="0" memberValueDatatype="13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Month Sort].[Month_Display]" caption="Month_Display" attribute="1" defaultMemberUniqueName="[Month Sort].[Month_Display].[All]" allUniqueName="[Month Sort].[Month_Display].[All]" dimensionUniqueName="[Month Sort]" displayFolder="" count="0" memberValueDatatype="130" unbalanced="0"/>
    <cacheHierarchy uniqueName="[Month Sort].[Number]" caption="Number" attribute="1" defaultMemberUniqueName="[Month Sort].[Number].[All]" allUniqueName="[Month Sort].[Number].[All]" dimensionUniqueName="[Month Sort]" displayFolder="" count="0" memberValueDatatype="20" unbalanced="0"/>
    <cacheHierarchy uniqueName="[Month Sort].[Sort_Order1]" caption="Sort_Order1" attribute="1" defaultMemberUniqueName="[Month Sort].[Sort_Order1].[All]" allUniqueName="[Month Sort].[Sort_Order1].[All]" dimensionUniqueName="[Month Sort]" displayFolder="" count="0" memberValueDatatype="20" unbalanced="0"/>
    <cacheHierarchy uniqueName="[TimePeriod].[TimePeriod]" caption="TimePeriod" attribute="1" defaultMemberUniqueName="[TimePeriod].[TimePeriod].[All]" allUniqueName="[TimePeriod].[TimePeriod].[All]" dimensionUniqueName="[TimePeriod]" displayFolder="" count="0" memberValueDatatype="130" unbalanced="0"/>
    <cacheHierarchy uniqueName="[TimePeriod].[TimePeriodSort]" caption="TimePeriodSort" attribute="1" defaultMemberUniqueName="[TimePeriod].[TimePeriodSort].[All]" allUniqueName="[TimePeriod].[TimePeriodSort].[All]" dimensionUniqueName="[TimePeriod]" displayFolder="" count="0" memberValueDatatype="2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0" memberValueDatatype="130" unbalanced="0"/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TimePeriodSort_Amart].[Timeline Slicer]" caption="Timeline Slicer" attribute="1" defaultMemberUniqueName="[TimePeriodSort_Amart].[Timeline Slicer].[All]" allUniqueName="[TimePeriodSort_Amart].[Timeline Slicer].[All]" dimensionUniqueName="[TimePeriodSort_Amart]" displayFolder="" count="0" memberValueDatatype="130" unbalanced="0"/>
    <cacheHierarchy uniqueName="[TimePeriodSort_Amart].[TimePeriod]" caption="TimePeriod" attribute="1" defaultMemberUniqueName="[TimePeriodSort_Amart].[TimePeriod].[All]" allUniqueName="[TimePeriodSort_Amart].[TimePeriod].[All]" dimensionUniqueName="[TimePeriodSort_Amart]" displayFolder="" count="0" memberValueDatatype="130" unbalanced="0"/>
    <cacheHierarchy uniqueName="[TimePeriodSort_Amart].[TimePeriodSort]" caption="TimePeriodSort" attribute="1" defaultMemberUniqueName="[TimePeriodSort_Amart].[TimePeriodSort].[All]" allUniqueName="[TimePeriodSort_Amart].[TimePeriodSort].[All]" dimensionUniqueName="[TimePeriodSort_Amart]" displayFolder="" count="0" memberValueDatatype="20" unbalanced="0"/>
    <cacheHierarchy uniqueName="[BI vw_MarkdownCategory].[Category]" caption="Category" attribute="1" defaultMemberUniqueName="[BI vw_MarkdownCategory].[Category].[All]" allUniqueName="[BI vw_MarkdownCategory].[Category].[All]" dimensionUniqueName="[BI vw_MarkdownCategory]" displayFolder="" count="0" memberValueDatatype="130" unbalanced="0" hidden="1"/>
    <cacheHierarchy uniqueName="[BI vw_MarkdownCategory].[Code]" caption="Code" attribute="1" defaultMemberUniqueName="[BI vw_MarkdownCategory].[Code].[All]" allUniqueName="[BI vw_MarkdownCategory].[Code].[All]" dimensionUniqueName="[BI vw_MarkdownCategory]" displayFolder="" count="0" memberValueDatatype="130" unbalanced="0" hidden="1"/>
    <cacheHierarchy uniqueName="[BI vw_Store (2)].[BranchType]" caption="BranchType" attribute="1" defaultMemberUniqueName="[BI vw_Store (2)].[BranchType].[All]" allUniqueName="[BI vw_Store (2)].[BranchType].[All]" dimensionUniqueName="[BI vw_Store (2)]" displayFolder="" count="0" memberValueDatatype="130" unbalanced="0" hidden="1"/>
    <cacheHierarchy uniqueName="[BI vw_Store (2)].[Country]" caption="Country" attribute="1" defaultMemberUniqueName="[BI vw_Store (2)].[Country].[All]" allUniqueName="[BI vw_Store (2)].[Country].[All]" dimensionUniqueName="[BI vw_Store (2)]" displayFolder="" count="0" memberValueDatatype="130" unbalanced="0" hidden="1"/>
    <cacheHierarchy uniqueName="[BI vw_Store (2)].[StoreCode]" caption="StoreCode" attribute="1" defaultMemberUniqueName="[BI vw_Store (2)].[StoreCode].[All]" allUniqueName="[BI vw_Store (2)].[StoreCode].[All]" dimensionUniqueName="[BI vw_Store (2)]" displayFolder="" count="0" memberValueDatatype="130" unbalanced="0" hidden="1"/>
    <cacheHierarchy uniqueName="[DateTableTemplate_3f9b2c98-215a-4ac6-bb5b-5edb3fb7613d].[Date]" caption="Date" attribute="1" time="1" defaultMemberUniqueName="[DateTableTemplate_3f9b2c98-215a-4ac6-bb5b-5edb3fb7613d].[Date].[All]" allUniqueName="[DateTableTemplate_3f9b2c98-215a-4ac6-bb5b-5edb3fb7613d].[Date].[All]" dimensionUniqueName="[DateTableTemplate_3f9b2c98-215a-4ac6-bb5b-5edb3fb7613d]" displayFolder="" count="0" memberValueDatatype="7" unbalanced="0" hidden="1"/>
    <cacheHierarchy uniqueName="[DateTableTemplate_3f9b2c98-215a-4ac6-bb5b-5edb3fb7613d].[Date Hierarchy]" caption="Date Hierarchy" defaultMemberUniqueName="[DateTableTemplate_3f9b2c98-215a-4ac6-bb5b-5edb3fb7613d].[Date Hierarchy].[All]" allUniqueName="[DateTableTemplate_3f9b2c98-215a-4ac6-bb5b-5edb3fb7613d].[Date Hierarchy].[All]" dimensionUniqueName="[DateTableTemplate_3f9b2c98-215a-4ac6-bb5b-5edb3fb7613d]" displayFolder="" count="0" unbalanced="0" hidden="1"/>
    <cacheHierarchy uniqueName="[DateTableTemplate_3f9b2c98-215a-4ac6-bb5b-5edb3fb7613d].[Day]" caption="Day" attribute="1" defaultMemberUniqueName="[DateTableTemplate_3f9b2c98-215a-4ac6-bb5b-5edb3fb7613d].[Day].[All]" allUniqueName="[DateTableTemplate_3f9b2c98-215a-4ac6-bb5b-5edb3fb7613d].[Day].[All]" dimensionUniqueName="[DateTableTemplate_3f9b2c98-215a-4ac6-bb5b-5edb3fb7613d]" displayFolder="" count="0" memberValueDatatype="20" unbalanced="0" hidden="1"/>
    <cacheHierarchy uniqueName="[DateTableTemplate_3f9b2c98-215a-4ac6-bb5b-5edb3fb7613d].[Month]" caption="Month" attribute="1" defaultMemberUniqueName="[DateTableTemplate_3f9b2c98-215a-4ac6-bb5b-5edb3fb7613d].[Month].[All]" allUniqueName="[DateTableTemplate_3f9b2c98-215a-4ac6-bb5b-5edb3fb7613d].[Month].[All]" dimensionUniqueName="[DateTableTemplate_3f9b2c98-215a-4ac6-bb5b-5edb3fb7613d]" displayFolder="" count="0" memberValueDatatype="130" unbalanced="0" hidden="1"/>
    <cacheHierarchy uniqueName="[DateTableTemplate_3f9b2c98-215a-4ac6-bb5b-5edb3fb7613d].[MonthNo]" caption="MonthNo" attribute="1" defaultMemberUniqueName="[DateTableTemplate_3f9b2c98-215a-4ac6-bb5b-5edb3fb7613d].[MonthNo].[All]" allUniqueName="[DateTableTemplate_3f9b2c98-215a-4ac6-bb5b-5edb3fb7613d].[MonthNo].[All]" dimensionUniqueName="[DateTableTemplate_3f9b2c98-215a-4ac6-bb5b-5edb3fb7613d]" displayFolder="" count="0" memberValueDatatype="20" unbalanced="0" hidden="1"/>
    <cacheHierarchy uniqueName="[DateTableTemplate_3f9b2c98-215a-4ac6-bb5b-5edb3fb7613d].[Quarter]" caption="Quarter" attribute="1" defaultMemberUniqueName="[DateTableTemplate_3f9b2c98-215a-4ac6-bb5b-5edb3fb7613d].[Quarter].[All]" allUniqueName="[DateTableTemplate_3f9b2c98-215a-4ac6-bb5b-5edb3fb7613d].[Quarter].[All]" dimensionUniqueName="[DateTableTemplate_3f9b2c98-215a-4ac6-bb5b-5edb3fb7613d]" displayFolder="" count="0" memberValueDatatype="130" unbalanced="0" hidden="1"/>
    <cacheHierarchy uniqueName="[DateTableTemplate_3f9b2c98-215a-4ac6-bb5b-5edb3fb7613d].[QuarterNo]" caption="QuarterNo" attribute="1" defaultMemberUniqueName="[DateTableTemplate_3f9b2c98-215a-4ac6-bb5b-5edb3fb7613d].[QuarterNo].[All]" allUniqueName="[DateTableTemplate_3f9b2c98-215a-4ac6-bb5b-5edb3fb7613d].[QuarterNo].[All]" dimensionUniqueName="[DateTableTemplate_3f9b2c98-215a-4ac6-bb5b-5edb3fb7613d]" displayFolder="" count="0" memberValueDatatype="20" unbalanced="0" hidden="1"/>
    <cacheHierarchy uniqueName="[DateTableTemplate_3f9b2c98-215a-4ac6-bb5b-5edb3fb7613d].[Year]" caption="Year" attribute="1" defaultMemberUniqueName="[DateTableTemplate_3f9b2c98-215a-4ac6-bb5b-5edb3fb7613d].[Year].[All]" allUniqueName="[DateTableTemplate_3f9b2c98-215a-4ac6-bb5b-5edb3fb7613d].[Year].[All]" dimensionUniqueName="[DateTableTemplate_3f9b2c98-215a-4ac6-bb5b-5edb3fb7613d]" displayFolder="" count="0" memberValueDatatype="20" unbalanced="0" hidden="1"/>
    <cacheHierarchy uniqueName="[LocalDateTable_2dc8ec59-2991-4ed7-b97f-b3968012b3bf].[Date]" caption="Date" attribute="1" time="1" defaultMemberUniqueName="[LocalDateTable_2dc8ec59-2991-4ed7-b97f-b3968012b3bf].[Date].[All]" allUniqueName="[LocalDateTable_2dc8ec59-2991-4ed7-b97f-b3968012b3bf].[Date].[All]" dimensionUniqueName="[LocalDateTable_2dc8ec59-2991-4ed7-b97f-b3968012b3bf]" displayFolder="" count="0" memberValueDatatype="7" unbalanced="0" hidden="1"/>
    <cacheHierarchy uniqueName="[LocalDateTable_2dc8ec59-2991-4ed7-b97f-b3968012b3bf].[Date Hierarchy]" caption="Date Hierarchy" defaultMemberUniqueName="[LocalDateTable_2dc8ec59-2991-4ed7-b97f-b3968012b3bf].[Date Hierarchy].[All]" allUniqueName="[LocalDateTable_2dc8ec59-2991-4ed7-b97f-b3968012b3bf].[Date Hierarchy].[All]" dimensionUniqueName="[LocalDateTable_2dc8ec59-2991-4ed7-b97f-b3968012b3bf]" displayFolder="" count="0" unbalanced="0" hidden="1"/>
    <cacheHierarchy uniqueName="[LocalDateTable_2dc8ec59-2991-4ed7-b97f-b3968012b3bf].[Day]" caption="Day" attribute="1" defaultMemberUniqueName="[LocalDateTable_2dc8ec59-2991-4ed7-b97f-b3968012b3bf].[Day].[All]" allUniqueName="[LocalDateTable_2dc8ec59-2991-4ed7-b97f-b3968012b3bf].[Day].[All]" dimensionUniqueName="[LocalDateTable_2dc8ec59-2991-4ed7-b97f-b3968012b3bf]" displayFolder="" count="0" memberValueDatatype="20" unbalanced="0" hidden="1"/>
    <cacheHierarchy uniqueName="[LocalDateTable_2dc8ec59-2991-4ed7-b97f-b3968012b3bf].[Month]" caption="Month" attribute="1" defaultMemberUniqueName="[LocalDateTable_2dc8ec59-2991-4ed7-b97f-b3968012b3bf].[Month].[All]" allUniqueName="[LocalDateTable_2dc8ec59-2991-4ed7-b97f-b3968012b3bf].[Month].[All]" dimensionUniqueName="[LocalDateTable_2dc8ec59-2991-4ed7-b97f-b3968012b3bf]" displayFolder="" count="0" memberValueDatatype="130" unbalanced="0" hidden="1"/>
    <cacheHierarchy uniqueName="[LocalDateTable_2dc8ec59-2991-4ed7-b97f-b3968012b3bf].[MonthNo]" caption="MonthNo" attribute="1" defaultMemberUniqueName="[LocalDateTable_2dc8ec59-2991-4ed7-b97f-b3968012b3bf].[MonthNo].[All]" allUniqueName="[LocalDateTable_2dc8ec59-2991-4ed7-b97f-b3968012b3bf].[MonthNo].[All]" dimensionUniqueName="[LocalDateTable_2dc8ec59-2991-4ed7-b97f-b3968012b3bf]" displayFolder="" count="0" memberValueDatatype="20" unbalanced="0" hidden="1"/>
    <cacheHierarchy uniqueName="[LocalDateTable_2dc8ec59-2991-4ed7-b97f-b3968012b3bf].[Quarter]" caption="Quarter" attribute="1" defaultMemberUniqueName="[LocalDateTable_2dc8ec59-2991-4ed7-b97f-b3968012b3bf].[Quarter].[All]" allUniqueName="[LocalDateTable_2dc8ec59-2991-4ed7-b97f-b3968012b3bf].[Quarter].[All]" dimensionUniqueName="[LocalDateTable_2dc8ec59-2991-4ed7-b97f-b3968012b3bf]" displayFolder="" count="0" memberValueDatatype="130" unbalanced="0" hidden="1"/>
    <cacheHierarchy uniqueName="[LocalDateTable_2dc8ec59-2991-4ed7-b97f-b3968012b3bf].[QuarterNo]" caption="QuarterNo" attribute="1" defaultMemberUniqueName="[LocalDateTable_2dc8ec59-2991-4ed7-b97f-b3968012b3bf].[QuarterNo].[All]" allUniqueName="[LocalDateTable_2dc8ec59-2991-4ed7-b97f-b3968012b3bf].[QuarterNo].[All]" dimensionUniqueName="[LocalDateTable_2dc8ec59-2991-4ed7-b97f-b3968012b3bf]" displayFolder="" count="0" memberValueDatatype="20" unbalanced="0" hidden="1"/>
    <cacheHierarchy uniqueName="[LocalDateTable_2dc8ec59-2991-4ed7-b97f-b3968012b3bf].[Year]" caption="Year" attribute="1" defaultMemberUniqueName="[LocalDateTable_2dc8ec59-2991-4ed7-b97f-b3968012b3bf].[Year].[All]" allUniqueName="[LocalDateTable_2dc8ec59-2991-4ed7-b97f-b3968012b3bf].[Year].[All]" dimensionUniqueName="[LocalDateTable_2dc8ec59-2991-4ed7-b97f-b3968012b3bf]" displayFolder="" count="0" memberValueDatatype="20" unbalanced="0" hidden="1"/>
    <cacheHierarchy uniqueName="[LocalDateTable_35b2b28c-5e49-4861-9014-eb0865a61f58].[Date]" caption="Date" attribute="1" time="1" defaultMemberUniqueName="[LocalDateTable_35b2b28c-5e49-4861-9014-eb0865a61f58].[Date].[All]" allUniqueName="[LocalDateTable_35b2b28c-5e49-4861-9014-eb0865a61f58].[Date].[All]" dimensionUniqueName="[LocalDateTable_35b2b28c-5e49-4861-9014-eb0865a61f58]" displayFolder="" count="0" memberValueDatatype="7" unbalanced="0" hidden="1"/>
    <cacheHierarchy uniqueName="[LocalDateTable_35b2b28c-5e49-4861-9014-eb0865a61f58].[Date Hierarchy]" caption="Date Hierarchy" defaultMemberUniqueName="[LocalDateTable_35b2b28c-5e49-4861-9014-eb0865a61f58].[Date Hierarchy].[All]" allUniqueName="[LocalDateTable_35b2b28c-5e49-4861-9014-eb0865a61f58].[Date Hierarchy].[All]" dimensionUniqueName="[LocalDateTable_35b2b28c-5e49-4861-9014-eb0865a61f58]" displayFolder="" count="0" unbalanced="0" hidden="1"/>
    <cacheHierarchy uniqueName="[LocalDateTable_35b2b28c-5e49-4861-9014-eb0865a61f58].[Day]" caption="Day" attribute="1" defaultMemberUniqueName="[LocalDateTable_35b2b28c-5e49-4861-9014-eb0865a61f58].[Day].[All]" allUniqueName="[LocalDateTable_35b2b28c-5e49-4861-9014-eb0865a61f58].[Day].[All]" dimensionUniqueName="[LocalDateTable_35b2b28c-5e49-4861-9014-eb0865a61f58]" displayFolder="" count="0" memberValueDatatype="20" unbalanced="0" hidden="1"/>
    <cacheHierarchy uniqueName="[LocalDateTable_35b2b28c-5e49-4861-9014-eb0865a61f58].[Month]" caption="Month" attribute="1" defaultMemberUniqueName="[LocalDateTable_35b2b28c-5e49-4861-9014-eb0865a61f58].[Month].[All]" allUniqueName="[LocalDateTable_35b2b28c-5e49-4861-9014-eb0865a61f58].[Month].[All]" dimensionUniqueName="[LocalDateTable_35b2b28c-5e49-4861-9014-eb0865a61f58]" displayFolder="" count="0" memberValueDatatype="130" unbalanced="0" hidden="1"/>
    <cacheHierarchy uniqueName="[LocalDateTable_35b2b28c-5e49-4861-9014-eb0865a61f58].[MonthNo]" caption="MonthNo" attribute="1" defaultMemberUniqueName="[LocalDateTable_35b2b28c-5e49-4861-9014-eb0865a61f58].[MonthNo].[All]" allUniqueName="[LocalDateTable_35b2b28c-5e49-4861-9014-eb0865a61f58].[MonthNo].[All]" dimensionUniqueName="[LocalDateTable_35b2b28c-5e49-4861-9014-eb0865a61f58]" displayFolder="" count="0" memberValueDatatype="20" unbalanced="0" hidden="1"/>
    <cacheHierarchy uniqueName="[LocalDateTable_35b2b28c-5e49-4861-9014-eb0865a61f58].[Quarter]" caption="Quarter" attribute="1" defaultMemberUniqueName="[LocalDateTable_35b2b28c-5e49-4861-9014-eb0865a61f58].[Quarter].[All]" allUniqueName="[LocalDateTable_35b2b28c-5e49-4861-9014-eb0865a61f58].[Quarter].[All]" dimensionUniqueName="[LocalDateTable_35b2b28c-5e49-4861-9014-eb0865a61f58]" displayFolder="" count="0" memberValueDatatype="130" unbalanced="0" hidden="1"/>
    <cacheHierarchy uniqueName="[LocalDateTable_35b2b28c-5e49-4861-9014-eb0865a61f58].[QuarterNo]" caption="QuarterNo" attribute="1" defaultMemberUniqueName="[LocalDateTable_35b2b28c-5e49-4861-9014-eb0865a61f58].[QuarterNo].[All]" allUniqueName="[LocalDateTable_35b2b28c-5e49-4861-9014-eb0865a61f58].[QuarterNo].[All]" dimensionUniqueName="[LocalDateTable_35b2b28c-5e49-4861-9014-eb0865a61f58]" displayFolder="" count="0" memberValueDatatype="20" unbalanced="0" hidden="1"/>
    <cacheHierarchy uniqueName="[LocalDateTable_35b2b28c-5e49-4861-9014-eb0865a61f58].[Year]" caption="Year" attribute="1" defaultMemberUniqueName="[LocalDateTable_35b2b28c-5e49-4861-9014-eb0865a61f58].[Year].[All]" allUniqueName="[LocalDateTable_35b2b28c-5e49-4861-9014-eb0865a61f58].[Year].[All]" dimensionUniqueName="[LocalDateTable_35b2b28c-5e49-4861-9014-eb0865a61f58]" displayFolder="" count="0" memberValueDatatype="20" unbalanced="0" hidden="1"/>
    <cacheHierarchy uniqueName="[LocalDateTable_3ea1f34c-3b67-443a-8479-d47192825849].[Date]" caption="Date" attribute="1" time="1" defaultMemberUniqueName="[LocalDateTable_3ea1f34c-3b67-443a-8479-d47192825849].[Date].[All]" allUniqueName="[LocalDateTable_3ea1f34c-3b67-443a-8479-d47192825849].[Date].[All]" dimensionUniqueName="[LocalDateTable_3ea1f34c-3b67-443a-8479-d47192825849]" displayFolder="" count="0" memberValueDatatype="7" unbalanced="0" hidden="1"/>
    <cacheHierarchy uniqueName="[LocalDateTable_3ea1f34c-3b67-443a-8479-d47192825849].[Date Hierarchy]" caption="Date Hierarchy" defaultMemberUniqueName="[LocalDateTable_3ea1f34c-3b67-443a-8479-d47192825849].[Date Hierarchy].[All]" allUniqueName="[LocalDateTable_3ea1f34c-3b67-443a-8479-d47192825849].[Date Hierarchy].[All]" dimensionUniqueName="[LocalDateTable_3ea1f34c-3b67-443a-8479-d47192825849]" displayFolder="" count="0" unbalanced="0" hidden="1"/>
    <cacheHierarchy uniqueName="[LocalDateTable_3ea1f34c-3b67-443a-8479-d47192825849].[Day]" caption="Day" attribute="1" defaultMemberUniqueName="[LocalDateTable_3ea1f34c-3b67-443a-8479-d47192825849].[Day].[All]" allUniqueName="[LocalDateTable_3ea1f34c-3b67-443a-8479-d47192825849].[Day].[All]" dimensionUniqueName="[LocalDateTable_3ea1f34c-3b67-443a-8479-d47192825849]" displayFolder="" count="0" memberValueDatatype="20" unbalanced="0" hidden="1"/>
    <cacheHierarchy uniqueName="[LocalDateTable_3ea1f34c-3b67-443a-8479-d47192825849].[Month]" caption="Month" attribute="1" defaultMemberUniqueName="[LocalDateTable_3ea1f34c-3b67-443a-8479-d47192825849].[Month].[All]" allUniqueName="[LocalDateTable_3ea1f34c-3b67-443a-8479-d47192825849].[Month].[All]" dimensionUniqueName="[LocalDateTable_3ea1f34c-3b67-443a-8479-d47192825849]" displayFolder="" count="0" memberValueDatatype="130" unbalanced="0" hidden="1"/>
    <cacheHierarchy uniqueName="[LocalDateTable_3ea1f34c-3b67-443a-8479-d47192825849].[MonthNo]" caption="MonthNo" attribute="1" defaultMemberUniqueName="[LocalDateTable_3ea1f34c-3b67-443a-8479-d47192825849].[MonthNo].[All]" allUniqueName="[LocalDateTable_3ea1f34c-3b67-443a-8479-d47192825849].[MonthNo].[All]" dimensionUniqueName="[LocalDateTable_3ea1f34c-3b67-443a-8479-d47192825849]" displayFolder="" count="0" memberValueDatatype="20" unbalanced="0" hidden="1"/>
    <cacheHierarchy uniqueName="[LocalDateTable_3ea1f34c-3b67-443a-8479-d47192825849].[Quarter]" caption="Quarter" attribute="1" defaultMemberUniqueName="[LocalDateTable_3ea1f34c-3b67-443a-8479-d47192825849].[Quarter].[All]" allUniqueName="[LocalDateTable_3ea1f34c-3b67-443a-8479-d47192825849].[Quarter].[All]" dimensionUniqueName="[LocalDateTable_3ea1f34c-3b67-443a-8479-d47192825849]" displayFolder="" count="0" memberValueDatatype="130" unbalanced="0" hidden="1"/>
    <cacheHierarchy uniqueName="[LocalDateTable_3ea1f34c-3b67-443a-8479-d47192825849].[QuarterNo]" caption="QuarterNo" attribute="1" defaultMemberUniqueName="[LocalDateTable_3ea1f34c-3b67-443a-8479-d47192825849].[QuarterNo].[All]" allUniqueName="[LocalDateTable_3ea1f34c-3b67-443a-8479-d47192825849].[QuarterNo].[All]" dimensionUniqueName="[LocalDateTable_3ea1f34c-3b67-443a-8479-d47192825849]" displayFolder="" count="0" memberValueDatatype="20" unbalanced="0" hidden="1"/>
    <cacheHierarchy uniqueName="[LocalDateTable_3ea1f34c-3b67-443a-8479-d47192825849].[Year]" caption="Year" attribute="1" defaultMemberUniqueName="[LocalDateTable_3ea1f34c-3b67-443a-8479-d47192825849].[Year].[All]" allUniqueName="[LocalDateTable_3ea1f34c-3b67-443a-8479-d47192825849].[Year].[All]" dimensionUniqueName="[LocalDateTable_3ea1f34c-3b67-443a-8479-d47192825849]" displayFolder="" count="0" memberValueDatatype="20" unbalanced="0" hidden="1"/>
    <cacheHierarchy uniqueName="[LocalDateTable_44c7d4ef-ea67-4ad2-970c-4dd712d1bff0].[Date]" caption="Date" attribute="1" time="1" defaultMemberUniqueName="[LocalDateTable_44c7d4ef-ea67-4ad2-970c-4dd712d1bff0].[Date].[All]" allUniqueName="[LocalDateTable_44c7d4ef-ea67-4ad2-970c-4dd712d1bff0].[Date].[All]" dimensionUniqueName="[LocalDateTable_44c7d4ef-ea67-4ad2-970c-4dd712d1bff0]" displayFolder="" count="0" memberValueDatatype="7" unbalanced="0" hidden="1"/>
    <cacheHierarchy uniqueName="[LocalDateTable_44c7d4ef-ea67-4ad2-970c-4dd712d1bff0].[Date Hierarchy]" caption="Date Hierarchy" defaultMemberUniqueName="[LocalDateTable_44c7d4ef-ea67-4ad2-970c-4dd712d1bff0].[Date Hierarchy].[All]" allUniqueName="[LocalDateTable_44c7d4ef-ea67-4ad2-970c-4dd712d1bff0].[Date Hierarchy].[All]" dimensionUniqueName="[LocalDateTable_44c7d4ef-ea67-4ad2-970c-4dd712d1bff0]" displayFolder="" count="0" unbalanced="0" hidden="1"/>
    <cacheHierarchy uniqueName="[LocalDateTable_44c7d4ef-ea67-4ad2-970c-4dd712d1bff0].[Day]" caption="Day" attribute="1" defaultMemberUniqueName="[LocalDateTable_44c7d4ef-ea67-4ad2-970c-4dd712d1bff0].[Day].[All]" allUniqueName="[LocalDateTable_44c7d4ef-ea67-4ad2-970c-4dd712d1bff0].[Day].[All]" dimensionUniqueName="[LocalDateTable_44c7d4ef-ea67-4ad2-970c-4dd712d1bff0]" displayFolder="" count="0" memberValueDatatype="20" unbalanced="0" hidden="1"/>
    <cacheHierarchy uniqueName="[LocalDateTable_44c7d4ef-ea67-4ad2-970c-4dd712d1bff0].[Month]" caption="Month" attribute="1" defaultMemberUniqueName="[LocalDateTable_44c7d4ef-ea67-4ad2-970c-4dd712d1bff0].[Month].[All]" allUniqueName="[LocalDateTable_44c7d4ef-ea67-4ad2-970c-4dd712d1bff0].[Month].[All]" dimensionUniqueName="[LocalDateTable_44c7d4ef-ea67-4ad2-970c-4dd712d1bff0]" displayFolder="" count="0" memberValueDatatype="130" unbalanced="0" hidden="1"/>
    <cacheHierarchy uniqueName="[LocalDateTable_44c7d4ef-ea67-4ad2-970c-4dd712d1bff0].[MonthNo]" caption="MonthNo" attribute="1" defaultMemberUniqueName="[LocalDateTable_44c7d4ef-ea67-4ad2-970c-4dd712d1bff0].[MonthNo].[All]" allUniqueName="[LocalDateTable_44c7d4ef-ea67-4ad2-970c-4dd712d1bff0].[MonthNo].[All]" dimensionUniqueName="[LocalDateTable_44c7d4ef-ea67-4ad2-970c-4dd712d1bff0]" displayFolder="" count="0" memberValueDatatype="20" unbalanced="0" hidden="1"/>
    <cacheHierarchy uniqueName="[LocalDateTable_44c7d4ef-ea67-4ad2-970c-4dd712d1bff0].[Quarter]" caption="Quarter" attribute="1" defaultMemberUniqueName="[LocalDateTable_44c7d4ef-ea67-4ad2-970c-4dd712d1bff0].[Quarter].[All]" allUniqueName="[LocalDateTable_44c7d4ef-ea67-4ad2-970c-4dd712d1bff0].[Quarter].[All]" dimensionUniqueName="[LocalDateTable_44c7d4ef-ea67-4ad2-970c-4dd712d1bff0]" displayFolder="" count="0" memberValueDatatype="130" unbalanced="0" hidden="1"/>
    <cacheHierarchy uniqueName="[LocalDateTable_44c7d4ef-ea67-4ad2-970c-4dd712d1bff0].[QuarterNo]" caption="QuarterNo" attribute="1" defaultMemberUniqueName="[LocalDateTable_44c7d4ef-ea67-4ad2-970c-4dd712d1bff0].[QuarterNo].[All]" allUniqueName="[LocalDateTable_44c7d4ef-ea67-4ad2-970c-4dd712d1bff0].[QuarterNo].[All]" dimensionUniqueName="[LocalDateTable_44c7d4ef-ea67-4ad2-970c-4dd712d1bff0]" displayFolder="" count="0" memberValueDatatype="20" unbalanced="0" hidden="1"/>
    <cacheHierarchy uniqueName="[LocalDateTable_44c7d4ef-ea67-4ad2-970c-4dd712d1bff0].[Year]" caption="Year" attribute="1" defaultMemberUniqueName="[LocalDateTable_44c7d4ef-ea67-4ad2-970c-4dd712d1bff0].[Year].[All]" allUniqueName="[LocalDateTable_44c7d4ef-ea67-4ad2-970c-4dd712d1bff0].[Year].[All]" dimensionUniqueName="[LocalDateTable_44c7d4ef-ea67-4ad2-970c-4dd712d1bff0]" displayFolder="" count="0" memberValueDatatype="20" unbalanced="0" hidden="1"/>
    <cacheHierarchy uniqueName="[Measure].[Column]" caption="Column" attribute="1" defaultMemberUniqueName="[Measure].[Column].[All]" allUniqueName="[Measure].[Column].[All]" dimensionUniqueName="[Measure]" displayFolder="" count="0" memberValueDatatype="20" unbalanced="0" hidden="1"/>
    <cacheHierarchy uniqueName="[Measures].[Current Quarter]" caption="Current Quarter" measure="1" displayFolder="" measureGroup="BI vw_FinCalendar" count="0"/>
    <cacheHierarchy uniqueName="[Measures].[Delivered Sales Ex GST]" caption="Delivered Sales Ex GST" measure="1" displayFolder="" measureGroup="Measure" count="0"/>
    <cacheHierarchy uniqueName="[Measures].[Sales Price]" caption="Sales Price" measure="1" displayFolder="" measureGroup="Measure" count="0"/>
    <cacheHierarchy uniqueName="[Measures].[CostInvoicedCost]" caption="CostInvoicedCost" measure="1" displayFolder="" measureGroup="Measure" count="0"/>
    <cacheHierarchy uniqueName="[Measures].[CostAmountAdjustment]" caption="CostAmountAdjustment" measure="1" displayFolder="" measureGroup="Measure" count="0"/>
    <cacheHierarchy uniqueName="[Measures].[Gross Sales]" caption="Gross Sales" measure="1" displayFolder="" measureGroup="Measure" count="0"/>
    <cacheHierarchy uniqueName="[Measures].[GM %]" caption="GM %" measure="1" displayFolder="" measureGroup="Measure" count="0"/>
    <cacheHierarchy uniqueName="[Measures].[Total Markdown]" caption="Total Markdown" measure="1" displayFolder="" measureGroup="Measure" count="0"/>
    <cacheHierarchy uniqueName="[Measures].[Quantity]" caption="Quantity" measure="1" displayFolder="" measureGroup="Measure" count="0"/>
    <cacheHierarchy uniqueName="[Measures].[Tax]" caption="Tax" measure="1" displayFolder="" measureGroup="Measure" count="0"/>
    <cacheHierarchy uniqueName="[Measures].[Gross Margin]" caption="Gross Margin" measure="1" displayFolder="" measureGroup="Measure" count="0"/>
    <cacheHierarchy uniqueName="[Measures].[ItemWholeSalePrice]" caption="ItemWholeSalePrice" measure="1" displayFolder="" measureGroup="Measure" count="0"/>
    <cacheHierarchy uniqueName="[Measures].[Line Disc]" caption="Line Disc" measure="1" displayFolder="" measureGroup="Measure" count="0"/>
    <cacheHierarchy uniqueName="[Measures].[COSTFINAL]" caption="COSTFINAL" measure="1" displayFolder="" measureGroup="Measure" count="0"/>
    <cacheHierarchy uniqueName="[Measures].[Markdown$1]" caption="Markdown$1" measure="1" displayFolder="" measureGroup="Measure" count="0"/>
    <cacheHierarchy uniqueName="[Measures].[Markdown$2]" caption="Markdown$2" measure="1" displayFolder="" measureGroup="Measure" count="0"/>
    <cacheHierarchy uniqueName="[Measures].[Total Markdown $]" caption="Total Markdown $" measure="1" displayFolder="" measureGroup="Measure" count="0"/>
    <cacheHierarchy uniqueName="[Measures].[Delivered Sales Inc GST]" caption="Delivered Sales Inc GST" measure="1" displayFolder="" measureGroup="Measure" count="0"/>
    <cacheHierarchy uniqueName="[Measures].[39% Margin]" caption="39% Margin" measure="1" displayFolder="" measureGroup="Measure" count="0"/>
    <cacheHierarchy uniqueName="[Measures].[Rebate Amount]" caption="Rebate Amount" measure="1" displayFolder="" measureGroup="Measure" count="0"/>
    <cacheHierarchy uniqueName="[Measures].[Eligible for Rebate]" caption="Eligible for Rebate" measure="1" displayFolder="" measureGroup="Measure" count="0"/>
    <cacheHierarchy uniqueName="[Measures].[Budget Variance]" caption="Budget Variance" measure="1" displayFolder="" measureGroup="Measure" count="0"/>
    <cacheHierarchy uniqueName="[Measures].[DeliveredSalesBudget]" caption="DeliveredSalesBudget" measure="1" displayFolder="" measureGroup="Measure" count="0"/>
    <cacheHierarchy uniqueName="[Measures].[% Budget Complete]" caption="% Budget Complete" measure="1" displayFolder="" measureGroup="Measure" count="0"/>
    <cacheHierarchy uniqueName="[Measures].[MarkDown]" caption="MarkDown" measure="1" displayFolder="" measureGroup="Measure" count="0"/>
    <cacheHierarchy uniqueName="[Measures].[ItemWholeSalePrice_old]" caption="ItemWholeSalePrice_old" measure="1" displayFolder="" measureGroup="Measure" count="0"/>
    <cacheHierarchy uniqueName="[Measures].[R-Gross Sales]" caption="R-Gross Sales" measure="1" displayFolder="" measureGroup="Period Measures" count="0"/>
    <cacheHierarchy uniqueName="[Measures].[R-M/D]" caption="R-M/D" measure="1" displayFolder="" measureGroup="Period Measures" count="0"/>
    <cacheHierarchy uniqueName="[Measures].[R-Delivered Sales Ex GST]" caption="R-Delivered Sales Ex GST" measure="1" displayFolder="" measureGroup="Period Measures" count="0"/>
    <cacheHierarchy uniqueName="[Measures].[R-CostFinal]" caption="R-CostFinal" measure="1" displayFolder="" measureGroup="Period Measures" count="0"/>
    <cacheHierarchy uniqueName="[Measures].[R-Trading Margin]" caption="R-Trading Margin" measure="1" displayFolder="" measureGroup="Period Measures" count="0"/>
    <cacheHierarchy uniqueName="[Measures].[R-GM%]" caption="R-GM%" measure="1" displayFolder="" measureGroup="Period Measures" count="0"/>
    <cacheHierarchy uniqueName="[Measures].[R-DeliveredSalesBudget]" caption="R-DeliveredSalesBudget" measure="1" displayFolder="" measureGroup="Period Measures" count="0"/>
    <cacheHierarchy uniqueName="[Measures].[R-Budget Variance]" caption="R-Budget Variance" measure="1" displayFolder="" measureGroup="Period Measures" count="0"/>
    <cacheHierarchy uniqueName="[Measures].[R-Gross Sales rolling]" caption="R-Gross Sales rolling" measure="1" displayFolder="" measureGroup="Period Measures" count="0"/>
    <cacheHierarchy uniqueName="[Measures].[R-Gross Sales TY $]" caption="R-Gross Sales TY $" measure="1" displayFolder="" measureGroup="BI metrics" count="0"/>
    <cacheHierarchy uniqueName="[Measures].[R-M/D TY $]" caption="R-M/D TY $" measure="1" displayFolder="" measureGroup="BI metrics" count="0"/>
    <cacheHierarchy uniqueName="[Measures].[R-Sales ExGST TY $]" caption="R-Sales ExGST TY $" measure="1" displayFolder="" measureGroup="BI metrics" count="0"/>
    <cacheHierarchy uniqueName="[Measures].[R-CostFinal TY $]" caption="R-CostFinal TY $" measure="1" displayFolder="" measureGroup="BI metrics" count="0"/>
    <cacheHierarchy uniqueName="[Measures].[R-Sale Budget TY $]" caption="R-Sale Budget TY $" measure="1" displayFolder="" measureGroup="BI metrics" count="0"/>
    <cacheHierarchy uniqueName="[Measures].[R-Trading Margin TY $]" caption="R-Trading Margin TY $" measure="1" displayFolder="" measureGroup="BI metrics" count="0" oneField="1">
      <fieldsUsage count="1">
        <fieldUsage x="7"/>
      </fieldsUsage>
    </cacheHierarchy>
    <cacheHierarchy uniqueName="[Measures].[R-GM % TY]" caption="R-GM % TY" measure="1" displayFolder="" measureGroup="BI metrics" count="0"/>
    <cacheHierarchy uniqueName="[Measures].[R-Budget Variance TY]" caption="R-Budget Variance TY" measure="1" displayFolder="" measureGroup="BI metrics" count="0"/>
    <cacheHierarchy uniqueName="[Measures].[R-Gross Sales LY $]" caption="R-Gross Sales LY $" measure="1" displayFolder="" measureGroup="BI metrics" count="0"/>
    <cacheHierarchy uniqueName="[Measures].[R-M/D LY $]" caption="R-M/D LY $" measure="1" displayFolder="" measureGroup="BI metrics" count="0"/>
    <cacheHierarchy uniqueName="[Measures].[R-Sales ExGST LY $]" caption="R-Sales ExGST LY $" measure="1" displayFolder="" measureGroup="BI metrics" count="0"/>
    <cacheHierarchy uniqueName="[Measures].[R-CostFinal LY $]" caption="R-CostFinal LY $" measure="1" displayFolder="" measureGroup="BI metrics" count="0"/>
    <cacheHierarchy uniqueName="[Measures].[R-Trading Margin LY $]" caption="R-Trading Margin LY $" measure="1" displayFolder="" measureGroup="BI metrics" count="0"/>
    <cacheHierarchy uniqueName="[Measures].[R-Sales Budget LY $]" caption="R-Sales Budget LY $" measure="1" displayFolder="" measureGroup="BI metrics" count="0"/>
    <cacheHierarchy uniqueName="[Measures].[R-Gross Sales YoY]" caption="R-Gross Sales YoY" measure="1" displayFolder="" measureGroup="BI metrics" count="0"/>
    <cacheHierarchy uniqueName="[Measures].[R-M/D YoY]" caption="R-M/D YoY" measure="1" displayFolder="" measureGroup="BI metrics" count="0"/>
    <cacheHierarchy uniqueName="[Measures].[R-Sales ExGST YoY]" caption="R-Sales ExGST YoY" measure="1" displayFolder="" measureGroup="BI metrics" count="0"/>
    <cacheHierarchy uniqueName="[Measures].[R-CostFinal YoY]" caption="R-CostFinal YoY" measure="1" displayFolder="" measureGroup="BI metrics" count="0"/>
    <cacheHierarchy uniqueName="[Measures].[R-Trading Margin YoY]" caption="R-Trading Margin YoY" measure="1" displayFolder="" measureGroup="BI metrics" count="0"/>
    <cacheHierarchy uniqueName="[Measures].[R-Sales ExGST TY $(Amart)]" caption="R-Sales ExGST TY $(Amart)" measure="1" displayFolder="aa_Quadrant-Amart" measureGroup="BI metrics" count="0"/>
    <cacheHierarchy uniqueName="[Measures].[Delivered Sales Ex GST LY]" caption="Delivered Sales Ex GST LY" measure="1" displayFolder="" measureGroup="BI metrics" count="0"/>
    <cacheHierarchy uniqueName="[Measures].[R-Sales ExGST LY $(Amart)]" caption="R-Sales ExGST LY $(Amart)" measure="1" displayFolder="aa_Quadrant-Amart" measureGroup="BI metrics" count="0"/>
    <cacheHierarchy uniqueName="[Measures].[Delivered Sales ExGST LY 1]" caption="Delivered Sales ExGST LY 1" measure="1" displayFolder="" measureGroup="BI metrics" count="0"/>
    <cacheHierarchy uniqueName="[Measures].[R-Sales ExGST YoY(Amart)]" caption="R-Sales ExGST YoY(Amart)" measure="1" displayFolder="aa_Quadrant-Amart" measureGroup="BI metrics" count="0"/>
    <cacheHierarchy uniqueName="[Measures].[R-Sale Budget TY $(Amart)]" caption="R-Sale Budget TY $(Amart)" measure="1" displayFolder="aa_Quadrant-Amart" measureGroup="BI metrics" count="0"/>
    <cacheHierarchy uniqueName="[Measures].[R-Budget Variance TY(Amart)]" caption="R-Budget Variance TY(Amart)" measure="1" displayFolder="aa_Quadrant-Amart" measureGroup="BI metrics" count="0"/>
    <cacheHierarchy uniqueName="[Measures].[R-Trading Margin TY $(Amart)]" caption="R-Trading Margin TY $(Amart)" measure="1" displayFolder="aa_Quadrant-Amart" measureGroup="BI metrics" count="0"/>
    <cacheHierarchy uniqueName="[Measures].[Gross Margin LY]" caption="Gross Margin LY" measure="1" displayFolder="aa_Quadrant-Amart" measureGroup="BI metrics" count="0"/>
    <cacheHierarchy uniqueName="[Measures].[R-Trading Margin LY $(Amart)]" caption="R-Trading Margin LY $(Amart)" measure="1" displayFolder="aa_Quadrant-Amart" measureGroup="BI metrics" count="0"/>
    <cacheHierarchy uniqueName="[Measures].[Gross Sales LY]" caption="Gross Sales LY" measure="1" displayFolder="aa_Quadrant-Amart" measureGroup="BI metrics" count="0"/>
    <cacheHierarchy uniqueName="[Measures].[R-Gross Sales TY $(Amart)]" caption="R-Gross Sales TY $(Amart)" measure="1" displayFolder="aa_Quadrant-Amart" measureGroup="BI metrics" count="0"/>
    <cacheHierarchy uniqueName="[Measures].[R-Gross Sales LY $(Amart)]" caption="R-Gross Sales LY $(Amart)" measure="1" displayFolder="aa_Quadrant-Amart" measureGroup="BI metrics" count="0"/>
    <cacheHierarchy uniqueName="[Measures].[R-Gross Sales YoY(Amart)]" caption="R-Gross Sales YoY(Amart)" measure="1" displayFolder="aa_Quadrant-Amart" measureGroup="BI metrics" count="0"/>
    <cacheHierarchy uniqueName="[Measures].[R-Trading Margin YoY(Amart)]" caption="R-Trading Margin YoY(Amart)" measure="1" displayFolder="aa_Quadrant-Amart" measureGroup="BI metrics" count="0"/>
    <cacheHierarchy uniqueName="[Measures].[Markdown LY]" caption="Markdown LY" measure="1" displayFolder="aa_Quadrant-Amart" measureGroup="BI metrics" count="0"/>
    <cacheHierarchy uniqueName="[Measures].[R-M/D TY $(Amart)]" caption="R-M/D TY $(Amart)" measure="1" displayFolder="aa_Quadrant-Amart" measureGroup="BI metrics" count="0"/>
    <cacheHierarchy uniqueName="[Measures].[R-M/D LY $(Amart)]" caption="R-M/D LY $(Amart)" measure="1" displayFolder="aa_Quadrant-Amart" measureGroup="BI metrics" count="0"/>
    <cacheHierarchy uniqueName="[Measures].[R-M/D YoY(Amart)]" caption="R-M/D YoY(Amart)" measure="1" displayFolder="aa_Quadrant-Amart" measureGroup="BI metrics" count="0"/>
    <cacheHierarchy uniqueName="[Measures].[COSTFINAL LY]" caption="COSTFINAL LY" measure="1" displayFolder="aa_Quadrant-Amart" measureGroup="BI metrics" count="0"/>
    <cacheHierarchy uniqueName="[Measures].[R-CostFinal TY $(Amart)]" caption="R-CostFinal TY $(Amart)" measure="1" displayFolder="aa_Quadrant-Amart" measureGroup="BI metrics" count="0"/>
    <cacheHierarchy uniqueName="[Measures].[R-CostFinal LY $(Amart)]" caption="R-CostFinal LY $(Amart)" measure="1" displayFolder="aa_Quadrant-Amart" measureGroup="BI metrics" count="0"/>
    <cacheHierarchy uniqueName="[Measures].[R-CostFinal YoY(Amart)]" caption="R-CostFinal YoY(Amart)" measure="1" displayFolder="aa_Quadrant-Amart" measureGroup="BI metrics" count="0"/>
    <cacheHierarchy uniqueName="[Measures].[R-GM % TY(Amart)]" caption="R-GM % TY(Amart)" measure="1" displayFolder="aa_Quadrant-Amart" measureGroup="BI metrics" count="0"/>
    <cacheHierarchy uniqueName="[Measures].[R-sales ExGST LY NFY]" caption="R-sales ExGST LY NFY" measure="1" displayFolder="" measureGroup="BI metrics" count="0"/>
    <cacheHierarchy uniqueName="[Measures].[R-Sales ExGST LY $(Amart) NFY]" caption="R-Sales ExGST LY $(Amart) NFY" measure="1" displayFolder="aa_Quadrant-Amart" measureGroup="BI metrics" count="0"/>
    <cacheHierarchy uniqueName="[Measures].[__Default measure]" caption="__Default measure" measure="1" displayFolder="" count="0" hidden="1"/>
  </cacheHierarchies>
  <kpis count="0"/>
  <dimensions count="15">
    <dimension name="BI metrics" uniqueName="[BI metrics]" caption="BI metrics"/>
    <dimension name="BI vw_Budget Duplicate" uniqueName="[BI vw_Budget Duplicate]" caption="BI vw_Budget Duplicate"/>
    <dimension name="BI vw_BudgetDeliveredSalesByStore" uniqueName="[BI vw_BudgetDeliveredSalesByStore]" caption="BI vw_BudgetDeliveredSalesByStore"/>
    <dimension name="BI vw_Dynamics_FFAFDropshipwholesaleprice" uniqueName="[BI vw_Dynamics_FFAFDropshipwholesaleprice]" caption="BI vw_Dynamics_FFAFDropshipwholesaleprice"/>
    <dimension name="BI vw_DynamicsDeliveredSales" uniqueName="[BI vw_DynamicsDeliveredSales]" caption="BI vw_DynamicsDeliveredSales"/>
    <dimension name="BI vw_FinCalendar" uniqueName="[BI vw_FinCalendar]" caption="BI vw_FinCalendar"/>
    <dimension name="BI vw_Store" uniqueName="[BI vw_Store]" caption="BI vw_Store"/>
    <dimension name="CalendarMapping" uniqueName="[CalendarMapping]" caption="CalendarMapping"/>
    <dimension name="DC SO" uniqueName="[DC SO]" caption="DC SO"/>
    <dimension name="dim_period" uniqueName="[dim_period]" caption="dim_period"/>
    <dimension measure="1" name="Measures" uniqueName="[Measures]" caption="Measures"/>
    <dimension name="Month Sort" uniqueName="[Month Sort]" caption="Month Sort"/>
    <dimension name="TimePeriod" uniqueName="[TimePeriod]" caption="TimePeriod"/>
    <dimension name="TimePeriodSort" uniqueName="[TimePeriodSort]" caption="TimePeriodSort"/>
    <dimension name="TimePeriodSort_Amart" uniqueName="[TimePeriodSort_Amart]" caption="TimePeriodSort_Amart"/>
  </dimensions>
  <measureGroups count="23">
    <measureGroup name="BI metrics" caption="BI metrics"/>
    <measureGroup name="BI vw_Budget Duplicate" caption="BI vw_Budget Duplicate"/>
    <measureGroup name="BI vw_BudgetDeliveredSalesByStore" caption="BI vw_BudgetDeliveredSalesByStore"/>
    <measureGroup name="BI vw_Dynamics_FFAFDropshipwholesaleprice" caption="BI vw_Dynamics_FFAFDropshipwholesaleprice"/>
    <measureGroup name="BI vw_DynamicsDeliveredSales" caption="BI vw_DynamicsDeliveredSales"/>
    <measureGroup name="BI vw_FinCalendar" caption="BI vw_FinCalendar"/>
    <measureGroup name="BI vw_MarkdownCategory" caption="BI vw_MarkdownCategory"/>
    <measureGroup name="BI vw_Store" caption="BI vw_Store"/>
    <measureGroup name="BI vw_Store (2)" caption="BI vw_Store (2)"/>
    <measureGroup name="CalendarMapping" caption="CalendarMapping"/>
    <measureGroup name="DateTableTemplate_3f9b2c98-215a-4ac6-bb5b-5edb3fb7613d" caption="DateTableTemplate_3f9b2c98-215a-4ac6-bb5b-5edb3fb7613d"/>
    <measureGroup name="DC SO" caption="DC SO"/>
    <measureGroup name="dim_period" caption="dim_period"/>
    <measureGroup name="LocalDateTable_2dc8ec59-2991-4ed7-b97f-b3968012b3bf" caption="LocalDateTable_2dc8ec59-2991-4ed7-b97f-b3968012b3bf"/>
    <measureGroup name="LocalDateTable_35b2b28c-5e49-4861-9014-eb0865a61f58" caption="LocalDateTable_35b2b28c-5e49-4861-9014-eb0865a61f58"/>
    <measureGroup name="LocalDateTable_3ea1f34c-3b67-443a-8479-d47192825849" caption="LocalDateTable_3ea1f34c-3b67-443a-8479-d47192825849"/>
    <measureGroup name="LocalDateTable_44c7d4ef-ea67-4ad2-970c-4dd712d1bff0" caption="LocalDateTable_44c7d4ef-ea67-4ad2-970c-4dd712d1bff0"/>
    <measureGroup name="Measure" caption="Measure"/>
    <measureGroup name="Month Sort" caption="Month Sort"/>
    <measureGroup name="Period Measures" caption="Period Measures"/>
    <measureGroup name="TimePeriod" caption="TimePeriod"/>
    <measureGroup name="TimePeriodSort" caption="TimePeriodSort"/>
    <measureGroup name="TimePeriodSort_Amart" caption="TimePeriodSort_Amart"/>
  </measureGroups>
  <maps count="49">
    <map measureGroup="0" dimension="0"/>
    <map measureGroup="0" dimension="13"/>
    <map measureGroup="0" dimension="14"/>
    <map measureGroup="1" dimension="1"/>
    <map measureGroup="1" dimension="5"/>
    <map measureGroup="1" dimension="6"/>
    <map measureGroup="1" dimension="7"/>
    <map measureGroup="1" dimension="11"/>
    <map measureGroup="2" dimension="0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1"/>
    <map measureGroup="2" dimension="13"/>
    <map measureGroup="2" dimension="14"/>
    <map measureGroup="3" dimension="3"/>
    <map measureGroup="4" dimension="0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  <map measureGroup="4" dimension="11"/>
    <map measureGroup="4" dimension="13"/>
    <map measureGroup="4" dimension="14"/>
    <map measureGroup="5" dimension="5"/>
    <map measureGroup="5" dimension="7"/>
    <map measureGroup="5" dimension="11"/>
    <map measureGroup="7" dimension="6"/>
    <map measureGroup="8" dimension="6"/>
    <map measureGroup="9" dimension="5"/>
    <map measureGroup="9" dimension="7"/>
    <map measureGroup="9" dimension="11"/>
    <map measureGroup="11" dimension="8"/>
    <map measureGroup="12" dimension="9"/>
    <map measureGroup="18" dimension="11"/>
    <map measureGroup="20" dimension="12"/>
    <map measureGroup="21" dimension="13"/>
    <map measureGroup="21" dimension="14"/>
    <map measureGroup="22" dimension="13"/>
    <map measureGroup="2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55.603121412038" backgroundQuery="1" createdVersion="8" refreshedVersion="8" minRefreshableVersion="3" recordCount="0" supportSubquery="1" supportAdvancedDrill="1" xr:uid="{C122EA9C-A728-4097-B7A4-0217ADDBA095}">
  <cacheSource type="external" connectionId="1"/>
  <cacheFields count="9">
    <cacheField name="[BI metrics].[TimePeriod].[TimePeriod]" caption="TimePeriod" numFmtId="0" hierarchy="16" level="1">
      <sharedItems containsSemiMixedTypes="0" containsString="0"/>
    </cacheField>
    <cacheField name="[BI metrics].[Fin_Period].[Fin_Period]" caption="Fin_Period" numFmtId="0" level="1">
      <sharedItems count="7"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</sharedItems>
    </cacheField>
    <cacheField name="[BI vw_DynamicsDeliveredSales].[CHANNEL].[CHANNEL]" caption="CHANNEL" numFmtId="0" hierarchy="38" level="1">
      <sharedItems count="3">
        <s v="[BI vw_DynamicsDeliveredSales].[CHANNEL].&amp;[Dropship]" c="Dropship"/>
        <s v="[BI vw_DynamicsDeliveredSales].[CHANNEL].&amp;[In Store]" c="In Store"/>
        <s v="[BI vw_DynamicsDeliveredSales].[CHANNEL].&amp;[Online]" c="Online"/>
      </sharedItems>
    </cacheField>
    <cacheField name="[BI vw_Store].[Country].[Country]" caption="Country" numFmtId="0" hierarchy="142" level="1">
      <sharedItems count="1">
        <s v="[BI vw_Store].[Country].&amp;[AU]" c="AU"/>
      </sharedItems>
    </cacheField>
    <cacheField name="[BI vw_Store].[BranchType].[BranchType]" caption="BranchType" numFmtId="0" hierarchy="140" level="1">
      <sharedItems containsSemiMixedTypes="0" containsString="0"/>
    </cacheField>
    <cacheField name="[BI vw_DynamicsDeliveredSales].[Sales Order Type].[Sales Order Type]" caption="Sales Order Type" numFmtId="0" hierarchy="101" level="1">
      <sharedItems containsSemiMixedTypes="0" containsString="0"/>
    </cacheField>
    <cacheField name="[BI vw_DynamicsDeliveredSales].[Division].[Division]" caption="Division" numFmtId="0" hierarchy="60" level="1">
      <sharedItems count="2">
        <s v="[BI vw_DynamicsDeliveredSales].[Division].&amp;[Furniture]" c="Furniture"/>
        <s v="[BI vw_DynamicsDeliveredSales].[Division].&amp;[Homewares]" c="Homewares"/>
      </sharedItems>
    </cacheField>
    <cacheField name="[Measures].[Delivered Sales Ex GST]" caption="Delivered Sales Ex GST" numFmtId="0" hierarchy="231" level="32767"/>
    <cacheField name="[BI vw_Store].[StoreName].[StoreName]" caption="StoreName" numFmtId="0" hierarchy="151" level="1">
      <sharedItems containsSemiMixedTypes="0" containsString="0"/>
    </cacheField>
  </cacheFields>
  <cacheHierarchies count="311"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1"/>
      </fieldsUsage>
    </cacheHierarchy>
    <cacheHierarchy uniqueName="[BI metrics].[Fin_Week]" caption="Fin_Week" attribute="1" defaultMemberUniqueName="[BI metrics].[Fin_Week].[All]" allUniqueName="[BI metrics].[Fin_Week].[All]" dimensionUniqueName="[BI metrics]" displayFolder="" count="0" memberValueDatatype="130" unbalanced="0"/>
    <cacheHierarchy uniqueName="[BI metrics].[Fin_Year]" caption="Fin_Year" attribute="1" defaultMemberUniqueName="[BI metrics].[Fin_Year].[All]" allUniqueName="[BI metrics].[Fin_Year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13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5" unbalanced="0"/>
    <cacheHierarchy uniqueName="[BI metrics].[LastYear_Week]" caption="LastYear_Week" attribute="1" defaultMemberUniqueName="[BI metrics].[LastYear_Week].[All]" allUniqueName="[BI metrics].[LastYear_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5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5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0"/>
      </fieldsUsage>
    </cacheHierarchy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vw_Budget Duplicate].[BudgetDollar]" caption="BudgetDollar" attribute="1" defaultMemberUniqueName="[BI vw_Budget Duplicate].[BudgetDollar].[All]" allUniqueName="[BI vw_Budget Duplicate].[BudgetDollar].[All]" dimensionUniqueName="[BI vw_Budget Duplicate]" displayFolder="" count="0" memberValueDatatype="6" unbalanced="0"/>
    <cacheHierarchy uniqueName="[BI vw_Budget Duplicate].[BudgetYear]" caption="BudgetYear" attribute="1" defaultMemberUniqueName="[BI vw_Budget Duplicate].[BudgetYear].[All]" allUniqueName="[BI vw_Budget Duplicate].[BudgetYear].[All]" dimensionUniqueName="[BI vw_Budget Duplicate]" displayFolder="" count="0" memberValueDatatype="20" unbalanced="0"/>
    <cacheHierarchy uniqueName="[BI vw_Budget Duplicate].[FinPeriod]" caption="FinPeriod" attribute="1" defaultMemberUniqueName="[BI vw_Budget Duplicate].[FinPeriod].[All]" allUniqueName="[BI vw_Budget Duplicate].[FinPeriod].[All]" dimensionUniqueName="[BI vw_Budget Duplicate]" displayFolder="" count="0" memberValueDatatype="130" unbalanced="0"/>
    <cacheHierarchy uniqueName="[BI vw_Budget Duplicate].[Store]" caption="Store" attribute="1" defaultMemberUniqueName="[BI vw_Budget Duplicate].[Store].[All]" allUniqueName="[BI vw_Budget Duplicate].[Store].[All]" dimensionUniqueName="[BI vw_Budget Duplicate]" displayFolder="" count="0" memberValueDatatype="130" unbalanced="0"/>
    <cacheHierarchy uniqueName="[BI vw_Budget Duplicate].[YearFinPeriod]" caption="YearFinPeriod" attribute="1" defaultMemberUniqueName="[BI vw_Budget Duplicate].[YearFinPeriod].[All]" allUniqueName="[BI vw_Budget Duplicate].[YearFinPeriod].[All]" dimensionUniqueName="[BI vw_Budget Duplicate]" displayFolder="" count="0" memberValueDatatype="130" unbalanced="0"/>
    <cacheHierarchy uniqueName="[BI vw_BudgetDeliveredSalesByStore].[Budget_Key]" caption="Budget_Key" attribute="1" defaultMemberUniqueName="[BI vw_BudgetDeliveredSalesByStore].[Budget_Key].[All]" allUniqueName="[BI vw_BudgetDeliveredSalesByStore].[Budget_Key].[All]" dimensionUniqueName="[BI vw_BudgetDeliveredSalesByStore]" displayFolder="" count="0" memberValueDatatype="130" unbalanced="0"/>
    <cacheHierarchy uniqueName="[BI vw_BudgetDeliveredSalesByStore].[BudgetDollar]" caption="BudgetDollar" attribute="1" defaultMemberUniqueName="[BI vw_BudgetDeliveredSalesByStore].[BudgetDollar].[All]" allUniqueName="[BI vw_BudgetDeliveredSalesByStore].[BudgetDollar].[All]" dimensionUniqueName="[BI vw_BudgetDeliveredSalesByStore]" displayFolder="" count="0" memberValueDatatype="6" unbalanced="0"/>
    <cacheHierarchy uniqueName="[BI vw_BudgetDeliveredSalesByStore].[BudgetYear]" caption="BudgetYear" attribute="1" defaultMemberUniqueName="[BI vw_BudgetDeliveredSalesByStore].[BudgetYear].[All]" allUniqueName="[BI vw_BudgetDeliveredSalesByStore].[BudgetYear].[All]" dimensionUniqueName="[BI vw_BudgetDeliveredSalesByStore]" displayFolder="" count="0" memberValueDatatype="20" unbalanced="0"/>
    <cacheHierarchy uniqueName="[BI vw_BudgetDeliveredSalesByStore].[FinPeriod]" caption="FinPeriod" attribute="1" defaultMemberUniqueName="[BI vw_BudgetDeliveredSalesByStore].[FinPeriod].[All]" allUniqueName="[BI vw_BudgetDeliveredSalesByStore].[FinPeriod].[All]" dimensionUniqueName="[BI vw_BudgetDeliveredSalesByStore]" displayFolder="" count="0" memberValueDatatype="130" unbalanced="0"/>
    <cacheHierarchy uniqueName="[BI vw_BudgetDeliveredSalesByStore].[Store]" caption="Store" attribute="1" defaultMemberUniqueName="[BI vw_BudgetDeliveredSalesByStore].[Store].[All]" allUniqueName="[BI vw_BudgetDeliveredSalesByStore].[Store].[All]" dimensionUniqueName="[BI vw_BudgetDeliveredSalesByStore]" displayFolder="" count="0" memberValueDatatype="130" unbalanced="0"/>
    <cacheHierarchy uniqueName="[BI vw_BudgetDeliveredSalesByStore].[YearFinPeriod]" caption="YearFinPeriod" attribute="1" defaultMemberUniqueName="[BI vw_BudgetDeliveredSalesByStore].[YearFinPeriod].[All]" allUniqueName="[BI vw_BudgetDeliveredSalesByStore].[YearFinPeriod].[All]" dimensionUniqueName="[BI vw_BudgetDeliveredSalesByStore]" displayFolder="" count="0" memberValueDatatype="130" unbalanced="0"/>
    <cacheHierarchy uniqueName="[BI vw_Dynamics_FFAFDropshipwholesaleprice].[Key]" caption="Key" attribute="1" defaultMemberUniqueName="[BI vw_Dynamics_FFAFDropshipwholesaleprice].[Key].[All]" allUniqueName="[BI vw_Dynamics_FFAFDropshipwholesaleprice].[Key].[All]" dimensionUniqueName="[BI vw_Dynamics_FFAFDropshipwholesaleprice]" displayFolder="" count="0" memberValueDatatype="130" unbalanced="0"/>
    <cacheHierarchy uniqueName="[BI vw_Dynamics_FFAFDropshipwholesaleprice].[WholeSalePrice_FFAFdropship]" caption="WholeSalePrice_FFAFdropship" attribute="1" defaultMemberUniqueName="[BI vw_Dynamics_FFAFDropshipwholesaleprice].[WholeSalePrice_FFAFdropship].[All]" allUniqueName="[BI vw_Dynamics_FFAFDropshipwholesaleprice].[WholeSalePrice_FFAFdropship].[All]" dimensionUniqueName="[BI vw_Dynamics_FFAFDropshipwholesaleprice]" displayFolder="" count="0" memberValueDatatype="5" unbalanced="0"/>
    <cacheHierarchy uniqueName="[BI vw_DynamicsDeliveredSales].[AU-AU]" caption="AU-AU" attribute="1" defaultMemberUniqueName="[BI vw_DynamicsDeliveredSales].[AU-AU].[All]" allUniqueName="[BI vw_DynamicsDeliveredSales].[AU-AU].[All]" dimensionUniqueName="[BI vw_DynamicsDeliveredSales]" displayFolder="" count="0" memberValueDatatype="5" unbalanced="0"/>
    <cacheHierarchy uniqueName="[BI vw_DynamicsDeliveredSales].[AU-NZ]" caption="AU-NZ" attribute="1" defaultMemberUniqueName="[BI vw_DynamicsDeliveredSales].[AU-NZ].[All]" allUniqueName="[BI vw_DynamicsDeliveredSales].[AU-NZ].[All]" dimensionUniqueName="[BI vw_DynamicsDeliveredSales]" displayFolder="" count="0" memberValueDatatype="5" unbalanced="0"/>
    <cacheHierarchy uniqueName="[BI vw_DynamicsDeliveredSales].[BI vw_Dynamics_FFAFDropshipwholesaleprice.WholeSalePrice_FFAFdropship]" caption="BI vw_Dynamics_FFAFDropshipwholesaleprice.WholeSalePrice_FFAFdropship" attribute="1" defaultMemberUniqueName="[BI vw_DynamicsDeliveredSales].[BI vw_Dynamics_FFAFDropshipwholesaleprice.WholeSalePrice_FFAFdropship].[All]" allUniqueName="[BI vw_DynamicsDeliveredSales].[BI vw_Dynamics_FFAFDropshipwholesaleprice.WholeSalePrice_FFAFdropship].[All]" dimensionUniqueName="[BI vw_DynamicsDeliveredSales]" displayFolder="" count="0" memberValueDatatype="5" unbalanced="0"/>
    <cacheHierarchy uniqueName="[BI vw_DynamicsDeliveredSales].[BranchType]" caption="BranchType" attribute="1" defaultMemberUniqueName="[BI vw_DynamicsDeliveredSales].[BranchType].[All]" allUniqueName="[BI vw_DynamicsDeliveredSales].[BranchType].[All]" dimensionUniqueName="[BI vw_DynamicsDeliveredSales]" displayFolder="" count="0" memberValueDatatype="130" unbalanced="0"/>
    <cacheHierarchy uniqueName="[BI vw_DynamicsDeliveredSales].[Budget_Key]" caption="Budget_Key" attribute="1" defaultMemberUniqueName="[BI vw_DynamicsDeliveredSales].[Budget_Key].[All]" allUniqueName="[BI vw_DynamicsDeliveredSales].[Budget_Key].[All]" dimensionUniqueName="[BI vw_DynamicsDeliveredSales]" displayFolder="" count="0" memberValueDatatype="130" unbalanced="0"/>
    <cacheHierarchy uniqueName="[BI vw_DynamicsDeliveredSales].[CHANNEL]" caption="CHANNEL" attribute="1" defaultMemberUniqueName="[BI vw_DynamicsDeliveredSales].[CHANNEL].[All]" allUniqueName="[BI vw_DynamicsDeliveredSales].[CHANNEL].[All]" dimensionUniqueName="[BI vw_DynamicsDeliveredSales]" displayFolder="" count="2" memberValueDatatype="130" unbalanced="0">
      <fieldsUsage count="2">
        <fieldUsage x="-1"/>
        <fieldUsage x="2"/>
      </fieldsUsage>
    </cacheHierarchy>
    <cacheHierarchy uniqueName="[BI vw_DynamicsDeliveredSales].[ClassDesc]" caption="ClassDesc" attribute="1" defaultMemberUniqueName="[BI vw_DynamicsDeliveredSales].[ClassDesc].[All]" allUniqueName="[BI vw_DynamicsDeliveredSales].[ClassDesc].[All]" dimensionUniqueName="[BI vw_DynamicsDeliveredSales]" displayFolder="" count="0" memberValueDatatype="130" unbalanced="0"/>
    <cacheHierarchy uniqueName="[BI vw_DynamicsDeliveredSales].[COMPANY]" caption="COMPANY" attribute="1" defaultMemberUniqueName="[BI vw_DynamicsDeliveredSales].[COMPANY].[All]" allUniqueName="[BI vw_DynamicsDeliveredSales].[COMPANY].[All]" dimensionUniqueName="[BI vw_DynamicsDeliveredSales]" displayFolder="" count="0" memberValueDatatype="130" unbalanced="0"/>
    <cacheHierarchy uniqueName="[BI vw_DynamicsDeliveredSales].[CONTRIBUTIONMARGIN]" caption="CONTRIBUTIONMARGIN" attribute="1" defaultMemberUniqueName="[BI vw_DynamicsDeliveredSales].[CONTRIBUTIONMARGIN].[All]" allUniqueName="[BI vw_DynamicsDeliveredSales].[CONTRIBUTIONMARGIN].[All]" dimensionUniqueName="[BI vw_DynamicsDeliveredSales]" displayFolder="" count="0" memberValueDatatype="5" unbalanced="0"/>
    <cacheHierarchy uniqueName="[BI vw_DynamicsDeliveredSales].[CONTRIBUTIONMARGININVOICED]" caption="CONTRIBUTIONMARGININVOICED" attribute="1" defaultMemberUniqueName="[BI vw_DynamicsDeliveredSales].[CONTRIBUTIONMARGININVOICED].[All]" allUniqueName="[BI vw_DynamicsDeliveredSales].[CONTRIBUTIONMARGININVOICED].[All]" dimensionUniqueName="[BI vw_DynamicsDeliveredSales]" displayFolder="" count="0" memberValueDatatype="5" unbalanced="0"/>
    <cacheHierarchy uniqueName="[BI vw_DynamicsDeliveredSales].[COSTAMOUNTSTD]" caption="COSTAMOUNTSTD" attribute="1" defaultMemberUniqueName="[BI vw_DynamicsDeliveredSales].[COSTAMOUNTSTD].[All]" allUniqueName="[BI vw_DynamicsDeliveredSales].[COSTAMOUNTSTD].[All]" dimensionUniqueName="[BI vw_DynamicsDeliveredSales]" displayFolder="" count="0" memberValueDatatype="5" unbalanced="0"/>
    <cacheHierarchy uniqueName="[BI vw_DynamicsDeliveredSales].[COSTAMOUNTSTDADJUSTMENT]" caption="COSTAMOUNTSTDADJUSTMENT" attribute="1" defaultMemberUniqueName="[BI vw_DynamicsDeliveredSales].[COSTAMOUNTSTDADJUSTMENT].[All]" allUniqueName="[BI vw_DynamicsDeliveredSales].[COSTAMOUNTSTDADJUSTMENT].[All]" dimensionUniqueName="[BI vw_DynamicsDeliveredSales]" displayFolder="" count="0" memberValueDatatype="5" unbalanced="0"/>
    <cacheHierarchy uniqueName="[BI vw_DynamicsDeliveredSales].[COSTINVOICEDCOST]" caption="COSTINVOICEDCOST" attribute="1" defaultMemberUniqueName="[BI vw_DynamicsDeliveredSales].[COSTINVOICEDCOST].[All]" allUniqueName="[BI vw_DynamicsDeliveredSales].[COSTINVOICEDCOST].[All]" dimensionUniqueName="[BI vw_DynamicsDeliveredSales]" displayFolder="" count="0" memberValueDatatype="5" unbalanced="0"/>
    <cacheHierarchy uniqueName="[BI vw_DynamicsDeliveredSales].[Country]" caption="Country" attribute="1" defaultMemberUniqueName="[BI vw_DynamicsDeliveredSales].[Country].[All]" allUniqueName="[BI vw_DynamicsDeliveredSales].[Country].[All]" dimensionUniqueName="[BI vw_DynamicsDeliveredSales]" displayFolder="" count="0" memberValueDatatype="130" unbalanced="0"/>
    <cacheHierarchy uniqueName="[BI vw_DynamicsDeliveredSales].[CUSTACCOUNT]" caption="CUSTACCOUNT" attribute="1" defaultMemberUniqueName="[BI vw_DynamicsDeliveredSales].[CUSTACCOUNT].[All]" allUniqueName="[BI vw_DynamicsDeliveredSales].[CUSTACCOUNT].[All]" dimensionUniqueName="[BI vw_DynamicsDeliveredSales]" displayFolder="" count="0" memberValueDatatype="130" unbalanced="0"/>
    <cacheHierarchy uniqueName="[BI vw_DynamicsDeliveredSales].[CUSTACCOUNT - Copy]" caption="CUSTACCOUNT - Copy" attribute="1" defaultMemberUniqueName="[BI vw_DynamicsDeliveredSales].[CUSTACCOUNT - Copy].[All]" allUniqueName="[BI vw_DynamicsDeliveredSales].[CUSTACCOUNT - Copy].[All]" dimensionUniqueName="[BI vw_DynamicsDeliveredSales]" displayFolder="" count="0" memberValueDatatype="130" unbalanced="0"/>
    <cacheHierarchy uniqueName="[BI vw_DynamicsDeliveredSales].[CUSTOMERNAME]" caption="CUSTOMERNAME" attribute="1" defaultMemberUniqueName="[BI vw_DynamicsDeliveredSales].[CUSTOMERNAME].[All]" allUniqueName="[BI vw_DynamicsDeliveredSales].[CUSTOMERNAME].[All]" dimensionUniqueName="[BI vw_DynamicsDeliveredSales]" displayFolder="" count="0" memberValueDatatype="130" unbalanced="0"/>
    <cacheHierarchy uniqueName="[BI vw_DynamicsDeliveredSales].[CUSTOMERSORDERREFERENCE]" caption="CUSTOMERSORDERREFERENCE" attribute="1" defaultMemberUniqueName="[BI vw_DynamicsDeliveredSales].[CUSTOMERSORDERREFERENCE].[All]" allUniqueName="[BI vw_DynamicsDeliveredSales].[CUSTOMERSORDERREFERENCE].[All]" dimensionUniqueName="[BI vw_DynamicsDeliveredSales]" displayFolder="" count="0" memberValueDatatype="130" unbalanced="0"/>
    <cacheHierarchy uniqueName="[BI vw_DynamicsDeliveredSales].[DATAAREAID]" caption="DATAAREAID" attribute="1" defaultMemberUniqueName="[BI vw_DynamicsDeliveredSales].[DATAAREAID].[All]" allUniqueName="[BI vw_DynamicsDeliveredSales].[DATAAREAID].[All]" dimensionUniqueName="[BI vw_DynamicsDeliveredSales]" displayFolder="" count="0" memberValueDatatype="130" unbalanced="0"/>
    <cacheHierarchy uniqueName="[BI vw_DynamicsDeliveredSales].[DC Name]" caption="DC Name" attribute="1" defaultMemberUniqueName="[BI vw_DynamicsDeliveredSales].[DC Name].[All]" allUniqueName="[BI vw_DynamicsDeliveredSales].[DC Name].[All]" dimensionUniqueName="[BI vw_DynamicsDeliveredSales]" displayFolder="" count="0" memberValueDatatype="130" unbalanced="0"/>
    <cacheHierarchy uniqueName="[BI vw_DynamicsDeliveredSales].[DC SO Name]" caption="DC SO Name" attribute="1" defaultMemberUniqueName="[BI vw_DynamicsDeliveredSales].[DC SO Name].[All]" allUniqueName="[BI vw_DynamicsDeliveredSales].[DC SO Name].[All]" dimensionUniqueName="[BI vw_DynamicsDeliveredSales]" displayFolder="" count="0" memberValueDatatype="20" unbalanced="0"/>
    <cacheHierarchy uniqueName="[BI vw_DynamicsDeliveredSales].[DEFAULTLEDGERDIMENSIONDISPLAYVALUE]" caption="DEFAULTLEDGERDIMENSIONDISPLAYVALUE" attribute="1" defaultMemberUniqueName="[BI vw_DynamicsDeliveredSales].[DEFAULTLEDGERDIMENSIONDISPLAYVALUE].[All]" allUniqueName="[BI vw_DynamicsDeliveredSales].[DEFAULTLEDGERDIMENSIONDISPLAYVALUE].[All]" dimensionUniqueName="[BI vw_DynamicsDeliveredSales]" displayFolder="" count="0" memberValueDatatype="130" unbalanced="0"/>
    <cacheHierarchy uniqueName="[BI vw_DynamicsDeliveredSales].[DEFAULTSHIPPINGWAREHOUSEID]" caption="DEFAULTSHIPPINGWAREHOUSEID" attribute="1" defaultMemberUniqueName="[BI vw_DynamicsDeliveredSales].[DEFAULTSHIPPINGWAREHOUSEID].[All]" allUniqueName="[BI vw_DynamicsDeliveredSales].[DEFAULTSHIPPINGWAREHOUSEID].[All]" dimensionUniqueName="[BI vw_DynamicsDeliveredSales]" displayFolder="" count="0" memberValueDatatype="130" unbalanced="0"/>
    <cacheHierarchy uniqueName="[BI vw_DynamicsDeliveredSales].[DELIVERYMODECODE]" caption="DELIVERYMODECODE" attribute="1" defaultMemberUniqueName="[BI vw_DynamicsDeliveredSales].[DELIVERYMODECODE].[All]" allUniqueName="[BI vw_DynamicsDeliveredSales].[DELIVERYMODECODE].[All]" dimensionUniqueName="[BI vw_DynamicsDeliveredSales]" displayFolder="" count="0" memberValueDatatype="130" unbalanced="0"/>
    <cacheHierarchy uniqueName="[BI vw_DynamicsDeliveredSales].[Department]" caption="Department" attribute="1" defaultMemberUniqueName="[BI vw_DynamicsDeliveredSales].[Department].[All]" allUniqueName="[BI vw_DynamicsDeliveredSales].[Department].[All]" dimensionUniqueName="[BI vw_DynamicsDeliveredSales]" displayFolder="" count="0" memberValueDatatype="5" unbalanced="0"/>
    <cacheHierarchy uniqueName="[BI vw_DynamicsDeliveredSales].[DepartmentDesc]" caption="DepartmentDesc" attribute="1" defaultMemberUniqueName="[BI vw_DynamicsDeliveredSales].[DepartmentDesc].[All]" allUniqueName="[BI vw_DynamicsDeliveredSales].[DepartmentDesc].[All]" dimensionUniqueName="[BI vw_DynamicsDeliveredSales]" displayFolder="" count="0" memberValueDatatype="130" unbalanced="0"/>
    <cacheHierarchy uniqueName="[BI vw_DynamicsDeliveredSales].[DISCINVOICEDDISC]" caption="DISCINVOICEDDISC" attribute="1" defaultMemberUniqueName="[BI vw_DynamicsDeliveredSales].[DISCINVOICEDDISC].[All]" allUniqueName="[BI vw_DynamicsDeliveredSales].[DISCINVOICEDDISC].[All]" dimensionUniqueName="[BI vw_DynamicsDeliveredSales]" displayFolder="" count="0" memberValueDatatype="5" unbalanced="0"/>
    <cacheHierarchy uniqueName="[BI vw_DynamicsDeliveredSales].[Division]" caption="Division" attribute="1" defaultMemberUniqueName="[BI vw_DynamicsDeliveredSales].[Division].[All]" allUniqueName="[BI vw_DynamicsDeliveredSales].[Division].[All]" dimensionUniqueName="[BI vw_DynamicsDeliveredSales]" displayFolder="" count="2" memberValueDatatype="130" unbalanced="0">
      <fieldsUsage count="2">
        <fieldUsage x="-1"/>
        <fieldUsage x="6"/>
      </fieldsUsage>
    </cacheHierarchy>
    <cacheHierarchy uniqueName="[BI vw_DynamicsDeliveredSales].[Dropship]" caption="Dropship" attribute="1" defaultMemberUniqueName="[BI vw_DynamicsDeliveredSales].[Dropship].[All]" allUniqueName="[BI vw_DynamicsDeliveredSales].[Dropship].[All]" dimensionUniqueName="[BI vw_DynamicsDeliveredSales]" displayFolder="" count="0" memberValueDatatype="130" unbalanced="0"/>
    <cacheHierarchy uniqueName="[BI vw_DynamicsDeliveredSales].[DXC_BASEITEMNUMBER]" caption="DXC_BASEITEMNUMBER" attribute="1" defaultMemberUniqueName="[BI vw_DynamicsDeliveredSales].[DXC_BASEITEMNUMBER].[All]" allUniqueName="[BI vw_DynamicsDeliveredSales].[DXC_BASEITEMNUMBER].[All]" dimensionUniqueName="[BI vw_DynamicsDeliveredSales]" displayFolder="" count="0" memberValueDatatype="130" unbalanced="0"/>
    <cacheHierarchy uniqueName="[BI vw_DynamicsDeliveredSales].[dxc_EXTERNALCREATEDDATE]" caption="dxc_EXTERNALCREATEDDATE" attribute="1" time="1" defaultMemberUniqueName="[BI vw_DynamicsDeliveredSales].[dxc_EXTERNALCREATEDDATE].[All]" allUniqueName="[BI vw_DynamicsDeliveredSales].[dxc_EXTERNALCREATEDDATE].[All]" dimensionUniqueName="[BI vw_DynamicsDeliveredSales]" displayFolder="" count="0" memberValueDatatype="7" unbalanced="0"/>
    <cacheHierarchy uniqueName="[BI vw_DynamicsDeliveredSales].[DXC_EXTERNALITEMNUMBER]" caption="DXC_EXTERNALITEMNUMBER" attribute="1" defaultMemberUniqueName="[BI vw_DynamicsDeliveredSales].[DXC_EXTERNALITEMNUMBER].[All]" allUniqueName="[BI vw_DynamicsDeliveredSales].[DXC_EXTERNALITEMNUMBER].[All]" dimensionUniqueName="[BI vw_DynamicsDeliveredSales]" displayFolder="" count="0" memberValueDatatype="130" unbalanced="0"/>
    <cacheHierarchy uniqueName="[BI vw_DynamicsDeliveredSales].[DXC_SALESPERSONID]" caption="DXC_SALESPERSONID" attribute="1" defaultMemberUniqueName="[BI vw_DynamicsDeliveredSales].[DXC_SALESPERSONID].[All]" allUniqueName="[BI vw_DynamicsDeliveredSales].[DXC_SALESPERSONID].[All]" dimensionUniqueName="[BI vw_DynamicsDeliveredSales]" displayFolder="" count="0" memberValueDatatype="130" unbalanced="0"/>
    <cacheHierarchy uniqueName="[BI vw_DynamicsDeliveredSales].[FINALUPC]" caption="FINALUPC" attribute="1" defaultMemberUniqueName="[BI vw_DynamicsDeliveredSales].[FINALUPC].[All]" allUniqueName="[BI vw_DynamicsDeliveredSales].[FINALUPC].[All]" dimensionUniqueName="[BI vw_DynamicsDeliveredSales]" displayFolder="" count="0" memberValueDatatype="20" unbalanced="0"/>
    <cacheHierarchy uniqueName="[BI vw_DynamicsDeliveredSales].[FinPeriod]" caption="FinPeriod" attribute="1" defaultMemberUniqueName="[BI vw_DynamicsDeliveredSales].[FinPeriod].[All]" allUniqueName="[BI vw_DynamicsDeliveredSales].[FinPeriod].[All]" dimensionUniqueName="[BI vw_DynamicsDeliveredSales]" displayFolder="" count="0" memberValueDatatype="20" unbalanced="0"/>
    <cacheHierarchy uniqueName="[BI vw_DynamicsDeliveredSales].[FinPeriod Cal]" caption="FinPeriod Cal" attribute="1" defaultMemberUniqueName="[BI vw_DynamicsDeliveredSales].[FinPeriod Cal].[All]" allUniqueName="[BI vw_DynamicsDeliveredSales].[FinPeriod Cal].[All]" dimensionUniqueName="[BI vw_DynamicsDeliveredSales]" displayFolder="" count="0" memberValueDatatype="20" unbalanced="0"/>
    <cacheHierarchy uniqueName="[BI vw_DynamicsDeliveredSales].[FirstWeek-Month]" caption="FirstWeek-Month" attribute="1" defaultMemberUniqueName="[BI vw_DynamicsDeliveredSales].[FirstWeek-Month].[All]" allUniqueName="[BI vw_DynamicsDeliveredSales].[FirstWeek-Month].[All]" dimensionUniqueName="[BI vw_DynamicsDeliveredSales]" displayFolder="" count="0" memberValueDatatype="20" unbalanced="0"/>
    <cacheHierarchy uniqueName="[BI vw_DynamicsDeliveredSales].[FirstWeek-QTD]" caption="FirstWeek-QTD" attribute="1" defaultMemberUniqueName="[BI vw_DynamicsDeliveredSales].[FirstWeek-QTD].[All]" allUniqueName="[BI vw_DynamicsDeliveredSales].[FirstWeek-QTD].[All]" dimensionUniqueName="[BI vw_DynamicsDeliveredSales]" displayFolder="" count="0" memberValueDatatype="20" unbalanced="0"/>
    <cacheHierarchy uniqueName="[BI vw_DynamicsDeliveredSales].[FirstWeek-Year]" caption="FirstWeek-Year" attribute="1" defaultMemberUniqueName="[BI vw_DynamicsDeliveredSales].[FirstWeek-Year].[All]" allUniqueName="[BI vw_DynamicsDeliveredSales].[FirstWeek-Year].[All]" dimensionUniqueName="[BI vw_DynamicsDeliveredSales]" displayFolder="" count="0" memberValueDatatype="130" unbalanced="0"/>
    <cacheHierarchy uniqueName="[BI vw_DynamicsDeliveredSales].[GROSSINVOICEDGROSS]" caption="GROSSINVOICEDGROSS" attribute="1" defaultMemberUniqueName="[BI vw_DynamicsDeliveredSales].[GROSSINVOICEDGROSS].[All]" allUniqueName="[BI vw_DynamicsDeliveredSales].[GROSSINVOICEDGROSS].[All]" dimensionUniqueName="[BI vw_DynamicsDeliveredSales]" displayFolder="" count="0" memberValueDatatype="5" unbalanced="0"/>
    <cacheHierarchy uniqueName="[BI vw_DynamicsDeliveredSales].[INVENTTRANSID]" caption="INVENTTRANSID" attribute="1" defaultMemberUniqueName="[BI vw_DynamicsDeliveredSales].[INVENTTRANSID].[All]" allUniqueName="[BI vw_DynamicsDeliveredSales].[INVENTTRANSID].[All]" dimensionUniqueName="[BI vw_DynamicsDeliveredSales]" displayFolder="" count="0" memberValueDatatype="130" unbalanced="0"/>
    <cacheHierarchy uniqueName="[BI vw_DynamicsDeliveredSales].[INVOICEDATE]" caption="INVOICEDATE" attribute="1" time="1" defaultMemberUniqueName="[BI vw_DynamicsDeliveredSales].[INVOICEDATE].[All]" allUniqueName="[BI vw_DynamicsDeliveredSales].[INVOICEDATE].[All]" dimensionUniqueName="[BI vw_DynamicsDeliveredSales]" displayFolder="" count="0" memberValueDatatype="7" unbalanced="0"/>
    <cacheHierarchy uniqueName="[BI vw_DynamicsDeliveredSales].[INVOICEID]" caption="INVOICEID" attribute="1" defaultMemberUniqueName="[BI vw_DynamicsDeliveredSales].[INVOICEID].[All]" allUniqueName="[BI vw_DynamicsDeliveredSales].[INVOICEID].[All]" dimensionUniqueName="[BI vw_DynamicsDeliveredSales]" displayFolder="" count="0" memberValueDatatype="130" unbalanced="0"/>
    <cacheHierarchy uniqueName="[BI vw_DynamicsDeliveredSales].[ISSELECTED]" caption="ISSELECTED" attribute="1" defaultMemberUniqueName="[BI vw_DynamicsDeliveredSales].[ISSELECTED].[All]" allUniqueName="[BI vw_DynamicsDeliveredSales].[ISSELECTED].[All]" dimensionUniqueName="[BI vw_DynamicsDeliveredSales]" displayFolder="" count="0" memberValueDatatype="20" unbalanced="0"/>
    <cacheHierarchy uniqueName="[BI vw_DynamicsDeliveredSales].[ITEMID]" caption="ITEMID" attribute="1" defaultMemberUniqueName="[BI vw_DynamicsDeliveredSales].[ITEMID].[All]" allUniqueName="[BI vw_DynamicsDeliveredSales].[ITEMID].[All]" dimensionUniqueName="[BI vw_DynamicsDeliveredSales]" displayFolder="" count="0" memberValueDatatype="130" unbalanced="0"/>
    <cacheHierarchy uniqueName="[BI vw_DynamicsDeliveredSales].[ITEMNAME]" caption="ITEMNAME" attribute="1" defaultMemberUniqueName="[BI vw_DynamicsDeliveredSales].[ITEMNAME].[All]" allUniqueName="[BI vw_DynamicsDeliveredSales].[ITEMNAME].[All]" dimensionUniqueName="[BI vw_DynamicsDeliveredSales]" displayFolder="" count="0" memberValueDatatype="130" unbalanced="0"/>
    <cacheHierarchy uniqueName="[BI vw_DynamicsDeliveredSales].[ITEMTYPE]" caption="ITEMTYPE" attribute="1" defaultMemberUniqueName="[BI vw_DynamicsDeliveredSales].[ITEMTYPE].[All]" allUniqueName="[BI vw_DynamicsDeliveredSales].[ITEMTYPE].[All]" dimensionUniqueName="[BI vw_DynamicsDeliveredSales]" displayFolder="" count="0" memberValueDatatype="130" unbalanced="0"/>
    <cacheHierarchy uniqueName="[BI vw_DynamicsDeliveredSales].[LINECREATIONSEQUENCENUMBER]" caption="LINECREATIONSEQUENCENUMBER" attribute="1" defaultMemberUniqueName="[BI vw_DynamicsDeliveredSales].[LINECREATIONSEQUENCENUMBER].[All]" allUniqueName="[BI vw_DynamicsDeliveredSales].[LINECREATIONSEQUENCENUMBER].[All]" dimensionUniqueName="[BI vw_DynamicsDeliveredSales]" displayFolder="" count="0" memberValueDatatype="20" unbalanced="0"/>
    <cacheHierarchy uniqueName="[BI vw_DynamicsDeliveredSales].[LINEDISC]" caption="LINEDISC" attribute="1" defaultMemberUniqueName="[BI vw_DynamicsDeliveredSales].[LINEDISC].[All]" allUniqueName="[BI vw_DynamicsDeliveredSales].[LINEDISC].[All]" dimensionUniqueName="[BI vw_DynamicsDeliveredSales]" displayFolder="" count="0" memberValueDatatype="5" unbalanced="0"/>
    <cacheHierarchy uniqueName="[BI vw_DynamicsDeliveredSales].[LINENUM]" caption="LINENUM" attribute="1" defaultMemberUniqueName="[BI vw_DynamicsDeliveredSales].[LINENUM].[All]" allUniqueName="[BI vw_DynamicsDeliveredSales].[LINENUM].[All]" dimensionUniqueName="[BI vw_DynamicsDeliveredSales]" displayFolder="" count="0" memberValueDatatype="20" unbalanced="0"/>
    <cacheHierarchy uniqueName="[BI vw_DynamicsDeliveredSales].[MarkdownAmounts.1]" caption="MarkdownAmounts.1" attribute="1" defaultMemberUniqueName="[BI vw_DynamicsDeliveredSales].[MarkdownAmounts.1].[All]" allUniqueName="[BI vw_DynamicsDeliveredSales].[MarkdownAmounts.1].[All]" dimensionUniqueName="[BI vw_DynamicsDeliveredSales]" displayFolder="" count="0" memberValueDatatype="5" unbalanced="0"/>
    <cacheHierarchy uniqueName="[BI vw_DynamicsDeliveredSales].[MarkdownAmounts.2]" caption="MarkdownAmounts.2" attribute="1" defaultMemberUniqueName="[BI vw_DynamicsDeliveredSales].[MarkdownAmounts.2].[All]" allUniqueName="[BI vw_DynamicsDeliveredSales].[MarkdownAmounts.2].[All]" dimensionUniqueName="[BI vw_DynamicsDeliveredSales]" displayFolder="" count="0" memberValueDatatype="5" unbalanced="0"/>
    <cacheHierarchy uniqueName="[BI vw_DynamicsDeliveredSales].[MarkdownCategory.1]" caption="MarkdownCategory.1" attribute="1" defaultMemberUniqueName="[BI vw_DynamicsDeliveredSales].[MarkdownCategory.1].[All]" allUniqueName="[BI vw_DynamicsDeliveredSales].[MarkdownCategory.1].[All]" dimensionUniqueName="[BI vw_DynamicsDeliveredSales]" displayFolder="" count="0" memberValueDatatype="130" unbalanced="0"/>
    <cacheHierarchy uniqueName="[BI vw_DynamicsDeliveredSales].[MarkdownCategory.2]" caption="MarkdownCategory.2" attribute="1" defaultMemberUniqueName="[BI vw_DynamicsDeliveredSales].[MarkdownCategory.2].[All]" allUniqueName="[BI vw_DynamicsDeliveredSales].[MarkdownCategory.2].[All]" dimensionUniqueName="[BI vw_DynamicsDeliveredSales]" displayFolder="" count="0" memberValueDatatype="130" unbalanced="0"/>
    <cacheHierarchy uniqueName="[BI vw_DynamicsDeliveredSales].[MarkdownCodes.1]" caption="MarkdownCodes.1" attribute="1" defaultMemberUniqueName="[BI vw_DynamicsDeliveredSales].[MarkdownCodes.1].[All]" allUniqueName="[BI vw_DynamicsDeliveredSales].[MarkdownCodes.1].[All]" dimensionUniqueName="[BI vw_DynamicsDeliveredSales]" displayFolder="" count="0" memberValueDatatype="130" unbalanced="0"/>
    <cacheHierarchy uniqueName="[BI vw_DynamicsDeliveredSales].[MarkdownCodes.2]" caption="MarkdownCodes.2" attribute="1" defaultMemberUniqueName="[BI vw_DynamicsDeliveredSales].[MarkdownCodes.2].[All]" allUniqueName="[BI vw_DynamicsDeliveredSales].[MarkdownCodes.2].[All]" dimensionUniqueName="[BI vw_DynamicsDeliveredSales]" displayFolder="" count="0" memberValueDatatype="130" unbalanced="0"/>
    <cacheHierarchy uniqueName="[BI vw_DynamicsDeliveredSales].[Merged]" caption="Merged" attribute="1" defaultMemberUniqueName="[BI vw_DynamicsDeliveredSales].[Merged].[All]" allUniqueName="[BI vw_DynamicsDeliveredSales].[Merged].[All]" dimensionUniqueName="[BI vw_DynamicsDeliveredSales]" displayFolder="" count="0" memberValueDatatype="130" unbalanced="0"/>
    <cacheHierarchy uniqueName="[BI vw_DynamicsDeliveredSales].[NETINVOICEDNET]" caption="NETINVOICEDNET" attribute="1" defaultMemberUniqueName="[BI vw_DynamicsDeliveredSales].[NETINVOICEDNET].[All]" allUniqueName="[BI vw_DynamicsDeliveredSales].[NETINVOICEDNET].[All]" dimensionUniqueName="[BI vw_DynamicsDeliveredSales]" displayFolder="" count="0" memberValueDatatype="5" unbalanced="0"/>
    <cacheHierarchy uniqueName="[BI vw_DynamicsDeliveredSales].[NETSALESNET]" caption="NETSALESNET" attribute="1" defaultMemberUniqueName="[BI vw_DynamicsDeliveredSales].[NETSALESNET].[All]" allUniqueName="[BI vw_DynamicsDeliveredSales].[NETSALESNET].[All]" dimensionUniqueName="[BI vw_DynamicsDeliveredSales]" displayFolder="" count="0" memberValueDatatype="5" unbalanced="0"/>
    <cacheHierarchy uniqueName="[BI vw_DynamicsDeliveredSales].[NZ-NZ]" caption="NZ-NZ" attribute="1" defaultMemberUniqueName="[BI vw_DynamicsDeliveredSales].[NZ-NZ].[All]" allUniqueName="[BI vw_DynamicsDeliveredSales].[NZ-NZ].[All]" dimensionUniqueName="[BI vw_DynamicsDeliveredSales]" displayFolder="" count="0" memberValueDatatype="5" unbalanced="0"/>
    <cacheHierarchy uniqueName="[BI vw_DynamicsDeliveredSales].[ORDERCREATIONDATETIME]" caption="ORDERCREATIONDATETIME" attribute="1" time="1" defaultMemberUniqueName="[BI vw_DynamicsDeliveredSales].[ORDERCREATIONDATETIME].[All]" allUniqueName="[BI vw_DynamicsDeliveredSales].[ORDERCREATIONDATETIME].[All]" dimensionUniqueName="[BI vw_DynamicsDeliveredSales]" displayFolder="" count="0" memberValueDatatype="7" unbalanced="0"/>
    <cacheHierarchy uniqueName="[BI vw_DynamicsDeliveredSales].[PARTITION]" caption="PARTITION" attribute="1" defaultMemberUniqueName="[BI vw_DynamicsDeliveredSales].[PARTITION].[All]" allUniqueName="[BI vw_DynamicsDeliveredSales].[PARTITION].[All]" dimensionUniqueName="[BI vw_DynamicsDeliveredSales]" displayFolder="" count="0" memberValueDatatype="130" unbalanced="0"/>
    <cacheHierarchy uniqueName="[BI vw_DynamicsDeliveredSales].[PRODUCTTYPE]" caption="PRODUCTTYPE" attribute="1" defaultMemberUniqueName="[BI vw_DynamicsDeliveredSales].[PRODUCTTYPE].[All]" allUniqueName="[BI vw_DynamicsDeliveredSales].[PRODUCTTYPE].[All]" dimensionUniqueName="[BI vw_DynamicsDeliveredSales]" displayFolder="" count="0" memberValueDatatype="20" unbalanced="0"/>
    <cacheHierarchy uniqueName="[BI vw_DynamicsDeliveredSales].[QTY]" caption="QTY" attribute="1" defaultMemberUniqueName="[BI vw_DynamicsDeliveredSales].[QTY].[All]" allUniqueName="[BI vw_DynamicsDeliveredSales].[QTY].[All]" dimensionUniqueName="[BI vw_DynamicsDeliveredSales]" displayFolder="" count="0" memberValueDatatype="5" unbalanced="0"/>
    <cacheHierarchy uniqueName="[BI vw_DynamicsDeliveredSales].[Range]" caption="Range" attribute="1" defaultMemberUniqueName="[BI vw_DynamicsDeliveredSales].[Range].[All]" allUniqueName="[BI vw_DynamicsDeliveredSales].[Range].[All]" dimensionUniqueName="[BI vw_DynamicsDeliveredSales]" displayFolder="" count="0" memberValueDatatype="130" unbalanced="0"/>
    <cacheHierarchy uniqueName="[BI vw_DynamicsDeliveredSales].[RECID]" caption="RECID" attribute="1" defaultMemberUniqueName="[BI vw_DynamicsDeliveredSales].[RECID].[All]" allUniqueName="[BI vw_DynamicsDeliveredSales].[RECID].[All]" dimensionUniqueName="[BI vw_DynamicsDeliveredSales]" displayFolder="" count="0" memberValueDatatype="20" unbalanced="0"/>
    <cacheHierarchy uniqueName="[BI vw_DynamicsDeliveredSales].[Retail/Not]" caption="Retail/Not" attribute="1" defaultMemberUniqueName="[BI vw_DynamicsDeliveredSales].[Retail/Not].[All]" allUniqueName="[BI vw_DynamicsDeliveredSales].[Retail/Not].[All]" dimensionUniqueName="[BI vw_DynamicsDeliveredSales]" displayFolder="" count="0" memberValueDatatype="130" unbalanced="0"/>
    <cacheHierarchy uniqueName="[BI vw_DynamicsDeliveredSales].[SaleOrderLineNumber]" caption="SaleOrderLineNumber" attribute="1" defaultMemberUniqueName="[BI vw_DynamicsDeliveredSales].[SaleOrderLineNumber].[All]" allUniqueName="[BI vw_DynamicsDeliveredSales].[SaleOrderLineNumber].[All]" dimensionUniqueName="[BI vw_DynamicsDeliveredSales]" displayFolder="" count="0" memberValueDatatype="20" unbalanced="0"/>
    <cacheHierarchy uniqueName="[BI vw_DynamicsDeliveredSales].[Sales Order Type]" caption="Sales Order Type" attribute="1" defaultMemberUniqueName="[BI vw_DynamicsDeliveredSales].[Sales Order Type].[All]" allUniqueName="[BI vw_DynamicsDeliveredSales].[Sales Order Type].[All]" dimensionUniqueName="[BI vw_DynamicsDeliveredSales]" displayFolder="" count="2" memberValueDatatype="130" unbalanced="0">
      <fieldsUsage count="2">
        <fieldUsage x="-1"/>
        <fieldUsage x="5"/>
      </fieldsUsage>
    </cacheHierarchy>
    <cacheHierarchy uniqueName="[BI vw_DynamicsDeliveredSales].[Sales Type]" caption="Sales Type" attribute="1" defaultMemberUniqueName="[BI vw_DynamicsDeliveredSales].[Sales Type].[All]" allUniqueName="[BI vw_DynamicsDeliveredSales].[Sales Type].[All]" dimensionUniqueName="[BI vw_DynamicsDeliveredSales]" displayFolder="" count="0" memberValueDatatype="130" unbalanced="0"/>
    <cacheHierarchy uniqueName="[BI vw_DynamicsDeliveredSales].[SALESID]" caption="SALESID" attribute="1" defaultMemberUniqueName="[BI vw_DynamicsDeliveredSales].[SALESID].[All]" allUniqueName="[BI vw_DynamicsDeliveredSales].[SALESID].[All]" dimensionUniqueName="[BI vw_DynamicsDeliveredSales]" displayFolder="" count="0" memberValueDatatype="130" unbalanced="0"/>
    <cacheHierarchy uniqueName="[BI vw_DynamicsDeliveredSales].[SALESORDERNUMBER]" caption="SALESORDERNUMBER" attribute="1" defaultMemberUniqueName="[BI vw_DynamicsDeliveredSales].[SALESORDERNUMBER].[All]" allUniqueName="[BI vw_DynamicsDeliveredSales].[SALESORDERNUMBER].[All]" dimensionUniqueName="[BI vw_DynamicsDeliveredSales]" displayFolder="" count="0" memberValueDatatype="130" unbalanced="0"/>
    <cacheHierarchy uniqueName="[BI vw_DynamicsDeliveredSales].[SALESPRICE]" caption="SALESPRICE" attribute="1" defaultMemberUniqueName="[BI vw_DynamicsDeliveredSales].[SALESPRICE].[All]" allUniqueName="[BI vw_DynamicsDeliveredSales].[SALESPRICE].[All]" dimensionUniqueName="[BI vw_DynamicsDeliveredSales]" displayFolder="" count="0" memberValueDatatype="5" unbalanced="0"/>
    <cacheHierarchy uniqueName="[BI vw_DynamicsDeliveredSales].[SHIPPINGWAREHOUSEID]" caption="SHIPPINGWAREHOUSEID" attribute="1" defaultMemberUniqueName="[BI vw_DynamicsDeliveredSales].[SHIPPINGWAREHOUSEID].[All]" allUniqueName="[BI vw_DynamicsDeliveredSales].[SHIPPINGWAREHOUSEID].[All]" dimensionUniqueName="[BI vw_DynamicsDeliveredSales]" displayFolder="" count="0" memberValueDatatype="130" unbalanced="0"/>
    <cacheHierarchy uniqueName="[BI vw_DynamicsDeliveredSales].[StoreCode]" caption="StoreCode" attribute="1" defaultMemberUniqueName="[BI vw_DynamicsDeliveredSales].[StoreCode].[All]" allUniqueName="[BI vw_DynamicsDeliveredSales].[StoreCode].[All]" dimensionUniqueName="[BI vw_DynamicsDeliveredSales]" displayFolder="" count="0" memberValueDatatype="130" unbalanced="0"/>
    <cacheHierarchy uniqueName="[BI vw_DynamicsDeliveredSales].[SubDepartmentDesc]" caption="SubDepartmentDesc" attribute="1" defaultMemberUniqueName="[BI vw_DynamicsDeliveredSales].[SubDepartmentDesc].[All]" allUniqueName="[BI vw_DynamicsDeliveredSales].[SubDepartmentDesc].[All]" dimensionUniqueName="[BI vw_DynamicsDeliveredSales]" displayFolder="" count="0" memberValueDatatype="130" unbalanced="0"/>
    <cacheHierarchy uniqueName="[BI vw_DynamicsDeliveredSales].[TAXAMOUNT]" caption="TAXAMOUNT" attribute="1" defaultMemberUniqueName="[BI vw_DynamicsDeliveredSales].[TAXAMOUNT].[All]" allUniqueName="[BI vw_DynamicsDeliveredSales].[TAXAMOUNT].[All]" dimensionUniqueName="[BI vw_DynamicsDeliveredSales]" displayFolder="" count="0" memberValueDatatype="5" unbalanced="0"/>
    <cacheHierarchy uniqueName="[BI vw_DynamicsDeliveredSales].[TAXGROUP]" caption="TAXGROUP" attribute="1" defaultMemberUniqueName="[BI vw_DynamicsDeliveredSales].[TAXGROUP].[All]" allUniqueName="[BI vw_DynamicsDeliveredSales].[TAXGROUP].[All]" dimensionUniqueName="[BI vw_DynamicsDeliveredSales]" displayFolder="" count="0" memberValueDatatype="130" unbalanced="0"/>
    <cacheHierarchy uniqueName="[BI vw_DynamicsDeliveredSales].[Total Cost Final]" caption="Total Cost Final" attribute="1" defaultMemberUniqueName="[BI vw_DynamicsDeliveredSales].[Total Cost Final].[All]" allUniqueName="[BI vw_DynamicsDeliveredSales].[Total Cost Final].[All]" dimensionUniqueName="[BI vw_DynamicsDeliveredSales]" displayFolder="" count="0" memberValueDatatype="130" unbalanced="0"/>
    <cacheHierarchy uniqueName="[BI vw_DynamicsDeliveredSales].[TRANSFERSTATUS]" caption="TRANSFERSTATUS" attribute="1" defaultMemberUniqueName="[BI vw_DynamicsDeliveredSales].[TRANSFERSTATUS].[All]" allUniqueName="[BI vw_DynamicsDeliveredSales].[TRANSFERSTATUS].[All]" dimensionUniqueName="[BI vw_DynamicsDeliveredSales]" displayFolder="" count="0" memberValueDatatype="20" unbalanced="0"/>
    <cacheHierarchy uniqueName="[BI vw_DynamicsDeliveredSales].[WAREHOUSE]" caption="WAREHOUSE" attribute="1" defaultMemberUniqueName="[BI vw_DynamicsDeliveredSales].[WAREHOUSE].[All]" allUniqueName="[BI vw_DynamicsDeliveredSales].[WAREHOUSE].[All]" dimensionUniqueName="[BI vw_DynamicsDeliveredSales]" displayFolder="" count="0" memberValueDatatype="130" unbalanced="0"/>
    <cacheHierarchy uniqueName="[BI vw_DynamicsDeliveredSales].[Week]" caption="Week" attribute="1" defaultMemberUniqueName="[BI vw_DynamicsDeliveredSales].[Week].[All]" allUniqueName="[BI vw_DynamicsDeliveredSales].[Week].[All]" dimensionUniqueName="[BI vw_DynamicsDeliveredSales]" displayFolder="" count="0" memberValueDatatype="20" unbalanced="0"/>
    <cacheHierarchy uniqueName="[BI vw_DynamicsDeliveredSales].[Year Month]" caption="Year Month" attribute="1" defaultMemberUniqueName="[BI vw_DynamicsDeliveredSales].[Year Month].[All]" allUniqueName="[BI vw_DynamicsDeliveredSales].[Year Month].[All]" dimensionUniqueName="[BI vw_DynamicsDeliveredSales]" displayFolder="" count="0" memberValueDatatype="20" unbalanced="0"/>
    <cacheHierarchy uniqueName="[BI vw_FinCalendar].[Date]" caption="Date" attribute="1" time="1" defaultMemberUniqueName="[BI vw_FinCalendar].[Date].[All]" allUniqueName="[BI vw_FinCalendar].[Date].[All]" dimensionUniqueName="[BI vw_FinCalendar]" displayFolder="" count="0" memberValueDatatype="7" unbalanced="0"/>
    <cacheHierarchy uniqueName="[BI vw_FinCalendar].[Day_Of_Week]" caption="Day_Of_Week" attribute="1" defaultMemberUniqueName="[BI vw_FinCalendar].[Day_Of_Week].[All]" allUniqueName="[BI vw_FinCalendar].[Day_Of_Week].[All]" dimensionUniqueName="[BI vw_FinCalendar]" displayFolder="" count="0" memberValueDatatype="130" unbalanced="0"/>
    <cacheHierarchy uniqueName="[BI vw_FinCalendar].[Day_Of_Week_Sort]" caption="Day_Of_Week_Sort" attribute="1" defaultMemberUniqueName="[BI vw_FinCalendar].[Day_Of_Week_Sort].[All]" allUniqueName="[BI vw_FinCalendar].[Day_Of_Week_Sort].[All]" dimensionUniqueName="[BI vw_FinCalendar]" displayFolder="" count="0" memberValueDatatype="130" unbalanced="0"/>
    <cacheHierarchy uniqueName="[BI vw_FinCalendar].[Fin_Period]" caption="Fin_Period" attribute="1" defaultMemberUniqueName="[BI vw_FinCalendar].[Fin_Period].[All]" allUniqueName="[BI vw_FinCalendar].[Fin_Period].[All]" dimensionUniqueName="[BI vw_FinCalendar]" displayFolder="" count="0" memberValueDatatype="20" unbalanced="0"/>
    <cacheHierarchy uniqueName="[BI vw_FinCalendar].[Fin_Week]" caption="Fin_Week" attribute="1" defaultMemberUniqueName="[BI vw_FinCalendar].[Fin_Week].[All]" allUniqueName="[BI vw_FinCalendar].[Fin_Week].[All]" dimensionUniqueName="[BI vw_FinCalendar]" displayFolder="" count="0" memberValueDatatype="20" unbalanced="0"/>
    <cacheHierarchy uniqueName="[BI vw_FinCalendar].[Fin_Year]" caption="Fin_Year" attribute="1" defaultMemberUniqueName="[BI vw_FinCalendar].[Fin_Year].[All]" allUniqueName="[BI vw_FinCalendar].[Fin_Year].[All]" dimensionUniqueName="[BI vw_FinCalendar]" displayFolder="" count="0" memberValueDatatype="20" unbalanced="0"/>
    <cacheHierarchy uniqueName="[BI vw_FinCalendar].[Fiscal Month]" caption="Fiscal Month" attribute="1" defaultMemberUniqueName="[BI vw_FinCalendar].[Fiscal Month].[All]" allUniqueName="[BI vw_FinCalendar].[Fiscal Month].[All]" dimensionUniqueName="[BI vw_FinCalendar]" displayFolder="" count="0" memberValueDatatype="130" unbalanced="0"/>
    <cacheHierarchy uniqueName="[BI vw_FinCalendar].[FY]" caption="FY" attribute="1" defaultMemberUniqueName="[BI vw_FinCalendar].[FY].[All]" allUniqueName="[BI vw_FinCalendar].[FY].[All]" dimensionUniqueName="[BI vw_FinCalendar]" displayFolder="" count="0" memberValueDatatype="130" unbalanced="0"/>
    <cacheHierarchy uniqueName="[BI vw_FinCalendar].[Is_Last_Week]" caption="Is_Last_Week" attribute="1" defaultMemberUniqueName="[BI vw_FinCalendar].[Is_Last_Week].[All]" allUniqueName="[BI vw_FinCalendar].[Is_Last_Week].[All]" dimensionUniqueName="[BI vw_FinCalendar]" displayFolder="" count="0" memberValueDatatype="20" unbalanced="0"/>
    <cacheHierarchy uniqueName="[BI vw_FinCalendar].[Is_ThisMonth]" caption="Is_ThisMonth" attribute="1" defaultMemberUniqueName="[BI vw_FinCalendar].[Is_ThisMonth].[All]" allUniqueName="[BI vw_FinCalendar].[Is_ThisMonth].[All]" dimensionUniqueName="[BI vw_FinCalendar]" displayFolder="" count="0" memberValueDatatype="20" unbalanced="0"/>
    <cacheHierarchy uniqueName="[BI vw_FinCalendar].[Is_ThisWeek]" caption="Is_ThisWeek" attribute="1" defaultMemberUniqueName="[BI vw_FinCalendar].[Is_ThisWeek].[All]" allUniqueName="[BI vw_FinCalendar].[Is_ThisWeek].[All]" dimensionUniqueName="[BI vw_FinCalendar]" displayFolder="" count="0" memberValueDatatype="20" unbalanced="0"/>
    <cacheHierarchy uniqueName="[BI vw_FinCalendar].[Is_ThisYear]" caption="Is_ThisYear" attribute="1" defaultMemberUniqueName="[BI vw_FinCalendar].[Is_ThisYear].[All]" allUniqueName="[BI vw_FinCalendar].[Is_ThisYear].[All]" dimensionUniqueName="[BI vw_FinCalendar]" displayFolder="" count="0" memberValueDatatype="20" unbalanced="0"/>
    <cacheHierarchy uniqueName="[BI vw_FinCalendar].[Is_Today]" caption="Is_Today" attribute="1" defaultMemberUniqueName="[BI vw_FinCalendar].[Is_Today].[All]" allUniqueName="[BI vw_FinCalendar].[Is_Today].[All]" dimensionUniqueName="[BI vw_FinCalendar]" displayFolder="" count="0" memberValueDatatype="20" unbalanced="0"/>
    <cacheHierarchy uniqueName="[BI vw_FinCalendar].[Month]" caption="Month" attribute="1" defaultMemberUniqueName="[BI vw_FinCalendar].[Month].[All]" allUniqueName="[BI vw_FinCalendar].[Month].[All]" dimensionUniqueName="[BI vw_FinCalendar]" displayFolder="" count="0" memberValueDatatype="130" unbalanced="0"/>
    <cacheHierarchy uniqueName="[BI vw_FinCalendar].[Month_Display]" caption="Month_Display" attribute="1" defaultMemberUniqueName="[BI vw_FinCalendar].[Month_Display].[All]" allUniqueName="[BI vw_FinCalendar].[Month_Display].[All]" dimensionUniqueName="[BI vw_FinCalendar]" displayFolder="" count="0" memberValueDatatype="130" unbalanced="0"/>
    <cacheHierarchy uniqueName="[BI vw_FinCalendar].[Month_Number]" caption="Month_Number" attribute="1" defaultMemberUniqueName="[BI vw_FinCalendar].[Month_Number].[All]" allUniqueName="[BI vw_FinCalendar].[Month_Number].[All]" dimensionUniqueName="[BI vw_FinCalendar]" displayFolder="" count="0" memberValueDatatype="20" unbalanced="0"/>
    <cacheHierarchy uniqueName="[BI vw_FinCalendar].[Quarter]" caption="Quarter" attribute="1" defaultMemberUniqueName="[BI vw_FinCalendar].[Quarter].[All]" allUniqueName="[BI vw_FinCalendar].[Quarter].[All]" dimensionUniqueName="[BI vw_FinCalendar]" displayFolder="" count="0" memberValueDatatype="130" unbalanced="0"/>
    <cacheHierarchy uniqueName="[BI vw_FinCalendar].[Quarter date]" caption="Quarter date" attribute="1" time="1" defaultMemberUniqueName="[BI vw_FinCalendar].[Quarter date].[All]" allUniqueName="[BI vw_FinCalendar].[Quarter date].[All]" dimensionUniqueName="[BI vw_FinCalendar]" displayFolder="" count="0" memberValueDatatype="7" unbalanced="0"/>
    <cacheHierarchy uniqueName="[BI vw_FinCalendar].[Querter]" caption="Querter" attribute="1" defaultMemberUniqueName="[BI vw_FinCalendar].[Querter].[All]" allUniqueName="[BI vw_FinCalendar].[Querter].[All]" dimensionUniqueName="[BI vw_FinCalendar]" displayFolder="" count="0" memberValueDatatype="20" unbalanced="0"/>
    <cacheHierarchy uniqueName="[BI vw_FinCalendar].[Sort_Order]" caption="Sort_Order" attribute="1" defaultMemberUniqueName="[BI vw_FinCalendar].[Sort_Order].[All]" allUniqueName="[BI vw_FinCalendar].[Sort_Order].[All]" dimensionUniqueName="[BI vw_FinCalendar]" displayFolder="" count="0" memberValueDatatype="20" unbalanced="0"/>
    <cacheHierarchy uniqueName="[BI vw_FinCalendar].[Sort_Order1]" caption="Sort_Order1" attribute="1" defaultMemberUniqueName="[BI vw_FinCalendar].[Sort_Order1].[All]" allUniqueName="[BI vw_FinCalendar].[Sort_Order1].[All]" dimensionUniqueName="[BI vw_FinCalendar]" displayFolder="" count="0" memberValueDatatype="20" unbalanced="0"/>
    <cacheHierarchy uniqueName="[BI vw_FinCalendar].[ThisQuarter]" caption="ThisQuarter" attribute="1" defaultMemberUniqueName="[BI vw_FinCalendar].[ThisQuarter].[All]" allUniqueName="[BI vw_FinCalendar].[ThisQuarter].[All]" dimensionUniqueName="[BI vw_FinCalendar]" displayFolder="" count="0" memberValueDatatype="130" unbalanced="0"/>
    <cacheHierarchy uniqueName="[BI vw_FinCalendar].[YearFinPeriod]" caption="YearFinPeriod" attribute="1" defaultMemberUniqueName="[BI vw_FinCalendar].[YearFinPeriod].[All]" allUniqueName="[BI vw_FinCalendar].[YearFinPeriod].[All]" dimensionUniqueName="[BI vw_FinCalendar]" displayFolder="" count="0" memberValueDatatype="130" unbalanced="0"/>
    <cacheHierarchy uniqueName="[BI vw_Store].[AreaLeader]" caption="AreaLeader" attribute="1" defaultMemberUniqueName="[BI vw_Store].[AreaLeader].[All]" allUniqueName="[BI vw_Store].[AreaLeader].[All]" dimensionUniqueName="[BI vw_Store]" displayFolder="" count="0" memberValueDatatype="130" unbalanced="0"/>
    <cacheHierarchy uniqueName="[BI vw_Store].[BranchType]" caption="BranchType" attribute="1" defaultMemberUniqueName="[BI vw_Store].[BranchType].[All]" allUniqueName="[BI vw_Store].[BranchType].[All]" dimensionUniqueName="[BI vw_Store]" displayFolder="" count="2" memberValueDatatype="130" unbalanced="0">
      <fieldsUsage count="2">
        <fieldUsage x="-1"/>
        <fieldUsage x="4"/>
      </fieldsUsage>
    </cacheHierarchy>
    <cacheHierarchy uniqueName="[BI vw_Store].[CompFlag]" caption="CompFlag" attribute="1" defaultMemberUniqueName="[BI vw_Store].[CompFlag].[All]" allUniqueName="[BI vw_Store].[CompFlag].[All]" dimensionUniqueName="[BI vw_Store]" displayFolder="" count="0" memberValueDatatype="130" unbalanced="0"/>
    <cacheHierarchy uniqueName="[BI vw_Store].[Country]" caption="Country" attribute="1" defaultMemberUniqueName="[BI vw_Store].[Country].[All]" allUniqueName="[BI vw_Store].[Country].[All]" dimensionUniqueName="[BI vw_Store]" displayFolder="" count="2" memberValueDatatype="130" unbalanced="0">
      <fieldsUsage count="2">
        <fieldUsage x="-1"/>
        <fieldUsage x="3"/>
      </fieldsUsage>
    </cacheHierarchy>
    <cacheHierarchy uniqueName="[BI vw_Store].[FreedomArea]" caption="FreedomArea" attribute="1" defaultMemberUniqueName="[BI vw_Store].[FreedomArea].[All]" allUniqueName="[BI vw_Store].[FreedomArea].[All]" dimensionUniqueName="[BI vw_Store]" displayFolder="" count="0" memberValueDatatype="5" unbalanced="0"/>
    <cacheHierarchy uniqueName="[BI vw_Store].[IsActive]" caption="IsActive" attribute="1" defaultMemberUniqueName="[BI vw_Store].[IsActive].[All]" allUniqueName="[BI vw_Store].[IsActive].[All]" dimensionUniqueName="[BI vw_Store]" displayFolder="" count="0" memberValueDatatype="130" unbalanced="0"/>
    <cacheHierarchy uniqueName="[BI vw_Store].[IsDC]" caption="IsDC" attribute="1" defaultMemberUniqueName="[BI vw_Store].[IsDC].[All]" allUniqueName="[BI vw_Store].[IsDC].[All]" dimensionUniqueName="[BI vw_Store]" displayFolder="" count="0" memberValueDatatype="11" unbalanced="0"/>
    <cacheHierarchy uniqueName="[BI vw_Store].[IsHO]" caption="IsHO" attribute="1" defaultMemberUniqueName="[BI vw_Store].[IsHO].[All]" allUniqueName="[BI vw_Store].[IsHO].[All]" dimensionUniqueName="[BI vw_Store]" displayFolder="" count="0" memberValueDatatype="11" unbalanced="0"/>
    <cacheHierarchy uniqueName="[BI vw_Store].[State]" caption="State" attribute="1" defaultMemberUniqueName="[BI vw_Store].[State].[All]" allUniqueName="[BI vw_Store].[State].[All]" dimensionUniqueName="[BI vw_Store]" displayFolder="" count="0" memberValueDatatype="130" unbalanced="0"/>
    <cacheHierarchy uniqueName="[BI vw_Store].[StoreCategory]" caption="StoreCategory" attribute="1" defaultMemberUniqueName="[BI vw_Store].[StoreCategory].[All]" allUniqueName="[BI vw_Store].[StoreCategory].[All]" dimensionUniqueName="[BI vw_Store]" displayFolder="" count="0" memberValueDatatype="130" unbalanced="0"/>
    <cacheHierarchy uniqueName="[BI vw_Store].[StoreCode]" caption="StoreCode" attribute="1" defaultMemberUniqueName="[BI vw_Store].[StoreCode].[All]" allUniqueName="[BI vw_Store].[StoreCode].[All]" dimensionUniqueName="[BI vw_Store]" displayFolder="" count="0" memberValueDatatype="130" unbalanced="0"/>
    <cacheHierarchy uniqueName="[BI vw_Store].[StoreKey]" caption="StoreKey" attribute="1" defaultMemberUniqueName="[BI vw_Store].[StoreKey].[All]" allUniqueName="[BI vw_Store].[StoreKey].[All]" dimensionUniqueName="[BI vw_Store]" displayFolder="" count="0" memberValueDatatype="130" unbalanced="0"/>
    <cacheHierarchy uniqueName="[BI vw_Store].[StoreName]" caption="StoreName" attribute="1" defaultMemberUniqueName="[BI vw_Store].[StoreName].[All]" allUniqueName="[BI vw_Store].[StoreName].[All]" dimensionUniqueName="[BI vw_Store]" displayFolder="" count="2" memberValueDatatype="130" unbalanced="0">
      <fieldsUsage count="2">
        <fieldUsage x="-1"/>
        <fieldUsage x="8"/>
      </fieldsUsage>
    </cacheHierarchy>
    <cacheHierarchy uniqueName="[BI vw_Store].[StoreType]" caption="StoreType" attribute="1" defaultMemberUniqueName="[BI vw_Store].[StoreType].[All]" allUniqueName="[BI vw_Store].[StoreType].[All]" dimensionUniqueName="[BI vw_Store]" displayFolder="" count="0" memberValueDatatype="130" unbalanced="0"/>
    <cacheHierarchy uniqueName="[BI vw_Store].[SubLeasedArea]" caption="SubLeasedArea" attribute="1" defaultMemberUniqueName="[BI vw_Store].[SubLeasedArea].[All]" allUniqueName="[BI vw_Store].[SubLeasedArea].[All]" dimensionUniqueName="[BI vw_Store]" displayFolder="" count="0" memberValueDatatype="5" unbalanced="0"/>
    <cacheHierarchy uniqueName="[BI vw_Store].[SubLeasedCompany]" caption="SubLeasedCompany" attribute="1" defaultMemberUniqueName="[BI vw_Store].[SubLeasedCompany].[All]" allUniqueName="[BI vw_Store].[SubLeasedCompany].[All]" dimensionUniqueName="[BI vw_Store]" displayFolder="" count="0" memberValueDatatype="130" unbalanced="0"/>
    <cacheHierarchy uniqueName="[BI vw_Store].[TotalArea]" caption="TotalArea" attribute="1" defaultMemberUniqueName="[BI vw_Store].[TotalArea].[All]" allUniqueName="[BI vw_Store].[TotalArea].[All]" dimensionUniqueName="[BI vw_Store]" displayFolder="" count="0" memberValueDatatype="5" unbalanced="0"/>
    <cacheHierarchy uniqueName="[CalendarMapping].[Fin_Year]" caption="Fin_Year" attribute="1" defaultMemberUniqueName="[CalendarMapping].[Fin_Year].[All]" allUniqueName="[CalendarMapping].[Fin_Year].[All]" dimensionUniqueName="[CalendarMapping]" displayFolder="" count="0" memberValueDatatype="20" unbalanced="0"/>
    <cacheHierarchy uniqueName="[CalendarMapping].[YearFinPeriod]" caption="YearFinPeriod" attribute="1" defaultMemberUniqueName="[CalendarMapping].[YearFinPeriod].[All]" allUniqueName="[CalendarMapping].[YearFinPeriod].[All]" dimensionUniqueName="[CalendarMapping]" displayFolder="" count="0" memberValueDatatype="130" unbalanced="0"/>
    <cacheHierarchy uniqueName="[DC SO].[EntityName]" caption="EntityName" attribute="1" defaultMemberUniqueName="[DC SO].[EntityName].[All]" allUniqueName="[DC SO].[EntityName].[All]" dimensionUniqueName="[DC SO]" displayFolder="" count="0" memberValueDatatype="130" unbalanced="0"/>
    <cacheHierarchy uniqueName="[DC SO].[SortOrder]" caption="SortOrder" attribute="1" defaultMemberUniqueName="[DC SO].[SortOrder].[All]" allUniqueName="[DC SO].[SortOrder].[All]" dimensionUniqueName="[DC SO]" displayFolder="" count="0" memberValueDatatype="20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Quarter]" caption="Quarter" attribute="1" defaultMemberUniqueName="[dim_period].[Quarter].[All]" allUniqueName="[dim_period].[Quarter].[All]" dimensionUniqueName="[dim_period]" displayFolder="" count="0" memberValueDatatype="13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Month Sort].[Month_Display]" caption="Month_Display" attribute="1" defaultMemberUniqueName="[Month Sort].[Month_Display].[All]" allUniqueName="[Month Sort].[Month_Display].[All]" dimensionUniqueName="[Month Sort]" displayFolder="" count="0" memberValueDatatype="130" unbalanced="0"/>
    <cacheHierarchy uniqueName="[Month Sort].[Number]" caption="Number" attribute="1" defaultMemberUniqueName="[Month Sort].[Number].[All]" allUniqueName="[Month Sort].[Number].[All]" dimensionUniqueName="[Month Sort]" displayFolder="" count="0" memberValueDatatype="20" unbalanced="0"/>
    <cacheHierarchy uniqueName="[Month Sort].[Sort_Order1]" caption="Sort_Order1" attribute="1" defaultMemberUniqueName="[Month Sort].[Sort_Order1].[All]" allUniqueName="[Month Sort].[Sort_Order1].[All]" dimensionUniqueName="[Month Sort]" displayFolder="" count="0" memberValueDatatype="20" unbalanced="0"/>
    <cacheHierarchy uniqueName="[TimePeriod].[TimePeriod]" caption="TimePeriod" attribute="1" defaultMemberUniqueName="[TimePeriod].[TimePeriod].[All]" allUniqueName="[TimePeriod].[TimePeriod].[All]" dimensionUniqueName="[TimePeriod]" displayFolder="" count="0" memberValueDatatype="130" unbalanced="0"/>
    <cacheHierarchy uniqueName="[TimePeriod].[TimePeriodSort]" caption="TimePeriodSort" attribute="1" defaultMemberUniqueName="[TimePeriod].[TimePeriodSort].[All]" allUniqueName="[TimePeriod].[TimePeriodSort].[All]" dimensionUniqueName="[TimePeriod]" displayFolder="" count="0" memberValueDatatype="2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0" memberValueDatatype="130" unbalanced="0"/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TimePeriodSort_Amart].[Timeline Slicer]" caption="Timeline Slicer" attribute="1" defaultMemberUniqueName="[TimePeriodSort_Amart].[Timeline Slicer].[All]" allUniqueName="[TimePeriodSort_Amart].[Timeline Slicer].[All]" dimensionUniqueName="[TimePeriodSort_Amart]" displayFolder="" count="0" memberValueDatatype="130" unbalanced="0"/>
    <cacheHierarchy uniqueName="[TimePeriodSort_Amart].[TimePeriod]" caption="TimePeriod" attribute="1" defaultMemberUniqueName="[TimePeriodSort_Amart].[TimePeriod].[All]" allUniqueName="[TimePeriodSort_Amart].[TimePeriod].[All]" dimensionUniqueName="[TimePeriodSort_Amart]" displayFolder="" count="0" memberValueDatatype="130" unbalanced="0"/>
    <cacheHierarchy uniqueName="[TimePeriodSort_Amart].[TimePeriodSort]" caption="TimePeriodSort" attribute="1" defaultMemberUniqueName="[TimePeriodSort_Amart].[TimePeriodSort].[All]" allUniqueName="[TimePeriodSort_Amart].[TimePeriodSort].[All]" dimensionUniqueName="[TimePeriodSort_Amart]" displayFolder="" count="0" memberValueDatatype="20" unbalanced="0"/>
    <cacheHierarchy uniqueName="[BI vw_MarkdownCategory].[Category]" caption="Category" attribute="1" defaultMemberUniqueName="[BI vw_MarkdownCategory].[Category].[All]" allUniqueName="[BI vw_MarkdownCategory].[Category].[All]" dimensionUniqueName="[BI vw_MarkdownCategory]" displayFolder="" count="0" memberValueDatatype="130" unbalanced="0" hidden="1"/>
    <cacheHierarchy uniqueName="[BI vw_MarkdownCategory].[Code]" caption="Code" attribute="1" defaultMemberUniqueName="[BI vw_MarkdownCategory].[Code].[All]" allUniqueName="[BI vw_MarkdownCategory].[Code].[All]" dimensionUniqueName="[BI vw_MarkdownCategory]" displayFolder="" count="0" memberValueDatatype="130" unbalanced="0" hidden="1"/>
    <cacheHierarchy uniqueName="[BI vw_Store (2)].[BranchType]" caption="BranchType" attribute="1" defaultMemberUniqueName="[BI vw_Store (2)].[BranchType].[All]" allUniqueName="[BI vw_Store (2)].[BranchType].[All]" dimensionUniqueName="[BI vw_Store (2)]" displayFolder="" count="0" memberValueDatatype="130" unbalanced="0" hidden="1"/>
    <cacheHierarchy uniqueName="[BI vw_Store (2)].[Country]" caption="Country" attribute="1" defaultMemberUniqueName="[BI vw_Store (2)].[Country].[All]" allUniqueName="[BI vw_Store (2)].[Country].[All]" dimensionUniqueName="[BI vw_Store (2)]" displayFolder="" count="0" memberValueDatatype="130" unbalanced="0" hidden="1"/>
    <cacheHierarchy uniqueName="[BI vw_Store (2)].[StoreCode]" caption="StoreCode" attribute="1" defaultMemberUniqueName="[BI vw_Store (2)].[StoreCode].[All]" allUniqueName="[BI vw_Store (2)].[StoreCode].[All]" dimensionUniqueName="[BI vw_Store (2)]" displayFolder="" count="0" memberValueDatatype="130" unbalanced="0" hidden="1"/>
    <cacheHierarchy uniqueName="[DateTableTemplate_3f9b2c98-215a-4ac6-bb5b-5edb3fb7613d].[Date]" caption="Date" attribute="1" time="1" defaultMemberUniqueName="[DateTableTemplate_3f9b2c98-215a-4ac6-bb5b-5edb3fb7613d].[Date].[All]" allUniqueName="[DateTableTemplate_3f9b2c98-215a-4ac6-bb5b-5edb3fb7613d].[Date].[All]" dimensionUniqueName="[DateTableTemplate_3f9b2c98-215a-4ac6-bb5b-5edb3fb7613d]" displayFolder="" count="0" memberValueDatatype="7" unbalanced="0" hidden="1"/>
    <cacheHierarchy uniqueName="[DateTableTemplate_3f9b2c98-215a-4ac6-bb5b-5edb3fb7613d].[Date Hierarchy]" caption="Date Hierarchy" defaultMemberUniqueName="[DateTableTemplate_3f9b2c98-215a-4ac6-bb5b-5edb3fb7613d].[Date Hierarchy].[All]" allUniqueName="[DateTableTemplate_3f9b2c98-215a-4ac6-bb5b-5edb3fb7613d].[Date Hierarchy].[All]" dimensionUniqueName="[DateTableTemplate_3f9b2c98-215a-4ac6-bb5b-5edb3fb7613d]" displayFolder="" count="0" unbalanced="0" hidden="1"/>
    <cacheHierarchy uniqueName="[DateTableTemplate_3f9b2c98-215a-4ac6-bb5b-5edb3fb7613d].[Day]" caption="Day" attribute="1" defaultMemberUniqueName="[DateTableTemplate_3f9b2c98-215a-4ac6-bb5b-5edb3fb7613d].[Day].[All]" allUniqueName="[DateTableTemplate_3f9b2c98-215a-4ac6-bb5b-5edb3fb7613d].[Day].[All]" dimensionUniqueName="[DateTableTemplate_3f9b2c98-215a-4ac6-bb5b-5edb3fb7613d]" displayFolder="" count="0" memberValueDatatype="20" unbalanced="0" hidden="1"/>
    <cacheHierarchy uniqueName="[DateTableTemplate_3f9b2c98-215a-4ac6-bb5b-5edb3fb7613d].[Month]" caption="Month" attribute="1" defaultMemberUniqueName="[DateTableTemplate_3f9b2c98-215a-4ac6-bb5b-5edb3fb7613d].[Month].[All]" allUniqueName="[DateTableTemplate_3f9b2c98-215a-4ac6-bb5b-5edb3fb7613d].[Month].[All]" dimensionUniqueName="[DateTableTemplate_3f9b2c98-215a-4ac6-bb5b-5edb3fb7613d]" displayFolder="" count="0" memberValueDatatype="130" unbalanced="0" hidden="1"/>
    <cacheHierarchy uniqueName="[DateTableTemplate_3f9b2c98-215a-4ac6-bb5b-5edb3fb7613d].[MonthNo]" caption="MonthNo" attribute="1" defaultMemberUniqueName="[DateTableTemplate_3f9b2c98-215a-4ac6-bb5b-5edb3fb7613d].[MonthNo].[All]" allUniqueName="[DateTableTemplate_3f9b2c98-215a-4ac6-bb5b-5edb3fb7613d].[MonthNo].[All]" dimensionUniqueName="[DateTableTemplate_3f9b2c98-215a-4ac6-bb5b-5edb3fb7613d]" displayFolder="" count="0" memberValueDatatype="20" unbalanced="0" hidden="1"/>
    <cacheHierarchy uniqueName="[DateTableTemplate_3f9b2c98-215a-4ac6-bb5b-5edb3fb7613d].[Quarter]" caption="Quarter" attribute="1" defaultMemberUniqueName="[DateTableTemplate_3f9b2c98-215a-4ac6-bb5b-5edb3fb7613d].[Quarter].[All]" allUniqueName="[DateTableTemplate_3f9b2c98-215a-4ac6-bb5b-5edb3fb7613d].[Quarter].[All]" dimensionUniqueName="[DateTableTemplate_3f9b2c98-215a-4ac6-bb5b-5edb3fb7613d]" displayFolder="" count="0" memberValueDatatype="130" unbalanced="0" hidden="1"/>
    <cacheHierarchy uniqueName="[DateTableTemplate_3f9b2c98-215a-4ac6-bb5b-5edb3fb7613d].[QuarterNo]" caption="QuarterNo" attribute="1" defaultMemberUniqueName="[DateTableTemplate_3f9b2c98-215a-4ac6-bb5b-5edb3fb7613d].[QuarterNo].[All]" allUniqueName="[DateTableTemplate_3f9b2c98-215a-4ac6-bb5b-5edb3fb7613d].[QuarterNo].[All]" dimensionUniqueName="[DateTableTemplate_3f9b2c98-215a-4ac6-bb5b-5edb3fb7613d]" displayFolder="" count="0" memberValueDatatype="20" unbalanced="0" hidden="1"/>
    <cacheHierarchy uniqueName="[DateTableTemplate_3f9b2c98-215a-4ac6-bb5b-5edb3fb7613d].[Year]" caption="Year" attribute="1" defaultMemberUniqueName="[DateTableTemplate_3f9b2c98-215a-4ac6-bb5b-5edb3fb7613d].[Year].[All]" allUniqueName="[DateTableTemplate_3f9b2c98-215a-4ac6-bb5b-5edb3fb7613d].[Year].[All]" dimensionUniqueName="[DateTableTemplate_3f9b2c98-215a-4ac6-bb5b-5edb3fb7613d]" displayFolder="" count="0" memberValueDatatype="20" unbalanced="0" hidden="1"/>
    <cacheHierarchy uniqueName="[LocalDateTable_2dc8ec59-2991-4ed7-b97f-b3968012b3bf].[Date]" caption="Date" attribute="1" time="1" defaultMemberUniqueName="[LocalDateTable_2dc8ec59-2991-4ed7-b97f-b3968012b3bf].[Date].[All]" allUniqueName="[LocalDateTable_2dc8ec59-2991-4ed7-b97f-b3968012b3bf].[Date].[All]" dimensionUniqueName="[LocalDateTable_2dc8ec59-2991-4ed7-b97f-b3968012b3bf]" displayFolder="" count="0" memberValueDatatype="7" unbalanced="0" hidden="1"/>
    <cacheHierarchy uniqueName="[LocalDateTable_2dc8ec59-2991-4ed7-b97f-b3968012b3bf].[Date Hierarchy]" caption="Date Hierarchy" defaultMemberUniqueName="[LocalDateTable_2dc8ec59-2991-4ed7-b97f-b3968012b3bf].[Date Hierarchy].[All]" allUniqueName="[LocalDateTable_2dc8ec59-2991-4ed7-b97f-b3968012b3bf].[Date Hierarchy].[All]" dimensionUniqueName="[LocalDateTable_2dc8ec59-2991-4ed7-b97f-b3968012b3bf]" displayFolder="" count="0" unbalanced="0" hidden="1"/>
    <cacheHierarchy uniqueName="[LocalDateTable_2dc8ec59-2991-4ed7-b97f-b3968012b3bf].[Day]" caption="Day" attribute="1" defaultMemberUniqueName="[LocalDateTable_2dc8ec59-2991-4ed7-b97f-b3968012b3bf].[Day].[All]" allUniqueName="[LocalDateTable_2dc8ec59-2991-4ed7-b97f-b3968012b3bf].[Day].[All]" dimensionUniqueName="[LocalDateTable_2dc8ec59-2991-4ed7-b97f-b3968012b3bf]" displayFolder="" count="0" memberValueDatatype="20" unbalanced="0" hidden="1"/>
    <cacheHierarchy uniqueName="[LocalDateTable_2dc8ec59-2991-4ed7-b97f-b3968012b3bf].[Month]" caption="Month" attribute="1" defaultMemberUniqueName="[LocalDateTable_2dc8ec59-2991-4ed7-b97f-b3968012b3bf].[Month].[All]" allUniqueName="[LocalDateTable_2dc8ec59-2991-4ed7-b97f-b3968012b3bf].[Month].[All]" dimensionUniqueName="[LocalDateTable_2dc8ec59-2991-4ed7-b97f-b3968012b3bf]" displayFolder="" count="0" memberValueDatatype="130" unbalanced="0" hidden="1"/>
    <cacheHierarchy uniqueName="[LocalDateTable_2dc8ec59-2991-4ed7-b97f-b3968012b3bf].[MonthNo]" caption="MonthNo" attribute="1" defaultMemberUniqueName="[LocalDateTable_2dc8ec59-2991-4ed7-b97f-b3968012b3bf].[MonthNo].[All]" allUniqueName="[LocalDateTable_2dc8ec59-2991-4ed7-b97f-b3968012b3bf].[MonthNo].[All]" dimensionUniqueName="[LocalDateTable_2dc8ec59-2991-4ed7-b97f-b3968012b3bf]" displayFolder="" count="0" memberValueDatatype="20" unbalanced="0" hidden="1"/>
    <cacheHierarchy uniqueName="[LocalDateTable_2dc8ec59-2991-4ed7-b97f-b3968012b3bf].[Quarter]" caption="Quarter" attribute="1" defaultMemberUniqueName="[LocalDateTable_2dc8ec59-2991-4ed7-b97f-b3968012b3bf].[Quarter].[All]" allUniqueName="[LocalDateTable_2dc8ec59-2991-4ed7-b97f-b3968012b3bf].[Quarter].[All]" dimensionUniqueName="[LocalDateTable_2dc8ec59-2991-4ed7-b97f-b3968012b3bf]" displayFolder="" count="0" memberValueDatatype="130" unbalanced="0" hidden="1"/>
    <cacheHierarchy uniqueName="[LocalDateTable_2dc8ec59-2991-4ed7-b97f-b3968012b3bf].[QuarterNo]" caption="QuarterNo" attribute="1" defaultMemberUniqueName="[LocalDateTable_2dc8ec59-2991-4ed7-b97f-b3968012b3bf].[QuarterNo].[All]" allUniqueName="[LocalDateTable_2dc8ec59-2991-4ed7-b97f-b3968012b3bf].[QuarterNo].[All]" dimensionUniqueName="[LocalDateTable_2dc8ec59-2991-4ed7-b97f-b3968012b3bf]" displayFolder="" count="0" memberValueDatatype="20" unbalanced="0" hidden="1"/>
    <cacheHierarchy uniqueName="[LocalDateTable_2dc8ec59-2991-4ed7-b97f-b3968012b3bf].[Year]" caption="Year" attribute="1" defaultMemberUniqueName="[LocalDateTable_2dc8ec59-2991-4ed7-b97f-b3968012b3bf].[Year].[All]" allUniqueName="[LocalDateTable_2dc8ec59-2991-4ed7-b97f-b3968012b3bf].[Year].[All]" dimensionUniqueName="[LocalDateTable_2dc8ec59-2991-4ed7-b97f-b3968012b3bf]" displayFolder="" count="0" memberValueDatatype="20" unbalanced="0" hidden="1"/>
    <cacheHierarchy uniqueName="[LocalDateTable_35b2b28c-5e49-4861-9014-eb0865a61f58].[Date]" caption="Date" attribute="1" time="1" defaultMemberUniqueName="[LocalDateTable_35b2b28c-5e49-4861-9014-eb0865a61f58].[Date].[All]" allUniqueName="[LocalDateTable_35b2b28c-5e49-4861-9014-eb0865a61f58].[Date].[All]" dimensionUniqueName="[LocalDateTable_35b2b28c-5e49-4861-9014-eb0865a61f58]" displayFolder="" count="0" memberValueDatatype="7" unbalanced="0" hidden="1"/>
    <cacheHierarchy uniqueName="[LocalDateTable_35b2b28c-5e49-4861-9014-eb0865a61f58].[Date Hierarchy]" caption="Date Hierarchy" defaultMemberUniqueName="[LocalDateTable_35b2b28c-5e49-4861-9014-eb0865a61f58].[Date Hierarchy].[All]" allUniqueName="[LocalDateTable_35b2b28c-5e49-4861-9014-eb0865a61f58].[Date Hierarchy].[All]" dimensionUniqueName="[LocalDateTable_35b2b28c-5e49-4861-9014-eb0865a61f58]" displayFolder="" count="0" unbalanced="0" hidden="1"/>
    <cacheHierarchy uniqueName="[LocalDateTable_35b2b28c-5e49-4861-9014-eb0865a61f58].[Day]" caption="Day" attribute="1" defaultMemberUniqueName="[LocalDateTable_35b2b28c-5e49-4861-9014-eb0865a61f58].[Day].[All]" allUniqueName="[LocalDateTable_35b2b28c-5e49-4861-9014-eb0865a61f58].[Day].[All]" dimensionUniqueName="[LocalDateTable_35b2b28c-5e49-4861-9014-eb0865a61f58]" displayFolder="" count="0" memberValueDatatype="20" unbalanced="0" hidden="1"/>
    <cacheHierarchy uniqueName="[LocalDateTable_35b2b28c-5e49-4861-9014-eb0865a61f58].[Month]" caption="Month" attribute="1" defaultMemberUniqueName="[LocalDateTable_35b2b28c-5e49-4861-9014-eb0865a61f58].[Month].[All]" allUniqueName="[LocalDateTable_35b2b28c-5e49-4861-9014-eb0865a61f58].[Month].[All]" dimensionUniqueName="[LocalDateTable_35b2b28c-5e49-4861-9014-eb0865a61f58]" displayFolder="" count="0" memberValueDatatype="130" unbalanced="0" hidden="1"/>
    <cacheHierarchy uniqueName="[LocalDateTable_35b2b28c-5e49-4861-9014-eb0865a61f58].[MonthNo]" caption="MonthNo" attribute="1" defaultMemberUniqueName="[LocalDateTable_35b2b28c-5e49-4861-9014-eb0865a61f58].[MonthNo].[All]" allUniqueName="[LocalDateTable_35b2b28c-5e49-4861-9014-eb0865a61f58].[MonthNo].[All]" dimensionUniqueName="[LocalDateTable_35b2b28c-5e49-4861-9014-eb0865a61f58]" displayFolder="" count="0" memberValueDatatype="20" unbalanced="0" hidden="1"/>
    <cacheHierarchy uniqueName="[LocalDateTable_35b2b28c-5e49-4861-9014-eb0865a61f58].[Quarter]" caption="Quarter" attribute="1" defaultMemberUniqueName="[LocalDateTable_35b2b28c-5e49-4861-9014-eb0865a61f58].[Quarter].[All]" allUniqueName="[LocalDateTable_35b2b28c-5e49-4861-9014-eb0865a61f58].[Quarter].[All]" dimensionUniqueName="[LocalDateTable_35b2b28c-5e49-4861-9014-eb0865a61f58]" displayFolder="" count="0" memberValueDatatype="130" unbalanced="0" hidden="1"/>
    <cacheHierarchy uniqueName="[LocalDateTable_35b2b28c-5e49-4861-9014-eb0865a61f58].[QuarterNo]" caption="QuarterNo" attribute="1" defaultMemberUniqueName="[LocalDateTable_35b2b28c-5e49-4861-9014-eb0865a61f58].[QuarterNo].[All]" allUniqueName="[LocalDateTable_35b2b28c-5e49-4861-9014-eb0865a61f58].[QuarterNo].[All]" dimensionUniqueName="[LocalDateTable_35b2b28c-5e49-4861-9014-eb0865a61f58]" displayFolder="" count="0" memberValueDatatype="20" unbalanced="0" hidden="1"/>
    <cacheHierarchy uniqueName="[LocalDateTable_35b2b28c-5e49-4861-9014-eb0865a61f58].[Year]" caption="Year" attribute="1" defaultMemberUniqueName="[LocalDateTable_35b2b28c-5e49-4861-9014-eb0865a61f58].[Year].[All]" allUniqueName="[LocalDateTable_35b2b28c-5e49-4861-9014-eb0865a61f58].[Year].[All]" dimensionUniqueName="[LocalDateTable_35b2b28c-5e49-4861-9014-eb0865a61f58]" displayFolder="" count="0" memberValueDatatype="20" unbalanced="0" hidden="1"/>
    <cacheHierarchy uniqueName="[LocalDateTable_3ea1f34c-3b67-443a-8479-d47192825849].[Date]" caption="Date" attribute="1" time="1" defaultMemberUniqueName="[LocalDateTable_3ea1f34c-3b67-443a-8479-d47192825849].[Date].[All]" allUniqueName="[LocalDateTable_3ea1f34c-3b67-443a-8479-d47192825849].[Date].[All]" dimensionUniqueName="[LocalDateTable_3ea1f34c-3b67-443a-8479-d47192825849]" displayFolder="" count="0" memberValueDatatype="7" unbalanced="0" hidden="1"/>
    <cacheHierarchy uniqueName="[LocalDateTable_3ea1f34c-3b67-443a-8479-d47192825849].[Date Hierarchy]" caption="Date Hierarchy" defaultMemberUniqueName="[LocalDateTable_3ea1f34c-3b67-443a-8479-d47192825849].[Date Hierarchy].[All]" allUniqueName="[LocalDateTable_3ea1f34c-3b67-443a-8479-d47192825849].[Date Hierarchy].[All]" dimensionUniqueName="[LocalDateTable_3ea1f34c-3b67-443a-8479-d47192825849]" displayFolder="" count="0" unbalanced="0" hidden="1"/>
    <cacheHierarchy uniqueName="[LocalDateTable_3ea1f34c-3b67-443a-8479-d47192825849].[Day]" caption="Day" attribute="1" defaultMemberUniqueName="[LocalDateTable_3ea1f34c-3b67-443a-8479-d47192825849].[Day].[All]" allUniqueName="[LocalDateTable_3ea1f34c-3b67-443a-8479-d47192825849].[Day].[All]" dimensionUniqueName="[LocalDateTable_3ea1f34c-3b67-443a-8479-d47192825849]" displayFolder="" count="0" memberValueDatatype="20" unbalanced="0" hidden="1"/>
    <cacheHierarchy uniqueName="[LocalDateTable_3ea1f34c-3b67-443a-8479-d47192825849].[Month]" caption="Month" attribute="1" defaultMemberUniqueName="[LocalDateTable_3ea1f34c-3b67-443a-8479-d47192825849].[Month].[All]" allUniqueName="[LocalDateTable_3ea1f34c-3b67-443a-8479-d47192825849].[Month].[All]" dimensionUniqueName="[LocalDateTable_3ea1f34c-3b67-443a-8479-d47192825849]" displayFolder="" count="0" memberValueDatatype="130" unbalanced="0" hidden="1"/>
    <cacheHierarchy uniqueName="[LocalDateTable_3ea1f34c-3b67-443a-8479-d47192825849].[MonthNo]" caption="MonthNo" attribute="1" defaultMemberUniqueName="[LocalDateTable_3ea1f34c-3b67-443a-8479-d47192825849].[MonthNo].[All]" allUniqueName="[LocalDateTable_3ea1f34c-3b67-443a-8479-d47192825849].[MonthNo].[All]" dimensionUniqueName="[LocalDateTable_3ea1f34c-3b67-443a-8479-d47192825849]" displayFolder="" count="0" memberValueDatatype="20" unbalanced="0" hidden="1"/>
    <cacheHierarchy uniqueName="[LocalDateTable_3ea1f34c-3b67-443a-8479-d47192825849].[Quarter]" caption="Quarter" attribute="1" defaultMemberUniqueName="[LocalDateTable_3ea1f34c-3b67-443a-8479-d47192825849].[Quarter].[All]" allUniqueName="[LocalDateTable_3ea1f34c-3b67-443a-8479-d47192825849].[Quarter].[All]" dimensionUniqueName="[LocalDateTable_3ea1f34c-3b67-443a-8479-d47192825849]" displayFolder="" count="0" memberValueDatatype="130" unbalanced="0" hidden="1"/>
    <cacheHierarchy uniqueName="[LocalDateTable_3ea1f34c-3b67-443a-8479-d47192825849].[QuarterNo]" caption="QuarterNo" attribute="1" defaultMemberUniqueName="[LocalDateTable_3ea1f34c-3b67-443a-8479-d47192825849].[QuarterNo].[All]" allUniqueName="[LocalDateTable_3ea1f34c-3b67-443a-8479-d47192825849].[QuarterNo].[All]" dimensionUniqueName="[LocalDateTable_3ea1f34c-3b67-443a-8479-d47192825849]" displayFolder="" count="0" memberValueDatatype="20" unbalanced="0" hidden="1"/>
    <cacheHierarchy uniqueName="[LocalDateTable_3ea1f34c-3b67-443a-8479-d47192825849].[Year]" caption="Year" attribute="1" defaultMemberUniqueName="[LocalDateTable_3ea1f34c-3b67-443a-8479-d47192825849].[Year].[All]" allUniqueName="[LocalDateTable_3ea1f34c-3b67-443a-8479-d47192825849].[Year].[All]" dimensionUniqueName="[LocalDateTable_3ea1f34c-3b67-443a-8479-d47192825849]" displayFolder="" count="0" memberValueDatatype="20" unbalanced="0" hidden="1"/>
    <cacheHierarchy uniqueName="[LocalDateTable_44c7d4ef-ea67-4ad2-970c-4dd712d1bff0].[Date]" caption="Date" attribute="1" time="1" defaultMemberUniqueName="[LocalDateTable_44c7d4ef-ea67-4ad2-970c-4dd712d1bff0].[Date].[All]" allUniqueName="[LocalDateTable_44c7d4ef-ea67-4ad2-970c-4dd712d1bff0].[Date].[All]" dimensionUniqueName="[LocalDateTable_44c7d4ef-ea67-4ad2-970c-4dd712d1bff0]" displayFolder="" count="0" memberValueDatatype="7" unbalanced="0" hidden="1"/>
    <cacheHierarchy uniqueName="[LocalDateTable_44c7d4ef-ea67-4ad2-970c-4dd712d1bff0].[Date Hierarchy]" caption="Date Hierarchy" defaultMemberUniqueName="[LocalDateTable_44c7d4ef-ea67-4ad2-970c-4dd712d1bff0].[Date Hierarchy].[All]" allUniqueName="[LocalDateTable_44c7d4ef-ea67-4ad2-970c-4dd712d1bff0].[Date Hierarchy].[All]" dimensionUniqueName="[LocalDateTable_44c7d4ef-ea67-4ad2-970c-4dd712d1bff0]" displayFolder="" count="0" unbalanced="0" hidden="1"/>
    <cacheHierarchy uniqueName="[LocalDateTable_44c7d4ef-ea67-4ad2-970c-4dd712d1bff0].[Day]" caption="Day" attribute="1" defaultMemberUniqueName="[LocalDateTable_44c7d4ef-ea67-4ad2-970c-4dd712d1bff0].[Day].[All]" allUniqueName="[LocalDateTable_44c7d4ef-ea67-4ad2-970c-4dd712d1bff0].[Day].[All]" dimensionUniqueName="[LocalDateTable_44c7d4ef-ea67-4ad2-970c-4dd712d1bff0]" displayFolder="" count="0" memberValueDatatype="20" unbalanced="0" hidden="1"/>
    <cacheHierarchy uniqueName="[LocalDateTable_44c7d4ef-ea67-4ad2-970c-4dd712d1bff0].[Month]" caption="Month" attribute="1" defaultMemberUniqueName="[LocalDateTable_44c7d4ef-ea67-4ad2-970c-4dd712d1bff0].[Month].[All]" allUniqueName="[LocalDateTable_44c7d4ef-ea67-4ad2-970c-4dd712d1bff0].[Month].[All]" dimensionUniqueName="[LocalDateTable_44c7d4ef-ea67-4ad2-970c-4dd712d1bff0]" displayFolder="" count="0" memberValueDatatype="130" unbalanced="0" hidden="1"/>
    <cacheHierarchy uniqueName="[LocalDateTable_44c7d4ef-ea67-4ad2-970c-4dd712d1bff0].[MonthNo]" caption="MonthNo" attribute="1" defaultMemberUniqueName="[LocalDateTable_44c7d4ef-ea67-4ad2-970c-4dd712d1bff0].[MonthNo].[All]" allUniqueName="[LocalDateTable_44c7d4ef-ea67-4ad2-970c-4dd712d1bff0].[MonthNo].[All]" dimensionUniqueName="[LocalDateTable_44c7d4ef-ea67-4ad2-970c-4dd712d1bff0]" displayFolder="" count="0" memberValueDatatype="20" unbalanced="0" hidden="1"/>
    <cacheHierarchy uniqueName="[LocalDateTable_44c7d4ef-ea67-4ad2-970c-4dd712d1bff0].[Quarter]" caption="Quarter" attribute="1" defaultMemberUniqueName="[LocalDateTable_44c7d4ef-ea67-4ad2-970c-4dd712d1bff0].[Quarter].[All]" allUniqueName="[LocalDateTable_44c7d4ef-ea67-4ad2-970c-4dd712d1bff0].[Quarter].[All]" dimensionUniqueName="[LocalDateTable_44c7d4ef-ea67-4ad2-970c-4dd712d1bff0]" displayFolder="" count="0" memberValueDatatype="130" unbalanced="0" hidden="1"/>
    <cacheHierarchy uniqueName="[LocalDateTable_44c7d4ef-ea67-4ad2-970c-4dd712d1bff0].[QuarterNo]" caption="QuarterNo" attribute="1" defaultMemberUniqueName="[LocalDateTable_44c7d4ef-ea67-4ad2-970c-4dd712d1bff0].[QuarterNo].[All]" allUniqueName="[LocalDateTable_44c7d4ef-ea67-4ad2-970c-4dd712d1bff0].[QuarterNo].[All]" dimensionUniqueName="[LocalDateTable_44c7d4ef-ea67-4ad2-970c-4dd712d1bff0]" displayFolder="" count="0" memberValueDatatype="20" unbalanced="0" hidden="1"/>
    <cacheHierarchy uniqueName="[LocalDateTable_44c7d4ef-ea67-4ad2-970c-4dd712d1bff0].[Year]" caption="Year" attribute="1" defaultMemberUniqueName="[LocalDateTable_44c7d4ef-ea67-4ad2-970c-4dd712d1bff0].[Year].[All]" allUniqueName="[LocalDateTable_44c7d4ef-ea67-4ad2-970c-4dd712d1bff0].[Year].[All]" dimensionUniqueName="[LocalDateTable_44c7d4ef-ea67-4ad2-970c-4dd712d1bff0]" displayFolder="" count="0" memberValueDatatype="20" unbalanced="0" hidden="1"/>
    <cacheHierarchy uniqueName="[Measure].[Column]" caption="Column" attribute="1" defaultMemberUniqueName="[Measure].[Column].[All]" allUniqueName="[Measure].[Column].[All]" dimensionUniqueName="[Measure]" displayFolder="" count="0" memberValueDatatype="20" unbalanced="0" hidden="1"/>
    <cacheHierarchy uniqueName="[Measures].[Current Quarter]" caption="Current Quarter" measure="1" displayFolder="" measureGroup="BI vw_FinCalendar" count="0"/>
    <cacheHierarchy uniqueName="[Measures].[Delivered Sales Ex GST]" caption="Delivered Sales Ex GST" measure="1" displayFolder="" measureGroup="Measure" count="0" oneField="1">
      <fieldsUsage count="1">
        <fieldUsage x="7"/>
      </fieldsUsage>
    </cacheHierarchy>
    <cacheHierarchy uniqueName="[Measures].[Sales Price]" caption="Sales Price" measure="1" displayFolder="" measureGroup="Measure" count="0"/>
    <cacheHierarchy uniqueName="[Measures].[CostInvoicedCost]" caption="CostInvoicedCost" measure="1" displayFolder="" measureGroup="Measure" count="0"/>
    <cacheHierarchy uniqueName="[Measures].[CostAmountAdjustment]" caption="CostAmountAdjustment" measure="1" displayFolder="" measureGroup="Measure" count="0"/>
    <cacheHierarchy uniqueName="[Measures].[Gross Sales]" caption="Gross Sales" measure="1" displayFolder="" measureGroup="Measure" count="0"/>
    <cacheHierarchy uniqueName="[Measures].[GM %]" caption="GM %" measure="1" displayFolder="" measureGroup="Measure" count="0"/>
    <cacheHierarchy uniqueName="[Measures].[Total Markdown]" caption="Total Markdown" measure="1" displayFolder="" measureGroup="Measure" count="0"/>
    <cacheHierarchy uniqueName="[Measures].[Quantity]" caption="Quantity" measure="1" displayFolder="" measureGroup="Measure" count="0"/>
    <cacheHierarchy uniqueName="[Measures].[Tax]" caption="Tax" measure="1" displayFolder="" measureGroup="Measure" count="0"/>
    <cacheHierarchy uniqueName="[Measures].[Gross Margin]" caption="Gross Margin" measure="1" displayFolder="" measureGroup="Measure" count="0"/>
    <cacheHierarchy uniqueName="[Measures].[ItemWholeSalePrice]" caption="ItemWholeSalePrice" measure="1" displayFolder="" measureGroup="Measure" count="0"/>
    <cacheHierarchy uniqueName="[Measures].[Line Disc]" caption="Line Disc" measure="1" displayFolder="" measureGroup="Measure" count="0"/>
    <cacheHierarchy uniqueName="[Measures].[COSTFINAL]" caption="COSTFINAL" measure="1" displayFolder="" measureGroup="Measure" count="0"/>
    <cacheHierarchy uniqueName="[Measures].[Markdown$1]" caption="Markdown$1" measure="1" displayFolder="" measureGroup="Measure" count="0"/>
    <cacheHierarchy uniqueName="[Measures].[Markdown$2]" caption="Markdown$2" measure="1" displayFolder="" measureGroup="Measure" count="0"/>
    <cacheHierarchy uniqueName="[Measures].[Total Markdown $]" caption="Total Markdown $" measure="1" displayFolder="" measureGroup="Measure" count="0"/>
    <cacheHierarchy uniqueName="[Measures].[Delivered Sales Inc GST]" caption="Delivered Sales Inc GST" measure="1" displayFolder="" measureGroup="Measure" count="0"/>
    <cacheHierarchy uniqueName="[Measures].[39% Margin]" caption="39% Margin" measure="1" displayFolder="" measureGroup="Measure" count="0"/>
    <cacheHierarchy uniqueName="[Measures].[Rebate Amount]" caption="Rebate Amount" measure="1" displayFolder="" measureGroup="Measure" count="0"/>
    <cacheHierarchy uniqueName="[Measures].[Eligible for Rebate]" caption="Eligible for Rebate" measure="1" displayFolder="" measureGroup="Measure" count="0"/>
    <cacheHierarchy uniqueName="[Measures].[Budget Variance]" caption="Budget Variance" measure="1" displayFolder="" measureGroup="Measure" count="0"/>
    <cacheHierarchy uniqueName="[Measures].[DeliveredSalesBudget]" caption="DeliveredSalesBudget" measure="1" displayFolder="" measureGroup="Measure" count="0"/>
    <cacheHierarchy uniqueName="[Measures].[% Budget Complete]" caption="% Budget Complete" measure="1" displayFolder="" measureGroup="Measure" count="0"/>
    <cacheHierarchy uniqueName="[Measures].[MarkDown]" caption="MarkDown" measure="1" displayFolder="" measureGroup="Measure" count="0"/>
    <cacheHierarchy uniqueName="[Measures].[ItemWholeSalePrice_old]" caption="ItemWholeSalePrice_old" measure="1" displayFolder="" measureGroup="Measure" count="0"/>
    <cacheHierarchy uniqueName="[Measures].[R-Gross Sales]" caption="R-Gross Sales" measure="1" displayFolder="" measureGroup="Period Measures" count="0"/>
    <cacheHierarchy uniqueName="[Measures].[R-M/D]" caption="R-M/D" measure="1" displayFolder="" measureGroup="Period Measures" count="0"/>
    <cacheHierarchy uniqueName="[Measures].[R-Delivered Sales Ex GST]" caption="R-Delivered Sales Ex GST" measure="1" displayFolder="" measureGroup="Period Measures" count="0"/>
    <cacheHierarchy uniqueName="[Measures].[R-CostFinal]" caption="R-CostFinal" measure="1" displayFolder="" measureGroup="Period Measures" count="0"/>
    <cacheHierarchy uniqueName="[Measures].[R-Trading Margin]" caption="R-Trading Margin" measure="1" displayFolder="" measureGroup="Period Measures" count="0"/>
    <cacheHierarchy uniqueName="[Measures].[R-GM%]" caption="R-GM%" measure="1" displayFolder="" measureGroup="Period Measures" count="0"/>
    <cacheHierarchy uniqueName="[Measures].[R-DeliveredSalesBudget]" caption="R-DeliveredSalesBudget" measure="1" displayFolder="" measureGroup="Period Measures" count="0"/>
    <cacheHierarchy uniqueName="[Measures].[R-Budget Variance]" caption="R-Budget Variance" measure="1" displayFolder="" measureGroup="Period Measures" count="0"/>
    <cacheHierarchy uniqueName="[Measures].[R-Gross Sales rolling]" caption="R-Gross Sales rolling" measure="1" displayFolder="" measureGroup="Period Measures" count="0"/>
    <cacheHierarchy uniqueName="[Measures].[R-Gross Sales TY $]" caption="R-Gross Sales TY $" measure="1" displayFolder="" measureGroup="BI metrics" count="0"/>
    <cacheHierarchy uniqueName="[Measures].[R-M/D TY $]" caption="R-M/D TY $" measure="1" displayFolder="" measureGroup="BI metrics" count="0"/>
    <cacheHierarchy uniqueName="[Measures].[R-Sales ExGST TY $]" caption="R-Sales ExGST TY $" measure="1" displayFolder="" measureGroup="BI metrics" count="0"/>
    <cacheHierarchy uniqueName="[Measures].[R-CostFinal TY $]" caption="R-CostFinal TY $" measure="1" displayFolder="" measureGroup="BI metrics" count="0"/>
    <cacheHierarchy uniqueName="[Measures].[R-Sale Budget TY $]" caption="R-Sale Budget TY $" measure="1" displayFolder="" measureGroup="BI metrics" count="0"/>
    <cacheHierarchy uniqueName="[Measures].[R-Trading Margin TY $]" caption="R-Trading Margin TY $" measure="1" displayFolder="" measureGroup="BI metrics" count="0"/>
    <cacheHierarchy uniqueName="[Measures].[R-GM % TY]" caption="R-GM % TY" measure="1" displayFolder="" measureGroup="BI metrics" count="0"/>
    <cacheHierarchy uniqueName="[Measures].[R-Budget Variance TY]" caption="R-Budget Variance TY" measure="1" displayFolder="" measureGroup="BI metrics" count="0"/>
    <cacheHierarchy uniqueName="[Measures].[R-Gross Sales LY $]" caption="R-Gross Sales LY $" measure="1" displayFolder="" measureGroup="BI metrics" count="0"/>
    <cacheHierarchy uniqueName="[Measures].[R-M/D LY $]" caption="R-M/D LY $" measure="1" displayFolder="" measureGroup="BI metrics" count="0"/>
    <cacheHierarchy uniqueName="[Measures].[R-Sales ExGST LY $]" caption="R-Sales ExGST LY $" measure="1" displayFolder="" measureGroup="BI metrics" count="0"/>
    <cacheHierarchy uniqueName="[Measures].[R-CostFinal LY $]" caption="R-CostFinal LY $" measure="1" displayFolder="" measureGroup="BI metrics" count="0"/>
    <cacheHierarchy uniqueName="[Measures].[R-Trading Margin LY $]" caption="R-Trading Margin LY $" measure="1" displayFolder="" measureGroup="BI metrics" count="0"/>
    <cacheHierarchy uniqueName="[Measures].[R-Sales Budget LY $]" caption="R-Sales Budget LY $" measure="1" displayFolder="" measureGroup="BI metrics" count="0"/>
    <cacheHierarchy uniqueName="[Measures].[R-Gross Sales YoY]" caption="R-Gross Sales YoY" measure="1" displayFolder="" measureGroup="BI metrics" count="0"/>
    <cacheHierarchy uniqueName="[Measures].[R-M/D YoY]" caption="R-M/D YoY" measure="1" displayFolder="" measureGroup="BI metrics" count="0"/>
    <cacheHierarchy uniqueName="[Measures].[R-Sales ExGST YoY]" caption="R-Sales ExGST YoY" measure="1" displayFolder="" measureGroup="BI metrics" count="0"/>
    <cacheHierarchy uniqueName="[Measures].[R-CostFinal YoY]" caption="R-CostFinal YoY" measure="1" displayFolder="" measureGroup="BI metrics" count="0"/>
    <cacheHierarchy uniqueName="[Measures].[R-Trading Margin YoY]" caption="R-Trading Margin YoY" measure="1" displayFolder="" measureGroup="BI metrics" count="0"/>
    <cacheHierarchy uniqueName="[Measures].[R-Sales ExGST TY $(Amart)]" caption="R-Sales ExGST TY $(Amart)" measure="1" displayFolder="aa_Quadrant-Amart" measureGroup="BI metrics" count="0"/>
    <cacheHierarchy uniqueName="[Measures].[Delivered Sales Ex GST LY]" caption="Delivered Sales Ex GST LY" measure="1" displayFolder="" measureGroup="BI metrics" count="0"/>
    <cacheHierarchy uniqueName="[Measures].[R-Sales ExGST LY $(Amart)]" caption="R-Sales ExGST LY $(Amart)" measure="1" displayFolder="aa_Quadrant-Amart" measureGroup="BI metrics" count="0"/>
    <cacheHierarchy uniqueName="[Measures].[Delivered Sales ExGST LY 1]" caption="Delivered Sales ExGST LY 1" measure="1" displayFolder="" measureGroup="BI metrics" count="0"/>
    <cacheHierarchy uniqueName="[Measures].[R-Sales ExGST YoY(Amart)]" caption="R-Sales ExGST YoY(Amart)" measure="1" displayFolder="aa_Quadrant-Amart" measureGroup="BI metrics" count="0"/>
    <cacheHierarchy uniqueName="[Measures].[R-Sale Budget TY $(Amart)]" caption="R-Sale Budget TY $(Amart)" measure="1" displayFolder="aa_Quadrant-Amart" measureGroup="BI metrics" count="0"/>
    <cacheHierarchy uniqueName="[Measures].[R-Budget Variance TY(Amart)]" caption="R-Budget Variance TY(Amart)" measure="1" displayFolder="aa_Quadrant-Amart" measureGroup="BI metrics" count="0"/>
    <cacheHierarchy uniqueName="[Measures].[R-Trading Margin TY $(Amart)]" caption="R-Trading Margin TY $(Amart)" measure="1" displayFolder="aa_Quadrant-Amart" measureGroup="BI metrics" count="0"/>
    <cacheHierarchy uniqueName="[Measures].[Gross Margin LY]" caption="Gross Margin LY" measure="1" displayFolder="aa_Quadrant-Amart" measureGroup="BI metrics" count="0"/>
    <cacheHierarchy uniqueName="[Measures].[R-Trading Margin LY $(Amart)]" caption="R-Trading Margin LY $(Amart)" measure="1" displayFolder="aa_Quadrant-Amart" measureGroup="BI metrics" count="0"/>
    <cacheHierarchy uniqueName="[Measures].[Gross Sales LY]" caption="Gross Sales LY" measure="1" displayFolder="aa_Quadrant-Amart" measureGroup="BI metrics" count="0"/>
    <cacheHierarchy uniqueName="[Measures].[R-Gross Sales TY $(Amart)]" caption="R-Gross Sales TY $(Amart)" measure="1" displayFolder="aa_Quadrant-Amart" measureGroup="BI metrics" count="0"/>
    <cacheHierarchy uniqueName="[Measures].[R-Gross Sales LY $(Amart)]" caption="R-Gross Sales LY $(Amart)" measure="1" displayFolder="aa_Quadrant-Amart" measureGroup="BI metrics" count="0"/>
    <cacheHierarchy uniqueName="[Measures].[R-Gross Sales YoY(Amart)]" caption="R-Gross Sales YoY(Amart)" measure="1" displayFolder="aa_Quadrant-Amart" measureGroup="BI metrics" count="0"/>
    <cacheHierarchy uniqueName="[Measures].[R-Trading Margin YoY(Amart)]" caption="R-Trading Margin YoY(Amart)" measure="1" displayFolder="aa_Quadrant-Amart" measureGroup="BI metrics" count="0"/>
    <cacheHierarchy uniqueName="[Measures].[Markdown LY]" caption="Markdown LY" measure="1" displayFolder="aa_Quadrant-Amart" measureGroup="BI metrics" count="0"/>
    <cacheHierarchy uniqueName="[Measures].[R-M/D TY $(Amart)]" caption="R-M/D TY $(Amart)" measure="1" displayFolder="aa_Quadrant-Amart" measureGroup="BI metrics" count="0"/>
    <cacheHierarchy uniqueName="[Measures].[R-M/D LY $(Amart)]" caption="R-M/D LY $(Amart)" measure="1" displayFolder="aa_Quadrant-Amart" measureGroup="BI metrics" count="0"/>
    <cacheHierarchy uniqueName="[Measures].[R-M/D YoY(Amart)]" caption="R-M/D YoY(Amart)" measure="1" displayFolder="aa_Quadrant-Amart" measureGroup="BI metrics" count="0"/>
    <cacheHierarchy uniqueName="[Measures].[COSTFINAL LY]" caption="COSTFINAL LY" measure="1" displayFolder="aa_Quadrant-Amart" measureGroup="BI metrics" count="0"/>
    <cacheHierarchy uniqueName="[Measures].[R-CostFinal TY $(Amart)]" caption="R-CostFinal TY $(Amart)" measure="1" displayFolder="aa_Quadrant-Amart" measureGroup="BI metrics" count="0"/>
    <cacheHierarchy uniqueName="[Measures].[R-CostFinal LY $(Amart)]" caption="R-CostFinal LY $(Amart)" measure="1" displayFolder="aa_Quadrant-Amart" measureGroup="BI metrics" count="0"/>
    <cacheHierarchy uniqueName="[Measures].[R-CostFinal YoY(Amart)]" caption="R-CostFinal YoY(Amart)" measure="1" displayFolder="aa_Quadrant-Amart" measureGroup="BI metrics" count="0"/>
    <cacheHierarchy uniqueName="[Measures].[R-GM % TY(Amart)]" caption="R-GM % TY(Amart)" measure="1" displayFolder="aa_Quadrant-Amart" measureGroup="BI metrics" count="0"/>
    <cacheHierarchy uniqueName="[Measures].[R-sales ExGST LY NFY]" caption="R-sales ExGST LY NFY" measure="1" displayFolder="" measureGroup="BI metrics" count="0"/>
    <cacheHierarchy uniqueName="[Measures].[R-Sales ExGST LY $(Amart) NFY]" caption="R-Sales ExGST LY $(Amart) NFY" measure="1" displayFolder="aa_Quadrant-Amart" measureGroup="BI metrics" count="0"/>
    <cacheHierarchy uniqueName="[Measures].[__Default measure]" caption="__Default measure" measure="1" displayFolder="" count="0" hidden="1"/>
  </cacheHierarchies>
  <kpis count="0"/>
  <dimensions count="15">
    <dimension name="BI metrics" uniqueName="[BI metrics]" caption="BI metrics"/>
    <dimension name="BI vw_Budget Duplicate" uniqueName="[BI vw_Budget Duplicate]" caption="BI vw_Budget Duplicate"/>
    <dimension name="BI vw_BudgetDeliveredSalesByStore" uniqueName="[BI vw_BudgetDeliveredSalesByStore]" caption="BI vw_BudgetDeliveredSalesByStore"/>
    <dimension name="BI vw_Dynamics_FFAFDropshipwholesaleprice" uniqueName="[BI vw_Dynamics_FFAFDropshipwholesaleprice]" caption="BI vw_Dynamics_FFAFDropshipwholesaleprice"/>
    <dimension name="BI vw_DynamicsDeliveredSales" uniqueName="[BI vw_DynamicsDeliveredSales]" caption="BI vw_DynamicsDeliveredSales"/>
    <dimension name="BI vw_FinCalendar" uniqueName="[BI vw_FinCalendar]" caption="BI vw_FinCalendar"/>
    <dimension name="BI vw_Store" uniqueName="[BI vw_Store]" caption="BI vw_Store"/>
    <dimension name="CalendarMapping" uniqueName="[CalendarMapping]" caption="CalendarMapping"/>
    <dimension name="DC SO" uniqueName="[DC SO]" caption="DC SO"/>
    <dimension name="dim_period" uniqueName="[dim_period]" caption="dim_period"/>
    <dimension measure="1" name="Measures" uniqueName="[Measures]" caption="Measures"/>
    <dimension name="Month Sort" uniqueName="[Month Sort]" caption="Month Sort"/>
    <dimension name="TimePeriod" uniqueName="[TimePeriod]" caption="TimePeriod"/>
    <dimension name="TimePeriodSort" uniqueName="[TimePeriodSort]" caption="TimePeriodSort"/>
    <dimension name="TimePeriodSort_Amart" uniqueName="[TimePeriodSort_Amart]" caption="TimePeriodSort_Amart"/>
  </dimensions>
  <measureGroups count="23">
    <measureGroup name="BI metrics" caption="BI metrics"/>
    <measureGroup name="BI vw_Budget Duplicate" caption="BI vw_Budget Duplicate"/>
    <measureGroup name="BI vw_BudgetDeliveredSalesByStore" caption="BI vw_BudgetDeliveredSalesByStore"/>
    <measureGroup name="BI vw_Dynamics_FFAFDropshipwholesaleprice" caption="BI vw_Dynamics_FFAFDropshipwholesaleprice"/>
    <measureGroup name="BI vw_DynamicsDeliveredSales" caption="BI vw_DynamicsDeliveredSales"/>
    <measureGroup name="BI vw_FinCalendar" caption="BI vw_FinCalendar"/>
    <measureGroup name="BI vw_MarkdownCategory" caption="BI vw_MarkdownCategory"/>
    <measureGroup name="BI vw_Store" caption="BI vw_Store"/>
    <measureGroup name="BI vw_Store (2)" caption="BI vw_Store (2)"/>
    <measureGroup name="CalendarMapping" caption="CalendarMapping"/>
    <measureGroup name="DateTableTemplate_3f9b2c98-215a-4ac6-bb5b-5edb3fb7613d" caption="DateTableTemplate_3f9b2c98-215a-4ac6-bb5b-5edb3fb7613d"/>
    <measureGroup name="DC SO" caption="DC SO"/>
    <measureGroup name="dim_period" caption="dim_period"/>
    <measureGroup name="LocalDateTable_2dc8ec59-2991-4ed7-b97f-b3968012b3bf" caption="LocalDateTable_2dc8ec59-2991-4ed7-b97f-b3968012b3bf"/>
    <measureGroup name="LocalDateTable_35b2b28c-5e49-4861-9014-eb0865a61f58" caption="LocalDateTable_35b2b28c-5e49-4861-9014-eb0865a61f58"/>
    <measureGroup name="LocalDateTable_3ea1f34c-3b67-443a-8479-d47192825849" caption="LocalDateTable_3ea1f34c-3b67-443a-8479-d47192825849"/>
    <measureGroup name="LocalDateTable_44c7d4ef-ea67-4ad2-970c-4dd712d1bff0" caption="LocalDateTable_44c7d4ef-ea67-4ad2-970c-4dd712d1bff0"/>
    <measureGroup name="Measure" caption="Measure"/>
    <measureGroup name="Month Sort" caption="Month Sort"/>
    <measureGroup name="Period Measures" caption="Period Measures"/>
    <measureGroup name="TimePeriod" caption="TimePeriod"/>
    <measureGroup name="TimePeriodSort" caption="TimePeriodSort"/>
    <measureGroup name="TimePeriodSort_Amart" caption="TimePeriodSort_Amart"/>
  </measureGroups>
  <maps count="49">
    <map measureGroup="0" dimension="0"/>
    <map measureGroup="0" dimension="13"/>
    <map measureGroup="0" dimension="14"/>
    <map measureGroup="1" dimension="1"/>
    <map measureGroup="1" dimension="5"/>
    <map measureGroup="1" dimension="6"/>
    <map measureGroup="1" dimension="7"/>
    <map measureGroup="1" dimension="11"/>
    <map measureGroup="2" dimension="0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1"/>
    <map measureGroup="2" dimension="13"/>
    <map measureGroup="2" dimension="14"/>
    <map measureGroup="3" dimension="3"/>
    <map measureGroup="4" dimension="0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  <map measureGroup="4" dimension="11"/>
    <map measureGroup="4" dimension="13"/>
    <map measureGroup="4" dimension="14"/>
    <map measureGroup="5" dimension="5"/>
    <map measureGroup="5" dimension="7"/>
    <map measureGroup="5" dimension="11"/>
    <map measureGroup="7" dimension="6"/>
    <map measureGroup="8" dimension="6"/>
    <map measureGroup="9" dimension="5"/>
    <map measureGroup="9" dimension="7"/>
    <map measureGroup="9" dimension="11"/>
    <map measureGroup="11" dimension="8"/>
    <map measureGroup="12" dimension="9"/>
    <map measureGroup="18" dimension="11"/>
    <map measureGroup="20" dimension="12"/>
    <map measureGroup="21" dimension="13"/>
    <map measureGroup="21" dimension="14"/>
    <map measureGroup="22" dimension="13"/>
    <map measureGroup="2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55.60330451389" backgroundQuery="1" createdVersion="8" refreshedVersion="8" minRefreshableVersion="3" recordCount="0" supportSubquery="1" supportAdvancedDrill="1" xr:uid="{789F90ED-1606-4896-AC1D-02A9B4A8A410}">
  <cacheSource type="external" connectionId="1"/>
  <cacheFields count="9">
    <cacheField name="[BI metrics].[TimePeriod].[TimePeriod]" caption="TimePeriod" numFmtId="0" hierarchy="16" level="1">
      <sharedItems containsSemiMixedTypes="0" containsString="0"/>
    </cacheField>
    <cacheField name="[BI metrics].[Fin_Period].[Fin_Period]" caption="Fin_Period" numFmtId="0" level="1">
      <sharedItems count="7"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</sharedItems>
    </cacheField>
    <cacheField name="[BI vw_DynamicsDeliveredSales].[CHANNEL].[CHANNEL]" caption="CHANNEL" numFmtId="0" hierarchy="38" level="1">
      <sharedItems count="2">
        <s v="[BI vw_DynamicsDeliveredSales].[CHANNEL].&amp;[In Store]" c="In Store"/>
        <s v="[BI vw_DynamicsDeliveredSales].[CHANNEL].&amp;[Online]" c="Online"/>
      </sharedItems>
    </cacheField>
    <cacheField name="[BI vw_Store].[Country].[Country]" caption="Country" numFmtId="0" hierarchy="142" level="1">
      <sharedItems count="1">
        <s v="[BI vw_Store].[Country].&amp;[NZ]" c="NZ"/>
      </sharedItems>
    </cacheField>
    <cacheField name="[BI vw_Store].[BranchType].[BranchType]" caption="BranchType" numFmtId="0" hierarchy="140" level="1">
      <sharedItems containsSemiMixedTypes="0" containsString="0"/>
    </cacheField>
    <cacheField name="[BI vw_DynamicsDeliveredSales].[Sales Order Type].[Sales Order Type]" caption="Sales Order Type" numFmtId="0" hierarchy="101" level="1">
      <sharedItems containsSemiMixedTypes="0" containsString="0"/>
    </cacheField>
    <cacheField name="[BI vw_DynamicsDeliveredSales].[Division].[Division]" caption="Division" numFmtId="0" hierarchy="60" level="1">
      <sharedItems count="2">
        <s v="[BI vw_DynamicsDeliveredSales].[Division].&amp;[Furniture]" c="Furniture"/>
        <s v="[BI vw_DynamicsDeliveredSales].[Division].&amp;[Homewares]" c="Homewares"/>
      </sharedItems>
    </cacheField>
    <cacheField name="[Measures].[Delivered Sales Ex GST]" caption="Delivered Sales Ex GST" numFmtId="0" hierarchy="231" level="32767"/>
    <cacheField name="[BI vw_Store].[StoreName].[StoreName]" caption="StoreName" numFmtId="0" hierarchy="151" level="1">
      <sharedItems containsSemiMixedTypes="0" containsString="0"/>
    </cacheField>
  </cacheFields>
  <cacheHierarchies count="311"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1"/>
      </fieldsUsage>
    </cacheHierarchy>
    <cacheHierarchy uniqueName="[BI metrics].[Fin_Week]" caption="Fin_Week" attribute="1" defaultMemberUniqueName="[BI metrics].[Fin_Week].[All]" allUniqueName="[BI metrics].[Fin_Week].[All]" dimensionUniqueName="[BI metrics]" displayFolder="" count="0" memberValueDatatype="130" unbalanced="0"/>
    <cacheHierarchy uniqueName="[BI metrics].[Fin_Year]" caption="Fin_Year" attribute="1" defaultMemberUniqueName="[BI metrics].[Fin_Year].[All]" allUniqueName="[BI metrics].[Fin_Year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13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5" unbalanced="0"/>
    <cacheHierarchy uniqueName="[BI metrics].[LastYear_Week]" caption="LastYear_Week" attribute="1" defaultMemberUniqueName="[BI metrics].[LastYear_Week].[All]" allUniqueName="[BI metrics].[LastYear_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5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5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0"/>
      </fieldsUsage>
    </cacheHierarchy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vw_Budget Duplicate].[BudgetDollar]" caption="BudgetDollar" attribute="1" defaultMemberUniqueName="[BI vw_Budget Duplicate].[BudgetDollar].[All]" allUniqueName="[BI vw_Budget Duplicate].[BudgetDollar].[All]" dimensionUniqueName="[BI vw_Budget Duplicate]" displayFolder="" count="0" memberValueDatatype="6" unbalanced="0"/>
    <cacheHierarchy uniqueName="[BI vw_Budget Duplicate].[BudgetYear]" caption="BudgetYear" attribute="1" defaultMemberUniqueName="[BI vw_Budget Duplicate].[BudgetYear].[All]" allUniqueName="[BI vw_Budget Duplicate].[BudgetYear].[All]" dimensionUniqueName="[BI vw_Budget Duplicate]" displayFolder="" count="0" memberValueDatatype="20" unbalanced="0"/>
    <cacheHierarchy uniqueName="[BI vw_Budget Duplicate].[FinPeriod]" caption="FinPeriod" attribute="1" defaultMemberUniqueName="[BI vw_Budget Duplicate].[FinPeriod].[All]" allUniqueName="[BI vw_Budget Duplicate].[FinPeriod].[All]" dimensionUniqueName="[BI vw_Budget Duplicate]" displayFolder="" count="0" memberValueDatatype="130" unbalanced="0"/>
    <cacheHierarchy uniqueName="[BI vw_Budget Duplicate].[Store]" caption="Store" attribute="1" defaultMemberUniqueName="[BI vw_Budget Duplicate].[Store].[All]" allUniqueName="[BI vw_Budget Duplicate].[Store].[All]" dimensionUniqueName="[BI vw_Budget Duplicate]" displayFolder="" count="0" memberValueDatatype="130" unbalanced="0"/>
    <cacheHierarchy uniqueName="[BI vw_Budget Duplicate].[YearFinPeriod]" caption="YearFinPeriod" attribute="1" defaultMemberUniqueName="[BI vw_Budget Duplicate].[YearFinPeriod].[All]" allUniqueName="[BI vw_Budget Duplicate].[YearFinPeriod].[All]" dimensionUniqueName="[BI vw_Budget Duplicate]" displayFolder="" count="0" memberValueDatatype="130" unbalanced="0"/>
    <cacheHierarchy uniqueName="[BI vw_BudgetDeliveredSalesByStore].[Budget_Key]" caption="Budget_Key" attribute="1" defaultMemberUniqueName="[BI vw_BudgetDeliveredSalesByStore].[Budget_Key].[All]" allUniqueName="[BI vw_BudgetDeliveredSalesByStore].[Budget_Key].[All]" dimensionUniqueName="[BI vw_BudgetDeliveredSalesByStore]" displayFolder="" count="0" memberValueDatatype="130" unbalanced="0"/>
    <cacheHierarchy uniqueName="[BI vw_BudgetDeliveredSalesByStore].[BudgetDollar]" caption="BudgetDollar" attribute="1" defaultMemberUniqueName="[BI vw_BudgetDeliveredSalesByStore].[BudgetDollar].[All]" allUniqueName="[BI vw_BudgetDeliveredSalesByStore].[BudgetDollar].[All]" dimensionUniqueName="[BI vw_BudgetDeliveredSalesByStore]" displayFolder="" count="0" memberValueDatatype="6" unbalanced="0"/>
    <cacheHierarchy uniqueName="[BI vw_BudgetDeliveredSalesByStore].[BudgetYear]" caption="BudgetYear" attribute="1" defaultMemberUniqueName="[BI vw_BudgetDeliveredSalesByStore].[BudgetYear].[All]" allUniqueName="[BI vw_BudgetDeliveredSalesByStore].[BudgetYear].[All]" dimensionUniqueName="[BI vw_BudgetDeliveredSalesByStore]" displayFolder="" count="0" memberValueDatatype="20" unbalanced="0"/>
    <cacheHierarchy uniqueName="[BI vw_BudgetDeliveredSalesByStore].[FinPeriod]" caption="FinPeriod" attribute="1" defaultMemberUniqueName="[BI vw_BudgetDeliveredSalesByStore].[FinPeriod].[All]" allUniqueName="[BI vw_BudgetDeliveredSalesByStore].[FinPeriod].[All]" dimensionUniqueName="[BI vw_BudgetDeliveredSalesByStore]" displayFolder="" count="0" memberValueDatatype="130" unbalanced="0"/>
    <cacheHierarchy uniqueName="[BI vw_BudgetDeliveredSalesByStore].[Store]" caption="Store" attribute="1" defaultMemberUniqueName="[BI vw_BudgetDeliveredSalesByStore].[Store].[All]" allUniqueName="[BI vw_BudgetDeliveredSalesByStore].[Store].[All]" dimensionUniqueName="[BI vw_BudgetDeliveredSalesByStore]" displayFolder="" count="0" memberValueDatatype="130" unbalanced="0"/>
    <cacheHierarchy uniqueName="[BI vw_BudgetDeliveredSalesByStore].[YearFinPeriod]" caption="YearFinPeriod" attribute="1" defaultMemberUniqueName="[BI vw_BudgetDeliveredSalesByStore].[YearFinPeriod].[All]" allUniqueName="[BI vw_BudgetDeliveredSalesByStore].[YearFinPeriod].[All]" dimensionUniqueName="[BI vw_BudgetDeliveredSalesByStore]" displayFolder="" count="0" memberValueDatatype="130" unbalanced="0"/>
    <cacheHierarchy uniqueName="[BI vw_Dynamics_FFAFDropshipwholesaleprice].[Key]" caption="Key" attribute="1" defaultMemberUniqueName="[BI vw_Dynamics_FFAFDropshipwholesaleprice].[Key].[All]" allUniqueName="[BI vw_Dynamics_FFAFDropshipwholesaleprice].[Key].[All]" dimensionUniqueName="[BI vw_Dynamics_FFAFDropshipwholesaleprice]" displayFolder="" count="0" memberValueDatatype="130" unbalanced="0"/>
    <cacheHierarchy uniqueName="[BI vw_Dynamics_FFAFDropshipwholesaleprice].[WholeSalePrice_FFAFdropship]" caption="WholeSalePrice_FFAFdropship" attribute="1" defaultMemberUniqueName="[BI vw_Dynamics_FFAFDropshipwholesaleprice].[WholeSalePrice_FFAFdropship].[All]" allUniqueName="[BI vw_Dynamics_FFAFDropshipwholesaleprice].[WholeSalePrice_FFAFdropship].[All]" dimensionUniqueName="[BI vw_Dynamics_FFAFDropshipwholesaleprice]" displayFolder="" count="0" memberValueDatatype="5" unbalanced="0"/>
    <cacheHierarchy uniqueName="[BI vw_DynamicsDeliveredSales].[AU-AU]" caption="AU-AU" attribute="1" defaultMemberUniqueName="[BI vw_DynamicsDeliveredSales].[AU-AU].[All]" allUniqueName="[BI vw_DynamicsDeliveredSales].[AU-AU].[All]" dimensionUniqueName="[BI vw_DynamicsDeliveredSales]" displayFolder="" count="0" memberValueDatatype="5" unbalanced="0"/>
    <cacheHierarchy uniqueName="[BI vw_DynamicsDeliveredSales].[AU-NZ]" caption="AU-NZ" attribute="1" defaultMemberUniqueName="[BI vw_DynamicsDeliveredSales].[AU-NZ].[All]" allUniqueName="[BI vw_DynamicsDeliveredSales].[AU-NZ].[All]" dimensionUniqueName="[BI vw_DynamicsDeliveredSales]" displayFolder="" count="0" memberValueDatatype="5" unbalanced="0"/>
    <cacheHierarchy uniqueName="[BI vw_DynamicsDeliveredSales].[BI vw_Dynamics_FFAFDropshipwholesaleprice.WholeSalePrice_FFAFdropship]" caption="BI vw_Dynamics_FFAFDropshipwholesaleprice.WholeSalePrice_FFAFdropship" attribute="1" defaultMemberUniqueName="[BI vw_DynamicsDeliveredSales].[BI vw_Dynamics_FFAFDropshipwholesaleprice.WholeSalePrice_FFAFdropship].[All]" allUniqueName="[BI vw_DynamicsDeliveredSales].[BI vw_Dynamics_FFAFDropshipwholesaleprice.WholeSalePrice_FFAFdropship].[All]" dimensionUniqueName="[BI vw_DynamicsDeliveredSales]" displayFolder="" count="0" memberValueDatatype="5" unbalanced="0"/>
    <cacheHierarchy uniqueName="[BI vw_DynamicsDeliveredSales].[BranchType]" caption="BranchType" attribute="1" defaultMemberUniqueName="[BI vw_DynamicsDeliveredSales].[BranchType].[All]" allUniqueName="[BI vw_DynamicsDeliveredSales].[BranchType].[All]" dimensionUniqueName="[BI vw_DynamicsDeliveredSales]" displayFolder="" count="0" memberValueDatatype="130" unbalanced="0"/>
    <cacheHierarchy uniqueName="[BI vw_DynamicsDeliveredSales].[Budget_Key]" caption="Budget_Key" attribute="1" defaultMemberUniqueName="[BI vw_DynamicsDeliveredSales].[Budget_Key].[All]" allUniqueName="[BI vw_DynamicsDeliveredSales].[Budget_Key].[All]" dimensionUniqueName="[BI vw_DynamicsDeliveredSales]" displayFolder="" count="0" memberValueDatatype="130" unbalanced="0"/>
    <cacheHierarchy uniqueName="[BI vw_DynamicsDeliveredSales].[CHANNEL]" caption="CHANNEL" attribute="1" defaultMemberUniqueName="[BI vw_DynamicsDeliveredSales].[CHANNEL].[All]" allUniqueName="[BI vw_DynamicsDeliveredSales].[CHANNEL].[All]" dimensionUniqueName="[BI vw_DynamicsDeliveredSales]" displayFolder="" count="2" memberValueDatatype="130" unbalanced="0">
      <fieldsUsage count="2">
        <fieldUsage x="-1"/>
        <fieldUsage x="2"/>
      </fieldsUsage>
    </cacheHierarchy>
    <cacheHierarchy uniqueName="[BI vw_DynamicsDeliveredSales].[ClassDesc]" caption="ClassDesc" attribute="1" defaultMemberUniqueName="[BI vw_DynamicsDeliveredSales].[ClassDesc].[All]" allUniqueName="[BI vw_DynamicsDeliveredSales].[ClassDesc].[All]" dimensionUniqueName="[BI vw_DynamicsDeliveredSales]" displayFolder="" count="0" memberValueDatatype="130" unbalanced="0"/>
    <cacheHierarchy uniqueName="[BI vw_DynamicsDeliveredSales].[COMPANY]" caption="COMPANY" attribute="1" defaultMemberUniqueName="[BI vw_DynamicsDeliveredSales].[COMPANY].[All]" allUniqueName="[BI vw_DynamicsDeliveredSales].[COMPANY].[All]" dimensionUniqueName="[BI vw_DynamicsDeliveredSales]" displayFolder="" count="0" memberValueDatatype="130" unbalanced="0"/>
    <cacheHierarchy uniqueName="[BI vw_DynamicsDeliveredSales].[CONTRIBUTIONMARGIN]" caption="CONTRIBUTIONMARGIN" attribute="1" defaultMemberUniqueName="[BI vw_DynamicsDeliveredSales].[CONTRIBUTIONMARGIN].[All]" allUniqueName="[BI vw_DynamicsDeliveredSales].[CONTRIBUTIONMARGIN].[All]" dimensionUniqueName="[BI vw_DynamicsDeliveredSales]" displayFolder="" count="0" memberValueDatatype="5" unbalanced="0"/>
    <cacheHierarchy uniqueName="[BI vw_DynamicsDeliveredSales].[CONTRIBUTIONMARGININVOICED]" caption="CONTRIBUTIONMARGININVOICED" attribute="1" defaultMemberUniqueName="[BI vw_DynamicsDeliveredSales].[CONTRIBUTIONMARGININVOICED].[All]" allUniqueName="[BI vw_DynamicsDeliveredSales].[CONTRIBUTIONMARGININVOICED].[All]" dimensionUniqueName="[BI vw_DynamicsDeliveredSales]" displayFolder="" count="0" memberValueDatatype="5" unbalanced="0"/>
    <cacheHierarchy uniqueName="[BI vw_DynamicsDeliveredSales].[COSTAMOUNTSTD]" caption="COSTAMOUNTSTD" attribute="1" defaultMemberUniqueName="[BI vw_DynamicsDeliveredSales].[COSTAMOUNTSTD].[All]" allUniqueName="[BI vw_DynamicsDeliveredSales].[COSTAMOUNTSTD].[All]" dimensionUniqueName="[BI vw_DynamicsDeliveredSales]" displayFolder="" count="0" memberValueDatatype="5" unbalanced="0"/>
    <cacheHierarchy uniqueName="[BI vw_DynamicsDeliveredSales].[COSTAMOUNTSTDADJUSTMENT]" caption="COSTAMOUNTSTDADJUSTMENT" attribute="1" defaultMemberUniqueName="[BI vw_DynamicsDeliveredSales].[COSTAMOUNTSTDADJUSTMENT].[All]" allUniqueName="[BI vw_DynamicsDeliveredSales].[COSTAMOUNTSTDADJUSTMENT].[All]" dimensionUniqueName="[BI vw_DynamicsDeliveredSales]" displayFolder="" count="0" memberValueDatatype="5" unbalanced="0"/>
    <cacheHierarchy uniqueName="[BI vw_DynamicsDeliveredSales].[COSTINVOICEDCOST]" caption="COSTINVOICEDCOST" attribute="1" defaultMemberUniqueName="[BI vw_DynamicsDeliveredSales].[COSTINVOICEDCOST].[All]" allUniqueName="[BI vw_DynamicsDeliveredSales].[COSTINVOICEDCOST].[All]" dimensionUniqueName="[BI vw_DynamicsDeliveredSales]" displayFolder="" count="0" memberValueDatatype="5" unbalanced="0"/>
    <cacheHierarchy uniqueName="[BI vw_DynamicsDeliveredSales].[Country]" caption="Country" attribute="1" defaultMemberUniqueName="[BI vw_DynamicsDeliveredSales].[Country].[All]" allUniqueName="[BI vw_DynamicsDeliveredSales].[Country].[All]" dimensionUniqueName="[BI vw_DynamicsDeliveredSales]" displayFolder="" count="0" memberValueDatatype="130" unbalanced="0"/>
    <cacheHierarchy uniqueName="[BI vw_DynamicsDeliveredSales].[CUSTACCOUNT]" caption="CUSTACCOUNT" attribute="1" defaultMemberUniqueName="[BI vw_DynamicsDeliveredSales].[CUSTACCOUNT].[All]" allUniqueName="[BI vw_DynamicsDeliveredSales].[CUSTACCOUNT].[All]" dimensionUniqueName="[BI vw_DynamicsDeliveredSales]" displayFolder="" count="0" memberValueDatatype="130" unbalanced="0"/>
    <cacheHierarchy uniqueName="[BI vw_DynamicsDeliveredSales].[CUSTACCOUNT - Copy]" caption="CUSTACCOUNT - Copy" attribute="1" defaultMemberUniqueName="[BI vw_DynamicsDeliveredSales].[CUSTACCOUNT - Copy].[All]" allUniqueName="[BI vw_DynamicsDeliveredSales].[CUSTACCOUNT - Copy].[All]" dimensionUniqueName="[BI vw_DynamicsDeliveredSales]" displayFolder="" count="0" memberValueDatatype="130" unbalanced="0"/>
    <cacheHierarchy uniqueName="[BI vw_DynamicsDeliveredSales].[CUSTOMERNAME]" caption="CUSTOMERNAME" attribute="1" defaultMemberUniqueName="[BI vw_DynamicsDeliveredSales].[CUSTOMERNAME].[All]" allUniqueName="[BI vw_DynamicsDeliveredSales].[CUSTOMERNAME].[All]" dimensionUniqueName="[BI vw_DynamicsDeliveredSales]" displayFolder="" count="0" memberValueDatatype="130" unbalanced="0"/>
    <cacheHierarchy uniqueName="[BI vw_DynamicsDeliveredSales].[CUSTOMERSORDERREFERENCE]" caption="CUSTOMERSORDERREFERENCE" attribute="1" defaultMemberUniqueName="[BI vw_DynamicsDeliveredSales].[CUSTOMERSORDERREFERENCE].[All]" allUniqueName="[BI vw_DynamicsDeliveredSales].[CUSTOMERSORDERREFERENCE].[All]" dimensionUniqueName="[BI vw_DynamicsDeliveredSales]" displayFolder="" count="0" memberValueDatatype="130" unbalanced="0"/>
    <cacheHierarchy uniqueName="[BI vw_DynamicsDeliveredSales].[DATAAREAID]" caption="DATAAREAID" attribute="1" defaultMemberUniqueName="[BI vw_DynamicsDeliveredSales].[DATAAREAID].[All]" allUniqueName="[BI vw_DynamicsDeliveredSales].[DATAAREAID].[All]" dimensionUniqueName="[BI vw_DynamicsDeliveredSales]" displayFolder="" count="0" memberValueDatatype="130" unbalanced="0"/>
    <cacheHierarchy uniqueName="[BI vw_DynamicsDeliveredSales].[DC Name]" caption="DC Name" attribute="1" defaultMemberUniqueName="[BI vw_DynamicsDeliveredSales].[DC Name].[All]" allUniqueName="[BI vw_DynamicsDeliveredSales].[DC Name].[All]" dimensionUniqueName="[BI vw_DynamicsDeliveredSales]" displayFolder="" count="0" memberValueDatatype="130" unbalanced="0"/>
    <cacheHierarchy uniqueName="[BI vw_DynamicsDeliveredSales].[DC SO Name]" caption="DC SO Name" attribute="1" defaultMemberUniqueName="[BI vw_DynamicsDeliveredSales].[DC SO Name].[All]" allUniqueName="[BI vw_DynamicsDeliveredSales].[DC SO Name].[All]" dimensionUniqueName="[BI vw_DynamicsDeliveredSales]" displayFolder="" count="0" memberValueDatatype="20" unbalanced="0"/>
    <cacheHierarchy uniqueName="[BI vw_DynamicsDeliveredSales].[DEFAULTLEDGERDIMENSIONDISPLAYVALUE]" caption="DEFAULTLEDGERDIMENSIONDISPLAYVALUE" attribute="1" defaultMemberUniqueName="[BI vw_DynamicsDeliveredSales].[DEFAULTLEDGERDIMENSIONDISPLAYVALUE].[All]" allUniqueName="[BI vw_DynamicsDeliveredSales].[DEFAULTLEDGERDIMENSIONDISPLAYVALUE].[All]" dimensionUniqueName="[BI vw_DynamicsDeliveredSales]" displayFolder="" count="0" memberValueDatatype="130" unbalanced="0"/>
    <cacheHierarchy uniqueName="[BI vw_DynamicsDeliveredSales].[DEFAULTSHIPPINGWAREHOUSEID]" caption="DEFAULTSHIPPINGWAREHOUSEID" attribute="1" defaultMemberUniqueName="[BI vw_DynamicsDeliveredSales].[DEFAULTSHIPPINGWAREHOUSEID].[All]" allUniqueName="[BI vw_DynamicsDeliveredSales].[DEFAULTSHIPPINGWAREHOUSEID].[All]" dimensionUniqueName="[BI vw_DynamicsDeliveredSales]" displayFolder="" count="0" memberValueDatatype="130" unbalanced="0"/>
    <cacheHierarchy uniqueName="[BI vw_DynamicsDeliveredSales].[DELIVERYMODECODE]" caption="DELIVERYMODECODE" attribute="1" defaultMemberUniqueName="[BI vw_DynamicsDeliveredSales].[DELIVERYMODECODE].[All]" allUniqueName="[BI vw_DynamicsDeliveredSales].[DELIVERYMODECODE].[All]" dimensionUniqueName="[BI vw_DynamicsDeliveredSales]" displayFolder="" count="0" memberValueDatatype="130" unbalanced="0"/>
    <cacheHierarchy uniqueName="[BI vw_DynamicsDeliveredSales].[Department]" caption="Department" attribute="1" defaultMemberUniqueName="[BI vw_DynamicsDeliveredSales].[Department].[All]" allUniqueName="[BI vw_DynamicsDeliveredSales].[Department].[All]" dimensionUniqueName="[BI vw_DynamicsDeliveredSales]" displayFolder="" count="0" memberValueDatatype="5" unbalanced="0"/>
    <cacheHierarchy uniqueName="[BI vw_DynamicsDeliveredSales].[DepartmentDesc]" caption="DepartmentDesc" attribute="1" defaultMemberUniqueName="[BI vw_DynamicsDeliveredSales].[DepartmentDesc].[All]" allUniqueName="[BI vw_DynamicsDeliveredSales].[DepartmentDesc].[All]" dimensionUniqueName="[BI vw_DynamicsDeliveredSales]" displayFolder="" count="0" memberValueDatatype="130" unbalanced="0"/>
    <cacheHierarchy uniqueName="[BI vw_DynamicsDeliveredSales].[DISCINVOICEDDISC]" caption="DISCINVOICEDDISC" attribute="1" defaultMemberUniqueName="[BI vw_DynamicsDeliveredSales].[DISCINVOICEDDISC].[All]" allUniqueName="[BI vw_DynamicsDeliveredSales].[DISCINVOICEDDISC].[All]" dimensionUniqueName="[BI vw_DynamicsDeliveredSales]" displayFolder="" count="0" memberValueDatatype="5" unbalanced="0"/>
    <cacheHierarchy uniqueName="[BI vw_DynamicsDeliveredSales].[Division]" caption="Division" attribute="1" defaultMemberUniqueName="[BI vw_DynamicsDeliveredSales].[Division].[All]" allUniqueName="[BI vw_DynamicsDeliveredSales].[Division].[All]" dimensionUniqueName="[BI vw_DynamicsDeliveredSales]" displayFolder="" count="2" memberValueDatatype="130" unbalanced="0">
      <fieldsUsage count="2">
        <fieldUsage x="-1"/>
        <fieldUsage x="6"/>
      </fieldsUsage>
    </cacheHierarchy>
    <cacheHierarchy uniqueName="[BI vw_DynamicsDeliveredSales].[Dropship]" caption="Dropship" attribute="1" defaultMemberUniqueName="[BI vw_DynamicsDeliveredSales].[Dropship].[All]" allUniqueName="[BI vw_DynamicsDeliveredSales].[Dropship].[All]" dimensionUniqueName="[BI vw_DynamicsDeliveredSales]" displayFolder="" count="0" memberValueDatatype="130" unbalanced="0"/>
    <cacheHierarchy uniqueName="[BI vw_DynamicsDeliveredSales].[DXC_BASEITEMNUMBER]" caption="DXC_BASEITEMNUMBER" attribute="1" defaultMemberUniqueName="[BI vw_DynamicsDeliveredSales].[DXC_BASEITEMNUMBER].[All]" allUniqueName="[BI vw_DynamicsDeliveredSales].[DXC_BASEITEMNUMBER].[All]" dimensionUniqueName="[BI vw_DynamicsDeliveredSales]" displayFolder="" count="0" memberValueDatatype="130" unbalanced="0"/>
    <cacheHierarchy uniqueName="[BI vw_DynamicsDeliveredSales].[dxc_EXTERNALCREATEDDATE]" caption="dxc_EXTERNALCREATEDDATE" attribute="1" time="1" defaultMemberUniqueName="[BI vw_DynamicsDeliveredSales].[dxc_EXTERNALCREATEDDATE].[All]" allUniqueName="[BI vw_DynamicsDeliveredSales].[dxc_EXTERNALCREATEDDATE].[All]" dimensionUniqueName="[BI vw_DynamicsDeliveredSales]" displayFolder="" count="0" memberValueDatatype="7" unbalanced="0"/>
    <cacheHierarchy uniqueName="[BI vw_DynamicsDeliveredSales].[DXC_EXTERNALITEMNUMBER]" caption="DXC_EXTERNALITEMNUMBER" attribute="1" defaultMemberUniqueName="[BI vw_DynamicsDeliveredSales].[DXC_EXTERNALITEMNUMBER].[All]" allUniqueName="[BI vw_DynamicsDeliveredSales].[DXC_EXTERNALITEMNUMBER].[All]" dimensionUniqueName="[BI vw_DynamicsDeliveredSales]" displayFolder="" count="0" memberValueDatatype="130" unbalanced="0"/>
    <cacheHierarchy uniqueName="[BI vw_DynamicsDeliveredSales].[DXC_SALESPERSONID]" caption="DXC_SALESPERSONID" attribute="1" defaultMemberUniqueName="[BI vw_DynamicsDeliveredSales].[DXC_SALESPERSONID].[All]" allUniqueName="[BI vw_DynamicsDeliveredSales].[DXC_SALESPERSONID].[All]" dimensionUniqueName="[BI vw_DynamicsDeliveredSales]" displayFolder="" count="0" memberValueDatatype="130" unbalanced="0"/>
    <cacheHierarchy uniqueName="[BI vw_DynamicsDeliveredSales].[FINALUPC]" caption="FINALUPC" attribute="1" defaultMemberUniqueName="[BI vw_DynamicsDeliveredSales].[FINALUPC].[All]" allUniqueName="[BI vw_DynamicsDeliveredSales].[FINALUPC].[All]" dimensionUniqueName="[BI vw_DynamicsDeliveredSales]" displayFolder="" count="0" memberValueDatatype="20" unbalanced="0"/>
    <cacheHierarchy uniqueName="[BI vw_DynamicsDeliveredSales].[FinPeriod]" caption="FinPeriod" attribute="1" defaultMemberUniqueName="[BI vw_DynamicsDeliveredSales].[FinPeriod].[All]" allUniqueName="[BI vw_DynamicsDeliveredSales].[FinPeriod].[All]" dimensionUniqueName="[BI vw_DynamicsDeliveredSales]" displayFolder="" count="0" memberValueDatatype="20" unbalanced="0"/>
    <cacheHierarchy uniqueName="[BI vw_DynamicsDeliveredSales].[FinPeriod Cal]" caption="FinPeriod Cal" attribute="1" defaultMemberUniqueName="[BI vw_DynamicsDeliveredSales].[FinPeriod Cal].[All]" allUniqueName="[BI vw_DynamicsDeliveredSales].[FinPeriod Cal].[All]" dimensionUniqueName="[BI vw_DynamicsDeliveredSales]" displayFolder="" count="0" memberValueDatatype="20" unbalanced="0"/>
    <cacheHierarchy uniqueName="[BI vw_DynamicsDeliveredSales].[FirstWeek-Month]" caption="FirstWeek-Month" attribute="1" defaultMemberUniqueName="[BI vw_DynamicsDeliveredSales].[FirstWeek-Month].[All]" allUniqueName="[BI vw_DynamicsDeliveredSales].[FirstWeek-Month].[All]" dimensionUniqueName="[BI vw_DynamicsDeliveredSales]" displayFolder="" count="0" memberValueDatatype="20" unbalanced="0"/>
    <cacheHierarchy uniqueName="[BI vw_DynamicsDeliveredSales].[FirstWeek-QTD]" caption="FirstWeek-QTD" attribute="1" defaultMemberUniqueName="[BI vw_DynamicsDeliveredSales].[FirstWeek-QTD].[All]" allUniqueName="[BI vw_DynamicsDeliveredSales].[FirstWeek-QTD].[All]" dimensionUniqueName="[BI vw_DynamicsDeliveredSales]" displayFolder="" count="0" memberValueDatatype="20" unbalanced="0"/>
    <cacheHierarchy uniqueName="[BI vw_DynamicsDeliveredSales].[FirstWeek-Year]" caption="FirstWeek-Year" attribute="1" defaultMemberUniqueName="[BI vw_DynamicsDeliveredSales].[FirstWeek-Year].[All]" allUniqueName="[BI vw_DynamicsDeliveredSales].[FirstWeek-Year].[All]" dimensionUniqueName="[BI vw_DynamicsDeliveredSales]" displayFolder="" count="0" memberValueDatatype="130" unbalanced="0"/>
    <cacheHierarchy uniqueName="[BI vw_DynamicsDeliveredSales].[GROSSINVOICEDGROSS]" caption="GROSSINVOICEDGROSS" attribute="1" defaultMemberUniqueName="[BI vw_DynamicsDeliveredSales].[GROSSINVOICEDGROSS].[All]" allUniqueName="[BI vw_DynamicsDeliveredSales].[GROSSINVOICEDGROSS].[All]" dimensionUniqueName="[BI vw_DynamicsDeliveredSales]" displayFolder="" count="0" memberValueDatatype="5" unbalanced="0"/>
    <cacheHierarchy uniqueName="[BI vw_DynamicsDeliveredSales].[INVENTTRANSID]" caption="INVENTTRANSID" attribute="1" defaultMemberUniqueName="[BI vw_DynamicsDeliveredSales].[INVENTTRANSID].[All]" allUniqueName="[BI vw_DynamicsDeliveredSales].[INVENTTRANSID].[All]" dimensionUniqueName="[BI vw_DynamicsDeliveredSales]" displayFolder="" count="0" memberValueDatatype="130" unbalanced="0"/>
    <cacheHierarchy uniqueName="[BI vw_DynamicsDeliveredSales].[INVOICEDATE]" caption="INVOICEDATE" attribute="1" time="1" defaultMemberUniqueName="[BI vw_DynamicsDeliveredSales].[INVOICEDATE].[All]" allUniqueName="[BI vw_DynamicsDeliveredSales].[INVOICEDATE].[All]" dimensionUniqueName="[BI vw_DynamicsDeliveredSales]" displayFolder="" count="0" memberValueDatatype="7" unbalanced="0"/>
    <cacheHierarchy uniqueName="[BI vw_DynamicsDeliveredSales].[INVOICEID]" caption="INVOICEID" attribute="1" defaultMemberUniqueName="[BI vw_DynamicsDeliveredSales].[INVOICEID].[All]" allUniqueName="[BI vw_DynamicsDeliveredSales].[INVOICEID].[All]" dimensionUniqueName="[BI vw_DynamicsDeliveredSales]" displayFolder="" count="0" memberValueDatatype="130" unbalanced="0"/>
    <cacheHierarchy uniqueName="[BI vw_DynamicsDeliveredSales].[ISSELECTED]" caption="ISSELECTED" attribute="1" defaultMemberUniqueName="[BI vw_DynamicsDeliveredSales].[ISSELECTED].[All]" allUniqueName="[BI vw_DynamicsDeliveredSales].[ISSELECTED].[All]" dimensionUniqueName="[BI vw_DynamicsDeliveredSales]" displayFolder="" count="0" memberValueDatatype="20" unbalanced="0"/>
    <cacheHierarchy uniqueName="[BI vw_DynamicsDeliveredSales].[ITEMID]" caption="ITEMID" attribute="1" defaultMemberUniqueName="[BI vw_DynamicsDeliveredSales].[ITEMID].[All]" allUniqueName="[BI vw_DynamicsDeliveredSales].[ITEMID].[All]" dimensionUniqueName="[BI vw_DynamicsDeliveredSales]" displayFolder="" count="0" memberValueDatatype="130" unbalanced="0"/>
    <cacheHierarchy uniqueName="[BI vw_DynamicsDeliveredSales].[ITEMNAME]" caption="ITEMNAME" attribute="1" defaultMemberUniqueName="[BI vw_DynamicsDeliveredSales].[ITEMNAME].[All]" allUniqueName="[BI vw_DynamicsDeliveredSales].[ITEMNAME].[All]" dimensionUniqueName="[BI vw_DynamicsDeliveredSales]" displayFolder="" count="0" memberValueDatatype="130" unbalanced="0"/>
    <cacheHierarchy uniqueName="[BI vw_DynamicsDeliveredSales].[ITEMTYPE]" caption="ITEMTYPE" attribute="1" defaultMemberUniqueName="[BI vw_DynamicsDeliveredSales].[ITEMTYPE].[All]" allUniqueName="[BI vw_DynamicsDeliveredSales].[ITEMTYPE].[All]" dimensionUniqueName="[BI vw_DynamicsDeliveredSales]" displayFolder="" count="0" memberValueDatatype="130" unbalanced="0"/>
    <cacheHierarchy uniqueName="[BI vw_DynamicsDeliveredSales].[LINECREATIONSEQUENCENUMBER]" caption="LINECREATIONSEQUENCENUMBER" attribute="1" defaultMemberUniqueName="[BI vw_DynamicsDeliveredSales].[LINECREATIONSEQUENCENUMBER].[All]" allUniqueName="[BI vw_DynamicsDeliveredSales].[LINECREATIONSEQUENCENUMBER].[All]" dimensionUniqueName="[BI vw_DynamicsDeliveredSales]" displayFolder="" count="0" memberValueDatatype="20" unbalanced="0"/>
    <cacheHierarchy uniqueName="[BI vw_DynamicsDeliveredSales].[LINEDISC]" caption="LINEDISC" attribute="1" defaultMemberUniqueName="[BI vw_DynamicsDeliveredSales].[LINEDISC].[All]" allUniqueName="[BI vw_DynamicsDeliveredSales].[LINEDISC].[All]" dimensionUniqueName="[BI vw_DynamicsDeliveredSales]" displayFolder="" count="0" memberValueDatatype="5" unbalanced="0"/>
    <cacheHierarchy uniqueName="[BI vw_DynamicsDeliveredSales].[LINENUM]" caption="LINENUM" attribute="1" defaultMemberUniqueName="[BI vw_DynamicsDeliveredSales].[LINENUM].[All]" allUniqueName="[BI vw_DynamicsDeliveredSales].[LINENUM].[All]" dimensionUniqueName="[BI vw_DynamicsDeliveredSales]" displayFolder="" count="0" memberValueDatatype="20" unbalanced="0"/>
    <cacheHierarchy uniqueName="[BI vw_DynamicsDeliveredSales].[MarkdownAmounts.1]" caption="MarkdownAmounts.1" attribute="1" defaultMemberUniqueName="[BI vw_DynamicsDeliveredSales].[MarkdownAmounts.1].[All]" allUniqueName="[BI vw_DynamicsDeliveredSales].[MarkdownAmounts.1].[All]" dimensionUniqueName="[BI vw_DynamicsDeliveredSales]" displayFolder="" count="0" memberValueDatatype="5" unbalanced="0"/>
    <cacheHierarchy uniqueName="[BI vw_DynamicsDeliveredSales].[MarkdownAmounts.2]" caption="MarkdownAmounts.2" attribute="1" defaultMemberUniqueName="[BI vw_DynamicsDeliveredSales].[MarkdownAmounts.2].[All]" allUniqueName="[BI vw_DynamicsDeliveredSales].[MarkdownAmounts.2].[All]" dimensionUniqueName="[BI vw_DynamicsDeliveredSales]" displayFolder="" count="0" memberValueDatatype="5" unbalanced="0"/>
    <cacheHierarchy uniqueName="[BI vw_DynamicsDeliveredSales].[MarkdownCategory.1]" caption="MarkdownCategory.1" attribute="1" defaultMemberUniqueName="[BI vw_DynamicsDeliveredSales].[MarkdownCategory.1].[All]" allUniqueName="[BI vw_DynamicsDeliveredSales].[MarkdownCategory.1].[All]" dimensionUniqueName="[BI vw_DynamicsDeliveredSales]" displayFolder="" count="0" memberValueDatatype="130" unbalanced="0"/>
    <cacheHierarchy uniqueName="[BI vw_DynamicsDeliveredSales].[MarkdownCategory.2]" caption="MarkdownCategory.2" attribute="1" defaultMemberUniqueName="[BI vw_DynamicsDeliveredSales].[MarkdownCategory.2].[All]" allUniqueName="[BI vw_DynamicsDeliveredSales].[MarkdownCategory.2].[All]" dimensionUniqueName="[BI vw_DynamicsDeliveredSales]" displayFolder="" count="0" memberValueDatatype="130" unbalanced="0"/>
    <cacheHierarchy uniqueName="[BI vw_DynamicsDeliveredSales].[MarkdownCodes.1]" caption="MarkdownCodes.1" attribute="1" defaultMemberUniqueName="[BI vw_DynamicsDeliveredSales].[MarkdownCodes.1].[All]" allUniqueName="[BI vw_DynamicsDeliveredSales].[MarkdownCodes.1].[All]" dimensionUniqueName="[BI vw_DynamicsDeliveredSales]" displayFolder="" count="0" memberValueDatatype="130" unbalanced="0"/>
    <cacheHierarchy uniqueName="[BI vw_DynamicsDeliveredSales].[MarkdownCodes.2]" caption="MarkdownCodes.2" attribute="1" defaultMemberUniqueName="[BI vw_DynamicsDeliveredSales].[MarkdownCodes.2].[All]" allUniqueName="[BI vw_DynamicsDeliveredSales].[MarkdownCodes.2].[All]" dimensionUniqueName="[BI vw_DynamicsDeliveredSales]" displayFolder="" count="0" memberValueDatatype="130" unbalanced="0"/>
    <cacheHierarchy uniqueName="[BI vw_DynamicsDeliveredSales].[Merged]" caption="Merged" attribute="1" defaultMemberUniqueName="[BI vw_DynamicsDeliveredSales].[Merged].[All]" allUniqueName="[BI vw_DynamicsDeliveredSales].[Merged].[All]" dimensionUniqueName="[BI vw_DynamicsDeliveredSales]" displayFolder="" count="0" memberValueDatatype="130" unbalanced="0"/>
    <cacheHierarchy uniqueName="[BI vw_DynamicsDeliveredSales].[NETINVOICEDNET]" caption="NETINVOICEDNET" attribute="1" defaultMemberUniqueName="[BI vw_DynamicsDeliveredSales].[NETINVOICEDNET].[All]" allUniqueName="[BI vw_DynamicsDeliveredSales].[NETINVOICEDNET].[All]" dimensionUniqueName="[BI vw_DynamicsDeliveredSales]" displayFolder="" count="0" memberValueDatatype="5" unbalanced="0"/>
    <cacheHierarchy uniqueName="[BI vw_DynamicsDeliveredSales].[NETSALESNET]" caption="NETSALESNET" attribute="1" defaultMemberUniqueName="[BI vw_DynamicsDeliveredSales].[NETSALESNET].[All]" allUniqueName="[BI vw_DynamicsDeliveredSales].[NETSALESNET].[All]" dimensionUniqueName="[BI vw_DynamicsDeliveredSales]" displayFolder="" count="0" memberValueDatatype="5" unbalanced="0"/>
    <cacheHierarchy uniqueName="[BI vw_DynamicsDeliveredSales].[NZ-NZ]" caption="NZ-NZ" attribute="1" defaultMemberUniqueName="[BI vw_DynamicsDeliveredSales].[NZ-NZ].[All]" allUniqueName="[BI vw_DynamicsDeliveredSales].[NZ-NZ].[All]" dimensionUniqueName="[BI vw_DynamicsDeliveredSales]" displayFolder="" count="0" memberValueDatatype="5" unbalanced="0"/>
    <cacheHierarchy uniqueName="[BI vw_DynamicsDeliveredSales].[ORDERCREATIONDATETIME]" caption="ORDERCREATIONDATETIME" attribute="1" time="1" defaultMemberUniqueName="[BI vw_DynamicsDeliveredSales].[ORDERCREATIONDATETIME].[All]" allUniqueName="[BI vw_DynamicsDeliveredSales].[ORDERCREATIONDATETIME].[All]" dimensionUniqueName="[BI vw_DynamicsDeliveredSales]" displayFolder="" count="0" memberValueDatatype="7" unbalanced="0"/>
    <cacheHierarchy uniqueName="[BI vw_DynamicsDeliveredSales].[PARTITION]" caption="PARTITION" attribute="1" defaultMemberUniqueName="[BI vw_DynamicsDeliveredSales].[PARTITION].[All]" allUniqueName="[BI vw_DynamicsDeliveredSales].[PARTITION].[All]" dimensionUniqueName="[BI vw_DynamicsDeliveredSales]" displayFolder="" count="0" memberValueDatatype="130" unbalanced="0"/>
    <cacheHierarchy uniqueName="[BI vw_DynamicsDeliveredSales].[PRODUCTTYPE]" caption="PRODUCTTYPE" attribute="1" defaultMemberUniqueName="[BI vw_DynamicsDeliveredSales].[PRODUCTTYPE].[All]" allUniqueName="[BI vw_DynamicsDeliveredSales].[PRODUCTTYPE].[All]" dimensionUniqueName="[BI vw_DynamicsDeliveredSales]" displayFolder="" count="0" memberValueDatatype="20" unbalanced="0"/>
    <cacheHierarchy uniqueName="[BI vw_DynamicsDeliveredSales].[QTY]" caption="QTY" attribute="1" defaultMemberUniqueName="[BI vw_DynamicsDeliveredSales].[QTY].[All]" allUniqueName="[BI vw_DynamicsDeliveredSales].[QTY].[All]" dimensionUniqueName="[BI vw_DynamicsDeliveredSales]" displayFolder="" count="0" memberValueDatatype="5" unbalanced="0"/>
    <cacheHierarchy uniqueName="[BI vw_DynamicsDeliveredSales].[Range]" caption="Range" attribute="1" defaultMemberUniqueName="[BI vw_DynamicsDeliveredSales].[Range].[All]" allUniqueName="[BI vw_DynamicsDeliveredSales].[Range].[All]" dimensionUniqueName="[BI vw_DynamicsDeliveredSales]" displayFolder="" count="0" memberValueDatatype="130" unbalanced="0"/>
    <cacheHierarchy uniqueName="[BI vw_DynamicsDeliveredSales].[RECID]" caption="RECID" attribute="1" defaultMemberUniqueName="[BI vw_DynamicsDeliveredSales].[RECID].[All]" allUniqueName="[BI vw_DynamicsDeliveredSales].[RECID].[All]" dimensionUniqueName="[BI vw_DynamicsDeliveredSales]" displayFolder="" count="0" memberValueDatatype="20" unbalanced="0"/>
    <cacheHierarchy uniqueName="[BI vw_DynamicsDeliveredSales].[Retail/Not]" caption="Retail/Not" attribute="1" defaultMemberUniqueName="[BI vw_DynamicsDeliveredSales].[Retail/Not].[All]" allUniqueName="[BI vw_DynamicsDeliveredSales].[Retail/Not].[All]" dimensionUniqueName="[BI vw_DynamicsDeliveredSales]" displayFolder="" count="0" memberValueDatatype="130" unbalanced="0"/>
    <cacheHierarchy uniqueName="[BI vw_DynamicsDeliveredSales].[SaleOrderLineNumber]" caption="SaleOrderLineNumber" attribute="1" defaultMemberUniqueName="[BI vw_DynamicsDeliveredSales].[SaleOrderLineNumber].[All]" allUniqueName="[BI vw_DynamicsDeliveredSales].[SaleOrderLineNumber].[All]" dimensionUniqueName="[BI vw_DynamicsDeliveredSales]" displayFolder="" count="0" memberValueDatatype="20" unbalanced="0"/>
    <cacheHierarchy uniqueName="[BI vw_DynamicsDeliveredSales].[Sales Order Type]" caption="Sales Order Type" attribute="1" defaultMemberUniqueName="[BI vw_DynamicsDeliveredSales].[Sales Order Type].[All]" allUniqueName="[BI vw_DynamicsDeliveredSales].[Sales Order Type].[All]" dimensionUniqueName="[BI vw_DynamicsDeliveredSales]" displayFolder="" count="2" memberValueDatatype="130" unbalanced="0">
      <fieldsUsage count="2">
        <fieldUsage x="-1"/>
        <fieldUsage x="5"/>
      </fieldsUsage>
    </cacheHierarchy>
    <cacheHierarchy uniqueName="[BI vw_DynamicsDeliveredSales].[Sales Type]" caption="Sales Type" attribute="1" defaultMemberUniqueName="[BI vw_DynamicsDeliveredSales].[Sales Type].[All]" allUniqueName="[BI vw_DynamicsDeliveredSales].[Sales Type].[All]" dimensionUniqueName="[BI vw_DynamicsDeliveredSales]" displayFolder="" count="0" memberValueDatatype="130" unbalanced="0"/>
    <cacheHierarchy uniqueName="[BI vw_DynamicsDeliveredSales].[SALESID]" caption="SALESID" attribute="1" defaultMemberUniqueName="[BI vw_DynamicsDeliveredSales].[SALESID].[All]" allUniqueName="[BI vw_DynamicsDeliveredSales].[SALESID].[All]" dimensionUniqueName="[BI vw_DynamicsDeliveredSales]" displayFolder="" count="0" memberValueDatatype="130" unbalanced="0"/>
    <cacheHierarchy uniqueName="[BI vw_DynamicsDeliveredSales].[SALESORDERNUMBER]" caption="SALESORDERNUMBER" attribute="1" defaultMemberUniqueName="[BI vw_DynamicsDeliveredSales].[SALESORDERNUMBER].[All]" allUniqueName="[BI vw_DynamicsDeliveredSales].[SALESORDERNUMBER].[All]" dimensionUniqueName="[BI vw_DynamicsDeliveredSales]" displayFolder="" count="0" memberValueDatatype="130" unbalanced="0"/>
    <cacheHierarchy uniqueName="[BI vw_DynamicsDeliveredSales].[SALESPRICE]" caption="SALESPRICE" attribute="1" defaultMemberUniqueName="[BI vw_DynamicsDeliveredSales].[SALESPRICE].[All]" allUniqueName="[BI vw_DynamicsDeliveredSales].[SALESPRICE].[All]" dimensionUniqueName="[BI vw_DynamicsDeliveredSales]" displayFolder="" count="0" memberValueDatatype="5" unbalanced="0"/>
    <cacheHierarchy uniqueName="[BI vw_DynamicsDeliveredSales].[SHIPPINGWAREHOUSEID]" caption="SHIPPINGWAREHOUSEID" attribute="1" defaultMemberUniqueName="[BI vw_DynamicsDeliveredSales].[SHIPPINGWAREHOUSEID].[All]" allUniqueName="[BI vw_DynamicsDeliveredSales].[SHIPPINGWAREHOUSEID].[All]" dimensionUniqueName="[BI vw_DynamicsDeliveredSales]" displayFolder="" count="0" memberValueDatatype="130" unbalanced="0"/>
    <cacheHierarchy uniqueName="[BI vw_DynamicsDeliveredSales].[StoreCode]" caption="StoreCode" attribute="1" defaultMemberUniqueName="[BI vw_DynamicsDeliveredSales].[StoreCode].[All]" allUniqueName="[BI vw_DynamicsDeliveredSales].[StoreCode].[All]" dimensionUniqueName="[BI vw_DynamicsDeliveredSales]" displayFolder="" count="0" memberValueDatatype="130" unbalanced="0"/>
    <cacheHierarchy uniqueName="[BI vw_DynamicsDeliveredSales].[SubDepartmentDesc]" caption="SubDepartmentDesc" attribute="1" defaultMemberUniqueName="[BI vw_DynamicsDeliveredSales].[SubDepartmentDesc].[All]" allUniqueName="[BI vw_DynamicsDeliveredSales].[SubDepartmentDesc].[All]" dimensionUniqueName="[BI vw_DynamicsDeliveredSales]" displayFolder="" count="0" memberValueDatatype="130" unbalanced="0"/>
    <cacheHierarchy uniqueName="[BI vw_DynamicsDeliveredSales].[TAXAMOUNT]" caption="TAXAMOUNT" attribute="1" defaultMemberUniqueName="[BI vw_DynamicsDeliveredSales].[TAXAMOUNT].[All]" allUniqueName="[BI vw_DynamicsDeliveredSales].[TAXAMOUNT].[All]" dimensionUniqueName="[BI vw_DynamicsDeliveredSales]" displayFolder="" count="0" memberValueDatatype="5" unbalanced="0"/>
    <cacheHierarchy uniqueName="[BI vw_DynamicsDeliveredSales].[TAXGROUP]" caption="TAXGROUP" attribute="1" defaultMemberUniqueName="[BI vw_DynamicsDeliveredSales].[TAXGROUP].[All]" allUniqueName="[BI vw_DynamicsDeliveredSales].[TAXGROUP].[All]" dimensionUniqueName="[BI vw_DynamicsDeliveredSales]" displayFolder="" count="0" memberValueDatatype="130" unbalanced="0"/>
    <cacheHierarchy uniqueName="[BI vw_DynamicsDeliveredSales].[Total Cost Final]" caption="Total Cost Final" attribute="1" defaultMemberUniqueName="[BI vw_DynamicsDeliveredSales].[Total Cost Final].[All]" allUniqueName="[BI vw_DynamicsDeliveredSales].[Total Cost Final].[All]" dimensionUniqueName="[BI vw_DynamicsDeliveredSales]" displayFolder="" count="0" memberValueDatatype="130" unbalanced="0"/>
    <cacheHierarchy uniqueName="[BI vw_DynamicsDeliveredSales].[TRANSFERSTATUS]" caption="TRANSFERSTATUS" attribute="1" defaultMemberUniqueName="[BI vw_DynamicsDeliveredSales].[TRANSFERSTATUS].[All]" allUniqueName="[BI vw_DynamicsDeliveredSales].[TRANSFERSTATUS].[All]" dimensionUniqueName="[BI vw_DynamicsDeliveredSales]" displayFolder="" count="0" memberValueDatatype="20" unbalanced="0"/>
    <cacheHierarchy uniqueName="[BI vw_DynamicsDeliveredSales].[WAREHOUSE]" caption="WAREHOUSE" attribute="1" defaultMemberUniqueName="[BI vw_DynamicsDeliveredSales].[WAREHOUSE].[All]" allUniqueName="[BI vw_DynamicsDeliveredSales].[WAREHOUSE].[All]" dimensionUniqueName="[BI vw_DynamicsDeliveredSales]" displayFolder="" count="0" memberValueDatatype="130" unbalanced="0"/>
    <cacheHierarchy uniqueName="[BI vw_DynamicsDeliveredSales].[Week]" caption="Week" attribute="1" defaultMemberUniqueName="[BI vw_DynamicsDeliveredSales].[Week].[All]" allUniqueName="[BI vw_DynamicsDeliveredSales].[Week].[All]" dimensionUniqueName="[BI vw_DynamicsDeliveredSales]" displayFolder="" count="0" memberValueDatatype="20" unbalanced="0"/>
    <cacheHierarchy uniqueName="[BI vw_DynamicsDeliveredSales].[Year Month]" caption="Year Month" attribute="1" defaultMemberUniqueName="[BI vw_DynamicsDeliveredSales].[Year Month].[All]" allUniqueName="[BI vw_DynamicsDeliveredSales].[Year Month].[All]" dimensionUniqueName="[BI vw_DynamicsDeliveredSales]" displayFolder="" count="0" memberValueDatatype="20" unbalanced="0"/>
    <cacheHierarchy uniqueName="[BI vw_FinCalendar].[Date]" caption="Date" attribute="1" time="1" defaultMemberUniqueName="[BI vw_FinCalendar].[Date].[All]" allUniqueName="[BI vw_FinCalendar].[Date].[All]" dimensionUniqueName="[BI vw_FinCalendar]" displayFolder="" count="0" memberValueDatatype="7" unbalanced="0"/>
    <cacheHierarchy uniqueName="[BI vw_FinCalendar].[Day_Of_Week]" caption="Day_Of_Week" attribute="1" defaultMemberUniqueName="[BI vw_FinCalendar].[Day_Of_Week].[All]" allUniqueName="[BI vw_FinCalendar].[Day_Of_Week].[All]" dimensionUniqueName="[BI vw_FinCalendar]" displayFolder="" count="0" memberValueDatatype="130" unbalanced="0"/>
    <cacheHierarchy uniqueName="[BI vw_FinCalendar].[Day_Of_Week_Sort]" caption="Day_Of_Week_Sort" attribute="1" defaultMemberUniqueName="[BI vw_FinCalendar].[Day_Of_Week_Sort].[All]" allUniqueName="[BI vw_FinCalendar].[Day_Of_Week_Sort].[All]" dimensionUniqueName="[BI vw_FinCalendar]" displayFolder="" count="0" memberValueDatatype="130" unbalanced="0"/>
    <cacheHierarchy uniqueName="[BI vw_FinCalendar].[Fin_Period]" caption="Fin_Period" attribute="1" defaultMemberUniqueName="[BI vw_FinCalendar].[Fin_Period].[All]" allUniqueName="[BI vw_FinCalendar].[Fin_Period].[All]" dimensionUniqueName="[BI vw_FinCalendar]" displayFolder="" count="0" memberValueDatatype="20" unbalanced="0"/>
    <cacheHierarchy uniqueName="[BI vw_FinCalendar].[Fin_Week]" caption="Fin_Week" attribute="1" defaultMemberUniqueName="[BI vw_FinCalendar].[Fin_Week].[All]" allUniqueName="[BI vw_FinCalendar].[Fin_Week].[All]" dimensionUniqueName="[BI vw_FinCalendar]" displayFolder="" count="0" memberValueDatatype="20" unbalanced="0"/>
    <cacheHierarchy uniqueName="[BI vw_FinCalendar].[Fin_Year]" caption="Fin_Year" attribute="1" defaultMemberUniqueName="[BI vw_FinCalendar].[Fin_Year].[All]" allUniqueName="[BI vw_FinCalendar].[Fin_Year].[All]" dimensionUniqueName="[BI vw_FinCalendar]" displayFolder="" count="0" memberValueDatatype="20" unbalanced="0"/>
    <cacheHierarchy uniqueName="[BI vw_FinCalendar].[Fiscal Month]" caption="Fiscal Month" attribute="1" defaultMemberUniqueName="[BI vw_FinCalendar].[Fiscal Month].[All]" allUniqueName="[BI vw_FinCalendar].[Fiscal Month].[All]" dimensionUniqueName="[BI vw_FinCalendar]" displayFolder="" count="0" memberValueDatatype="130" unbalanced="0"/>
    <cacheHierarchy uniqueName="[BI vw_FinCalendar].[FY]" caption="FY" attribute="1" defaultMemberUniqueName="[BI vw_FinCalendar].[FY].[All]" allUniqueName="[BI vw_FinCalendar].[FY].[All]" dimensionUniqueName="[BI vw_FinCalendar]" displayFolder="" count="0" memberValueDatatype="130" unbalanced="0"/>
    <cacheHierarchy uniqueName="[BI vw_FinCalendar].[Is_Last_Week]" caption="Is_Last_Week" attribute="1" defaultMemberUniqueName="[BI vw_FinCalendar].[Is_Last_Week].[All]" allUniqueName="[BI vw_FinCalendar].[Is_Last_Week].[All]" dimensionUniqueName="[BI vw_FinCalendar]" displayFolder="" count="0" memberValueDatatype="20" unbalanced="0"/>
    <cacheHierarchy uniqueName="[BI vw_FinCalendar].[Is_ThisMonth]" caption="Is_ThisMonth" attribute="1" defaultMemberUniqueName="[BI vw_FinCalendar].[Is_ThisMonth].[All]" allUniqueName="[BI vw_FinCalendar].[Is_ThisMonth].[All]" dimensionUniqueName="[BI vw_FinCalendar]" displayFolder="" count="0" memberValueDatatype="20" unbalanced="0"/>
    <cacheHierarchy uniqueName="[BI vw_FinCalendar].[Is_ThisWeek]" caption="Is_ThisWeek" attribute="1" defaultMemberUniqueName="[BI vw_FinCalendar].[Is_ThisWeek].[All]" allUniqueName="[BI vw_FinCalendar].[Is_ThisWeek].[All]" dimensionUniqueName="[BI vw_FinCalendar]" displayFolder="" count="0" memberValueDatatype="20" unbalanced="0"/>
    <cacheHierarchy uniqueName="[BI vw_FinCalendar].[Is_ThisYear]" caption="Is_ThisYear" attribute="1" defaultMemberUniqueName="[BI vw_FinCalendar].[Is_ThisYear].[All]" allUniqueName="[BI vw_FinCalendar].[Is_ThisYear].[All]" dimensionUniqueName="[BI vw_FinCalendar]" displayFolder="" count="0" memberValueDatatype="20" unbalanced="0"/>
    <cacheHierarchy uniqueName="[BI vw_FinCalendar].[Is_Today]" caption="Is_Today" attribute="1" defaultMemberUniqueName="[BI vw_FinCalendar].[Is_Today].[All]" allUniqueName="[BI vw_FinCalendar].[Is_Today].[All]" dimensionUniqueName="[BI vw_FinCalendar]" displayFolder="" count="0" memberValueDatatype="20" unbalanced="0"/>
    <cacheHierarchy uniqueName="[BI vw_FinCalendar].[Month]" caption="Month" attribute="1" defaultMemberUniqueName="[BI vw_FinCalendar].[Month].[All]" allUniqueName="[BI vw_FinCalendar].[Month].[All]" dimensionUniqueName="[BI vw_FinCalendar]" displayFolder="" count="0" memberValueDatatype="130" unbalanced="0"/>
    <cacheHierarchy uniqueName="[BI vw_FinCalendar].[Month_Display]" caption="Month_Display" attribute="1" defaultMemberUniqueName="[BI vw_FinCalendar].[Month_Display].[All]" allUniqueName="[BI vw_FinCalendar].[Month_Display].[All]" dimensionUniqueName="[BI vw_FinCalendar]" displayFolder="" count="0" memberValueDatatype="130" unbalanced="0"/>
    <cacheHierarchy uniqueName="[BI vw_FinCalendar].[Month_Number]" caption="Month_Number" attribute="1" defaultMemberUniqueName="[BI vw_FinCalendar].[Month_Number].[All]" allUniqueName="[BI vw_FinCalendar].[Month_Number].[All]" dimensionUniqueName="[BI vw_FinCalendar]" displayFolder="" count="0" memberValueDatatype="20" unbalanced="0"/>
    <cacheHierarchy uniqueName="[BI vw_FinCalendar].[Quarter]" caption="Quarter" attribute="1" defaultMemberUniqueName="[BI vw_FinCalendar].[Quarter].[All]" allUniqueName="[BI vw_FinCalendar].[Quarter].[All]" dimensionUniqueName="[BI vw_FinCalendar]" displayFolder="" count="0" memberValueDatatype="130" unbalanced="0"/>
    <cacheHierarchy uniqueName="[BI vw_FinCalendar].[Quarter date]" caption="Quarter date" attribute="1" time="1" defaultMemberUniqueName="[BI vw_FinCalendar].[Quarter date].[All]" allUniqueName="[BI vw_FinCalendar].[Quarter date].[All]" dimensionUniqueName="[BI vw_FinCalendar]" displayFolder="" count="0" memberValueDatatype="7" unbalanced="0"/>
    <cacheHierarchy uniqueName="[BI vw_FinCalendar].[Querter]" caption="Querter" attribute="1" defaultMemberUniqueName="[BI vw_FinCalendar].[Querter].[All]" allUniqueName="[BI vw_FinCalendar].[Querter].[All]" dimensionUniqueName="[BI vw_FinCalendar]" displayFolder="" count="0" memberValueDatatype="20" unbalanced="0"/>
    <cacheHierarchy uniqueName="[BI vw_FinCalendar].[Sort_Order]" caption="Sort_Order" attribute="1" defaultMemberUniqueName="[BI vw_FinCalendar].[Sort_Order].[All]" allUniqueName="[BI vw_FinCalendar].[Sort_Order].[All]" dimensionUniqueName="[BI vw_FinCalendar]" displayFolder="" count="0" memberValueDatatype="20" unbalanced="0"/>
    <cacheHierarchy uniqueName="[BI vw_FinCalendar].[Sort_Order1]" caption="Sort_Order1" attribute="1" defaultMemberUniqueName="[BI vw_FinCalendar].[Sort_Order1].[All]" allUniqueName="[BI vw_FinCalendar].[Sort_Order1].[All]" dimensionUniqueName="[BI vw_FinCalendar]" displayFolder="" count="0" memberValueDatatype="20" unbalanced="0"/>
    <cacheHierarchy uniqueName="[BI vw_FinCalendar].[ThisQuarter]" caption="ThisQuarter" attribute="1" defaultMemberUniqueName="[BI vw_FinCalendar].[ThisQuarter].[All]" allUniqueName="[BI vw_FinCalendar].[ThisQuarter].[All]" dimensionUniqueName="[BI vw_FinCalendar]" displayFolder="" count="0" memberValueDatatype="130" unbalanced="0"/>
    <cacheHierarchy uniqueName="[BI vw_FinCalendar].[YearFinPeriod]" caption="YearFinPeriod" attribute="1" defaultMemberUniqueName="[BI vw_FinCalendar].[YearFinPeriod].[All]" allUniqueName="[BI vw_FinCalendar].[YearFinPeriod].[All]" dimensionUniqueName="[BI vw_FinCalendar]" displayFolder="" count="0" memberValueDatatype="130" unbalanced="0"/>
    <cacheHierarchy uniqueName="[BI vw_Store].[AreaLeader]" caption="AreaLeader" attribute="1" defaultMemberUniqueName="[BI vw_Store].[AreaLeader].[All]" allUniqueName="[BI vw_Store].[AreaLeader].[All]" dimensionUniqueName="[BI vw_Store]" displayFolder="" count="0" memberValueDatatype="130" unbalanced="0"/>
    <cacheHierarchy uniqueName="[BI vw_Store].[BranchType]" caption="BranchType" attribute="1" defaultMemberUniqueName="[BI vw_Store].[BranchType].[All]" allUniqueName="[BI vw_Store].[BranchType].[All]" dimensionUniqueName="[BI vw_Store]" displayFolder="" count="2" memberValueDatatype="130" unbalanced="0">
      <fieldsUsage count="2">
        <fieldUsage x="-1"/>
        <fieldUsage x="4"/>
      </fieldsUsage>
    </cacheHierarchy>
    <cacheHierarchy uniqueName="[BI vw_Store].[CompFlag]" caption="CompFlag" attribute="1" defaultMemberUniqueName="[BI vw_Store].[CompFlag].[All]" allUniqueName="[BI vw_Store].[CompFlag].[All]" dimensionUniqueName="[BI vw_Store]" displayFolder="" count="0" memberValueDatatype="130" unbalanced="0"/>
    <cacheHierarchy uniqueName="[BI vw_Store].[Country]" caption="Country" attribute="1" defaultMemberUniqueName="[BI vw_Store].[Country].[All]" allUniqueName="[BI vw_Store].[Country].[All]" dimensionUniqueName="[BI vw_Store]" displayFolder="" count="2" memberValueDatatype="130" unbalanced="0">
      <fieldsUsage count="2">
        <fieldUsage x="-1"/>
        <fieldUsage x="3"/>
      </fieldsUsage>
    </cacheHierarchy>
    <cacheHierarchy uniqueName="[BI vw_Store].[FreedomArea]" caption="FreedomArea" attribute="1" defaultMemberUniqueName="[BI vw_Store].[FreedomArea].[All]" allUniqueName="[BI vw_Store].[FreedomArea].[All]" dimensionUniqueName="[BI vw_Store]" displayFolder="" count="0" memberValueDatatype="5" unbalanced="0"/>
    <cacheHierarchy uniqueName="[BI vw_Store].[IsActive]" caption="IsActive" attribute="1" defaultMemberUniqueName="[BI vw_Store].[IsActive].[All]" allUniqueName="[BI vw_Store].[IsActive].[All]" dimensionUniqueName="[BI vw_Store]" displayFolder="" count="0" memberValueDatatype="130" unbalanced="0"/>
    <cacheHierarchy uniqueName="[BI vw_Store].[IsDC]" caption="IsDC" attribute="1" defaultMemberUniqueName="[BI vw_Store].[IsDC].[All]" allUniqueName="[BI vw_Store].[IsDC].[All]" dimensionUniqueName="[BI vw_Store]" displayFolder="" count="0" memberValueDatatype="11" unbalanced="0"/>
    <cacheHierarchy uniqueName="[BI vw_Store].[IsHO]" caption="IsHO" attribute="1" defaultMemberUniqueName="[BI vw_Store].[IsHO].[All]" allUniqueName="[BI vw_Store].[IsHO].[All]" dimensionUniqueName="[BI vw_Store]" displayFolder="" count="0" memberValueDatatype="11" unbalanced="0"/>
    <cacheHierarchy uniqueName="[BI vw_Store].[State]" caption="State" attribute="1" defaultMemberUniqueName="[BI vw_Store].[State].[All]" allUniqueName="[BI vw_Store].[State].[All]" dimensionUniqueName="[BI vw_Store]" displayFolder="" count="0" memberValueDatatype="130" unbalanced="0"/>
    <cacheHierarchy uniqueName="[BI vw_Store].[StoreCategory]" caption="StoreCategory" attribute="1" defaultMemberUniqueName="[BI vw_Store].[StoreCategory].[All]" allUniqueName="[BI vw_Store].[StoreCategory].[All]" dimensionUniqueName="[BI vw_Store]" displayFolder="" count="0" memberValueDatatype="130" unbalanced="0"/>
    <cacheHierarchy uniqueName="[BI vw_Store].[StoreCode]" caption="StoreCode" attribute="1" defaultMemberUniqueName="[BI vw_Store].[StoreCode].[All]" allUniqueName="[BI vw_Store].[StoreCode].[All]" dimensionUniqueName="[BI vw_Store]" displayFolder="" count="0" memberValueDatatype="130" unbalanced="0"/>
    <cacheHierarchy uniqueName="[BI vw_Store].[StoreKey]" caption="StoreKey" attribute="1" defaultMemberUniqueName="[BI vw_Store].[StoreKey].[All]" allUniqueName="[BI vw_Store].[StoreKey].[All]" dimensionUniqueName="[BI vw_Store]" displayFolder="" count="0" memberValueDatatype="130" unbalanced="0"/>
    <cacheHierarchy uniqueName="[BI vw_Store].[StoreName]" caption="StoreName" attribute="1" defaultMemberUniqueName="[BI vw_Store].[StoreName].[All]" allUniqueName="[BI vw_Store].[StoreName].[All]" dimensionUniqueName="[BI vw_Store]" displayFolder="" count="2" memberValueDatatype="130" unbalanced="0">
      <fieldsUsage count="2">
        <fieldUsage x="-1"/>
        <fieldUsage x="8"/>
      </fieldsUsage>
    </cacheHierarchy>
    <cacheHierarchy uniqueName="[BI vw_Store].[StoreType]" caption="StoreType" attribute="1" defaultMemberUniqueName="[BI vw_Store].[StoreType].[All]" allUniqueName="[BI vw_Store].[StoreType].[All]" dimensionUniqueName="[BI vw_Store]" displayFolder="" count="0" memberValueDatatype="130" unbalanced="0"/>
    <cacheHierarchy uniqueName="[BI vw_Store].[SubLeasedArea]" caption="SubLeasedArea" attribute="1" defaultMemberUniqueName="[BI vw_Store].[SubLeasedArea].[All]" allUniqueName="[BI vw_Store].[SubLeasedArea].[All]" dimensionUniqueName="[BI vw_Store]" displayFolder="" count="0" memberValueDatatype="5" unbalanced="0"/>
    <cacheHierarchy uniqueName="[BI vw_Store].[SubLeasedCompany]" caption="SubLeasedCompany" attribute="1" defaultMemberUniqueName="[BI vw_Store].[SubLeasedCompany].[All]" allUniqueName="[BI vw_Store].[SubLeasedCompany].[All]" dimensionUniqueName="[BI vw_Store]" displayFolder="" count="0" memberValueDatatype="130" unbalanced="0"/>
    <cacheHierarchy uniqueName="[BI vw_Store].[TotalArea]" caption="TotalArea" attribute="1" defaultMemberUniqueName="[BI vw_Store].[TotalArea].[All]" allUniqueName="[BI vw_Store].[TotalArea].[All]" dimensionUniqueName="[BI vw_Store]" displayFolder="" count="0" memberValueDatatype="5" unbalanced="0"/>
    <cacheHierarchy uniqueName="[CalendarMapping].[Fin_Year]" caption="Fin_Year" attribute="1" defaultMemberUniqueName="[CalendarMapping].[Fin_Year].[All]" allUniqueName="[CalendarMapping].[Fin_Year].[All]" dimensionUniqueName="[CalendarMapping]" displayFolder="" count="0" memberValueDatatype="20" unbalanced="0"/>
    <cacheHierarchy uniqueName="[CalendarMapping].[YearFinPeriod]" caption="YearFinPeriod" attribute="1" defaultMemberUniqueName="[CalendarMapping].[YearFinPeriod].[All]" allUniqueName="[CalendarMapping].[YearFinPeriod].[All]" dimensionUniqueName="[CalendarMapping]" displayFolder="" count="0" memberValueDatatype="130" unbalanced="0"/>
    <cacheHierarchy uniqueName="[DC SO].[EntityName]" caption="EntityName" attribute="1" defaultMemberUniqueName="[DC SO].[EntityName].[All]" allUniqueName="[DC SO].[EntityName].[All]" dimensionUniqueName="[DC SO]" displayFolder="" count="0" memberValueDatatype="130" unbalanced="0"/>
    <cacheHierarchy uniqueName="[DC SO].[SortOrder]" caption="SortOrder" attribute="1" defaultMemberUniqueName="[DC SO].[SortOrder].[All]" allUniqueName="[DC SO].[SortOrder].[All]" dimensionUniqueName="[DC SO]" displayFolder="" count="0" memberValueDatatype="20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Quarter]" caption="Quarter" attribute="1" defaultMemberUniqueName="[dim_period].[Quarter].[All]" allUniqueName="[dim_period].[Quarter].[All]" dimensionUniqueName="[dim_period]" displayFolder="" count="0" memberValueDatatype="13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Month Sort].[Month_Display]" caption="Month_Display" attribute="1" defaultMemberUniqueName="[Month Sort].[Month_Display].[All]" allUniqueName="[Month Sort].[Month_Display].[All]" dimensionUniqueName="[Month Sort]" displayFolder="" count="0" memberValueDatatype="130" unbalanced="0"/>
    <cacheHierarchy uniqueName="[Month Sort].[Number]" caption="Number" attribute="1" defaultMemberUniqueName="[Month Sort].[Number].[All]" allUniqueName="[Month Sort].[Number].[All]" dimensionUniqueName="[Month Sort]" displayFolder="" count="0" memberValueDatatype="20" unbalanced="0"/>
    <cacheHierarchy uniqueName="[Month Sort].[Sort_Order1]" caption="Sort_Order1" attribute="1" defaultMemberUniqueName="[Month Sort].[Sort_Order1].[All]" allUniqueName="[Month Sort].[Sort_Order1].[All]" dimensionUniqueName="[Month Sort]" displayFolder="" count="0" memberValueDatatype="20" unbalanced="0"/>
    <cacheHierarchy uniqueName="[TimePeriod].[TimePeriod]" caption="TimePeriod" attribute="1" defaultMemberUniqueName="[TimePeriod].[TimePeriod].[All]" allUniqueName="[TimePeriod].[TimePeriod].[All]" dimensionUniqueName="[TimePeriod]" displayFolder="" count="0" memberValueDatatype="130" unbalanced="0"/>
    <cacheHierarchy uniqueName="[TimePeriod].[TimePeriodSort]" caption="TimePeriodSort" attribute="1" defaultMemberUniqueName="[TimePeriod].[TimePeriodSort].[All]" allUniqueName="[TimePeriod].[TimePeriodSort].[All]" dimensionUniqueName="[TimePeriod]" displayFolder="" count="0" memberValueDatatype="2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0" memberValueDatatype="130" unbalanced="0"/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TimePeriodSort_Amart].[Timeline Slicer]" caption="Timeline Slicer" attribute="1" defaultMemberUniqueName="[TimePeriodSort_Amart].[Timeline Slicer].[All]" allUniqueName="[TimePeriodSort_Amart].[Timeline Slicer].[All]" dimensionUniqueName="[TimePeriodSort_Amart]" displayFolder="" count="0" memberValueDatatype="130" unbalanced="0"/>
    <cacheHierarchy uniqueName="[TimePeriodSort_Amart].[TimePeriod]" caption="TimePeriod" attribute="1" defaultMemberUniqueName="[TimePeriodSort_Amart].[TimePeriod].[All]" allUniqueName="[TimePeriodSort_Amart].[TimePeriod].[All]" dimensionUniqueName="[TimePeriodSort_Amart]" displayFolder="" count="0" memberValueDatatype="130" unbalanced="0"/>
    <cacheHierarchy uniqueName="[TimePeriodSort_Amart].[TimePeriodSort]" caption="TimePeriodSort" attribute="1" defaultMemberUniqueName="[TimePeriodSort_Amart].[TimePeriodSort].[All]" allUniqueName="[TimePeriodSort_Amart].[TimePeriodSort].[All]" dimensionUniqueName="[TimePeriodSort_Amart]" displayFolder="" count="0" memberValueDatatype="20" unbalanced="0"/>
    <cacheHierarchy uniqueName="[BI vw_MarkdownCategory].[Category]" caption="Category" attribute="1" defaultMemberUniqueName="[BI vw_MarkdownCategory].[Category].[All]" allUniqueName="[BI vw_MarkdownCategory].[Category].[All]" dimensionUniqueName="[BI vw_MarkdownCategory]" displayFolder="" count="0" memberValueDatatype="130" unbalanced="0" hidden="1"/>
    <cacheHierarchy uniqueName="[BI vw_MarkdownCategory].[Code]" caption="Code" attribute="1" defaultMemberUniqueName="[BI vw_MarkdownCategory].[Code].[All]" allUniqueName="[BI vw_MarkdownCategory].[Code].[All]" dimensionUniqueName="[BI vw_MarkdownCategory]" displayFolder="" count="0" memberValueDatatype="130" unbalanced="0" hidden="1"/>
    <cacheHierarchy uniqueName="[BI vw_Store (2)].[BranchType]" caption="BranchType" attribute="1" defaultMemberUniqueName="[BI vw_Store (2)].[BranchType].[All]" allUniqueName="[BI vw_Store (2)].[BranchType].[All]" dimensionUniqueName="[BI vw_Store (2)]" displayFolder="" count="0" memberValueDatatype="130" unbalanced="0" hidden="1"/>
    <cacheHierarchy uniqueName="[BI vw_Store (2)].[Country]" caption="Country" attribute="1" defaultMemberUniqueName="[BI vw_Store (2)].[Country].[All]" allUniqueName="[BI vw_Store (2)].[Country].[All]" dimensionUniqueName="[BI vw_Store (2)]" displayFolder="" count="0" memberValueDatatype="130" unbalanced="0" hidden="1"/>
    <cacheHierarchy uniqueName="[BI vw_Store (2)].[StoreCode]" caption="StoreCode" attribute="1" defaultMemberUniqueName="[BI vw_Store (2)].[StoreCode].[All]" allUniqueName="[BI vw_Store (2)].[StoreCode].[All]" dimensionUniqueName="[BI vw_Store (2)]" displayFolder="" count="0" memberValueDatatype="130" unbalanced="0" hidden="1"/>
    <cacheHierarchy uniqueName="[DateTableTemplate_3f9b2c98-215a-4ac6-bb5b-5edb3fb7613d].[Date]" caption="Date" attribute="1" time="1" defaultMemberUniqueName="[DateTableTemplate_3f9b2c98-215a-4ac6-bb5b-5edb3fb7613d].[Date].[All]" allUniqueName="[DateTableTemplate_3f9b2c98-215a-4ac6-bb5b-5edb3fb7613d].[Date].[All]" dimensionUniqueName="[DateTableTemplate_3f9b2c98-215a-4ac6-bb5b-5edb3fb7613d]" displayFolder="" count="0" memberValueDatatype="7" unbalanced="0" hidden="1"/>
    <cacheHierarchy uniqueName="[DateTableTemplate_3f9b2c98-215a-4ac6-bb5b-5edb3fb7613d].[Date Hierarchy]" caption="Date Hierarchy" defaultMemberUniqueName="[DateTableTemplate_3f9b2c98-215a-4ac6-bb5b-5edb3fb7613d].[Date Hierarchy].[All]" allUniqueName="[DateTableTemplate_3f9b2c98-215a-4ac6-bb5b-5edb3fb7613d].[Date Hierarchy].[All]" dimensionUniqueName="[DateTableTemplate_3f9b2c98-215a-4ac6-bb5b-5edb3fb7613d]" displayFolder="" count="0" unbalanced="0" hidden="1"/>
    <cacheHierarchy uniqueName="[DateTableTemplate_3f9b2c98-215a-4ac6-bb5b-5edb3fb7613d].[Day]" caption="Day" attribute="1" defaultMemberUniqueName="[DateTableTemplate_3f9b2c98-215a-4ac6-bb5b-5edb3fb7613d].[Day].[All]" allUniqueName="[DateTableTemplate_3f9b2c98-215a-4ac6-bb5b-5edb3fb7613d].[Day].[All]" dimensionUniqueName="[DateTableTemplate_3f9b2c98-215a-4ac6-bb5b-5edb3fb7613d]" displayFolder="" count="0" memberValueDatatype="20" unbalanced="0" hidden="1"/>
    <cacheHierarchy uniqueName="[DateTableTemplate_3f9b2c98-215a-4ac6-bb5b-5edb3fb7613d].[Month]" caption="Month" attribute="1" defaultMemberUniqueName="[DateTableTemplate_3f9b2c98-215a-4ac6-bb5b-5edb3fb7613d].[Month].[All]" allUniqueName="[DateTableTemplate_3f9b2c98-215a-4ac6-bb5b-5edb3fb7613d].[Month].[All]" dimensionUniqueName="[DateTableTemplate_3f9b2c98-215a-4ac6-bb5b-5edb3fb7613d]" displayFolder="" count="0" memberValueDatatype="130" unbalanced="0" hidden="1"/>
    <cacheHierarchy uniqueName="[DateTableTemplate_3f9b2c98-215a-4ac6-bb5b-5edb3fb7613d].[MonthNo]" caption="MonthNo" attribute="1" defaultMemberUniqueName="[DateTableTemplate_3f9b2c98-215a-4ac6-bb5b-5edb3fb7613d].[MonthNo].[All]" allUniqueName="[DateTableTemplate_3f9b2c98-215a-4ac6-bb5b-5edb3fb7613d].[MonthNo].[All]" dimensionUniqueName="[DateTableTemplate_3f9b2c98-215a-4ac6-bb5b-5edb3fb7613d]" displayFolder="" count="0" memberValueDatatype="20" unbalanced="0" hidden="1"/>
    <cacheHierarchy uniqueName="[DateTableTemplate_3f9b2c98-215a-4ac6-bb5b-5edb3fb7613d].[Quarter]" caption="Quarter" attribute="1" defaultMemberUniqueName="[DateTableTemplate_3f9b2c98-215a-4ac6-bb5b-5edb3fb7613d].[Quarter].[All]" allUniqueName="[DateTableTemplate_3f9b2c98-215a-4ac6-bb5b-5edb3fb7613d].[Quarter].[All]" dimensionUniqueName="[DateTableTemplate_3f9b2c98-215a-4ac6-bb5b-5edb3fb7613d]" displayFolder="" count="0" memberValueDatatype="130" unbalanced="0" hidden="1"/>
    <cacheHierarchy uniqueName="[DateTableTemplate_3f9b2c98-215a-4ac6-bb5b-5edb3fb7613d].[QuarterNo]" caption="QuarterNo" attribute="1" defaultMemberUniqueName="[DateTableTemplate_3f9b2c98-215a-4ac6-bb5b-5edb3fb7613d].[QuarterNo].[All]" allUniqueName="[DateTableTemplate_3f9b2c98-215a-4ac6-bb5b-5edb3fb7613d].[QuarterNo].[All]" dimensionUniqueName="[DateTableTemplate_3f9b2c98-215a-4ac6-bb5b-5edb3fb7613d]" displayFolder="" count="0" memberValueDatatype="20" unbalanced="0" hidden="1"/>
    <cacheHierarchy uniqueName="[DateTableTemplate_3f9b2c98-215a-4ac6-bb5b-5edb3fb7613d].[Year]" caption="Year" attribute="1" defaultMemberUniqueName="[DateTableTemplate_3f9b2c98-215a-4ac6-bb5b-5edb3fb7613d].[Year].[All]" allUniqueName="[DateTableTemplate_3f9b2c98-215a-4ac6-bb5b-5edb3fb7613d].[Year].[All]" dimensionUniqueName="[DateTableTemplate_3f9b2c98-215a-4ac6-bb5b-5edb3fb7613d]" displayFolder="" count="0" memberValueDatatype="20" unbalanced="0" hidden="1"/>
    <cacheHierarchy uniqueName="[LocalDateTable_2dc8ec59-2991-4ed7-b97f-b3968012b3bf].[Date]" caption="Date" attribute="1" time="1" defaultMemberUniqueName="[LocalDateTable_2dc8ec59-2991-4ed7-b97f-b3968012b3bf].[Date].[All]" allUniqueName="[LocalDateTable_2dc8ec59-2991-4ed7-b97f-b3968012b3bf].[Date].[All]" dimensionUniqueName="[LocalDateTable_2dc8ec59-2991-4ed7-b97f-b3968012b3bf]" displayFolder="" count="0" memberValueDatatype="7" unbalanced="0" hidden="1"/>
    <cacheHierarchy uniqueName="[LocalDateTable_2dc8ec59-2991-4ed7-b97f-b3968012b3bf].[Date Hierarchy]" caption="Date Hierarchy" defaultMemberUniqueName="[LocalDateTable_2dc8ec59-2991-4ed7-b97f-b3968012b3bf].[Date Hierarchy].[All]" allUniqueName="[LocalDateTable_2dc8ec59-2991-4ed7-b97f-b3968012b3bf].[Date Hierarchy].[All]" dimensionUniqueName="[LocalDateTable_2dc8ec59-2991-4ed7-b97f-b3968012b3bf]" displayFolder="" count="0" unbalanced="0" hidden="1"/>
    <cacheHierarchy uniqueName="[LocalDateTable_2dc8ec59-2991-4ed7-b97f-b3968012b3bf].[Day]" caption="Day" attribute="1" defaultMemberUniqueName="[LocalDateTable_2dc8ec59-2991-4ed7-b97f-b3968012b3bf].[Day].[All]" allUniqueName="[LocalDateTable_2dc8ec59-2991-4ed7-b97f-b3968012b3bf].[Day].[All]" dimensionUniqueName="[LocalDateTable_2dc8ec59-2991-4ed7-b97f-b3968012b3bf]" displayFolder="" count="0" memberValueDatatype="20" unbalanced="0" hidden="1"/>
    <cacheHierarchy uniqueName="[LocalDateTable_2dc8ec59-2991-4ed7-b97f-b3968012b3bf].[Month]" caption="Month" attribute="1" defaultMemberUniqueName="[LocalDateTable_2dc8ec59-2991-4ed7-b97f-b3968012b3bf].[Month].[All]" allUniqueName="[LocalDateTable_2dc8ec59-2991-4ed7-b97f-b3968012b3bf].[Month].[All]" dimensionUniqueName="[LocalDateTable_2dc8ec59-2991-4ed7-b97f-b3968012b3bf]" displayFolder="" count="0" memberValueDatatype="130" unbalanced="0" hidden="1"/>
    <cacheHierarchy uniqueName="[LocalDateTable_2dc8ec59-2991-4ed7-b97f-b3968012b3bf].[MonthNo]" caption="MonthNo" attribute="1" defaultMemberUniqueName="[LocalDateTable_2dc8ec59-2991-4ed7-b97f-b3968012b3bf].[MonthNo].[All]" allUniqueName="[LocalDateTable_2dc8ec59-2991-4ed7-b97f-b3968012b3bf].[MonthNo].[All]" dimensionUniqueName="[LocalDateTable_2dc8ec59-2991-4ed7-b97f-b3968012b3bf]" displayFolder="" count="0" memberValueDatatype="20" unbalanced="0" hidden="1"/>
    <cacheHierarchy uniqueName="[LocalDateTable_2dc8ec59-2991-4ed7-b97f-b3968012b3bf].[Quarter]" caption="Quarter" attribute="1" defaultMemberUniqueName="[LocalDateTable_2dc8ec59-2991-4ed7-b97f-b3968012b3bf].[Quarter].[All]" allUniqueName="[LocalDateTable_2dc8ec59-2991-4ed7-b97f-b3968012b3bf].[Quarter].[All]" dimensionUniqueName="[LocalDateTable_2dc8ec59-2991-4ed7-b97f-b3968012b3bf]" displayFolder="" count="0" memberValueDatatype="130" unbalanced="0" hidden="1"/>
    <cacheHierarchy uniqueName="[LocalDateTable_2dc8ec59-2991-4ed7-b97f-b3968012b3bf].[QuarterNo]" caption="QuarterNo" attribute="1" defaultMemberUniqueName="[LocalDateTable_2dc8ec59-2991-4ed7-b97f-b3968012b3bf].[QuarterNo].[All]" allUniqueName="[LocalDateTable_2dc8ec59-2991-4ed7-b97f-b3968012b3bf].[QuarterNo].[All]" dimensionUniqueName="[LocalDateTable_2dc8ec59-2991-4ed7-b97f-b3968012b3bf]" displayFolder="" count="0" memberValueDatatype="20" unbalanced="0" hidden="1"/>
    <cacheHierarchy uniqueName="[LocalDateTable_2dc8ec59-2991-4ed7-b97f-b3968012b3bf].[Year]" caption="Year" attribute="1" defaultMemberUniqueName="[LocalDateTable_2dc8ec59-2991-4ed7-b97f-b3968012b3bf].[Year].[All]" allUniqueName="[LocalDateTable_2dc8ec59-2991-4ed7-b97f-b3968012b3bf].[Year].[All]" dimensionUniqueName="[LocalDateTable_2dc8ec59-2991-4ed7-b97f-b3968012b3bf]" displayFolder="" count="0" memberValueDatatype="20" unbalanced="0" hidden="1"/>
    <cacheHierarchy uniqueName="[LocalDateTable_35b2b28c-5e49-4861-9014-eb0865a61f58].[Date]" caption="Date" attribute="1" time="1" defaultMemberUniqueName="[LocalDateTable_35b2b28c-5e49-4861-9014-eb0865a61f58].[Date].[All]" allUniqueName="[LocalDateTable_35b2b28c-5e49-4861-9014-eb0865a61f58].[Date].[All]" dimensionUniqueName="[LocalDateTable_35b2b28c-5e49-4861-9014-eb0865a61f58]" displayFolder="" count="0" memberValueDatatype="7" unbalanced="0" hidden="1"/>
    <cacheHierarchy uniqueName="[LocalDateTable_35b2b28c-5e49-4861-9014-eb0865a61f58].[Date Hierarchy]" caption="Date Hierarchy" defaultMemberUniqueName="[LocalDateTable_35b2b28c-5e49-4861-9014-eb0865a61f58].[Date Hierarchy].[All]" allUniqueName="[LocalDateTable_35b2b28c-5e49-4861-9014-eb0865a61f58].[Date Hierarchy].[All]" dimensionUniqueName="[LocalDateTable_35b2b28c-5e49-4861-9014-eb0865a61f58]" displayFolder="" count="0" unbalanced="0" hidden="1"/>
    <cacheHierarchy uniqueName="[LocalDateTable_35b2b28c-5e49-4861-9014-eb0865a61f58].[Day]" caption="Day" attribute="1" defaultMemberUniqueName="[LocalDateTable_35b2b28c-5e49-4861-9014-eb0865a61f58].[Day].[All]" allUniqueName="[LocalDateTable_35b2b28c-5e49-4861-9014-eb0865a61f58].[Day].[All]" dimensionUniqueName="[LocalDateTable_35b2b28c-5e49-4861-9014-eb0865a61f58]" displayFolder="" count="0" memberValueDatatype="20" unbalanced="0" hidden="1"/>
    <cacheHierarchy uniqueName="[LocalDateTable_35b2b28c-5e49-4861-9014-eb0865a61f58].[Month]" caption="Month" attribute="1" defaultMemberUniqueName="[LocalDateTable_35b2b28c-5e49-4861-9014-eb0865a61f58].[Month].[All]" allUniqueName="[LocalDateTable_35b2b28c-5e49-4861-9014-eb0865a61f58].[Month].[All]" dimensionUniqueName="[LocalDateTable_35b2b28c-5e49-4861-9014-eb0865a61f58]" displayFolder="" count="0" memberValueDatatype="130" unbalanced="0" hidden="1"/>
    <cacheHierarchy uniqueName="[LocalDateTable_35b2b28c-5e49-4861-9014-eb0865a61f58].[MonthNo]" caption="MonthNo" attribute="1" defaultMemberUniqueName="[LocalDateTable_35b2b28c-5e49-4861-9014-eb0865a61f58].[MonthNo].[All]" allUniqueName="[LocalDateTable_35b2b28c-5e49-4861-9014-eb0865a61f58].[MonthNo].[All]" dimensionUniqueName="[LocalDateTable_35b2b28c-5e49-4861-9014-eb0865a61f58]" displayFolder="" count="0" memberValueDatatype="20" unbalanced="0" hidden="1"/>
    <cacheHierarchy uniqueName="[LocalDateTable_35b2b28c-5e49-4861-9014-eb0865a61f58].[Quarter]" caption="Quarter" attribute="1" defaultMemberUniqueName="[LocalDateTable_35b2b28c-5e49-4861-9014-eb0865a61f58].[Quarter].[All]" allUniqueName="[LocalDateTable_35b2b28c-5e49-4861-9014-eb0865a61f58].[Quarter].[All]" dimensionUniqueName="[LocalDateTable_35b2b28c-5e49-4861-9014-eb0865a61f58]" displayFolder="" count="0" memberValueDatatype="130" unbalanced="0" hidden="1"/>
    <cacheHierarchy uniqueName="[LocalDateTable_35b2b28c-5e49-4861-9014-eb0865a61f58].[QuarterNo]" caption="QuarterNo" attribute="1" defaultMemberUniqueName="[LocalDateTable_35b2b28c-5e49-4861-9014-eb0865a61f58].[QuarterNo].[All]" allUniqueName="[LocalDateTable_35b2b28c-5e49-4861-9014-eb0865a61f58].[QuarterNo].[All]" dimensionUniqueName="[LocalDateTable_35b2b28c-5e49-4861-9014-eb0865a61f58]" displayFolder="" count="0" memberValueDatatype="20" unbalanced="0" hidden="1"/>
    <cacheHierarchy uniqueName="[LocalDateTable_35b2b28c-5e49-4861-9014-eb0865a61f58].[Year]" caption="Year" attribute="1" defaultMemberUniqueName="[LocalDateTable_35b2b28c-5e49-4861-9014-eb0865a61f58].[Year].[All]" allUniqueName="[LocalDateTable_35b2b28c-5e49-4861-9014-eb0865a61f58].[Year].[All]" dimensionUniqueName="[LocalDateTable_35b2b28c-5e49-4861-9014-eb0865a61f58]" displayFolder="" count="0" memberValueDatatype="20" unbalanced="0" hidden="1"/>
    <cacheHierarchy uniqueName="[LocalDateTable_3ea1f34c-3b67-443a-8479-d47192825849].[Date]" caption="Date" attribute="1" time="1" defaultMemberUniqueName="[LocalDateTable_3ea1f34c-3b67-443a-8479-d47192825849].[Date].[All]" allUniqueName="[LocalDateTable_3ea1f34c-3b67-443a-8479-d47192825849].[Date].[All]" dimensionUniqueName="[LocalDateTable_3ea1f34c-3b67-443a-8479-d47192825849]" displayFolder="" count="0" memberValueDatatype="7" unbalanced="0" hidden="1"/>
    <cacheHierarchy uniqueName="[LocalDateTable_3ea1f34c-3b67-443a-8479-d47192825849].[Date Hierarchy]" caption="Date Hierarchy" defaultMemberUniqueName="[LocalDateTable_3ea1f34c-3b67-443a-8479-d47192825849].[Date Hierarchy].[All]" allUniqueName="[LocalDateTable_3ea1f34c-3b67-443a-8479-d47192825849].[Date Hierarchy].[All]" dimensionUniqueName="[LocalDateTable_3ea1f34c-3b67-443a-8479-d47192825849]" displayFolder="" count="0" unbalanced="0" hidden="1"/>
    <cacheHierarchy uniqueName="[LocalDateTable_3ea1f34c-3b67-443a-8479-d47192825849].[Day]" caption="Day" attribute="1" defaultMemberUniqueName="[LocalDateTable_3ea1f34c-3b67-443a-8479-d47192825849].[Day].[All]" allUniqueName="[LocalDateTable_3ea1f34c-3b67-443a-8479-d47192825849].[Day].[All]" dimensionUniqueName="[LocalDateTable_3ea1f34c-3b67-443a-8479-d47192825849]" displayFolder="" count="0" memberValueDatatype="20" unbalanced="0" hidden="1"/>
    <cacheHierarchy uniqueName="[LocalDateTable_3ea1f34c-3b67-443a-8479-d47192825849].[Month]" caption="Month" attribute="1" defaultMemberUniqueName="[LocalDateTable_3ea1f34c-3b67-443a-8479-d47192825849].[Month].[All]" allUniqueName="[LocalDateTable_3ea1f34c-3b67-443a-8479-d47192825849].[Month].[All]" dimensionUniqueName="[LocalDateTable_3ea1f34c-3b67-443a-8479-d47192825849]" displayFolder="" count="0" memberValueDatatype="130" unbalanced="0" hidden="1"/>
    <cacheHierarchy uniqueName="[LocalDateTable_3ea1f34c-3b67-443a-8479-d47192825849].[MonthNo]" caption="MonthNo" attribute="1" defaultMemberUniqueName="[LocalDateTable_3ea1f34c-3b67-443a-8479-d47192825849].[MonthNo].[All]" allUniqueName="[LocalDateTable_3ea1f34c-3b67-443a-8479-d47192825849].[MonthNo].[All]" dimensionUniqueName="[LocalDateTable_3ea1f34c-3b67-443a-8479-d47192825849]" displayFolder="" count="0" memberValueDatatype="20" unbalanced="0" hidden="1"/>
    <cacheHierarchy uniqueName="[LocalDateTable_3ea1f34c-3b67-443a-8479-d47192825849].[Quarter]" caption="Quarter" attribute="1" defaultMemberUniqueName="[LocalDateTable_3ea1f34c-3b67-443a-8479-d47192825849].[Quarter].[All]" allUniqueName="[LocalDateTable_3ea1f34c-3b67-443a-8479-d47192825849].[Quarter].[All]" dimensionUniqueName="[LocalDateTable_3ea1f34c-3b67-443a-8479-d47192825849]" displayFolder="" count="0" memberValueDatatype="130" unbalanced="0" hidden="1"/>
    <cacheHierarchy uniqueName="[LocalDateTable_3ea1f34c-3b67-443a-8479-d47192825849].[QuarterNo]" caption="QuarterNo" attribute="1" defaultMemberUniqueName="[LocalDateTable_3ea1f34c-3b67-443a-8479-d47192825849].[QuarterNo].[All]" allUniqueName="[LocalDateTable_3ea1f34c-3b67-443a-8479-d47192825849].[QuarterNo].[All]" dimensionUniqueName="[LocalDateTable_3ea1f34c-3b67-443a-8479-d47192825849]" displayFolder="" count="0" memberValueDatatype="20" unbalanced="0" hidden="1"/>
    <cacheHierarchy uniqueName="[LocalDateTable_3ea1f34c-3b67-443a-8479-d47192825849].[Year]" caption="Year" attribute="1" defaultMemberUniqueName="[LocalDateTable_3ea1f34c-3b67-443a-8479-d47192825849].[Year].[All]" allUniqueName="[LocalDateTable_3ea1f34c-3b67-443a-8479-d47192825849].[Year].[All]" dimensionUniqueName="[LocalDateTable_3ea1f34c-3b67-443a-8479-d47192825849]" displayFolder="" count="0" memberValueDatatype="20" unbalanced="0" hidden="1"/>
    <cacheHierarchy uniqueName="[LocalDateTable_44c7d4ef-ea67-4ad2-970c-4dd712d1bff0].[Date]" caption="Date" attribute="1" time="1" defaultMemberUniqueName="[LocalDateTable_44c7d4ef-ea67-4ad2-970c-4dd712d1bff0].[Date].[All]" allUniqueName="[LocalDateTable_44c7d4ef-ea67-4ad2-970c-4dd712d1bff0].[Date].[All]" dimensionUniqueName="[LocalDateTable_44c7d4ef-ea67-4ad2-970c-4dd712d1bff0]" displayFolder="" count="0" memberValueDatatype="7" unbalanced="0" hidden="1"/>
    <cacheHierarchy uniqueName="[LocalDateTable_44c7d4ef-ea67-4ad2-970c-4dd712d1bff0].[Date Hierarchy]" caption="Date Hierarchy" defaultMemberUniqueName="[LocalDateTable_44c7d4ef-ea67-4ad2-970c-4dd712d1bff0].[Date Hierarchy].[All]" allUniqueName="[LocalDateTable_44c7d4ef-ea67-4ad2-970c-4dd712d1bff0].[Date Hierarchy].[All]" dimensionUniqueName="[LocalDateTable_44c7d4ef-ea67-4ad2-970c-4dd712d1bff0]" displayFolder="" count="0" unbalanced="0" hidden="1"/>
    <cacheHierarchy uniqueName="[LocalDateTable_44c7d4ef-ea67-4ad2-970c-4dd712d1bff0].[Day]" caption="Day" attribute="1" defaultMemberUniqueName="[LocalDateTable_44c7d4ef-ea67-4ad2-970c-4dd712d1bff0].[Day].[All]" allUniqueName="[LocalDateTable_44c7d4ef-ea67-4ad2-970c-4dd712d1bff0].[Day].[All]" dimensionUniqueName="[LocalDateTable_44c7d4ef-ea67-4ad2-970c-4dd712d1bff0]" displayFolder="" count="0" memberValueDatatype="20" unbalanced="0" hidden="1"/>
    <cacheHierarchy uniqueName="[LocalDateTable_44c7d4ef-ea67-4ad2-970c-4dd712d1bff0].[Month]" caption="Month" attribute="1" defaultMemberUniqueName="[LocalDateTable_44c7d4ef-ea67-4ad2-970c-4dd712d1bff0].[Month].[All]" allUniqueName="[LocalDateTable_44c7d4ef-ea67-4ad2-970c-4dd712d1bff0].[Month].[All]" dimensionUniqueName="[LocalDateTable_44c7d4ef-ea67-4ad2-970c-4dd712d1bff0]" displayFolder="" count="0" memberValueDatatype="130" unbalanced="0" hidden="1"/>
    <cacheHierarchy uniqueName="[LocalDateTable_44c7d4ef-ea67-4ad2-970c-4dd712d1bff0].[MonthNo]" caption="MonthNo" attribute="1" defaultMemberUniqueName="[LocalDateTable_44c7d4ef-ea67-4ad2-970c-4dd712d1bff0].[MonthNo].[All]" allUniqueName="[LocalDateTable_44c7d4ef-ea67-4ad2-970c-4dd712d1bff0].[MonthNo].[All]" dimensionUniqueName="[LocalDateTable_44c7d4ef-ea67-4ad2-970c-4dd712d1bff0]" displayFolder="" count="0" memberValueDatatype="20" unbalanced="0" hidden="1"/>
    <cacheHierarchy uniqueName="[LocalDateTable_44c7d4ef-ea67-4ad2-970c-4dd712d1bff0].[Quarter]" caption="Quarter" attribute="1" defaultMemberUniqueName="[LocalDateTable_44c7d4ef-ea67-4ad2-970c-4dd712d1bff0].[Quarter].[All]" allUniqueName="[LocalDateTable_44c7d4ef-ea67-4ad2-970c-4dd712d1bff0].[Quarter].[All]" dimensionUniqueName="[LocalDateTable_44c7d4ef-ea67-4ad2-970c-4dd712d1bff0]" displayFolder="" count="0" memberValueDatatype="130" unbalanced="0" hidden="1"/>
    <cacheHierarchy uniqueName="[LocalDateTable_44c7d4ef-ea67-4ad2-970c-4dd712d1bff0].[QuarterNo]" caption="QuarterNo" attribute="1" defaultMemberUniqueName="[LocalDateTable_44c7d4ef-ea67-4ad2-970c-4dd712d1bff0].[QuarterNo].[All]" allUniqueName="[LocalDateTable_44c7d4ef-ea67-4ad2-970c-4dd712d1bff0].[QuarterNo].[All]" dimensionUniqueName="[LocalDateTable_44c7d4ef-ea67-4ad2-970c-4dd712d1bff0]" displayFolder="" count="0" memberValueDatatype="20" unbalanced="0" hidden="1"/>
    <cacheHierarchy uniqueName="[LocalDateTable_44c7d4ef-ea67-4ad2-970c-4dd712d1bff0].[Year]" caption="Year" attribute="1" defaultMemberUniqueName="[LocalDateTable_44c7d4ef-ea67-4ad2-970c-4dd712d1bff0].[Year].[All]" allUniqueName="[LocalDateTable_44c7d4ef-ea67-4ad2-970c-4dd712d1bff0].[Year].[All]" dimensionUniqueName="[LocalDateTable_44c7d4ef-ea67-4ad2-970c-4dd712d1bff0]" displayFolder="" count="0" memberValueDatatype="20" unbalanced="0" hidden="1"/>
    <cacheHierarchy uniqueName="[Measure].[Column]" caption="Column" attribute="1" defaultMemberUniqueName="[Measure].[Column].[All]" allUniqueName="[Measure].[Column].[All]" dimensionUniqueName="[Measure]" displayFolder="" count="0" memberValueDatatype="20" unbalanced="0" hidden="1"/>
    <cacheHierarchy uniqueName="[Measures].[Current Quarter]" caption="Current Quarter" measure="1" displayFolder="" measureGroup="BI vw_FinCalendar" count="0"/>
    <cacheHierarchy uniqueName="[Measures].[Delivered Sales Ex GST]" caption="Delivered Sales Ex GST" measure="1" displayFolder="" measureGroup="Measure" count="0" oneField="1">
      <fieldsUsage count="1">
        <fieldUsage x="7"/>
      </fieldsUsage>
    </cacheHierarchy>
    <cacheHierarchy uniqueName="[Measures].[Sales Price]" caption="Sales Price" measure="1" displayFolder="" measureGroup="Measure" count="0"/>
    <cacheHierarchy uniqueName="[Measures].[CostInvoicedCost]" caption="CostInvoicedCost" measure="1" displayFolder="" measureGroup="Measure" count="0"/>
    <cacheHierarchy uniqueName="[Measures].[CostAmountAdjustment]" caption="CostAmountAdjustment" measure="1" displayFolder="" measureGroup="Measure" count="0"/>
    <cacheHierarchy uniqueName="[Measures].[Gross Sales]" caption="Gross Sales" measure="1" displayFolder="" measureGroup="Measure" count="0"/>
    <cacheHierarchy uniqueName="[Measures].[GM %]" caption="GM %" measure="1" displayFolder="" measureGroup="Measure" count="0"/>
    <cacheHierarchy uniqueName="[Measures].[Total Markdown]" caption="Total Markdown" measure="1" displayFolder="" measureGroup="Measure" count="0"/>
    <cacheHierarchy uniqueName="[Measures].[Quantity]" caption="Quantity" measure="1" displayFolder="" measureGroup="Measure" count="0"/>
    <cacheHierarchy uniqueName="[Measures].[Tax]" caption="Tax" measure="1" displayFolder="" measureGroup="Measure" count="0"/>
    <cacheHierarchy uniqueName="[Measures].[Gross Margin]" caption="Gross Margin" measure="1" displayFolder="" measureGroup="Measure" count="0"/>
    <cacheHierarchy uniqueName="[Measures].[ItemWholeSalePrice]" caption="ItemWholeSalePrice" measure="1" displayFolder="" measureGroup="Measure" count="0"/>
    <cacheHierarchy uniqueName="[Measures].[Line Disc]" caption="Line Disc" measure="1" displayFolder="" measureGroup="Measure" count="0"/>
    <cacheHierarchy uniqueName="[Measures].[COSTFINAL]" caption="COSTFINAL" measure="1" displayFolder="" measureGroup="Measure" count="0"/>
    <cacheHierarchy uniqueName="[Measures].[Markdown$1]" caption="Markdown$1" measure="1" displayFolder="" measureGroup="Measure" count="0"/>
    <cacheHierarchy uniqueName="[Measures].[Markdown$2]" caption="Markdown$2" measure="1" displayFolder="" measureGroup="Measure" count="0"/>
    <cacheHierarchy uniqueName="[Measures].[Total Markdown $]" caption="Total Markdown $" measure="1" displayFolder="" measureGroup="Measure" count="0"/>
    <cacheHierarchy uniqueName="[Measures].[Delivered Sales Inc GST]" caption="Delivered Sales Inc GST" measure="1" displayFolder="" measureGroup="Measure" count="0"/>
    <cacheHierarchy uniqueName="[Measures].[39% Margin]" caption="39% Margin" measure="1" displayFolder="" measureGroup="Measure" count="0"/>
    <cacheHierarchy uniqueName="[Measures].[Rebate Amount]" caption="Rebate Amount" measure="1" displayFolder="" measureGroup="Measure" count="0"/>
    <cacheHierarchy uniqueName="[Measures].[Eligible for Rebate]" caption="Eligible for Rebate" measure="1" displayFolder="" measureGroup="Measure" count="0"/>
    <cacheHierarchy uniqueName="[Measures].[Budget Variance]" caption="Budget Variance" measure="1" displayFolder="" measureGroup="Measure" count="0"/>
    <cacheHierarchy uniqueName="[Measures].[DeliveredSalesBudget]" caption="DeliveredSalesBudget" measure="1" displayFolder="" measureGroup="Measure" count="0"/>
    <cacheHierarchy uniqueName="[Measures].[% Budget Complete]" caption="% Budget Complete" measure="1" displayFolder="" measureGroup="Measure" count="0"/>
    <cacheHierarchy uniqueName="[Measures].[MarkDown]" caption="MarkDown" measure="1" displayFolder="" measureGroup="Measure" count="0"/>
    <cacheHierarchy uniqueName="[Measures].[ItemWholeSalePrice_old]" caption="ItemWholeSalePrice_old" measure="1" displayFolder="" measureGroup="Measure" count="0"/>
    <cacheHierarchy uniqueName="[Measures].[R-Gross Sales]" caption="R-Gross Sales" measure="1" displayFolder="" measureGroup="Period Measures" count="0"/>
    <cacheHierarchy uniqueName="[Measures].[R-M/D]" caption="R-M/D" measure="1" displayFolder="" measureGroup="Period Measures" count="0"/>
    <cacheHierarchy uniqueName="[Measures].[R-Delivered Sales Ex GST]" caption="R-Delivered Sales Ex GST" measure="1" displayFolder="" measureGroup="Period Measures" count="0"/>
    <cacheHierarchy uniqueName="[Measures].[R-CostFinal]" caption="R-CostFinal" measure="1" displayFolder="" measureGroup="Period Measures" count="0"/>
    <cacheHierarchy uniqueName="[Measures].[R-Trading Margin]" caption="R-Trading Margin" measure="1" displayFolder="" measureGroup="Period Measures" count="0"/>
    <cacheHierarchy uniqueName="[Measures].[R-GM%]" caption="R-GM%" measure="1" displayFolder="" measureGroup="Period Measures" count="0"/>
    <cacheHierarchy uniqueName="[Measures].[R-DeliveredSalesBudget]" caption="R-DeliveredSalesBudget" measure="1" displayFolder="" measureGroup="Period Measures" count="0"/>
    <cacheHierarchy uniqueName="[Measures].[R-Budget Variance]" caption="R-Budget Variance" measure="1" displayFolder="" measureGroup="Period Measures" count="0"/>
    <cacheHierarchy uniqueName="[Measures].[R-Gross Sales rolling]" caption="R-Gross Sales rolling" measure="1" displayFolder="" measureGroup="Period Measures" count="0"/>
    <cacheHierarchy uniqueName="[Measures].[R-Gross Sales TY $]" caption="R-Gross Sales TY $" measure="1" displayFolder="" measureGroup="BI metrics" count="0"/>
    <cacheHierarchy uniqueName="[Measures].[R-M/D TY $]" caption="R-M/D TY $" measure="1" displayFolder="" measureGroup="BI metrics" count="0"/>
    <cacheHierarchy uniqueName="[Measures].[R-Sales ExGST TY $]" caption="R-Sales ExGST TY $" measure="1" displayFolder="" measureGroup="BI metrics" count="0"/>
    <cacheHierarchy uniqueName="[Measures].[R-CostFinal TY $]" caption="R-CostFinal TY $" measure="1" displayFolder="" measureGroup="BI metrics" count="0"/>
    <cacheHierarchy uniqueName="[Measures].[R-Sale Budget TY $]" caption="R-Sale Budget TY $" measure="1" displayFolder="" measureGroup="BI metrics" count="0"/>
    <cacheHierarchy uniqueName="[Measures].[R-Trading Margin TY $]" caption="R-Trading Margin TY $" measure="1" displayFolder="" measureGroup="BI metrics" count="0"/>
    <cacheHierarchy uniqueName="[Measures].[R-GM % TY]" caption="R-GM % TY" measure="1" displayFolder="" measureGroup="BI metrics" count="0"/>
    <cacheHierarchy uniqueName="[Measures].[R-Budget Variance TY]" caption="R-Budget Variance TY" measure="1" displayFolder="" measureGroup="BI metrics" count="0"/>
    <cacheHierarchy uniqueName="[Measures].[R-Gross Sales LY $]" caption="R-Gross Sales LY $" measure="1" displayFolder="" measureGroup="BI metrics" count="0"/>
    <cacheHierarchy uniqueName="[Measures].[R-M/D LY $]" caption="R-M/D LY $" measure="1" displayFolder="" measureGroup="BI metrics" count="0"/>
    <cacheHierarchy uniqueName="[Measures].[R-Sales ExGST LY $]" caption="R-Sales ExGST LY $" measure="1" displayFolder="" measureGroup="BI metrics" count="0"/>
    <cacheHierarchy uniqueName="[Measures].[R-CostFinal LY $]" caption="R-CostFinal LY $" measure="1" displayFolder="" measureGroup="BI metrics" count="0"/>
    <cacheHierarchy uniqueName="[Measures].[R-Trading Margin LY $]" caption="R-Trading Margin LY $" measure="1" displayFolder="" measureGroup="BI metrics" count="0"/>
    <cacheHierarchy uniqueName="[Measures].[R-Sales Budget LY $]" caption="R-Sales Budget LY $" measure="1" displayFolder="" measureGroup="BI metrics" count="0"/>
    <cacheHierarchy uniqueName="[Measures].[R-Gross Sales YoY]" caption="R-Gross Sales YoY" measure="1" displayFolder="" measureGroup="BI metrics" count="0"/>
    <cacheHierarchy uniqueName="[Measures].[R-M/D YoY]" caption="R-M/D YoY" measure="1" displayFolder="" measureGroup="BI metrics" count="0"/>
    <cacheHierarchy uniqueName="[Measures].[R-Sales ExGST YoY]" caption="R-Sales ExGST YoY" measure="1" displayFolder="" measureGroup="BI metrics" count="0"/>
    <cacheHierarchy uniqueName="[Measures].[R-CostFinal YoY]" caption="R-CostFinal YoY" measure="1" displayFolder="" measureGroup="BI metrics" count="0"/>
    <cacheHierarchy uniqueName="[Measures].[R-Trading Margin YoY]" caption="R-Trading Margin YoY" measure="1" displayFolder="" measureGroup="BI metrics" count="0"/>
    <cacheHierarchy uniqueName="[Measures].[R-Sales ExGST TY $(Amart)]" caption="R-Sales ExGST TY $(Amart)" measure="1" displayFolder="aa_Quadrant-Amart" measureGroup="BI metrics" count="0"/>
    <cacheHierarchy uniqueName="[Measures].[Delivered Sales Ex GST LY]" caption="Delivered Sales Ex GST LY" measure="1" displayFolder="" measureGroup="BI metrics" count="0"/>
    <cacheHierarchy uniqueName="[Measures].[R-Sales ExGST LY $(Amart)]" caption="R-Sales ExGST LY $(Amart)" measure="1" displayFolder="aa_Quadrant-Amart" measureGroup="BI metrics" count="0"/>
    <cacheHierarchy uniqueName="[Measures].[Delivered Sales ExGST LY 1]" caption="Delivered Sales ExGST LY 1" measure="1" displayFolder="" measureGroup="BI metrics" count="0"/>
    <cacheHierarchy uniqueName="[Measures].[R-Sales ExGST YoY(Amart)]" caption="R-Sales ExGST YoY(Amart)" measure="1" displayFolder="aa_Quadrant-Amart" measureGroup="BI metrics" count="0"/>
    <cacheHierarchy uniqueName="[Measures].[R-Sale Budget TY $(Amart)]" caption="R-Sale Budget TY $(Amart)" measure="1" displayFolder="aa_Quadrant-Amart" measureGroup="BI metrics" count="0"/>
    <cacheHierarchy uniqueName="[Measures].[R-Budget Variance TY(Amart)]" caption="R-Budget Variance TY(Amart)" measure="1" displayFolder="aa_Quadrant-Amart" measureGroup="BI metrics" count="0"/>
    <cacheHierarchy uniqueName="[Measures].[R-Trading Margin TY $(Amart)]" caption="R-Trading Margin TY $(Amart)" measure="1" displayFolder="aa_Quadrant-Amart" measureGroup="BI metrics" count="0"/>
    <cacheHierarchy uniqueName="[Measures].[Gross Margin LY]" caption="Gross Margin LY" measure="1" displayFolder="aa_Quadrant-Amart" measureGroup="BI metrics" count="0"/>
    <cacheHierarchy uniqueName="[Measures].[R-Trading Margin LY $(Amart)]" caption="R-Trading Margin LY $(Amart)" measure="1" displayFolder="aa_Quadrant-Amart" measureGroup="BI metrics" count="0"/>
    <cacheHierarchy uniqueName="[Measures].[Gross Sales LY]" caption="Gross Sales LY" measure="1" displayFolder="aa_Quadrant-Amart" measureGroup="BI metrics" count="0"/>
    <cacheHierarchy uniqueName="[Measures].[R-Gross Sales TY $(Amart)]" caption="R-Gross Sales TY $(Amart)" measure="1" displayFolder="aa_Quadrant-Amart" measureGroup="BI metrics" count="0"/>
    <cacheHierarchy uniqueName="[Measures].[R-Gross Sales LY $(Amart)]" caption="R-Gross Sales LY $(Amart)" measure="1" displayFolder="aa_Quadrant-Amart" measureGroup="BI metrics" count="0"/>
    <cacheHierarchy uniqueName="[Measures].[R-Gross Sales YoY(Amart)]" caption="R-Gross Sales YoY(Amart)" measure="1" displayFolder="aa_Quadrant-Amart" measureGroup="BI metrics" count="0"/>
    <cacheHierarchy uniqueName="[Measures].[R-Trading Margin YoY(Amart)]" caption="R-Trading Margin YoY(Amart)" measure="1" displayFolder="aa_Quadrant-Amart" measureGroup="BI metrics" count="0"/>
    <cacheHierarchy uniqueName="[Measures].[Markdown LY]" caption="Markdown LY" measure="1" displayFolder="aa_Quadrant-Amart" measureGroup="BI metrics" count="0"/>
    <cacheHierarchy uniqueName="[Measures].[R-M/D TY $(Amart)]" caption="R-M/D TY $(Amart)" measure="1" displayFolder="aa_Quadrant-Amart" measureGroup="BI metrics" count="0"/>
    <cacheHierarchy uniqueName="[Measures].[R-M/D LY $(Amart)]" caption="R-M/D LY $(Amart)" measure="1" displayFolder="aa_Quadrant-Amart" measureGroup="BI metrics" count="0"/>
    <cacheHierarchy uniqueName="[Measures].[R-M/D YoY(Amart)]" caption="R-M/D YoY(Amart)" measure="1" displayFolder="aa_Quadrant-Amart" measureGroup="BI metrics" count="0"/>
    <cacheHierarchy uniqueName="[Measures].[COSTFINAL LY]" caption="COSTFINAL LY" measure="1" displayFolder="aa_Quadrant-Amart" measureGroup="BI metrics" count="0"/>
    <cacheHierarchy uniqueName="[Measures].[R-CostFinal TY $(Amart)]" caption="R-CostFinal TY $(Amart)" measure="1" displayFolder="aa_Quadrant-Amart" measureGroup="BI metrics" count="0"/>
    <cacheHierarchy uniqueName="[Measures].[R-CostFinal LY $(Amart)]" caption="R-CostFinal LY $(Amart)" measure="1" displayFolder="aa_Quadrant-Amart" measureGroup="BI metrics" count="0"/>
    <cacheHierarchy uniqueName="[Measures].[R-CostFinal YoY(Amart)]" caption="R-CostFinal YoY(Amart)" measure="1" displayFolder="aa_Quadrant-Amart" measureGroup="BI metrics" count="0"/>
    <cacheHierarchy uniqueName="[Measures].[R-GM % TY(Amart)]" caption="R-GM % TY(Amart)" measure="1" displayFolder="aa_Quadrant-Amart" measureGroup="BI metrics" count="0"/>
    <cacheHierarchy uniqueName="[Measures].[R-sales ExGST LY NFY]" caption="R-sales ExGST LY NFY" measure="1" displayFolder="" measureGroup="BI metrics" count="0"/>
    <cacheHierarchy uniqueName="[Measures].[R-Sales ExGST LY $(Amart) NFY]" caption="R-Sales ExGST LY $(Amart) NFY" measure="1" displayFolder="aa_Quadrant-Amart" measureGroup="BI metrics" count="0"/>
    <cacheHierarchy uniqueName="[Measures].[__Default measure]" caption="__Default measure" measure="1" displayFolder="" count="0" hidden="1"/>
  </cacheHierarchies>
  <kpis count="0"/>
  <dimensions count="15">
    <dimension name="BI metrics" uniqueName="[BI metrics]" caption="BI metrics"/>
    <dimension name="BI vw_Budget Duplicate" uniqueName="[BI vw_Budget Duplicate]" caption="BI vw_Budget Duplicate"/>
    <dimension name="BI vw_BudgetDeliveredSalesByStore" uniqueName="[BI vw_BudgetDeliveredSalesByStore]" caption="BI vw_BudgetDeliveredSalesByStore"/>
    <dimension name="BI vw_Dynamics_FFAFDropshipwholesaleprice" uniqueName="[BI vw_Dynamics_FFAFDropshipwholesaleprice]" caption="BI vw_Dynamics_FFAFDropshipwholesaleprice"/>
    <dimension name="BI vw_DynamicsDeliveredSales" uniqueName="[BI vw_DynamicsDeliveredSales]" caption="BI vw_DynamicsDeliveredSales"/>
    <dimension name="BI vw_FinCalendar" uniqueName="[BI vw_FinCalendar]" caption="BI vw_FinCalendar"/>
    <dimension name="BI vw_Store" uniqueName="[BI vw_Store]" caption="BI vw_Store"/>
    <dimension name="CalendarMapping" uniqueName="[CalendarMapping]" caption="CalendarMapping"/>
    <dimension name="DC SO" uniqueName="[DC SO]" caption="DC SO"/>
    <dimension name="dim_period" uniqueName="[dim_period]" caption="dim_period"/>
    <dimension measure="1" name="Measures" uniqueName="[Measures]" caption="Measures"/>
    <dimension name="Month Sort" uniqueName="[Month Sort]" caption="Month Sort"/>
    <dimension name="TimePeriod" uniqueName="[TimePeriod]" caption="TimePeriod"/>
    <dimension name="TimePeriodSort" uniqueName="[TimePeriodSort]" caption="TimePeriodSort"/>
    <dimension name="TimePeriodSort_Amart" uniqueName="[TimePeriodSort_Amart]" caption="TimePeriodSort_Amart"/>
  </dimensions>
  <measureGroups count="23">
    <measureGroup name="BI metrics" caption="BI metrics"/>
    <measureGroup name="BI vw_Budget Duplicate" caption="BI vw_Budget Duplicate"/>
    <measureGroup name="BI vw_BudgetDeliveredSalesByStore" caption="BI vw_BudgetDeliveredSalesByStore"/>
    <measureGroup name="BI vw_Dynamics_FFAFDropshipwholesaleprice" caption="BI vw_Dynamics_FFAFDropshipwholesaleprice"/>
    <measureGroup name="BI vw_DynamicsDeliveredSales" caption="BI vw_DynamicsDeliveredSales"/>
    <measureGroup name="BI vw_FinCalendar" caption="BI vw_FinCalendar"/>
    <measureGroup name="BI vw_MarkdownCategory" caption="BI vw_MarkdownCategory"/>
    <measureGroup name="BI vw_Store" caption="BI vw_Store"/>
    <measureGroup name="BI vw_Store (2)" caption="BI vw_Store (2)"/>
    <measureGroup name="CalendarMapping" caption="CalendarMapping"/>
    <measureGroup name="DateTableTemplate_3f9b2c98-215a-4ac6-bb5b-5edb3fb7613d" caption="DateTableTemplate_3f9b2c98-215a-4ac6-bb5b-5edb3fb7613d"/>
    <measureGroup name="DC SO" caption="DC SO"/>
    <measureGroup name="dim_period" caption="dim_period"/>
    <measureGroup name="LocalDateTable_2dc8ec59-2991-4ed7-b97f-b3968012b3bf" caption="LocalDateTable_2dc8ec59-2991-4ed7-b97f-b3968012b3bf"/>
    <measureGroup name="LocalDateTable_35b2b28c-5e49-4861-9014-eb0865a61f58" caption="LocalDateTable_35b2b28c-5e49-4861-9014-eb0865a61f58"/>
    <measureGroup name="LocalDateTable_3ea1f34c-3b67-443a-8479-d47192825849" caption="LocalDateTable_3ea1f34c-3b67-443a-8479-d47192825849"/>
    <measureGroup name="LocalDateTable_44c7d4ef-ea67-4ad2-970c-4dd712d1bff0" caption="LocalDateTable_44c7d4ef-ea67-4ad2-970c-4dd712d1bff0"/>
    <measureGroup name="Measure" caption="Measure"/>
    <measureGroup name="Month Sort" caption="Month Sort"/>
    <measureGroup name="Period Measures" caption="Period Measures"/>
    <measureGroup name="TimePeriod" caption="TimePeriod"/>
    <measureGroup name="TimePeriodSort" caption="TimePeriodSort"/>
    <measureGroup name="TimePeriodSort_Amart" caption="TimePeriodSort_Amart"/>
  </measureGroups>
  <maps count="49">
    <map measureGroup="0" dimension="0"/>
    <map measureGroup="0" dimension="13"/>
    <map measureGroup="0" dimension="14"/>
    <map measureGroup="1" dimension="1"/>
    <map measureGroup="1" dimension="5"/>
    <map measureGroup="1" dimension="6"/>
    <map measureGroup="1" dimension="7"/>
    <map measureGroup="1" dimension="11"/>
    <map measureGroup="2" dimension="0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1"/>
    <map measureGroup="2" dimension="13"/>
    <map measureGroup="2" dimension="14"/>
    <map measureGroup="3" dimension="3"/>
    <map measureGroup="4" dimension="0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  <map measureGroup="4" dimension="11"/>
    <map measureGroup="4" dimension="13"/>
    <map measureGroup="4" dimension="14"/>
    <map measureGroup="5" dimension="5"/>
    <map measureGroup="5" dimension="7"/>
    <map measureGroup="5" dimension="11"/>
    <map measureGroup="7" dimension="6"/>
    <map measureGroup="8" dimension="6"/>
    <map measureGroup="9" dimension="5"/>
    <map measureGroup="9" dimension="7"/>
    <map measureGroup="9" dimension="11"/>
    <map measureGroup="11" dimension="8"/>
    <map measureGroup="12" dimension="9"/>
    <map measureGroup="18" dimension="11"/>
    <map measureGroup="20" dimension="12"/>
    <map measureGroup="21" dimension="13"/>
    <map measureGroup="21" dimension="14"/>
    <map measureGroup="22" dimension="13"/>
    <map measureGroup="2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55.603500694444" backgroundQuery="1" createdVersion="8" refreshedVersion="8" minRefreshableVersion="3" recordCount="0" supportSubquery="1" supportAdvancedDrill="1" xr:uid="{BAC450EC-F90C-4D62-808E-9DF0E879F714}">
  <cacheSource type="external" connectionId="1"/>
  <cacheFields count="8">
    <cacheField name="[BI metrics].[TimePeriod].[TimePeriod]" caption="TimePeriod" numFmtId="0" hierarchy="16" level="1">
      <sharedItems containsSemiMixedTypes="0" containsString="0"/>
    </cacheField>
    <cacheField name="[BI metrics].[Fin_Period].[Fin_Period]" caption="Fin_Period" numFmtId="0" level="1">
      <sharedItems count="7"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</sharedItems>
    </cacheField>
    <cacheField name="[BI vw_DynamicsDeliveredSales].[CHANNEL].[CHANNEL]" caption="CHANNEL" numFmtId="0" hierarchy="38" level="1">
      <sharedItems count="3">
        <s v="[BI vw_DynamicsDeliveredSales].[CHANNEL].&amp;[Dropship]" c="Dropship"/>
        <s v="[BI vw_DynamicsDeliveredSales].[CHANNEL].&amp;[In Store]" c="In Store"/>
        <s v="[BI vw_DynamicsDeliveredSales].[CHANNEL].&amp;[Online]" c="Online"/>
      </sharedItems>
    </cacheField>
    <cacheField name="[BI vw_Store].[Country].[Country]" caption="Country" numFmtId="0" hierarchy="142" level="1">
      <sharedItems count="1">
        <s v="[BI vw_Store].[Country].&amp;[AU]" c="AU"/>
      </sharedItems>
    </cacheField>
    <cacheField name="[BI vw_Store].[BranchType].[BranchType]" caption="BranchType" numFmtId="0" hierarchy="140" level="1">
      <sharedItems containsSemiMixedTypes="0" containsString="0"/>
    </cacheField>
    <cacheField name="[BI vw_DynamicsDeliveredSales].[Sales Order Type].[Sales Order Type]" caption="Sales Order Type" numFmtId="0" hierarchy="101" level="1">
      <sharedItems containsSemiMixedTypes="0" containsString="0"/>
    </cacheField>
    <cacheField name="[BI vw_DynamicsDeliveredSales].[Division].[Division]" caption="Division" numFmtId="0" hierarchy="60" level="1">
      <sharedItems count="2">
        <s v="[BI vw_DynamicsDeliveredSales].[Division].&amp;[Furniture]" c="Furniture"/>
        <s v="[BI vw_DynamicsDeliveredSales].[Division].&amp;[Homewares]" c="Homewares"/>
      </sharedItems>
    </cacheField>
    <cacheField name="[Measures].[R-Sales ExGST LY $]" caption="R-Sales ExGST LY $" numFmtId="0" hierarchy="275" level="32767"/>
  </cacheFields>
  <cacheHierarchies count="311"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1"/>
      </fieldsUsage>
    </cacheHierarchy>
    <cacheHierarchy uniqueName="[BI metrics].[Fin_Week]" caption="Fin_Week" attribute="1" defaultMemberUniqueName="[BI metrics].[Fin_Week].[All]" allUniqueName="[BI metrics].[Fin_Week].[All]" dimensionUniqueName="[BI metrics]" displayFolder="" count="0" memberValueDatatype="130" unbalanced="0"/>
    <cacheHierarchy uniqueName="[BI metrics].[Fin_Year]" caption="Fin_Year" attribute="1" defaultMemberUniqueName="[BI metrics].[Fin_Year].[All]" allUniqueName="[BI metrics].[Fin_Year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13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5" unbalanced="0"/>
    <cacheHierarchy uniqueName="[BI metrics].[LastYear_Week]" caption="LastYear_Week" attribute="1" defaultMemberUniqueName="[BI metrics].[LastYear_Week].[All]" allUniqueName="[BI metrics].[LastYear_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5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5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0"/>
      </fieldsUsage>
    </cacheHierarchy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vw_Budget Duplicate].[BudgetDollar]" caption="BudgetDollar" attribute="1" defaultMemberUniqueName="[BI vw_Budget Duplicate].[BudgetDollar].[All]" allUniqueName="[BI vw_Budget Duplicate].[BudgetDollar].[All]" dimensionUniqueName="[BI vw_Budget Duplicate]" displayFolder="" count="0" memberValueDatatype="6" unbalanced="0"/>
    <cacheHierarchy uniqueName="[BI vw_Budget Duplicate].[BudgetYear]" caption="BudgetYear" attribute="1" defaultMemberUniqueName="[BI vw_Budget Duplicate].[BudgetYear].[All]" allUniqueName="[BI vw_Budget Duplicate].[BudgetYear].[All]" dimensionUniqueName="[BI vw_Budget Duplicate]" displayFolder="" count="0" memberValueDatatype="20" unbalanced="0"/>
    <cacheHierarchy uniqueName="[BI vw_Budget Duplicate].[FinPeriod]" caption="FinPeriod" attribute="1" defaultMemberUniqueName="[BI vw_Budget Duplicate].[FinPeriod].[All]" allUniqueName="[BI vw_Budget Duplicate].[FinPeriod].[All]" dimensionUniqueName="[BI vw_Budget Duplicate]" displayFolder="" count="0" memberValueDatatype="130" unbalanced="0"/>
    <cacheHierarchy uniqueName="[BI vw_Budget Duplicate].[Store]" caption="Store" attribute="1" defaultMemberUniqueName="[BI vw_Budget Duplicate].[Store].[All]" allUniqueName="[BI vw_Budget Duplicate].[Store].[All]" dimensionUniqueName="[BI vw_Budget Duplicate]" displayFolder="" count="0" memberValueDatatype="130" unbalanced="0"/>
    <cacheHierarchy uniqueName="[BI vw_Budget Duplicate].[YearFinPeriod]" caption="YearFinPeriod" attribute="1" defaultMemberUniqueName="[BI vw_Budget Duplicate].[YearFinPeriod].[All]" allUniqueName="[BI vw_Budget Duplicate].[YearFinPeriod].[All]" dimensionUniqueName="[BI vw_Budget Duplicate]" displayFolder="" count="0" memberValueDatatype="130" unbalanced="0"/>
    <cacheHierarchy uniqueName="[BI vw_BudgetDeliveredSalesByStore].[Budget_Key]" caption="Budget_Key" attribute="1" defaultMemberUniqueName="[BI vw_BudgetDeliveredSalesByStore].[Budget_Key].[All]" allUniqueName="[BI vw_BudgetDeliveredSalesByStore].[Budget_Key].[All]" dimensionUniqueName="[BI vw_BudgetDeliveredSalesByStore]" displayFolder="" count="0" memberValueDatatype="130" unbalanced="0"/>
    <cacheHierarchy uniqueName="[BI vw_BudgetDeliveredSalesByStore].[BudgetDollar]" caption="BudgetDollar" attribute="1" defaultMemberUniqueName="[BI vw_BudgetDeliveredSalesByStore].[BudgetDollar].[All]" allUniqueName="[BI vw_BudgetDeliveredSalesByStore].[BudgetDollar].[All]" dimensionUniqueName="[BI vw_BudgetDeliveredSalesByStore]" displayFolder="" count="0" memberValueDatatype="6" unbalanced="0"/>
    <cacheHierarchy uniqueName="[BI vw_BudgetDeliveredSalesByStore].[BudgetYear]" caption="BudgetYear" attribute="1" defaultMemberUniqueName="[BI vw_BudgetDeliveredSalesByStore].[BudgetYear].[All]" allUniqueName="[BI vw_BudgetDeliveredSalesByStore].[BudgetYear].[All]" dimensionUniqueName="[BI vw_BudgetDeliveredSalesByStore]" displayFolder="" count="0" memberValueDatatype="20" unbalanced="0"/>
    <cacheHierarchy uniqueName="[BI vw_BudgetDeliveredSalesByStore].[FinPeriod]" caption="FinPeriod" attribute="1" defaultMemberUniqueName="[BI vw_BudgetDeliveredSalesByStore].[FinPeriod].[All]" allUniqueName="[BI vw_BudgetDeliveredSalesByStore].[FinPeriod].[All]" dimensionUniqueName="[BI vw_BudgetDeliveredSalesByStore]" displayFolder="" count="0" memberValueDatatype="130" unbalanced="0"/>
    <cacheHierarchy uniqueName="[BI vw_BudgetDeliveredSalesByStore].[Store]" caption="Store" attribute="1" defaultMemberUniqueName="[BI vw_BudgetDeliveredSalesByStore].[Store].[All]" allUniqueName="[BI vw_BudgetDeliveredSalesByStore].[Store].[All]" dimensionUniqueName="[BI vw_BudgetDeliveredSalesByStore]" displayFolder="" count="0" memberValueDatatype="130" unbalanced="0"/>
    <cacheHierarchy uniqueName="[BI vw_BudgetDeliveredSalesByStore].[YearFinPeriod]" caption="YearFinPeriod" attribute="1" defaultMemberUniqueName="[BI vw_BudgetDeliveredSalesByStore].[YearFinPeriod].[All]" allUniqueName="[BI vw_BudgetDeliveredSalesByStore].[YearFinPeriod].[All]" dimensionUniqueName="[BI vw_BudgetDeliveredSalesByStore]" displayFolder="" count="0" memberValueDatatype="130" unbalanced="0"/>
    <cacheHierarchy uniqueName="[BI vw_Dynamics_FFAFDropshipwholesaleprice].[Key]" caption="Key" attribute="1" defaultMemberUniqueName="[BI vw_Dynamics_FFAFDropshipwholesaleprice].[Key].[All]" allUniqueName="[BI vw_Dynamics_FFAFDropshipwholesaleprice].[Key].[All]" dimensionUniqueName="[BI vw_Dynamics_FFAFDropshipwholesaleprice]" displayFolder="" count="0" memberValueDatatype="130" unbalanced="0"/>
    <cacheHierarchy uniqueName="[BI vw_Dynamics_FFAFDropshipwholesaleprice].[WholeSalePrice_FFAFdropship]" caption="WholeSalePrice_FFAFdropship" attribute="1" defaultMemberUniqueName="[BI vw_Dynamics_FFAFDropshipwholesaleprice].[WholeSalePrice_FFAFdropship].[All]" allUniqueName="[BI vw_Dynamics_FFAFDropshipwholesaleprice].[WholeSalePrice_FFAFdropship].[All]" dimensionUniqueName="[BI vw_Dynamics_FFAFDropshipwholesaleprice]" displayFolder="" count="0" memberValueDatatype="5" unbalanced="0"/>
    <cacheHierarchy uniqueName="[BI vw_DynamicsDeliveredSales].[AU-AU]" caption="AU-AU" attribute="1" defaultMemberUniqueName="[BI vw_DynamicsDeliveredSales].[AU-AU].[All]" allUniqueName="[BI vw_DynamicsDeliveredSales].[AU-AU].[All]" dimensionUniqueName="[BI vw_DynamicsDeliveredSales]" displayFolder="" count="0" memberValueDatatype="5" unbalanced="0"/>
    <cacheHierarchy uniqueName="[BI vw_DynamicsDeliveredSales].[AU-NZ]" caption="AU-NZ" attribute="1" defaultMemberUniqueName="[BI vw_DynamicsDeliveredSales].[AU-NZ].[All]" allUniqueName="[BI vw_DynamicsDeliveredSales].[AU-NZ].[All]" dimensionUniqueName="[BI vw_DynamicsDeliveredSales]" displayFolder="" count="0" memberValueDatatype="5" unbalanced="0"/>
    <cacheHierarchy uniqueName="[BI vw_DynamicsDeliveredSales].[BI vw_Dynamics_FFAFDropshipwholesaleprice.WholeSalePrice_FFAFdropship]" caption="BI vw_Dynamics_FFAFDropshipwholesaleprice.WholeSalePrice_FFAFdropship" attribute="1" defaultMemberUniqueName="[BI vw_DynamicsDeliveredSales].[BI vw_Dynamics_FFAFDropshipwholesaleprice.WholeSalePrice_FFAFdropship].[All]" allUniqueName="[BI vw_DynamicsDeliveredSales].[BI vw_Dynamics_FFAFDropshipwholesaleprice.WholeSalePrice_FFAFdropship].[All]" dimensionUniqueName="[BI vw_DynamicsDeliveredSales]" displayFolder="" count="0" memberValueDatatype="5" unbalanced="0"/>
    <cacheHierarchy uniqueName="[BI vw_DynamicsDeliveredSales].[BranchType]" caption="BranchType" attribute="1" defaultMemberUniqueName="[BI vw_DynamicsDeliveredSales].[BranchType].[All]" allUniqueName="[BI vw_DynamicsDeliveredSales].[BranchType].[All]" dimensionUniqueName="[BI vw_DynamicsDeliveredSales]" displayFolder="" count="0" memberValueDatatype="130" unbalanced="0"/>
    <cacheHierarchy uniqueName="[BI vw_DynamicsDeliveredSales].[Budget_Key]" caption="Budget_Key" attribute="1" defaultMemberUniqueName="[BI vw_DynamicsDeliveredSales].[Budget_Key].[All]" allUniqueName="[BI vw_DynamicsDeliveredSales].[Budget_Key].[All]" dimensionUniqueName="[BI vw_DynamicsDeliveredSales]" displayFolder="" count="0" memberValueDatatype="130" unbalanced="0"/>
    <cacheHierarchy uniqueName="[BI vw_DynamicsDeliveredSales].[CHANNEL]" caption="CHANNEL" attribute="1" defaultMemberUniqueName="[BI vw_DynamicsDeliveredSales].[CHANNEL].[All]" allUniqueName="[BI vw_DynamicsDeliveredSales].[CHANNEL].[All]" dimensionUniqueName="[BI vw_DynamicsDeliveredSales]" displayFolder="" count="2" memberValueDatatype="130" unbalanced="0">
      <fieldsUsage count="2">
        <fieldUsage x="-1"/>
        <fieldUsage x="2"/>
      </fieldsUsage>
    </cacheHierarchy>
    <cacheHierarchy uniqueName="[BI vw_DynamicsDeliveredSales].[ClassDesc]" caption="ClassDesc" attribute="1" defaultMemberUniqueName="[BI vw_DynamicsDeliveredSales].[ClassDesc].[All]" allUniqueName="[BI vw_DynamicsDeliveredSales].[ClassDesc].[All]" dimensionUniqueName="[BI vw_DynamicsDeliveredSales]" displayFolder="" count="0" memberValueDatatype="130" unbalanced="0"/>
    <cacheHierarchy uniqueName="[BI vw_DynamicsDeliveredSales].[COMPANY]" caption="COMPANY" attribute="1" defaultMemberUniqueName="[BI vw_DynamicsDeliveredSales].[COMPANY].[All]" allUniqueName="[BI vw_DynamicsDeliveredSales].[COMPANY].[All]" dimensionUniqueName="[BI vw_DynamicsDeliveredSales]" displayFolder="" count="0" memberValueDatatype="130" unbalanced="0"/>
    <cacheHierarchy uniqueName="[BI vw_DynamicsDeliveredSales].[CONTRIBUTIONMARGIN]" caption="CONTRIBUTIONMARGIN" attribute="1" defaultMemberUniqueName="[BI vw_DynamicsDeliveredSales].[CONTRIBUTIONMARGIN].[All]" allUniqueName="[BI vw_DynamicsDeliveredSales].[CONTRIBUTIONMARGIN].[All]" dimensionUniqueName="[BI vw_DynamicsDeliveredSales]" displayFolder="" count="0" memberValueDatatype="5" unbalanced="0"/>
    <cacheHierarchy uniqueName="[BI vw_DynamicsDeliveredSales].[CONTRIBUTIONMARGININVOICED]" caption="CONTRIBUTIONMARGININVOICED" attribute="1" defaultMemberUniqueName="[BI vw_DynamicsDeliveredSales].[CONTRIBUTIONMARGININVOICED].[All]" allUniqueName="[BI vw_DynamicsDeliveredSales].[CONTRIBUTIONMARGININVOICED].[All]" dimensionUniqueName="[BI vw_DynamicsDeliveredSales]" displayFolder="" count="0" memberValueDatatype="5" unbalanced="0"/>
    <cacheHierarchy uniqueName="[BI vw_DynamicsDeliveredSales].[COSTAMOUNTSTD]" caption="COSTAMOUNTSTD" attribute="1" defaultMemberUniqueName="[BI vw_DynamicsDeliveredSales].[COSTAMOUNTSTD].[All]" allUniqueName="[BI vw_DynamicsDeliveredSales].[COSTAMOUNTSTD].[All]" dimensionUniqueName="[BI vw_DynamicsDeliveredSales]" displayFolder="" count="0" memberValueDatatype="5" unbalanced="0"/>
    <cacheHierarchy uniqueName="[BI vw_DynamicsDeliveredSales].[COSTAMOUNTSTDADJUSTMENT]" caption="COSTAMOUNTSTDADJUSTMENT" attribute="1" defaultMemberUniqueName="[BI vw_DynamicsDeliveredSales].[COSTAMOUNTSTDADJUSTMENT].[All]" allUniqueName="[BI vw_DynamicsDeliveredSales].[COSTAMOUNTSTDADJUSTMENT].[All]" dimensionUniqueName="[BI vw_DynamicsDeliveredSales]" displayFolder="" count="0" memberValueDatatype="5" unbalanced="0"/>
    <cacheHierarchy uniqueName="[BI vw_DynamicsDeliveredSales].[COSTINVOICEDCOST]" caption="COSTINVOICEDCOST" attribute="1" defaultMemberUniqueName="[BI vw_DynamicsDeliveredSales].[COSTINVOICEDCOST].[All]" allUniqueName="[BI vw_DynamicsDeliveredSales].[COSTINVOICEDCOST].[All]" dimensionUniqueName="[BI vw_DynamicsDeliveredSales]" displayFolder="" count="0" memberValueDatatype="5" unbalanced="0"/>
    <cacheHierarchy uniqueName="[BI vw_DynamicsDeliveredSales].[Country]" caption="Country" attribute="1" defaultMemberUniqueName="[BI vw_DynamicsDeliveredSales].[Country].[All]" allUniqueName="[BI vw_DynamicsDeliveredSales].[Country].[All]" dimensionUniqueName="[BI vw_DynamicsDeliveredSales]" displayFolder="" count="0" memberValueDatatype="130" unbalanced="0"/>
    <cacheHierarchy uniqueName="[BI vw_DynamicsDeliveredSales].[CUSTACCOUNT]" caption="CUSTACCOUNT" attribute="1" defaultMemberUniqueName="[BI vw_DynamicsDeliveredSales].[CUSTACCOUNT].[All]" allUniqueName="[BI vw_DynamicsDeliveredSales].[CUSTACCOUNT].[All]" dimensionUniqueName="[BI vw_DynamicsDeliveredSales]" displayFolder="" count="0" memberValueDatatype="130" unbalanced="0"/>
    <cacheHierarchy uniqueName="[BI vw_DynamicsDeliveredSales].[CUSTACCOUNT - Copy]" caption="CUSTACCOUNT - Copy" attribute="1" defaultMemberUniqueName="[BI vw_DynamicsDeliveredSales].[CUSTACCOUNT - Copy].[All]" allUniqueName="[BI vw_DynamicsDeliveredSales].[CUSTACCOUNT - Copy].[All]" dimensionUniqueName="[BI vw_DynamicsDeliveredSales]" displayFolder="" count="0" memberValueDatatype="130" unbalanced="0"/>
    <cacheHierarchy uniqueName="[BI vw_DynamicsDeliveredSales].[CUSTOMERNAME]" caption="CUSTOMERNAME" attribute="1" defaultMemberUniqueName="[BI vw_DynamicsDeliveredSales].[CUSTOMERNAME].[All]" allUniqueName="[BI vw_DynamicsDeliveredSales].[CUSTOMERNAME].[All]" dimensionUniqueName="[BI vw_DynamicsDeliveredSales]" displayFolder="" count="0" memberValueDatatype="130" unbalanced="0"/>
    <cacheHierarchy uniqueName="[BI vw_DynamicsDeliveredSales].[CUSTOMERSORDERREFERENCE]" caption="CUSTOMERSORDERREFERENCE" attribute="1" defaultMemberUniqueName="[BI vw_DynamicsDeliveredSales].[CUSTOMERSORDERREFERENCE].[All]" allUniqueName="[BI vw_DynamicsDeliveredSales].[CUSTOMERSORDERREFERENCE].[All]" dimensionUniqueName="[BI vw_DynamicsDeliveredSales]" displayFolder="" count="0" memberValueDatatype="130" unbalanced="0"/>
    <cacheHierarchy uniqueName="[BI vw_DynamicsDeliveredSales].[DATAAREAID]" caption="DATAAREAID" attribute="1" defaultMemberUniqueName="[BI vw_DynamicsDeliveredSales].[DATAAREAID].[All]" allUniqueName="[BI vw_DynamicsDeliveredSales].[DATAAREAID].[All]" dimensionUniqueName="[BI vw_DynamicsDeliveredSales]" displayFolder="" count="0" memberValueDatatype="130" unbalanced="0"/>
    <cacheHierarchy uniqueName="[BI vw_DynamicsDeliveredSales].[DC Name]" caption="DC Name" attribute="1" defaultMemberUniqueName="[BI vw_DynamicsDeliveredSales].[DC Name].[All]" allUniqueName="[BI vw_DynamicsDeliveredSales].[DC Name].[All]" dimensionUniqueName="[BI vw_DynamicsDeliveredSales]" displayFolder="" count="0" memberValueDatatype="130" unbalanced="0"/>
    <cacheHierarchy uniqueName="[BI vw_DynamicsDeliveredSales].[DC SO Name]" caption="DC SO Name" attribute="1" defaultMemberUniqueName="[BI vw_DynamicsDeliveredSales].[DC SO Name].[All]" allUniqueName="[BI vw_DynamicsDeliveredSales].[DC SO Name].[All]" dimensionUniqueName="[BI vw_DynamicsDeliveredSales]" displayFolder="" count="0" memberValueDatatype="20" unbalanced="0"/>
    <cacheHierarchy uniqueName="[BI vw_DynamicsDeliveredSales].[DEFAULTLEDGERDIMENSIONDISPLAYVALUE]" caption="DEFAULTLEDGERDIMENSIONDISPLAYVALUE" attribute="1" defaultMemberUniqueName="[BI vw_DynamicsDeliveredSales].[DEFAULTLEDGERDIMENSIONDISPLAYVALUE].[All]" allUniqueName="[BI vw_DynamicsDeliveredSales].[DEFAULTLEDGERDIMENSIONDISPLAYVALUE].[All]" dimensionUniqueName="[BI vw_DynamicsDeliveredSales]" displayFolder="" count="0" memberValueDatatype="130" unbalanced="0"/>
    <cacheHierarchy uniqueName="[BI vw_DynamicsDeliveredSales].[DEFAULTSHIPPINGWAREHOUSEID]" caption="DEFAULTSHIPPINGWAREHOUSEID" attribute="1" defaultMemberUniqueName="[BI vw_DynamicsDeliveredSales].[DEFAULTSHIPPINGWAREHOUSEID].[All]" allUniqueName="[BI vw_DynamicsDeliveredSales].[DEFAULTSHIPPINGWAREHOUSEID].[All]" dimensionUniqueName="[BI vw_DynamicsDeliveredSales]" displayFolder="" count="0" memberValueDatatype="130" unbalanced="0"/>
    <cacheHierarchy uniqueName="[BI vw_DynamicsDeliveredSales].[DELIVERYMODECODE]" caption="DELIVERYMODECODE" attribute="1" defaultMemberUniqueName="[BI vw_DynamicsDeliveredSales].[DELIVERYMODECODE].[All]" allUniqueName="[BI vw_DynamicsDeliveredSales].[DELIVERYMODECODE].[All]" dimensionUniqueName="[BI vw_DynamicsDeliveredSales]" displayFolder="" count="0" memberValueDatatype="130" unbalanced="0"/>
    <cacheHierarchy uniqueName="[BI vw_DynamicsDeliveredSales].[Department]" caption="Department" attribute="1" defaultMemberUniqueName="[BI vw_DynamicsDeliveredSales].[Department].[All]" allUniqueName="[BI vw_DynamicsDeliveredSales].[Department].[All]" dimensionUniqueName="[BI vw_DynamicsDeliveredSales]" displayFolder="" count="0" memberValueDatatype="5" unbalanced="0"/>
    <cacheHierarchy uniqueName="[BI vw_DynamicsDeliveredSales].[DepartmentDesc]" caption="DepartmentDesc" attribute="1" defaultMemberUniqueName="[BI vw_DynamicsDeliveredSales].[DepartmentDesc].[All]" allUniqueName="[BI vw_DynamicsDeliveredSales].[DepartmentDesc].[All]" dimensionUniqueName="[BI vw_DynamicsDeliveredSales]" displayFolder="" count="0" memberValueDatatype="130" unbalanced="0"/>
    <cacheHierarchy uniqueName="[BI vw_DynamicsDeliveredSales].[DISCINVOICEDDISC]" caption="DISCINVOICEDDISC" attribute="1" defaultMemberUniqueName="[BI vw_DynamicsDeliveredSales].[DISCINVOICEDDISC].[All]" allUniqueName="[BI vw_DynamicsDeliveredSales].[DISCINVOICEDDISC].[All]" dimensionUniqueName="[BI vw_DynamicsDeliveredSales]" displayFolder="" count="0" memberValueDatatype="5" unbalanced="0"/>
    <cacheHierarchy uniqueName="[BI vw_DynamicsDeliveredSales].[Division]" caption="Division" attribute="1" defaultMemberUniqueName="[BI vw_DynamicsDeliveredSales].[Division].[All]" allUniqueName="[BI vw_DynamicsDeliveredSales].[Division].[All]" dimensionUniqueName="[BI vw_DynamicsDeliveredSales]" displayFolder="" count="2" memberValueDatatype="130" unbalanced="0">
      <fieldsUsage count="2">
        <fieldUsage x="-1"/>
        <fieldUsage x="6"/>
      </fieldsUsage>
    </cacheHierarchy>
    <cacheHierarchy uniqueName="[BI vw_DynamicsDeliveredSales].[Dropship]" caption="Dropship" attribute="1" defaultMemberUniqueName="[BI vw_DynamicsDeliveredSales].[Dropship].[All]" allUniqueName="[BI vw_DynamicsDeliveredSales].[Dropship].[All]" dimensionUniqueName="[BI vw_DynamicsDeliveredSales]" displayFolder="" count="0" memberValueDatatype="130" unbalanced="0"/>
    <cacheHierarchy uniqueName="[BI vw_DynamicsDeliveredSales].[DXC_BASEITEMNUMBER]" caption="DXC_BASEITEMNUMBER" attribute="1" defaultMemberUniqueName="[BI vw_DynamicsDeliveredSales].[DXC_BASEITEMNUMBER].[All]" allUniqueName="[BI vw_DynamicsDeliveredSales].[DXC_BASEITEMNUMBER].[All]" dimensionUniqueName="[BI vw_DynamicsDeliveredSales]" displayFolder="" count="0" memberValueDatatype="130" unbalanced="0"/>
    <cacheHierarchy uniqueName="[BI vw_DynamicsDeliveredSales].[dxc_EXTERNALCREATEDDATE]" caption="dxc_EXTERNALCREATEDDATE" attribute="1" time="1" defaultMemberUniqueName="[BI vw_DynamicsDeliveredSales].[dxc_EXTERNALCREATEDDATE].[All]" allUniqueName="[BI vw_DynamicsDeliveredSales].[dxc_EXTERNALCREATEDDATE].[All]" dimensionUniqueName="[BI vw_DynamicsDeliveredSales]" displayFolder="" count="0" memberValueDatatype="7" unbalanced="0"/>
    <cacheHierarchy uniqueName="[BI vw_DynamicsDeliveredSales].[DXC_EXTERNALITEMNUMBER]" caption="DXC_EXTERNALITEMNUMBER" attribute="1" defaultMemberUniqueName="[BI vw_DynamicsDeliveredSales].[DXC_EXTERNALITEMNUMBER].[All]" allUniqueName="[BI vw_DynamicsDeliveredSales].[DXC_EXTERNALITEMNUMBER].[All]" dimensionUniqueName="[BI vw_DynamicsDeliveredSales]" displayFolder="" count="0" memberValueDatatype="130" unbalanced="0"/>
    <cacheHierarchy uniqueName="[BI vw_DynamicsDeliveredSales].[DXC_SALESPERSONID]" caption="DXC_SALESPERSONID" attribute="1" defaultMemberUniqueName="[BI vw_DynamicsDeliveredSales].[DXC_SALESPERSONID].[All]" allUniqueName="[BI vw_DynamicsDeliveredSales].[DXC_SALESPERSONID].[All]" dimensionUniqueName="[BI vw_DynamicsDeliveredSales]" displayFolder="" count="0" memberValueDatatype="130" unbalanced="0"/>
    <cacheHierarchy uniqueName="[BI vw_DynamicsDeliveredSales].[FINALUPC]" caption="FINALUPC" attribute="1" defaultMemberUniqueName="[BI vw_DynamicsDeliveredSales].[FINALUPC].[All]" allUniqueName="[BI vw_DynamicsDeliveredSales].[FINALUPC].[All]" dimensionUniqueName="[BI vw_DynamicsDeliveredSales]" displayFolder="" count="0" memberValueDatatype="20" unbalanced="0"/>
    <cacheHierarchy uniqueName="[BI vw_DynamicsDeliveredSales].[FinPeriod]" caption="FinPeriod" attribute="1" defaultMemberUniqueName="[BI vw_DynamicsDeliveredSales].[FinPeriod].[All]" allUniqueName="[BI vw_DynamicsDeliveredSales].[FinPeriod].[All]" dimensionUniqueName="[BI vw_DynamicsDeliveredSales]" displayFolder="" count="0" memberValueDatatype="20" unbalanced="0"/>
    <cacheHierarchy uniqueName="[BI vw_DynamicsDeliveredSales].[FinPeriod Cal]" caption="FinPeriod Cal" attribute="1" defaultMemberUniqueName="[BI vw_DynamicsDeliveredSales].[FinPeriod Cal].[All]" allUniqueName="[BI vw_DynamicsDeliveredSales].[FinPeriod Cal].[All]" dimensionUniqueName="[BI vw_DynamicsDeliveredSales]" displayFolder="" count="0" memberValueDatatype="20" unbalanced="0"/>
    <cacheHierarchy uniqueName="[BI vw_DynamicsDeliveredSales].[FirstWeek-Month]" caption="FirstWeek-Month" attribute="1" defaultMemberUniqueName="[BI vw_DynamicsDeliveredSales].[FirstWeek-Month].[All]" allUniqueName="[BI vw_DynamicsDeliveredSales].[FirstWeek-Month].[All]" dimensionUniqueName="[BI vw_DynamicsDeliveredSales]" displayFolder="" count="0" memberValueDatatype="20" unbalanced="0"/>
    <cacheHierarchy uniqueName="[BI vw_DynamicsDeliveredSales].[FirstWeek-QTD]" caption="FirstWeek-QTD" attribute="1" defaultMemberUniqueName="[BI vw_DynamicsDeliveredSales].[FirstWeek-QTD].[All]" allUniqueName="[BI vw_DynamicsDeliveredSales].[FirstWeek-QTD].[All]" dimensionUniqueName="[BI vw_DynamicsDeliveredSales]" displayFolder="" count="0" memberValueDatatype="20" unbalanced="0"/>
    <cacheHierarchy uniqueName="[BI vw_DynamicsDeliveredSales].[FirstWeek-Year]" caption="FirstWeek-Year" attribute="1" defaultMemberUniqueName="[BI vw_DynamicsDeliveredSales].[FirstWeek-Year].[All]" allUniqueName="[BI vw_DynamicsDeliveredSales].[FirstWeek-Year].[All]" dimensionUniqueName="[BI vw_DynamicsDeliveredSales]" displayFolder="" count="0" memberValueDatatype="130" unbalanced="0"/>
    <cacheHierarchy uniqueName="[BI vw_DynamicsDeliveredSales].[GROSSINVOICEDGROSS]" caption="GROSSINVOICEDGROSS" attribute="1" defaultMemberUniqueName="[BI vw_DynamicsDeliveredSales].[GROSSINVOICEDGROSS].[All]" allUniqueName="[BI vw_DynamicsDeliveredSales].[GROSSINVOICEDGROSS].[All]" dimensionUniqueName="[BI vw_DynamicsDeliveredSales]" displayFolder="" count="0" memberValueDatatype="5" unbalanced="0"/>
    <cacheHierarchy uniqueName="[BI vw_DynamicsDeliveredSales].[INVENTTRANSID]" caption="INVENTTRANSID" attribute="1" defaultMemberUniqueName="[BI vw_DynamicsDeliveredSales].[INVENTTRANSID].[All]" allUniqueName="[BI vw_DynamicsDeliveredSales].[INVENTTRANSID].[All]" dimensionUniqueName="[BI vw_DynamicsDeliveredSales]" displayFolder="" count="0" memberValueDatatype="130" unbalanced="0"/>
    <cacheHierarchy uniqueName="[BI vw_DynamicsDeliveredSales].[INVOICEDATE]" caption="INVOICEDATE" attribute="1" time="1" defaultMemberUniqueName="[BI vw_DynamicsDeliveredSales].[INVOICEDATE].[All]" allUniqueName="[BI vw_DynamicsDeliveredSales].[INVOICEDATE].[All]" dimensionUniqueName="[BI vw_DynamicsDeliveredSales]" displayFolder="" count="0" memberValueDatatype="7" unbalanced="0"/>
    <cacheHierarchy uniqueName="[BI vw_DynamicsDeliveredSales].[INVOICEID]" caption="INVOICEID" attribute="1" defaultMemberUniqueName="[BI vw_DynamicsDeliveredSales].[INVOICEID].[All]" allUniqueName="[BI vw_DynamicsDeliveredSales].[INVOICEID].[All]" dimensionUniqueName="[BI vw_DynamicsDeliveredSales]" displayFolder="" count="0" memberValueDatatype="130" unbalanced="0"/>
    <cacheHierarchy uniqueName="[BI vw_DynamicsDeliveredSales].[ISSELECTED]" caption="ISSELECTED" attribute="1" defaultMemberUniqueName="[BI vw_DynamicsDeliveredSales].[ISSELECTED].[All]" allUniqueName="[BI vw_DynamicsDeliveredSales].[ISSELECTED].[All]" dimensionUniqueName="[BI vw_DynamicsDeliveredSales]" displayFolder="" count="0" memberValueDatatype="20" unbalanced="0"/>
    <cacheHierarchy uniqueName="[BI vw_DynamicsDeliveredSales].[ITEMID]" caption="ITEMID" attribute="1" defaultMemberUniqueName="[BI vw_DynamicsDeliveredSales].[ITEMID].[All]" allUniqueName="[BI vw_DynamicsDeliveredSales].[ITEMID].[All]" dimensionUniqueName="[BI vw_DynamicsDeliveredSales]" displayFolder="" count="0" memberValueDatatype="130" unbalanced="0"/>
    <cacheHierarchy uniqueName="[BI vw_DynamicsDeliveredSales].[ITEMNAME]" caption="ITEMNAME" attribute="1" defaultMemberUniqueName="[BI vw_DynamicsDeliveredSales].[ITEMNAME].[All]" allUniqueName="[BI vw_DynamicsDeliveredSales].[ITEMNAME].[All]" dimensionUniqueName="[BI vw_DynamicsDeliveredSales]" displayFolder="" count="0" memberValueDatatype="130" unbalanced="0"/>
    <cacheHierarchy uniqueName="[BI vw_DynamicsDeliveredSales].[ITEMTYPE]" caption="ITEMTYPE" attribute="1" defaultMemberUniqueName="[BI vw_DynamicsDeliveredSales].[ITEMTYPE].[All]" allUniqueName="[BI vw_DynamicsDeliveredSales].[ITEMTYPE].[All]" dimensionUniqueName="[BI vw_DynamicsDeliveredSales]" displayFolder="" count="0" memberValueDatatype="130" unbalanced="0"/>
    <cacheHierarchy uniqueName="[BI vw_DynamicsDeliveredSales].[LINECREATIONSEQUENCENUMBER]" caption="LINECREATIONSEQUENCENUMBER" attribute="1" defaultMemberUniqueName="[BI vw_DynamicsDeliveredSales].[LINECREATIONSEQUENCENUMBER].[All]" allUniqueName="[BI vw_DynamicsDeliveredSales].[LINECREATIONSEQUENCENUMBER].[All]" dimensionUniqueName="[BI vw_DynamicsDeliveredSales]" displayFolder="" count="0" memberValueDatatype="20" unbalanced="0"/>
    <cacheHierarchy uniqueName="[BI vw_DynamicsDeliveredSales].[LINEDISC]" caption="LINEDISC" attribute="1" defaultMemberUniqueName="[BI vw_DynamicsDeliveredSales].[LINEDISC].[All]" allUniqueName="[BI vw_DynamicsDeliveredSales].[LINEDISC].[All]" dimensionUniqueName="[BI vw_DynamicsDeliveredSales]" displayFolder="" count="0" memberValueDatatype="5" unbalanced="0"/>
    <cacheHierarchy uniqueName="[BI vw_DynamicsDeliveredSales].[LINENUM]" caption="LINENUM" attribute="1" defaultMemberUniqueName="[BI vw_DynamicsDeliveredSales].[LINENUM].[All]" allUniqueName="[BI vw_DynamicsDeliveredSales].[LINENUM].[All]" dimensionUniqueName="[BI vw_DynamicsDeliveredSales]" displayFolder="" count="0" memberValueDatatype="20" unbalanced="0"/>
    <cacheHierarchy uniqueName="[BI vw_DynamicsDeliveredSales].[MarkdownAmounts.1]" caption="MarkdownAmounts.1" attribute="1" defaultMemberUniqueName="[BI vw_DynamicsDeliveredSales].[MarkdownAmounts.1].[All]" allUniqueName="[BI vw_DynamicsDeliveredSales].[MarkdownAmounts.1].[All]" dimensionUniqueName="[BI vw_DynamicsDeliveredSales]" displayFolder="" count="0" memberValueDatatype="5" unbalanced="0"/>
    <cacheHierarchy uniqueName="[BI vw_DynamicsDeliveredSales].[MarkdownAmounts.2]" caption="MarkdownAmounts.2" attribute="1" defaultMemberUniqueName="[BI vw_DynamicsDeliveredSales].[MarkdownAmounts.2].[All]" allUniqueName="[BI vw_DynamicsDeliveredSales].[MarkdownAmounts.2].[All]" dimensionUniqueName="[BI vw_DynamicsDeliveredSales]" displayFolder="" count="0" memberValueDatatype="5" unbalanced="0"/>
    <cacheHierarchy uniqueName="[BI vw_DynamicsDeliveredSales].[MarkdownCategory.1]" caption="MarkdownCategory.1" attribute="1" defaultMemberUniqueName="[BI vw_DynamicsDeliveredSales].[MarkdownCategory.1].[All]" allUniqueName="[BI vw_DynamicsDeliveredSales].[MarkdownCategory.1].[All]" dimensionUniqueName="[BI vw_DynamicsDeliveredSales]" displayFolder="" count="0" memberValueDatatype="130" unbalanced="0"/>
    <cacheHierarchy uniqueName="[BI vw_DynamicsDeliveredSales].[MarkdownCategory.2]" caption="MarkdownCategory.2" attribute="1" defaultMemberUniqueName="[BI vw_DynamicsDeliveredSales].[MarkdownCategory.2].[All]" allUniqueName="[BI vw_DynamicsDeliveredSales].[MarkdownCategory.2].[All]" dimensionUniqueName="[BI vw_DynamicsDeliveredSales]" displayFolder="" count="0" memberValueDatatype="130" unbalanced="0"/>
    <cacheHierarchy uniqueName="[BI vw_DynamicsDeliveredSales].[MarkdownCodes.1]" caption="MarkdownCodes.1" attribute="1" defaultMemberUniqueName="[BI vw_DynamicsDeliveredSales].[MarkdownCodes.1].[All]" allUniqueName="[BI vw_DynamicsDeliveredSales].[MarkdownCodes.1].[All]" dimensionUniqueName="[BI vw_DynamicsDeliveredSales]" displayFolder="" count="0" memberValueDatatype="130" unbalanced="0"/>
    <cacheHierarchy uniqueName="[BI vw_DynamicsDeliveredSales].[MarkdownCodes.2]" caption="MarkdownCodes.2" attribute="1" defaultMemberUniqueName="[BI vw_DynamicsDeliveredSales].[MarkdownCodes.2].[All]" allUniqueName="[BI vw_DynamicsDeliveredSales].[MarkdownCodes.2].[All]" dimensionUniqueName="[BI vw_DynamicsDeliveredSales]" displayFolder="" count="0" memberValueDatatype="130" unbalanced="0"/>
    <cacheHierarchy uniqueName="[BI vw_DynamicsDeliveredSales].[Merged]" caption="Merged" attribute="1" defaultMemberUniqueName="[BI vw_DynamicsDeliveredSales].[Merged].[All]" allUniqueName="[BI vw_DynamicsDeliveredSales].[Merged].[All]" dimensionUniqueName="[BI vw_DynamicsDeliveredSales]" displayFolder="" count="0" memberValueDatatype="130" unbalanced="0"/>
    <cacheHierarchy uniqueName="[BI vw_DynamicsDeliveredSales].[NETINVOICEDNET]" caption="NETINVOICEDNET" attribute="1" defaultMemberUniqueName="[BI vw_DynamicsDeliveredSales].[NETINVOICEDNET].[All]" allUniqueName="[BI vw_DynamicsDeliveredSales].[NETINVOICEDNET].[All]" dimensionUniqueName="[BI vw_DynamicsDeliveredSales]" displayFolder="" count="0" memberValueDatatype="5" unbalanced="0"/>
    <cacheHierarchy uniqueName="[BI vw_DynamicsDeliveredSales].[NETSALESNET]" caption="NETSALESNET" attribute="1" defaultMemberUniqueName="[BI vw_DynamicsDeliveredSales].[NETSALESNET].[All]" allUniqueName="[BI vw_DynamicsDeliveredSales].[NETSALESNET].[All]" dimensionUniqueName="[BI vw_DynamicsDeliveredSales]" displayFolder="" count="0" memberValueDatatype="5" unbalanced="0"/>
    <cacheHierarchy uniqueName="[BI vw_DynamicsDeliveredSales].[NZ-NZ]" caption="NZ-NZ" attribute="1" defaultMemberUniqueName="[BI vw_DynamicsDeliveredSales].[NZ-NZ].[All]" allUniqueName="[BI vw_DynamicsDeliveredSales].[NZ-NZ].[All]" dimensionUniqueName="[BI vw_DynamicsDeliveredSales]" displayFolder="" count="0" memberValueDatatype="5" unbalanced="0"/>
    <cacheHierarchy uniqueName="[BI vw_DynamicsDeliveredSales].[ORDERCREATIONDATETIME]" caption="ORDERCREATIONDATETIME" attribute="1" time="1" defaultMemberUniqueName="[BI vw_DynamicsDeliveredSales].[ORDERCREATIONDATETIME].[All]" allUniqueName="[BI vw_DynamicsDeliveredSales].[ORDERCREATIONDATETIME].[All]" dimensionUniqueName="[BI vw_DynamicsDeliveredSales]" displayFolder="" count="0" memberValueDatatype="7" unbalanced="0"/>
    <cacheHierarchy uniqueName="[BI vw_DynamicsDeliveredSales].[PARTITION]" caption="PARTITION" attribute="1" defaultMemberUniqueName="[BI vw_DynamicsDeliveredSales].[PARTITION].[All]" allUniqueName="[BI vw_DynamicsDeliveredSales].[PARTITION].[All]" dimensionUniqueName="[BI vw_DynamicsDeliveredSales]" displayFolder="" count="0" memberValueDatatype="130" unbalanced="0"/>
    <cacheHierarchy uniqueName="[BI vw_DynamicsDeliveredSales].[PRODUCTTYPE]" caption="PRODUCTTYPE" attribute="1" defaultMemberUniqueName="[BI vw_DynamicsDeliveredSales].[PRODUCTTYPE].[All]" allUniqueName="[BI vw_DynamicsDeliveredSales].[PRODUCTTYPE].[All]" dimensionUniqueName="[BI vw_DynamicsDeliveredSales]" displayFolder="" count="0" memberValueDatatype="20" unbalanced="0"/>
    <cacheHierarchy uniqueName="[BI vw_DynamicsDeliveredSales].[QTY]" caption="QTY" attribute="1" defaultMemberUniqueName="[BI vw_DynamicsDeliveredSales].[QTY].[All]" allUniqueName="[BI vw_DynamicsDeliveredSales].[QTY].[All]" dimensionUniqueName="[BI vw_DynamicsDeliveredSales]" displayFolder="" count="0" memberValueDatatype="5" unbalanced="0"/>
    <cacheHierarchy uniqueName="[BI vw_DynamicsDeliveredSales].[Range]" caption="Range" attribute="1" defaultMemberUniqueName="[BI vw_DynamicsDeliveredSales].[Range].[All]" allUniqueName="[BI vw_DynamicsDeliveredSales].[Range].[All]" dimensionUniqueName="[BI vw_DynamicsDeliveredSales]" displayFolder="" count="0" memberValueDatatype="130" unbalanced="0"/>
    <cacheHierarchy uniqueName="[BI vw_DynamicsDeliveredSales].[RECID]" caption="RECID" attribute="1" defaultMemberUniqueName="[BI vw_DynamicsDeliveredSales].[RECID].[All]" allUniqueName="[BI vw_DynamicsDeliveredSales].[RECID].[All]" dimensionUniqueName="[BI vw_DynamicsDeliveredSales]" displayFolder="" count="0" memberValueDatatype="20" unbalanced="0"/>
    <cacheHierarchy uniqueName="[BI vw_DynamicsDeliveredSales].[Retail/Not]" caption="Retail/Not" attribute="1" defaultMemberUniqueName="[BI vw_DynamicsDeliveredSales].[Retail/Not].[All]" allUniqueName="[BI vw_DynamicsDeliveredSales].[Retail/Not].[All]" dimensionUniqueName="[BI vw_DynamicsDeliveredSales]" displayFolder="" count="0" memberValueDatatype="130" unbalanced="0"/>
    <cacheHierarchy uniqueName="[BI vw_DynamicsDeliveredSales].[SaleOrderLineNumber]" caption="SaleOrderLineNumber" attribute="1" defaultMemberUniqueName="[BI vw_DynamicsDeliveredSales].[SaleOrderLineNumber].[All]" allUniqueName="[BI vw_DynamicsDeliveredSales].[SaleOrderLineNumber].[All]" dimensionUniqueName="[BI vw_DynamicsDeliveredSales]" displayFolder="" count="0" memberValueDatatype="20" unbalanced="0"/>
    <cacheHierarchy uniqueName="[BI vw_DynamicsDeliveredSales].[Sales Order Type]" caption="Sales Order Type" attribute="1" defaultMemberUniqueName="[BI vw_DynamicsDeliveredSales].[Sales Order Type].[All]" allUniqueName="[BI vw_DynamicsDeliveredSales].[Sales Order Type].[All]" dimensionUniqueName="[BI vw_DynamicsDeliveredSales]" displayFolder="" count="2" memberValueDatatype="130" unbalanced="0">
      <fieldsUsage count="2">
        <fieldUsage x="-1"/>
        <fieldUsage x="5"/>
      </fieldsUsage>
    </cacheHierarchy>
    <cacheHierarchy uniqueName="[BI vw_DynamicsDeliveredSales].[Sales Type]" caption="Sales Type" attribute="1" defaultMemberUniqueName="[BI vw_DynamicsDeliveredSales].[Sales Type].[All]" allUniqueName="[BI vw_DynamicsDeliveredSales].[Sales Type].[All]" dimensionUniqueName="[BI vw_DynamicsDeliveredSales]" displayFolder="" count="0" memberValueDatatype="130" unbalanced="0"/>
    <cacheHierarchy uniqueName="[BI vw_DynamicsDeliveredSales].[SALESID]" caption="SALESID" attribute="1" defaultMemberUniqueName="[BI vw_DynamicsDeliveredSales].[SALESID].[All]" allUniqueName="[BI vw_DynamicsDeliveredSales].[SALESID].[All]" dimensionUniqueName="[BI vw_DynamicsDeliveredSales]" displayFolder="" count="0" memberValueDatatype="130" unbalanced="0"/>
    <cacheHierarchy uniqueName="[BI vw_DynamicsDeliveredSales].[SALESORDERNUMBER]" caption="SALESORDERNUMBER" attribute="1" defaultMemberUniqueName="[BI vw_DynamicsDeliveredSales].[SALESORDERNUMBER].[All]" allUniqueName="[BI vw_DynamicsDeliveredSales].[SALESORDERNUMBER].[All]" dimensionUniqueName="[BI vw_DynamicsDeliveredSales]" displayFolder="" count="0" memberValueDatatype="130" unbalanced="0"/>
    <cacheHierarchy uniqueName="[BI vw_DynamicsDeliveredSales].[SALESPRICE]" caption="SALESPRICE" attribute="1" defaultMemberUniqueName="[BI vw_DynamicsDeliveredSales].[SALESPRICE].[All]" allUniqueName="[BI vw_DynamicsDeliveredSales].[SALESPRICE].[All]" dimensionUniqueName="[BI vw_DynamicsDeliveredSales]" displayFolder="" count="0" memberValueDatatype="5" unbalanced="0"/>
    <cacheHierarchy uniqueName="[BI vw_DynamicsDeliveredSales].[SHIPPINGWAREHOUSEID]" caption="SHIPPINGWAREHOUSEID" attribute="1" defaultMemberUniqueName="[BI vw_DynamicsDeliveredSales].[SHIPPINGWAREHOUSEID].[All]" allUniqueName="[BI vw_DynamicsDeliveredSales].[SHIPPINGWAREHOUSEID].[All]" dimensionUniqueName="[BI vw_DynamicsDeliveredSales]" displayFolder="" count="0" memberValueDatatype="130" unbalanced="0"/>
    <cacheHierarchy uniqueName="[BI vw_DynamicsDeliveredSales].[StoreCode]" caption="StoreCode" attribute="1" defaultMemberUniqueName="[BI vw_DynamicsDeliveredSales].[StoreCode].[All]" allUniqueName="[BI vw_DynamicsDeliveredSales].[StoreCode].[All]" dimensionUniqueName="[BI vw_DynamicsDeliveredSales]" displayFolder="" count="0" memberValueDatatype="130" unbalanced="0"/>
    <cacheHierarchy uniqueName="[BI vw_DynamicsDeliveredSales].[SubDepartmentDesc]" caption="SubDepartmentDesc" attribute="1" defaultMemberUniqueName="[BI vw_DynamicsDeliveredSales].[SubDepartmentDesc].[All]" allUniqueName="[BI vw_DynamicsDeliveredSales].[SubDepartmentDesc].[All]" dimensionUniqueName="[BI vw_DynamicsDeliveredSales]" displayFolder="" count="0" memberValueDatatype="130" unbalanced="0"/>
    <cacheHierarchy uniqueName="[BI vw_DynamicsDeliveredSales].[TAXAMOUNT]" caption="TAXAMOUNT" attribute="1" defaultMemberUniqueName="[BI vw_DynamicsDeliveredSales].[TAXAMOUNT].[All]" allUniqueName="[BI vw_DynamicsDeliveredSales].[TAXAMOUNT].[All]" dimensionUniqueName="[BI vw_DynamicsDeliveredSales]" displayFolder="" count="0" memberValueDatatype="5" unbalanced="0"/>
    <cacheHierarchy uniqueName="[BI vw_DynamicsDeliveredSales].[TAXGROUP]" caption="TAXGROUP" attribute="1" defaultMemberUniqueName="[BI vw_DynamicsDeliveredSales].[TAXGROUP].[All]" allUniqueName="[BI vw_DynamicsDeliveredSales].[TAXGROUP].[All]" dimensionUniqueName="[BI vw_DynamicsDeliveredSales]" displayFolder="" count="0" memberValueDatatype="130" unbalanced="0"/>
    <cacheHierarchy uniqueName="[BI vw_DynamicsDeliveredSales].[Total Cost Final]" caption="Total Cost Final" attribute="1" defaultMemberUniqueName="[BI vw_DynamicsDeliveredSales].[Total Cost Final].[All]" allUniqueName="[BI vw_DynamicsDeliveredSales].[Total Cost Final].[All]" dimensionUniqueName="[BI vw_DynamicsDeliveredSales]" displayFolder="" count="0" memberValueDatatype="130" unbalanced="0"/>
    <cacheHierarchy uniqueName="[BI vw_DynamicsDeliveredSales].[TRANSFERSTATUS]" caption="TRANSFERSTATUS" attribute="1" defaultMemberUniqueName="[BI vw_DynamicsDeliveredSales].[TRANSFERSTATUS].[All]" allUniqueName="[BI vw_DynamicsDeliveredSales].[TRANSFERSTATUS].[All]" dimensionUniqueName="[BI vw_DynamicsDeliveredSales]" displayFolder="" count="0" memberValueDatatype="20" unbalanced="0"/>
    <cacheHierarchy uniqueName="[BI vw_DynamicsDeliveredSales].[WAREHOUSE]" caption="WAREHOUSE" attribute="1" defaultMemberUniqueName="[BI vw_DynamicsDeliveredSales].[WAREHOUSE].[All]" allUniqueName="[BI vw_DynamicsDeliveredSales].[WAREHOUSE].[All]" dimensionUniqueName="[BI vw_DynamicsDeliveredSales]" displayFolder="" count="0" memberValueDatatype="130" unbalanced="0"/>
    <cacheHierarchy uniqueName="[BI vw_DynamicsDeliveredSales].[Week]" caption="Week" attribute="1" defaultMemberUniqueName="[BI vw_DynamicsDeliveredSales].[Week].[All]" allUniqueName="[BI vw_DynamicsDeliveredSales].[Week].[All]" dimensionUniqueName="[BI vw_DynamicsDeliveredSales]" displayFolder="" count="0" memberValueDatatype="20" unbalanced="0"/>
    <cacheHierarchy uniqueName="[BI vw_DynamicsDeliveredSales].[Year Month]" caption="Year Month" attribute="1" defaultMemberUniqueName="[BI vw_DynamicsDeliveredSales].[Year Month].[All]" allUniqueName="[BI vw_DynamicsDeliveredSales].[Year Month].[All]" dimensionUniqueName="[BI vw_DynamicsDeliveredSales]" displayFolder="" count="0" memberValueDatatype="20" unbalanced="0"/>
    <cacheHierarchy uniqueName="[BI vw_FinCalendar].[Date]" caption="Date" attribute="1" time="1" defaultMemberUniqueName="[BI vw_FinCalendar].[Date].[All]" allUniqueName="[BI vw_FinCalendar].[Date].[All]" dimensionUniqueName="[BI vw_FinCalendar]" displayFolder="" count="0" memberValueDatatype="7" unbalanced="0"/>
    <cacheHierarchy uniqueName="[BI vw_FinCalendar].[Day_Of_Week]" caption="Day_Of_Week" attribute="1" defaultMemberUniqueName="[BI vw_FinCalendar].[Day_Of_Week].[All]" allUniqueName="[BI vw_FinCalendar].[Day_Of_Week].[All]" dimensionUniqueName="[BI vw_FinCalendar]" displayFolder="" count="0" memberValueDatatype="130" unbalanced="0"/>
    <cacheHierarchy uniqueName="[BI vw_FinCalendar].[Day_Of_Week_Sort]" caption="Day_Of_Week_Sort" attribute="1" defaultMemberUniqueName="[BI vw_FinCalendar].[Day_Of_Week_Sort].[All]" allUniqueName="[BI vw_FinCalendar].[Day_Of_Week_Sort].[All]" dimensionUniqueName="[BI vw_FinCalendar]" displayFolder="" count="0" memberValueDatatype="130" unbalanced="0"/>
    <cacheHierarchy uniqueName="[BI vw_FinCalendar].[Fin_Period]" caption="Fin_Period" attribute="1" defaultMemberUniqueName="[BI vw_FinCalendar].[Fin_Period].[All]" allUniqueName="[BI vw_FinCalendar].[Fin_Period].[All]" dimensionUniqueName="[BI vw_FinCalendar]" displayFolder="" count="0" memberValueDatatype="20" unbalanced="0"/>
    <cacheHierarchy uniqueName="[BI vw_FinCalendar].[Fin_Week]" caption="Fin_Week" attribute="1" defaultMemberUniqueName="[BI vw_FinCalendar].[Fin_Week].[All]" allUniqueName="[BI vw_FinCalendar].[Fin_Week].[All]" dimensionUniqueName="[BI vw_FinCalendar]" displayFolder="" count="0" memberValueDatatype="20" unbalanced="0"/>
    <cacheHierarchy uniqueName="[BI vw_FinCalendar].[Fin_Year]" caption="Fin_Year" attribute="1" defaultMemberUniqueName="[BI vw_FinCalendar].[Fin_Year].[All]" allUniqueName="[BI vw_FinCalendar].[Fin_Year].[All]" dimensionUniqueName="[BI vw_FinCalendar]" displayFolder="" count="0" memberValueDatatype="20" unbalanced="0"/>
    <cacheHierarchy uniqueName="[BI vw_FinCalendar].[Fiscal Month]" caption="Fiscal Month" attribute="1" defaultMemberUniqueName="[BI vw_FinCalendar].[Fiscal Month].[All]" allUniqueName="[BI vw_FinCalendar].[Fiscal Month].[All]" dimensionUniqueName="[BI vw_FinCalendar]" displayFolder="" count="0" memberValueDatatype="130" unbalanced="0"/>
    <cacheHierarchy uniqueName="[BI vw_FinCalendar].[FY]" caption="FY" attribute="1" defaultMemberUniqueName="[BI vw_FinCalendar].[FY].[All]" allUniqueName="[BI vw_FinCalendar].[FY].[All]" dimensionUniqueName="[BI vw_FinCalendar]" displayFolder="" count="0" memberValueDatatype="130" unbalanced="0"/>
    <cacheHierarchy uniqueName="[BI vw_FinCalendar].[Is_Last_Week]" caption="Is_Last_Week" attribute="1" defaultMemberUniqueName="[BI vw_FinCalendar].[Is_Last_Week].[All]" allUniqueName="[BI vw_FinCalendar].[Is_Last_Week].[All]" dimensionUniqueName="[BI vw_FinCalendar]" displayFolder="" count="0" memberValueDatatype="20" unbalanced="0"/>
    <cacheHierarchy uniqueName="[BI vw_FinCalendar].[Is_ThisMonth]" caption="Is_ThisMonth" attribute="1" defaultMemberUniqueName="[BI vw_FinCalendar].[Is_ThisMonth].[All]" allUniqueName="[BI vw_FinCalendar].[Is_ThisMonth].[All]" dimensionUniqueName="[BI vw_FinCalendar]" displayFolder="" count="0" memberValueDatatype="20" unbalanced="0"/>
    <cacheHierarchy uniqueName="[BI vw_FinCalendar].[Is_ThisWeek]" caption="Is_ThisWeek" attribute="1" defaultMemberUniqueName="[BI vw_FinCalendar].[Is_ThisWeek].[All]" allUniqueName="[BI vw_FinCalendar].[Is_ThisWeek].[All]" dimensionUniqueName="[BI vw_FinCalendar]" displayFolder="" count="0" memberValueDatatype="20" unbalanced="0"/>
    <cacheHierarchy uniqueName="[BI vw_FinCalendar].[Is_ThisYear]" caption="Is_ThisYear" attribute="1" defaultMemberUniqueName="[BI vw_FinCalendar].[Is_ThisYear].[All]" allUniqueName="[BI vw_FinCalendar].[Is_ThisYear].[All]" dimensionUniqueName="[BI vw_FinCalendar]" displayFolder="" count="0" memberValueDatatype="20" unbalanced="0"/>
    <cacheHierarchy uniqueName="[BI vw_FinCalendar].[Is_Today]" caption="Is_Today" attribute="1" defaultMemberUniqueName="[BI vw_FinCalendar].[Is_Today].[All]" allUniqueName="[BI vw_FinCalendar].[Is_Today].[All]" dimensionUniqueName="[BI vw_FinCalendar]" displayFolder="" count="0" memberValueDatatype="20" unbalanced="0"/>
    <cacheHierarchy uniqueName="[BI vw_FinCalendar].[Month]" caption="Month" attribute="1" defaultMemberUniqueName="[BI vw_FinCalendar].[Month].[All]" allUniqueName="[BI vw_FinCalendar].[Month].[All]" dimensionUniqueName="[BI vw_FinCalendar]" displayFolder="" count="0" memberValueDatatype="130" unbalanced="0"/>
    <cacheHierarchy uniqueName="[BI vw_FinCalendar].[Month_Display]" caption="Month_Display" attribute="1" defaultMemberUniqueName="[BI vw_FinCalendar].[Month_Display].[All]" allUniqueName="[BI vw_FinCalendar].[Month_Display].[All]" dimensionUniqueName="[BI vw_FinCalendar]" displayFolder="" count="0" memberValueDatatype="130" unbalanced="0"/>
    <cacheHierarchy uniqueName="[BI vw_FinCalendar].[Month_Number]" caption="Month_Number" attribute="1" defaultMemberUniqueName="[BI vw_FinCalendar].[Month_Number].[All]" allUniqueName="[BI vw_FinCalendar].[Month_Number].[All]" dimensionUniqueName="[BI vw_FinCalendar]" displayFolder="" count="0" memberValueDatatype="20" unbalanced="0"/>
    <cacheHierarchy uniqueName="[BI vw_FinCalendar].[Quarter]" caption="Quarter" attribute="1" defaultMemberUniqueName="[BI vw_FinCalendar].[Quarter].[All]" allUniqueName="[BI vw_FinCalendar].[Quarter].[All]" dimensionUniqueName="[BI vw_FinCalendar]" displayFolder="" count="0" memberValueDatatype="130" unbalanced="0"/>
    <cacheHierarchy uniqueName="[BI vw_FinCalendar].[Quarter date]" caption="Quarter date" attribute="1" time="1" defaultMemberUniqueName="[BI vw_FinCalendar].[Quarter date].[All]" allUniqueName="[BI vw_FinCalendar].[Quarter date].[All]" dimensionUniqueName="[BI vw_FinCalendar]" displayFolder="" count="0" memberValueDatatype="7" unbalanced="0"/>
    <cacheHierarchy uniqueName="[BI vw_FinCalendar].[Querter]" caption="Querter" attribute="1" defaultMemberUniqueName="[BI vw_FinCalendar].[Querter].[All]" allUniqueName="[BI vw_FinCalendar].[Querter].[All]" dimensionUniqueName="[BI vw_FinCalendar]" displayFolder="" count="0" memberValueDatatype="20" unbalanced="0"/>
    <cacheHierarchy uniqueName="[BI vw_FinCalendar].[Sort_Order]" caption="Sort_Order" attribute="1" defaultMemberUniqueName="[BI vw_FinCalendar].[Sort_Order].[All]" allUniqueName="[BI vw_FinCalendar].[Sort_Order].[All]" dimensionUniqueName="[BI vw_FinCalendar]" displayFolder="" count="0" memberValueDatatype="20" unbalanced="0"/>
    <cacheHierarchy uniqueName="[BI vw_FinCalendar].[Sort_Order1]" caption="Sort_Order1" attribute="1" defaultMemberUniqueName="[BI vw_FinCalendar].[Sort_Order1].[All]" allUniqueName="[BI vw_FinCalendar].[Sort_Order1].[All]" dimensionUniqueName="[BI vw_FinCalendar]" displayFolder="" count="0" memberValueDatatype="20" unbalanced="0"/>
    <cacheHierarchy uniqueName="[BI vw_FinCalendar].[ThisQuarter]" caption="ThisQuarter" attribute="1" defaultMemberUniqueName="[BI vw_FinCalendar].[ThisQuarter].[All]" allUniqueName="[BI vw_FinCalendar].[ThisQuarter].[All]" dimensionUniqueName="[BI vw_FinCalendar]" displayFolder="" count="0" memberValueDatatype="130" unbalanced="0"/>
    <cacheHierarchy uniqueName="[BI vw_FinCalendar].[YearFinPeriod]" caption="YearFinPeriod" attribute="1" defaultMemberUniqueName="[BI vw_FinCalendar].[YearFinPeriod].[All]" allUniqueName="[BI vw_FinCalendar].[YearFinPeriod].[All]" dimensionUniqueName="[BI vw_FinCalendar]" displayFolder="" count="0" memberValueDatatype="130" unbalanced="0"/>
    <cacheHierarchy uniqueName="[BI vw_Store].[AreaLeader]" caption="AreaLeader" attribute="1" defaultMemberUniqueName="[BI vw_Store].[AreaLeader].[All]" allUniqueName="[BI vw_Store].[AreaLeader].[All]" dimensionUniqueName="[BI vw_Store]" displayFolder="" count="0" memberValueDatatype="130" unbalanced="0"/>
    <cacheHierarchy uniqueName="[BI vw_Store].[BranchType]" caption="BranchType" attribute="1" defaultMemberUniqueName="[BI vw_Store].[BranchType].[All]" allUniqueName="[BI vw_Store].[BranchType].[All]" dimensionUniqueName="[BI vw_Store]" displayFolder="" count="2" memberValueDatatype="130" unbalanced="0">
      <fieldsUsage count="2">
        <fieldUsage x="-1"/>
        <fieldUsage x="4"/>
      </fieldsUsage>
    </cacheHierarchy>
    <cacheHierarchy uniqueName="[BI vw_Store].[CompFlag]" caption="CompFlag" attribute="1" defaultMemberUniqueName="[BI vw_Store].[CompFlag].[All]" allUniqueName="[BI vw_Store].[CompFlag].[All]" dimensionUniqueName="[BI vw_Store]" displayFolder="" count="0" memberValueDatatype="130" unbalanced="0"/>
    <cacheHierarchy uniqueName="[BI vw_Store].[Country]" caption="Country" attribute="1" defaultMemberUniqueName="[BI vw_Store].[Country].[All]" allUniqueName="[BI vw_Store].[Country].[All]" dimensionUniqueName="[BI vw_Store]" displayFolder="" count="2" memberValueDatatype="130" unbalanced="0">
      <fieldsUsage count="2">
        <fieldUsage x="-1"/>
        <fieldUsage x="3"/>
      </fieldsUsage>
    </cacheHierarchy>
    <cacheHierarchy uniqueName="[BI vw_Store].[FreedomArea]" caption="FreedomArea" attribute="1" defaultMemberUniqueName="[BI vw_Store].[FreedomArea].[All]" allUniqueName="[BI vw_Store].[FreedomArea].[All]" dimensionUniqueName="[BI vw_Store]" displayFolder="" count="0" memberValueDatatype="5" unbalanced="0"/>
    <cacheHierarchy uniqueName="[BI vw_Store].[IsActive]" caption="IsActive" attribute="1" defaultMemberUniqueName="[BI vw_Store].[IsActive].[All]" allUniqueName="[BI vw_Store].[IsActive].[All]" dimensionUniqueName="[BI vw_Store]" displayFolder="" count="0" memberValueDatatype="130" unbalanced="0"/>
    <cacheHierarchy uniqueName="[BI vw_Store].[IsDC]" caption="IsDC" attribute="1" defaultMemberUniqueName="[BI vw_Store].[IsDC].[All]" allUniqueName="[BI vw_Store].[IsDC].[All]" dimensionUniqueName="[BI vw_Store]" displayFolder="" count="0" memberValueDatatype="11" unbalanced="0"/>
    <cacheHierarchy uniqueName="[BI vw_Store].[IsHO]" caption="IsHO" attribute="1" defaultMemberUniqueName="[BI vw_Store].[IsHO].[All]" allUniqueName="[BI vw_Store].[IsHO].[All]" dimensionUniqueName="[BI vw_Store]" displayFolder="" count="0" memberValueDatatype="11" unbalanced="0"/>
    <cacheHierarchy uniqueName="[BI vw_Store].[State]" caption="State" attribute="1" defaultMemberUniqueName="[BI vw_Store].[State].[All]" allUniqueName="[BI vw_Store].[State].[All]" dimensionUniqueName="[BI vw_Store]" displayFolder="" count="0" memberValueDatatype="130" unbalanced="0"/>
    <cacheHierarchy uniqueName="[BI vw_Store].[StoreCategory]" caption="StoreCategory" attribute="1" defaultMemberUniqueName="[BI vw_Store].[StoreCategory].[All]" allUniqueName="[BI vw_Store].[StoreCategory].[All]" dimensionUniqueName="[BI vw_Store]" displayFolder="" count="0" memberValueDatatype="130" unbalanced="0"/>
    <cacheHierarchy uniqueName="[BI vw_Store].[StoreCode]" caption="StoreCode" attribute="1" defaultMemberUniqueName="[BI vw_Store].[StoreCode].[All]" allUniqueName="[BI vw_Store].[StoreCode].[All]" dimensionUniqueName="[BI vw_Store]" displayFolder="" count="0" memberValueDatatype="130" unbalanced="0"/>
    <cacheHierarchy uniqueName="[BI vw_Store].[StoreKey]" caption="StoreKey" attribute="1" defaultMemberUniqueName="[BI vw_Store].[StoreKey].[All]" allUniqueName="[BI vw_Store].[StoreKey].[All]" dimensionUniqueName="[BI vw_Store]" displayFolder="" count="0" memberValueDatatype="130" unbalanced="0"/>
    <cacheHierarchy uniqueName="[BI vw_Store].[StoreName]" caption="StoreName" attribute="1" defaultMemberUniqueName="[BI vw_Store].[StoreName].[All]" allUniqueName="[BI vw_Store].[StoreName].[All]" dimensionUniqueName="[BI vw_Store]" displayFolder="" count="0" memberValueDatatype="130" unbalanced="0"/>
    <cacheHierarchy uniqueName="[BI vw_Store].[StoreType]" caption="StoreType" attribute="1" defaultMemberUniqueName="[BI vw_Store].[StoreType].[All]" allUniqueName="[BI vw_Store].[StoreType].[All]" dimensionUniqueName="[BI vw_Store]" displayFolder="" count="0" memberValueDatatype="130" unbalanced="0"/>
    <cacheHierarchy uniqueName="[BI vw_Store].[SubLeasedArea]" caption="SubLeasedArea" attribute="1" defaultMemberUniqueName="[BI vw_Store].[SubLeasedArea].[All]" allUniqueName="[BI vw_Store].[SubLeasedArea].[All]" dimensionUniqueName="[BI vw_Store]" displayFolder="" count="0" memberValueDatatype="5" unbalanced="0"/>
    <cacheHierarchy uniqueName="[BI vw_Store].[SubLeasedCompany]" caption="SubLeasedCompany" attribute="1" defaultMemberUniqueName="[BI vw_Store].[SubLeasedCompany].[All]" allUniqueName="[BI vw_Store].[SubLeasedCompany].[All]" dimensionUniqueName="[BI vw_Store]" displayFolder="" count="0" memberValueDatatype="130" unbalanced="0"/>
    <cacheHierarchy uniqueName="[BI vw_Store].[TotalArea]" caption="TotalArea" attribute="1" defaultMemberUniqueName="[BI vw_Store].[TotalArea].[All]" allUniqueName="[BI vw_Store].[TotalArea].[All]" dimensionUniqueName="[BI vw_Store]" displayFolder="" count="0" memberValueDatatype="5" unbalanced="0"/>
    <cacheHierarchy uniqueName="[CalendarMapping].[Fin_Year]" caption="Fin_Year" attribute="1" defaultMemberUniqueName="[CalendarMapping].[Fin_Year].[All]" allUniqueName="[CalendarMapping].[Fin_Year].[All]" dimensionUniqueName="[CalendarMapping]" displayFolder="" count="0" memberValueDatatype="20" unbalanced="0"/>
    <cacheHierarchy uniqueName="[CalendarMapping].[YearFinPeriod]" caption="YearFinPeriod" attribute="1" defaultMemberUniqueName="[CalendarMapping].[YearFinPeriod].[All]" allUniqueName="[CalendarMapping].[YearFinPeriod].[All]" dimensionUniqueName="[CalendarMapping]" displayFolder="" count="0" memberValueDatatype="130" unbalanced="0"/>
    <cacheHierarchy uniqueName="[DC SO].[EntityName]" caption="EntityName" attribute="1" defaultMemberUniqueName="[DC SO].[EntityName].[All]" allUniqueName="[DC SO].[EntityName].[All]" dimensionUniqueName="[DC SO]" displayFolder="" count="0" memberValueDatatype="130" unbalanced="0"/>
    <cacheHierarchy uniqueName="[DC SO].[SortOrder]" caption="SortOrder" attribute="1" defaultMemberUniqueName="[DC SO].[SortOrder].[All]" allUniqueName="[DC SO].[SortOrder].[All]" dimensionUniqueName="[DC SO]" displayFolder="" count="0" memberValueDatatype="20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Quarter]" caption="Quarter" attribute="1" defaultMemberUniqueName="[dim_period].[Quarter].[All]" allUniqueName="[dim_period].[Quarter].[All]" dimensionUniqueName="[dim_period]" displayFolder="" count="0" memberValueDatatype="13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Month Sort].[Month_Display]" caption="Month_Display" attribute="1" defaultMemberUniqueName="[Month Sort].[Month_Display].[All]" allUniqueName="[Month Sort].[Month_Display].[All]" dimensionUniqueName="[Month Sort]" displayFolder="" count="0" memberValueDatatype="130" unbalanced="0"/>
    <cacheHierarchy uniqueName="[Month Sort].[Number]" caption="Number" attribute="1" defaultMemberUniqueName="[Month Sort].[Number].[All]" allUniqueName="[Month Sort].[Number].[All]" dimensionUniqueName="[Month Sort]" displayFolder="" count="0" memberValueDatatype="20" unbalanced="0"/>
    <cacheHierarchy uniqueName="[Month Sort].[Sort_Order1]" caption="Sort_Order1" attribute="1" defaultMemberUniqueName="[Month Sort].[Sort_Order1].[All]" allUniqueName="[Month Sort].[Sort_Order1].[All]" dimensionUniqueName="[Month Sort]" displayFolder="" count="0" memberValueDatatype="20" unbalanced="0"/>
    <cacheHierarchy uniqueName="[TimePeriod].[TimePeriod]" caption="TimePeriod" attribute="1" defaultMemberUniqueName="[TimePeriod].[TimePeriod].[All]" allUniqueName="[TimePeriod].[TimePeriod].[All]" dimensionUniqueName="[TimePeriod]" displayFolder="" count="0" memberValueDatatype="130" unbalanced="0"/>
    <cacheHierarchy uniqueName="[TimePeriod].[TimePeriodSort]" caption="TimePeriodSort" attribute="1" defaultMemberUniqueName="[TimePeriod].[TimePeriodSort].[All]" allUniqueName="[TimePeriod].[TimePeriodSort].[All]" dimensionUniqueName="[TimePeriod]" displayFolder="" count="0" memberValueDatatype="2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0" memberValueDatatype="130" unbalanced="0"/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TimePeriodSort_Amart].[Timeline Slicer]" caption="Timeline Slicer" attribute="1" defaultMemberUniqueName="[TimePeriodSort_Amart].[Timeline Slicer].[All]" allUniqueName="[TimePeriodSort_Amart].[Timeline Slicer].[All]" dimensionUniqueName="[TimePeriodSort_Amart]" displayFolder="" count="0" memberValueDatatype="130" unbalanced="0"/>
    <cacheHierarchy uniqueName="[TimePeriodSort_Amart].[TimePeriod]" caption="TimePeriod" attribute="1" defaultMemberUniqueName="[TimePeriodSort_Amart].[TimePeriod].[All]" allUniqueName="[TimePeriodSort_Amart].[TimePeriod].[All]" dimensionUniqueName="[TimePeriodSort_Amart]" displayFolder="" count="0" memberValueDatatype="130" unbalanced="0"/>
    <cacheHierarchy uniqueName="[TimePeriodSort_Amart].[TimePeriodSort]" caption="TimePeriodSort" attribute="1" defaultMemberUniqueName="[TimePeriodSort_Amart].[TimePeriodSort].[All]" allUniqueName="[TimePeriodSort_Amart].[TimePeriodSort].[All]" dimensionUniqueName="[TimePeriodSort_Amart]" displayFolder="" count="0" memberValueDatatype="20" unbalanced="0"/>
    <cacheHierarchy uniqueName="[BI vw_MarkdownCategory].[Category]" caption="Category" attribute="1" defaultMemberUniqueName="[BI vw_MarkdownCategory].[Category].[All]" allUniqueName="[BI vw_MarkdownCategory].[Category].[All]" dimensionUniqueName="[BI vw_MarkdownCategory]" displayFolder="" count="0" memberValueDatatype="130" unbalanced="0" hidden="1"/>
    <cacheHierarchy uniqueName="[BI vw_MarkdownCategory].[Code]" caption="Code" attribute="1" defaultMemberUniqueName="[BI vw_MarkdownCategory].[Code].[All]" allUniqueName="[BI vw_MarkdownCategory].[Code].[All]" dimensionUniqueName="[BI vw_MarkdownCategory]" displayFolder="" count="0" memberValueDatatype="130" unbalanced="0" hidden="1"/>
    <cacheHierarchy uniqueName="[BI vw_Store (2)].[BranchType]" caption="BranchType" attribute="1" defaultMemberUniqueName="[BI vw_Store (2)].[BranchType].[All]" allUniqueName="[BI vw_Store (2)].[BranchType].[All]" dimensionUniqueName="[BI vw_Store (2)]" displayFolder="" count="0" memberValueDatatype="130" unbalanced="0" hidden="1"/>
    <cacheHierarchy uniqueName="[BI vw_Store (2)].[Country]" caption="Country" attribute="1" defaultMemberUniqueName="[BI vw_Store (2)].[Country].[All]" allUniqueName="[BI vw_Store (2)].[Country].[All]" dimensionUniqueName="[BI vw_Store (2)]" displayFolder="" count="0" memberValueDatatype="130" unbalanced="0" hidden="1"/>
    <cacheHierarchy uniqueName="[BI vw_Store (2)].[StoreCode]" caption="StoreCode" attribute="1" defaultMemberUniqueName="[BI vw_Store (2)].[StoreCode].[All]" allUniqueName="[BI vw_Store (2)].[StoreCode].[All]" dimensionUniqueName="[BI vw_Store (2)]" displayFolder="" count="0" memberValueDatatype="130" unbalanced="0" hidden="1"/>
    <cacheHierarchy uniqueName="[DateTableTemplate_3f9b2c98-215a-4ac6-bb5b-5edb3fb7613d].[Date]" caption="Date" attribute="1" time="1" defaultMemberUniqueName="[DateTableTemplate_3f9b2c98-215a-4ac6-bb5b-5edb3fb7613d].[Date].[All]" allUniqueName="[DateTableTemplate_3f9b2c98-215a-4ac6-bb5b-5edb3fb7613d].[Date].[All]" dimensionUniqueName="[DateTableTemplate_3f9b2c98-215a-4ac6-bb5b-5edb3fb7613d]" displayFolder="" count="0" memberValueDatatype="7" unbalanced="0" hidden="1"/>
    <cacheHierarchy uniqueName="[DateTableTemplate_3f9b2c98-215a-4ac6-bb5b-5edb3fb7613d].[Date Hierarchy]" caption="Date Hierarchy" defaultMemberUniqueName="[DateTableTemplate_3f9b2c98-215a-4ac6-bb5b-5edb3fb7613d].[Date Hierarchy].[All]" allUniqueName="[DateTableTemplate_3f9b2c98-215a-4ac6-bb5b-5edb3fb7613d].[Date Hierarchy].[All]" dimensionUniqueName="[DateTableTemplate_3f9b2c98-215a-4ac6-bb5b-5edb3fb7613d]" displayFolder="" count="0" unbalanced="0" hidden="1"/>
    <cacheHierarchy uniqueName="[DateTableTemplate_3f9b2c98-215a-4ac6-bb5b-5edb3fb7613d].[Day]" caption="Day" attribute="1" defaultMemberUniqueName="[DateTableTemplate_3f9b2c98-215a-4ac6-bb5b-5edb3fb7613d].[Day].[All]" allUniqueName="[DateTableTemplate_3f9b2c98-215a-4ac6-bb5b-5edb3fb7613d].[Day].[All]" dimensionUniqueName="[DateTableTemplate_3f9b2c98-215a-4ac6-bb5b-5edb3fb7613d]" displayFolder="" count="0" memberValueDatatype="20" unbalanced="0" hidden="1"/>
    <cacheHierarchy uniqueName="[DateTableTemplate_3f9b2c98-215a-4ac6-bb5b-5edb3fb7613d].[Month]" caption="Month" attribute="1" defaultMemberUniqueName="[DateTableTemplate_3f9b2c98-215a-4ac6-bb5b-5edb3fb7613d].[Month].[All]" allUniqueName="[DateTableTemplate_3f9b2c98-215a-4ac6-bb5b-5edb3fb7613d].[Month].[All]" dimensionUniqueName="[DateTableTemplate_3f9b2c98-215a-4ac6-bb5b-5edb3fb7613d]" displayFolder="" count="0" memberValueDatatype="130" unbalanced="0" hidden="1"/>
    <cacheHierarchy uniqueName="[DateTableTemplate_3f9b2c98-215a-4ac6-bb5b-5edb3fb7613d].[MonthNo]" caption="MonthNo" attribute="1" defaultMemberUniqueName="[DateTableTemplate_3f9b2c98-215a-4ac6-bb5b-5edb3fb7613d].[MonthNo].[All]" allUniqueName="[DateTableTemplate_3f9b2c98-215a-4ac6-bb5b-5edb3fb7613d].[MonthNo].[All]" dimensionUniqueName="[DateTableTemplate_3f9b2c98-215a-4ac6-bb5b-5edb3fb7613d]" displayFolder="" count="0" memberValueDatatype="20" unbalanced="0" hidden="1"/>
    <cacheHierarchy uniqueName="[DateTableTemplate_3f9b2c98-215a-4ac6-bb5b-5edb3fb7613d].[Quarter]" caption="Quarter" attribute="1" defaultMemberUniqueName="[DateTableTemplate_3f9b2c98-215a-4ac6-bb5b-5edb3fb7613d].[Quarter].[All]" allUniqueName="[DateTableTemplate_3f9b2c98-215a-4ac6-bb5b-5edb3fb7613d].[Quarter].[All]" dimensionUniqueName="[DateTableTemplate_3f9b2c98-215a-4ac6-bb5b-5edb3fb7613d]" displayFolder="" count="0" memberValueDatatype="130" unbalanced="0" hidden="1"/>
    <cacheHierarchy uniqueName="[DateTableTemplate_3f9b2c98-215a-4ac6-bb5b-5edb3fb7613d].[QuarterNo]" caption="QuarterNo" attribute="1" defaultMemberUniqueName="[DateTableTemplate_3f9b2c98-215a-4ac6-bb5b-5edb3fb7613d].[QuarterNo].[All]" allUniqueName="[DateTableTemplate_3f9b2c98-215a-4ac6-bb5b-5edb3fb7613d].[QuarterNo].[All]" dimensionUniqueName="[DateTableTemplate_3f9b2c98-215a-4ac6-bb5b-5edb3fb7613d]" displayFolder="" count="0" memberValueDatatype="20" unbalanced="0" hidden="1"/>
    <cacheHierarchy uniqueName="[DateTableTemplate_3f9b2c98-215a-4ac6-bb5b-5edb3fb7613d].[Year]" caption="Year" attribute="1" defaultMemberUniqueName="[DateTableTemplate_3f9b2c98-215a-4ac6-bb5b-5edb3fb7613d].[Year].[All]" allUniqueName="[DateTableTemplate_3f9b2c98-215a-4ac6-bb5b-5edb3fb7613d].[Year].[All]" dimensionUniqueName="[DateTableTemplate_3f9b2c98-215a-4ac6-bb5b-5edb3fb7613d]" displayFolder="" count="0" memberValueDatatype="20" unbalanced="0" hidden="1"/>
    <cacheHierarchy uniqueName="[LocalDateTable_2dc8ec59-2991-4ed7-b97f-b3968012b3bf].[Date]" caption="Date" attribute="1" time="1" defaultMemberUniqueName="[LocalDateTable_2dc8ec59-2991-4ed7-b97f-b3968012b3bf].[Date].[All]" allUniqueName="[LocalDateTable_2dc8ec59-2991-4ed7-b97f-b3968012b3bf].[Date].[All]" dimensionUniqueName="[LocalDateTable_2dc8ec59-2991-4ed7-b97f-b3968012b3bf]" displayFolder="" count="0" memberValueDatatype="7" unbalanced="0" hidden="1"/>
    <cacheHierarchy uniqueName="[LocalDateTable_2dc8ec59-2991-4ed7-b97f-b3968012b3bf].[Date Hierarchy]" caption="Date Hierarchy" defaultMemberUniqueName="[LocalDateTable_2dc8ec59-2991-4ed7-b97f-b3968012b3bf].[Date Hierarchy].[All]" allUniqueName="[LocalDateTable_2dc8ec59-2991-4ed7-b97f-b3968012b3bf].[Date Hierarchy].[All]" dimensionUniqueName="[LocalDateTable_2dc8ec59-2991-4ed7-b97f-b3968012b3bf]" displayFolder="" count="0" unbalanced="0" hidden="1"/>
    <cacheHierarchy uniqueName="[LocalDateTable_2dc8ec59-2991-4ed7-b97f-b3968012b3bf].[Day]" caption="Day" attribute="1" defaultMemberUniqueName="[LocalDateTable_2dc8ec59-2991-4ed7-b97f-b3968012b3bf].[Day].[All]" allUniqueName="[LocalDateTable_2dc8ec59-2991-4ed7-b97f-b3968012b3bf].[Day].[All]" dimensionUniqueName="[LocalDateTable_2dc8ec59-2991-4ed7-b97f-b3968012b3bf]" displayFolder="" count="0" memberValueDatatype="20" unbalanced="0" hidden="1"/>
    <cacheHierarchy uniqueName="[LocalDateTable_2dc8ec59-2991-4ed7-b97f-b3968012b3bf].[Month]" caption="Month" attribute="1" defaultMemberUniqueName="[LocalDateTable_2dc8ec59-2991-4ed7-b97f-b3968012b3bf].[Month].[All]" allUniqueName="[LocalDateTable_2dc8ec59-2991-4ed7-b97f-b3968012b3bf].[Month].[All]" dimensionUniqueName="[LocalDateTable_2dc8ec59-2991-4ed7-b97f-b3968012b3bf]" displayFolder="" count="0" memberValueDatatype="130" unbalanced="0" hidden="1"/>
    <cacheHierarchy uniqueName="[LocalDateTable_2dc8ec59-2991-4ed7-b97f-b3968012b3bf].[MonthNo]" caption="MonthNo" attribute="1" defaultMemberUniqueName="[LocalDateTable_2dc8ec59-2991-4ed7-b97f-b3968012b3bf].[MonthNo].[All]" allUniqueName="[LocalDateTable_2dc8ec59-2991-4ed7-b97f-b3968012b3bf].[MonthNo].[All]" dimensionUniqueName="[LocalDateTable_2dc8ec59-2991-4ed7-b97f-b3968012b3bf]" displayFolder="" count="0" memberValueDatatype="20" unbalanced="0" hidden="1"/>
    <cacheHierarchy uniqueName="[LocalDateTable_2dc8ec59-2991-4ed7-b97f-b3968012b3bf].[Quarter]" caption="Quarter" attribute="1" defaultMemberUniqueName="[LocalDateTable_2dc8ec59-2991-4ed7-b97f-b3968012b3bf].[Quarter].[All]" allUniqueName="[LocalDateTable_2dc8ec59-2991-4ed7-b97f-b3968012b3bf].[Quarter].[All]" dimensionUniqueName="[LocalDateTable_2dc8ec59-2991-4ed7-b97f-b3968012b3bf]" displayFolder="" count="0" memberValueDatatype="130" unbalanced="0" hidden="1"/>
    <cacheHierarchy uniqueName="[LocalDateTable_2dc8ec59-2991-4ed7-b97f-b3968012b3bf].[QuarterNo]" caption="QuarterNo" attribute="1" defaultMemberUniqueName="[LocalDateTable_2dc8ec59-2991-4ed7-b97f-b3968012b3bf].[QuarterNo].[All]" allUniqueName="[LocalDateTable_2dc8ec59-2991-4ed7-b97f-b3968012b3bf].[QuarterNo].[All]" dimensionUniqueName="[LocalDateTable_2dc8ec59-2991-4ed7-b97f-b3968012b3bf]" displayFolder="" count="0" memberValueDatatype="20" unbalanced="0" hidden="1"/>
    <cacheHierarchy uniqueName="[LocalDateTable_2dc8ec59-2991-4ed7-b97f-b3968012b3bf].[Year]" caption="Year" attribute="1" defaultMemberUniqueName="[LocalDateTable_2dc8ec59-2991-4ed7-b97f-b3968012b3bf].[Year].[All]" allUniqueName="[LocalDateTable_2dc8ec59-2991-4ed7-b97f-b3968012b3bf].[Year].[All]" dimensionUniqueName="[LocalDateTable_2dc8ec59-2991-4ed7-b97f-b3968012b3bf]" displayFolder="" count="0" memberValueDatatype="20" unbalanced="0" hidden="1"/>
    <cacheHierarchy uniqueName="[LocalDateTable_35b2b28c-5e49-4861-9014-eb0865a61f58].[Date]" caption="Date" attribute="1" time="1" defaultMemberUniqueName="[LocalDateTable_35b2b28c-5e49-4861-9014-eb0865a61f58].[Date].[All]" allUniqueName="[LocalDateTable_35b2b28c-5e49-4861-9014-eb0865a61f58].[Date].[All]" dimensionUniqueName="[LocalDateTable_35b2b28c-5e49-4861-9014-eb0865a61f58]" displayFolder="" count="0" memberValueDatatype="7" unbalanced="0" hidden="1"/>
    <cacheHierarchy uniqueName="[LocalDateTable_35b2b28c-5e49-4861-9014-eb0865a61f58].[Date Hierarchy]" caption="Date Hierarchy" defaultMemberUniqueName="[LocalDateTable_35b2b28c-5e49-4861-9014-eb0865a61f58].[Date Hierarchy].[All]" allUniqueName="[LocalDateTable_35b2b28c-5e49-4861-9014-eb0865a61f58].[Date Hierarchy].[All]" dimensionUniqueName="[LocalDateTable_35b2b28c-5e49-4861-9014-eb0865a61f58]" displayFolder="" count="0" unbalanced="0" hidden="1"/>
    <cacheHierarchy uniqueName="[LocalDateTable_35b2b28c-5e49-4861-9014-eb0865a61f58].[Day]" caption="Day" attribute="1" defaultMemberUniqueName="[LocalDateTable_35b2b28c-5e49-4861-9014-eb0865a61f58].[Day].[All]" allUniqueName="[LocalDateTable_35b2b28c-5e49-4861-9014-eb0865a61f58].[Day].[All]" dimensionUniqueName="[LocalDateTable_35b2b28c-5e49-4861-9014-eb0865a61f58]" displayFolder="" count="0" memberValueDatatype="20" unbalanced="0" hidden="1"/>
    <cacheHierarchy uniqueName="[LocalDateTable_35b2b28c-5e49-4861-9014-eb0865a61f58].[Month]" caption="Month" attribute="1" defaultMemberUniqueName="[LocalDateTable_35b2b28c-5e49-4861-9014-eb0865a61f58].[Month].[All]" allUniqueName="[LocalDateTable_35b2b28c-5e49-4861-9014-eb0865a61f58].[Month].[All]" dimensionUniqueName="[LocalDateTable_35b2b28c-5e49-4861-9014-eb0865a61f58]" displayFolder="" count="0" memberValueDatatype="130" unbalanced="0" hidden="1"/>
    <cacheHierarchy uniqueName="[LocalDateTable_35b2b28c-5e49-4861-9014-eb0865a61f58].[MonthNo]" caption="MonthNo" attribute="1" defaultMemberUniqueName="[LocalDateTable_35b2b28c-5e49-4861-9014-eb0865a61f58].[MonthNo].[All]" allUniqueName="[LocalDateTable_35b2b28c-5e49-4861-9014-eb0865a61f58].[MonthNo].[All]" dimensionUniqueName="[LocalDateTable_35b2b28c-5e49-4861-9014-eb0865a61f58]" displayFolder="" count="0" memberValueDatatype="20" unbalanced="0" hidden="1"/>
    <cacheHierarchy uniqueName="[LocalDateTable_35b2b28c-5e49-4861-9014-eb0865a61f58].[Quarter]" caption="Quarter" attribute="1" defaultMemberUniqueName="[LocalDateTable_35b2b28c-5e49-4861-9014-eb0865a61f58].[Quarter].[All]" allUniqueName="[LocalDateTable_35b2b28c-5e49-4861-9014-eb0865a61f58].[Quarter].[All]" dimensionUniqueName="[LocalDateTable_35b2b28c-5e49-4861-9014-eb0865a61f58]" displayFolder="" count="0" memberValueDatatype="130" unbalanced="0" hidden="1"/>
    <cacheHierarchy uniqueName="[LocalDateTable_35b2b28c-5e49-4861-9014-eb0865a61f58].[QuarterNo]" caption="QuarterNo" attribute="1" defaultMemberUniqueName="[LocalDateTable_35b2b28c-5e49-4861-9014-eb0865a61f58].[QuarterNo].[All]" allUniqueName="[LocalDateTable_35b2b28c-5e49-4861-9014-eb0865a61f58].[QuarterNo].[All]" dimensionUniqueName="[LocalDateTable_35b2b28c-5e49-4861-9014-eb0865a61f58]" displayFolder="" count="0" memberValueDatatype="20" unbalanced="0" hidden="1"/>
    <cacheHierarchy uniqueName="[LocalDateTable_35b2b28c-5e49-4861-9014-eb0865a61f58].[Year]" caption="Year" attribute="1" defaultMemberUniqueName="[LocalDateTable_35b2b28c-5e49-4861-9014-eb0865a61f58].[Year].[All]" allUniqueName="[LocalDateTable_35b2b28c-5e49-4861-9014-eb0865a61f58].[Year].[All]" dimensionUniqueName="[LocalDateTable_35b2b28c-5e49-4861-9014-eb0865a61f58]" displayFolder="" count="0" memberValueDatatype="20" unbalanced="0" hidden="1"/>
    <cacheHierarchy uniqueName="[LocalDateTable_3ea1f34c-3b67-443a-8479-d47192825849].[Date]" caption="Date" attribute="1" time="1" defaultMemberUniqueName="[LocalDateTable_3ea1f34c-3b67-443a-8479-d47192825849].[Date].[All]" allUniqueName="[LocalDateTable_3ea1f34c-3b67-443a-8479-d47192825849].[Date].[All]" dimensionUniqueName="[LocalDateTable_3ea1f34c-3b67-443a-8479-d47192825849]" displayFolder="" count="0" memberValueDatatype="7" unbalanced="0" hidden="1"/>
    <cacheHierarchy uniqueName="[LocalDateTable_3ea1f34c-3b67-443a-8479-d47192825849].[Date Hierarchy]" caption="Date Hierarchy" defaultMemberUniqueName="[LocalDateTable_3ea1f34c-3b67-443a-8479-d47192825849].[Date Hierarchy].[All]" allUniqueName="[LocalDateTable_3ea1f34c-3b67-443a-8479-d47192825849].[Date Hierarchy].[All]" dimensionUniqueName="[LocalDateTable_3ea1f34c-3b67-443a-8479-d47192825849]" displayFolder="" count="0" unbalanced="0" hidden="1"/>
    <cacheHierarchy uniqueName="[LocalDateTable_3ea1f34c-3b67-443a-8479-d47192825849].[Day]" caption="Day" attribute="1" defaultMemberUniqueName="[LocalDateTable_3ea1f34c-3b67-443a-8479-d47192825849].[Day].[All]" allUniqueName="[LocalDateTable_3ea1f34c-3b67-443a-8479-d47192825849].[Day].[All]" dimensionUniqueName="[LocalDateTable_3ea1f34c-3b67-443a-8479-d47192825849]" displayFolder="" count="0" memberValueDatatype="20" unbalanced="0" hidden="1"/>
    <cacheHierarchy uniqueName="[LocalDateTable_3ea1f34c-3b67-443a-8479-d47192825849].[Month]" caption="Month" attribute="1" defaultMemberUniqueName="[LocalDateTable_3ea1f34c-3b67-443a-8479-d47192825849].[Month].[All]" allUniqueName="[LocalDateTable_3ea1f34c-3b67-443a-8479-d47192825849].[Month].[All]" dimensionUniqueName="[LocalDateTable_3ea1f34c-3b67-443a-8479-d47192825849]" displayFolder="" count="0" memberValueDatatype="130" unbalanced="0" hidden="1"/>
    <cacheHierarchy uniqueName="[LocalDateTable_3ea1f34c-3b67-443a-8479-d47192825849].[MonthNo]" caption="MonthNo" attribute="1" defaultMemberUniqueName="[LocalDateTable_3ea1f34c-3b67-443a-8479-d47192825849].[MonthNo].[All]" allUniqueName="[LocalDateTable_3ea1f34c-3b67-443a-8479-d47192825849].[MonthNo].[All]" dimensionUniqueName="[LocalDateTable_3ea1f34c-3b67-443a-8479-d47192825849]" displayFolder="" count="0" memberValueDatatype="20" unbalanced="0" hidden="1"/>
    <cacheHierarchy uniqueName="[LocalDateTable_3ea1f34c-3b67-443a-8479-d47192825849].[Quarter]" caption="Quarter" attribute="1" defaultMemberUniqueName="[LocalDateTable_3ea1f34c-3b67-443a-8479-d47192825849].[Quarter].[All]" allUniqueName="[LocalDateTable_3ea1f34c-3b67-443a-8479-d47192825849].[Quarter].[All]" dimensionUniqueName="[LocalDateTable_3ea1f34c-3b67-443a-8479-d47192825849]" displayFolder="" count="0" memberValueDatatype="130" unbalanced="0" hidden="1"/>
    <cacheHierarchy uniqueName="[LocalDateTable_3ea1f34c-3b67-443a-8479-d47192825849].[QuarterNo]" caption="QuarterNo" attribute="1" defaultMemberUniqueName="[LocalDateTable_3ea1f34c-3b67-443a-8479-d47192825849].[QuarterNo].[All]" allUniqueName="[LocalDateTable_3ea1f34c-3b67-443a-8479-d47192825849].[QuarterNo].[All]" dimensionUniqueName="[LocalDateTable_3ea1f34c-3b67-443a-8479-d47192825849]" displayFolder="" count="0" memberValueDatatype="20" unbalanced="0" hidden="1"/>
    <cacheHierarchy uniqueName="[LocalDateTable_3ea1f34c-3b67-443a-8479-d47192825849].[Year]" caption="Year" attribute="1" defaultMemberUniqueName="[LocalDateTable_3ea1f34c-3b67-443a-8479-d47192825849].[Year].[All]" allUniqueName="[LocalDateTable_3ea1f34c-3b67-443a-8479-d47192825849].[Year].[All]" dimensionUniqueName="[LocalDateTable_3ea1f34c-3b67-443a-8479-d47192825849]" displayFolder="" count="0" memberValueDatatype="20" unbalanced="0" hidden="1"/>
    <cacheHierarchy uniqueName="[LocalDateTable_44c7d4ef-ea67-4ad2-970c-4dd712d1bff0].[Date]" caption="Date" attribute="1" time="1" defaultMemberUniqueName="[LocalDateTable_44c7d4ef-ea67-4ad2-970c-4dd712d1bff0].[Date].[All]" allUniqueName="[LocalDateTable_44c7d4ef-ea67-4ad2-970c-4dd712d1bff0].[Date].[All]" dimensionUniqueName="[LocalDateTable_44c7d4ef-ea67-4ad2-970c-4dd712d1bff0]" displayFolder="" count="0" memberValueDatatype="7" unbalanced="0" hidden="1"/>
    <cacheHierarchy uniqueName="[LocalDateTable_44c7d4ef-ea67-4ad2-970c-4dd712d1bff0].[Date Hierarchy]" caption="Date Hierarchy" defaultMemberUniqueName="[LocalDateTable_44c7d4ef-ea67-4ad2-970c-4dd712d1bff0].[Date Hierarchy].[All]" allUniqueName="[LocalDateTable_44c7d4ef-ea67-4ad2-970c-4dd712d1bff0].[Date Hierarchy].[All]" dimensionUniqueName="[LocalDateTable_44c7d4ef-ea67-4ad2-970c-4dd712d1bff0]" displayFolder="" count="0" unbalanced="0" hidden="1"/>
    <cacheHierarchy uniqueName="[LocalDateTable_44c7d4ef-ea67-4ad2-970c-4dd712d1bff0].[Day]" caption="Day" attribute="1" defaultMemberUniqueName="[LocalDateTable_44c7d4ef-ea67-4ad2-970c-4dd712d1bff0].[Day].[All]" allUniqueName="[LocalDateTable_44c7d4ef-ea67-4ad2-970c-4dd712d1bff0].[Day].[All]" dimensionUniqueName="[LocalDateTable_44c7d4ef-ea67-4ad2-970c-4dd712d1bff0]" displayFolder="" count="0" memberValueDatatype="20" unbalanced="0" hidden="1"/>
    <cacheHierarchy uniqueName="[LocalDateTable_44c7d4ef-ea67-4ad2-970c-4dd712d1bff0].[Month]" caption="Month" attribute="1" defaultMemberUniqueName="[LocalDateTable_44c7d4ef-ea67-4ad2-970c-4dd712d1bff0].[Month].[All]" allUniqueName="[LocalDateTable_44c7d4ef-ea67-4ad2-970c-4dd712d1bff0].[Month].[All]" dimensionUniqueName="[LocalDateTable_44c7d4ef-ea67-4ad2-970c-4dd712d1bff0]" displayFolder="" count="0" memberValueDatatype="130" unbalanced="0" hidden="1"/>
    <cacheHierarchy uniqueName="[LocalDateTable_44c7d4ef-ea67-4ad2-970c-4dd712d1bff0].[MonthNo]" caption="MonthNo" attribute="1" defaultMemberUniqueName="[LocalDateTable_44c7d4ef-ea67-4ad2-970c-4dd712d1bff0].[MonthNo].[All]" allUniqueName="[LocalDateTable_44c7d4ef-ea67-4ad2-970c-4dd712d1bff0].[MonthNo].[All]" dimensionUniqueName="[LocalDateTable_44c7d4ef-ea67-4ad2-970c-4dd712d1bff0]" displayFolder="" count="0" memberValueDatatype="20" unbalanced="0" hidden="1"/>
    <cacheHierarchy uniqueName="[LocalDateTable_44c7d4ef-ea67-4ad2-970c-4dd712d1bff0].[Quarter]" caption="Quarter" attribute="1" defaultMemberUniqueName="[LocalDateTable_44c7d4ef-ea67-4ad2-970c-4dd712d1bff0].[Quarter].[All]" allUniqueName="[LocalDateTable_44c7d4ef-ea67-4ad2-970c-4dd712d1bff0].[Quarter].[All]" dimensionUniqueName="[LocalDateTable_44c7d4ef-ea67-4ad2-970c-4dd712d1bff0]" displayFolder="" count="0" memberValueDatatype="130" unbalanced="0" hidden="1"/>
    <cacheHierarchy uniqueName="[LocalDateTable_44c7d4ef-ea67-4ad2-970c-4dd712d1bff0].[QuarterNo]" caption="QuarterNo" attribute="1" defaultMemberUniqueName="[LocalDateTable_44c7d4ef-ea67-4ad2-970c-4dd712d1bff0].[QuarterNo].[All]" allUniqueName="[LocalDateTable_44c7d4ef-ea67-4ad2-970c-4dd712d1bff0].[QuarterNo].[All]" dimensionUniqueName="[LocalDateTable_44c7d4ef-ea67-4ad2-970c-4dd712d1bff0]" displayFolder="" count="0" memberValueDatatype="20" unbalanced="0" hidden="1"/>
    <cacheHierarchy uniqueName="[LocalDateTable_44c7d4ef-ea67-4ad2-970c-4dd712d1bff0].[Year]" caption="Year" attribute="1" defaultMemberUniqueName="[LocalDateTable_44c7d4ef-ea67-4ad2-970c-4dd712d1bff0].[Year].[All]" allUniqueName="[LocalDateTable_44c7d4ef-ea67-4ad2-970c-4dd712d1bff0].[Year].[All]" dimensionUniqueName="[LocalDateTable_44c7d4ef-ea67-4ad2-970c-4dd712d1bff0]" displayFolder="" count="0" memberValueDatatype="20" unbalanced="0" hidden="1"/>
    <cacheHierarchy uniqueName="[Measure].[Column]" caption="Column" attribute="1" defaultMemberUniqueName="[Measure].[Column].[All]" allUniqueName="[Measure].[Column].[All]" dimensionUniqueName="[Measure]" displayFolder="" count="0" memberValueDatatype="20" unbalanced="0" hidden="1"/>
    <cacheHierarchy uniqueName="[Measures].[Current Quarter]" caption="Current Quarter" measure="1" displayFolder="" measureGroup="BI vw_FinCalendar" count="0"/>
    <cacheHierarchy uniqueName="[Measures].[Delivered Sales Ex GST]" caption="Delivered Sales Ex GST" measure="1" displayFolder="" measureGroup="Measure" count="0"/>
    <cacheHierarchy uniqueName="[Measures].[Sales Price]" caption="Sales Price" measure="1" displayFolder="" measureGroup="Measure" count="0"/>
    <cacheHierarchy uniqueName="[Measures].[CostInvoicedCost]" caption="CostInvoicedCost" measure="1" displayFolder="" measureGroup="Measure" count="0"/>
    <cacheHierarchy uniqueName="[Measures].[CostAmountAdjustment]" caption="CostAmountAdjustment" measure="1" displayFolder="" measureGroup="Measure" count="0"/>
    <cacheHierarchy uniqueName="[Measures].[Gross Sales]" caption="Gross Sales" measure="1" displayFolder="" measureGroup="Measure" count="0"/>
    <cacheHierarchy uniqueName="[Measures].[GM %]" caption="GM %" measure="1" displayFolder="" measureGroup="Measure" count="0"/>
    <cacheHierarchy uniqueName="[Measures].[Total Markdown]" caption="Total Markdown" measure="1" displayFolder="" measureGroup="Measure" count="0"/>
    <cacheHierarchy uniqueName="[Measures].[Quantity]" caption="Quantity" measure="1" displayFolder="" measureGroup="Measure" count="0"/>
    <cacheHierarchy uniqueName="[Measures].[Tax]" caption="Tax" measure="1" displayFolder="" measureGroup="Measure" count="0"/>
    <cacheHierarchy uniqueName="[Measures].[Gross Margin]" caption="Gross Margin" measure="1" displayFolder="" measureGroup="Measure" count="0"/>
    <cacheHierarchy uniqueName="[Measures].[ItemWholeSalePrice]" caption="ItemWholeSalePrice" measure="1" displayFolder="" measureGroup="Measure" count="0"/>
    <cacheHierarchy uniqueName="[Measures].[Line Disc]" caption="Line Disc" measure="1" displayFolder="" measureGroup="Measure" count="0"/>
    <cacheHierarchy uniqueName="[Measures].[COSTFINAL]" caption="COSTFINAL" measure="1" displayFolder="" measureGroup="Measure" count="0"/>
    <cacheHierarchy uniqueName="[Measures].[Markdown$1]" caption="Markdown$1" measure="1" displayFolder="" measureGroup="Measure" count="0"/>
    <cacheHierarchy uniqueName="[Measures].[Markdown$2]" caption="Markdown$2" measure="1" displayFolder="" measureGroup="Measure" count="0"/>
    <cacheHierarchy uniqueName="[Measures].[Total Markdown $]" caption="Total Markdown $" measure="1" displayFolder="" measureGroup="Measure" count="0"/>
    <cacheHierarchy uniqueName="[Measures].[Delivered Sales Inc GST]" caption="Delivered Sales Inc GST" measure="1" displayFolder="" measureGroup="Measure" count="0"/>
    <cacheHierarchy uniqueName="[Measures].[39% Margin]" caption="39% Margin" measure="1" displayFolder="" measureGroup="Measure" count="0"/>
    <cacheHierarchy uniqueName="[Measures].[Rebate Amount]" caption="Rebate Amount" measure="1" displayFolder="" measureGroup="Measure" count="0"/>
    <cacheHierarchy uniqueName="[Measures].[Eligible for Rebate]" caption="Eligible for Rebate" measure="1" displayFolder="" measureGroup="Measure" count="0"/>
    <cacheHierarchy uniqueName="[Measures].[Budget Variance]" caption="Budget Variance" measure="1" displayFolder="" measureGroup="Measure" count="0"/>
    <cacheHierarchy uniqueName="[Measures].[DeliveredSalesBudget]" caption="DeliveredSalesBudget" measure="1" displayFolder="" measureGroup="Measure" count="0"/>
    <cacheHierarchy uniqueName="[Measures].[% Budget Complete]" caption="% Budget Complete" measure="1" displayFolder="" measureGroup="Measure" count="0"/>
    <cacheHierarchy uniqueName="[Measures].[MarkDown]" caption="MarkDown" measure="1" displayFolder="" measureGroup="Measure" count="0"/>
    <cacheHierarchy uniqueName="[Measures].[ItemWholeSalePrice_old]" caption="ItemWholeSalePrice_old" measure="1" displayFolder="" measureGroup="Measure" count="0"/>
    <cacheHierarchy uniqueName="[Measures].[R-Gross Sales]" caption="R-Gross Sales" measure="1" displayFolder="" measureGroup="Period Measures" count="0"/>
    <cacheHierarchy uniqueName="[Measures].[R-M/D]" caption="R-M/D" measure="1" displayFolder="" measureGroup="Period Measures" count="0"/>
    <cacheHierarchy uniqueName="[Measures].[R-Delivered Sales Ex GST]" caption="R-Delivered Sales Ex GST" measure="1" displayFolder="" measureGroup="Period Measures" count="0"/>
    <cacheHierarchy uniqueName="[Measures].[R-CostFinal]" caption="R-CostFinal" measure="1" displayFolder="" measureGroup="Period Measures" count="0"/>
    <cacheHierarchy uniqueName="[Measures].[R-Trading Margin]" caption="R-Trading Margin" measure="1" displayFolder="" measureGroup="Period Measures" count="0"/>
    <cacheHierarchy uniqueName="[Measures].[R-GM%]" caption="R-GM%" measure="1" displayFolder="" measureGroup="Period Measures" count="0"/>
    <cacheHierarchy uniqueName="[Measures].[R-DeliveredSalesBudget]" caption="R-DeliveredSalesBudget" measure="1" displayFolder="" measureGroup="Period Measures" count="0"/>
    <cacheHierarchy uniqueName="[Measures].[R-Budget Variance]" caption="R-Budget Variance" measure="1" displayFolder="" measureGroup="Period Measures" count="0"/>
    <cacheHierarchy uniqueName="[Measures].[R-Gross Sales rolling]" caption="R-Gross Sales rolling" measure="1" displayFolder="" measureGroup="Period Measures" count="0"/>
    <cacheHierarchy uniqueName="[Measures].[R-Gross Sales TY $]" caption="R-Gross Sales TY $" measure="1" displayFolder="" measureGroup="BI metrics" count="0"/>
    <cacheHierarchy uniqueName="[Measures].[R-M/D TY $]" caption="R-M/D TY $" measure="1" displayFolder="" measureGroup="BI metrics" count="0"/>
    <cacheHierarchy uniqueName="[Measures].[R-Sales ExGST TY $]" caption="R-Sales ExGST TY $" measure="1" displayFolder="" measureGroup="BI metrics" count="0"/>
    <cacheHierarchy uniqueName="[Measures].[R-CostFinal TY $]" caption="R-CostFinal TY $" measure="1" displayFolder="" measureGroup="BI metrics" count="0"/>
    <cacheHierarchy uniqueName="[Measures].[R-Sale Budget TY $]" caption="R-Sale Budget TY $" measure="1" displayFolder="" measureGroup="BI metrics" count="0"/>
    <cacheHierarchy uniqueName="[Measures].[R-Trading Margin TY $]" caption="R-Trading Margin TY $" measure="1" displayFolder="" measureGroup="BI metrics" count="0"/>
    <cacheHierarchy uniqueName="[Measures].[R-GM % TY]" caption="R-GM % TY" measure="1" displayFolder="" measureGroup="BI metrics" count="0"/>
    <cacheHierarchy uniqueName="[Measures].[R-Budget Variance TY]" caption="R-Budget Variance TY" measure="1" displayFolder="" measureGroup="BI metrics" count="0"/>
    <cacheHierarchy uniqueName="[Measures].[R-Gross Sales LY $]" caption="R-Gross Sales LY $" measure="1" displayFolder="" measureGroup="BI metrics" count="0"/>
    <cacheHierarchy uniqueName="[Measures].[R-M/D LY $]" caption="R-M/D LY $" measure="1" displayFolder="" measureGroup="BI metrics" count="0"/>
    <cacheHierarchy uniqueName="[Measures].[R-Sales ExGST LY $]" caption="R-Sales ExGST LY $" measure="1" displayFolder="" measureGroup="BI metrics" count="0" oneField="1">
      <fieldsUsage count="1">
        <fieldUsage x="7"/>
      </fieldsUsage>
    </cacheHierarchy>
    <cacheHierarchy uniqueName="[Measures].[R-CostFinal LY $]" caption="R-CostFinal LY $" measure="1" displayFolder="" measureGroup="BI metrics" count="0"/>
    <cacheHierarchy uniqueName="[Measures].[R-Trading Margin LY $]" caption="R-Trading Margin LY $" measure="1" displayFolder="" measureGroup="BI metrics" count="0"/>
    <cacheHierarchy uniqueName="[Measures].[R-Sales Budget LY $]" caption="R-Sales Budget LY $" measure="1" displayFolder="" measureGroup="BI metrics" count="0"/>
    <cacheHierarchy uniqueName="[Measures].[R-Gross Sales YoY]" caption="R-Gross Sales YoY" measure="1" displayFolder="" measureGroup="BI metrics" count="0"/>
    <cacheHierarchy uniqueName="[Measures].[R-M/D YoY]" caption="R-M/D YoY" measure="1" displayFolder="" measureGroup="BI metrics" count="0"/>
    <cacheHierarchy uniqueName="[Measures].[R-Sales ExGST YoY]" caption="R-Sales ExGST YoY" measure="1" displayFolder="" measureGroup="BI metrics" count="0"/>
    <cacheHierarchy uniqueName="[Measures].[R-CostFinal YoY]" caption="R-CostFinal YoY" measure="1" displayFolder="" measureGroup="BI metrics" count="0"/>
    <cacheHierarchy uniqueName="[Measures].[R-Trading Margin YoY]" caption="R-Trading Margin YoY" measure="1" displayFolder="" measureGroup="BI metrics" count="0"/>
    <cacheHierarchy uniqueName="[Measures].[R-Sales ExGST TY $(Amart)]" caption="R-Sales ExGST TY $(Amart)" measure="1" displayFolder="aa_Quadrant-Amart" measureGroup="BI metrics" count="0"/>
    <cacheHierarchy uniqueName="[Measures].[Delivered Sales Ex GST LY]" caption="Delivered Sales Ex GST LY" measure="1" displayFolder="" measureGroup="BI metrics" count="0"/>
    <cacheHierarchy uniqueName="[Measures].[R-Sales ExGST LY $(Amart)]" caption="R-Sales ExGST LY $(Amart)" measure="1" displayFolder="aa_Quadrant-Amart" measureGroup="BI metrics" count="0"/>
    <cacheHierarchy uniqueName="[Measures].[Delivered Sales ExGST LY 1]" caption="Delivered Sales ExGST LY 1" measure="1" displayFolder="" measureGroup="BI metrics" count="0"/>
    <cacheHierarchy uniqueName="[Measures].[R-Sales ExGST YoY(Amart)]" caption="R-Sales ExGST YoY(Amart)" measure="1" displayFolder="aa_Quadrant-Amart" measureGroup="BI metrics" count="0"/>
    <cacheHierarchy uniqueName="[Measures].[R-Sale Budget TY $(Amart)]" caption="R-Sale Budget TY $(Amart)" measure="1" displayFolder="aa_Quadrant-Amart" measureGroup="BI metrics" count="0"/>
    <cacheHierarchy uniqueName="[Measures].[R-Budget Variance TY(Amart)]" caption="R-Budget Variance TY(Amart)" measure="1" displayFolder="aa_Quadrant-Amart" measureGroup="BI metrics" count="0"/>
    <cacheHierarchy uniqueName="[Measures].[R-Trading Margin TY $(Amart)]" caption="R-Trading Margin TY $(Amart)" measure="1" displayFolder="aa_Quadrant-Amart" measureGroup="BI metrics" count="0"/>
    <cacheHierarchy uniqueName="[Measures].[Gross Margin LY]" caption="Gross Margin LY" measure="1" displayFolder="aa_Quadrant-Amart" measureGroup="BI metrics" count="0"/>
    <cacheHierarchy uniqueName="[Measures].[R-Trading Margin LY $(Amart)]" caption="R-Trading Margin LY $(Amart)" measure="1" displayFolder="aa_Quadrant-Amart" measureGroup="BI metrics" count="0"/>
    <cacheHierarchy uniqueName="[Measures].[Gross Sales LY]" caption="Gross Sales LY" measure="1" displayFolder="aa_Quadrant-Amart" measureGroup="BI metrics" count="0"/>
    <cacheHierarchy uniqueName="[Measures].[R-Gross Sales TY $(Amart)]" caption="R-Gross Sales TY $(Amart)" measure="1" displayFolder="aa_Quadrant-Amart" measureGroup="BI metrics" count="0"/>
    <cacheHierarchy uniqueName="[Measures].[R-Gross Sales LY $(Amart)]" caption="R-Gross Sales LY $(Amart)" measure="1" displayFolder="aa_Quadrant-Amart" measureGroup="BI metrics" count="0"/>
    <cacheHierarchy uniqueName="[Measures].[R-Gross Sales YoY(Amart)]" caption="R-Gross Sales YoY(Amart)" measure="1" displayFolder="aa_Quadrant-Amart" measureGroup="BI metrics" count="0"/>
    <cacheHierarchy uniqueName="[Measures].[R-Trading Margin YoY(Amart)]" caption="R-Trading Margin YoY(Amart)" measure="1" displayFolder="aa_Quadrant-Amart" measureGroup="BI metrics" count="0"/>
    <cacheHierarchy uniqueName="[Measures].[Markdown LY]" caption="Markdown LY" measure="1" displayFolder="aa_Quadrant-Amart" measureGroup="BI metrics" count="0"/>
    <cacheHierarchy uniqueName="[Measures].[R-M/D TY $(Amart)]" caption="R-M/D TY $(Amart)" measure="1" displayFolder="aa_Quadrant-Amart" measureGroup="BI metrics" count="0"/>
    <cacheHierarchy uniqueName="[Measures].[R-M/D LY $(Amart)]" caption="R-M/D LY $(Amart)" measure="1" displayFolder="aa_Quadrant-Amart" measureGroup="BI metrics" count="0"/>
    <cacheHierarchy uniqueName="[Measures].[R-M/D YoY(Amart)]" caption="R-M/D YoY(Amart)" measure="1" displayFolder="aa_Quadrant-Amart" measureGroup="BI metrics" count="0"/>
    <cacheHierarchy uniqueName="[Measures].[COSTFINAL LY]" caption="COSTFINAL LY" measure="1" displayFolder="aa_Quadrant-Amart" measureGroup="BI metrics" count="0"/>
    <cacheHierarchy uniqueName="[Measures].[R-CostFinal TY $(Amart)]" caption="R-CostFinal TY $(Amart)" measure="1" displayFolder="aa_Quadrant-Amart" measureGroup="BI metrics" count="0"/>
    <cacheHierarchy uniqueName="[Measures].[R-CostFinal LY $(Amart)]" caption="R-CostFinal LY $(Amart)" measure="1" displayFolder="aa_Quadrant-Amart" measureGroup="BI metrics" count="0"/>
    <cacheHierarchy uniqueName="[Measures].[R-CostFinal YoY(Amart)]" caption="R-CostFinal YoY(Amart)" measure="1" displayFolder="aa_Quadrant-Amart" measureGroup="BI metrics" count="0"/>
    <cacheHierarchy uniqueName="[Measures].[R-GM % TY(Amart)]" caption="R-GM % TY(Amart)" measure="1" displayFolder="aa_Quadrant-Amart" measureGroup="BI metrics" count="0"/>
    <cacheHierarchy uniqueName="[Measures].[R-sales ExGST LY NFY]" caption="R-sales ExGST LY NFY" measure="1" displayFolder="" measureGroup="BI metrics" count="0"/>
    <cacheHierarchy uniqueName="[Measures].[R-Sales ExGST LY $(Amart) NFY]" caption="R-Sales ExGST LY $(Amart) NFY" measure="1" displayFolder="aa_Quadrant-Amart" measureGroup="BI metrics" count="0"/>
    <cacheHierarchy uniqueName="[Measures].[__Default measure]" caption="__Default measure" measure="1" displayFolder="" count="0" hidden="1"/>
  </cacheHierarchies>
  <kpis count="0"/>
  <dimensions count="15">
    <dimension name="BI metrics" uniqueName="[BI metrics]" caption="BI metrics"/>
    <dimension name="BI vw_Budget Duplicate" uniqueName="[BI vw_Budget Duplicate]" caption="BI vw_Budget Duplicate"/>
    <dimension name="BI vw_BudgetDeliveredSalesByStore" uniqueName="[BI vw_BudgetDeliveredSalesByStore]" caption="BI vw_BudgetDeliveredSalesByStore"/>
    <dimension name="BI vw_Dynamics_FFAFDropshipwholesaleprice" uniqueName="[BI vw_Dynamics_FFAFDropshipwholesaleprice]" caption="BI vw_Dynamics_FFAFDropshipwholesaleprice"/>
    <dimension name="BI vw_DynamicsDeliveredSales" uniqueName="[BI vw_DynamicsDeliveredSales]" caption="BI vw_DynamicsDeliveredSales"/>
    <dimension name="BI vw_FinCalendar" uniqueName="[BI vw_FinCalendar]" caption="BI vw_FinCalendar"/>
    <dimension name="BI vw_Store" uniqueName="[BI vw_Store]" caption="BI vw_Store"/>
    <dimension name="CalendarMapping" uniqueName="[CalendarMapping]" caption="CalendarMapping"/>
    <dimension name="DC SO" uniqueName="[DC SO]" caption="DC SO"/>
    <dimension name="dim_period" uniqueName="[dim_period]" caption="dim_period"/>
    <dimension measure="1" name="Measures" uniqueName="[Measures]" caption="Measures"/>
    <dimension name="Month Sort" uniqueName="[Month Sort]" caption="Month Sort"/>
    <dimension name="TimePeriod" uniqueName="[TimePeriod]" caption="TimePeriod"/>
    <dimension name="TimePeriodSort" uniqueName="[TimePeriodSort]" caption="TimePeriodSort"/>
    <dimension name="TimePeriodSort_Amart" uniqueName="[TimePeriodSort_Amart]" caption="TimePeriodSort_Amart"/>
  </dimensions>
  <measureGroups count="23">
    <measureGroup name="BI metrics" caption="BI metrics"/>
    <measureGroup name="BI vw_Budget Duplicate" caption="BI vw_Budget Duplicate"/>
    <measureGroup name="BI vw_BudgetDeliveredSalesByStore" caption="BI vw_BudgetDeliveredSalesByStore"/>
    <measureGroup name="BI vw_Dynamics_FFAFDropshipwholesaleprice" caption="BI vw_Dynamics_FFAFDropshipwholesaleprice"/>
    <measureGroup name="BI vw_DynamicsDeliveredSales" caption="BI vw_DynamicsDeliveredSales"/>
    <measureGroup name="BI vw_FinCalendar" caption="BI vw_FinCalendar"/>
    <measureGroup name="BI vw_MarkdownCategory" caption="BI vw_MarkdownCategory"/>
    <measureGroup name="BI vw_Store" caption="BI vw_Store"/>
    <measureGroup name="BI vw_Store (2)" caption="BI vw_Store (2)"/>
    <measureGroup name="CalendarMapping" caption="CalendarMapping"/>
    <measureGroup name="DateTableTemplate_3f9b2c98-215a-4ac6-bb5b-5edb3fb7613d" caption="DateTableTemplate_3f9b2c98-215a-4ac6-bb5b-5edb3fb7613d"/>
    <measureGroup name="DC SO" caption="DC SO"/>
    <measureGroup name="dim_period" caption="dim_period"/>
    <measureGroup name="LocalDateTable_2dc8ec59-2991-4ed7-b97f-b3968012b3bf" caption="LocalDateTable_2dc8ec59-2991-4ed7-b97f-b3968012b3bf"/>
    <measureGroup name="LocalDateTable_35b2b28c-5e49-4861-9014-eb0865a61f58" caption="LocalDateTable_35b2b28c-5e49-4861-9014-eb0865a61f58"/>
    <measureGroup name="LocalDateTable_3ea1f34c-3b67-443a-8479-d47192825849" caption="LocalDateTable_3ea1f34c-3b67-443a-8479-d47192825849"/>
    <measureGroup name="LocalDateTable_44c7d4ef-ea67-4ad2-970c-4dd712d1bff0" caption="LocalDateTable_44c7d4ef-ea67-4ad2-970c-4dd712d1bff0"/>
    <measureGroup name="Measure" caption="Measure"/>
    <measureGroup name="Month Sort" caption="Month Sort"/>
    <measureGroup name="Period Measures" caption="Period Measures"/>
    <measureGroup name="TimePeriod" caption="TimePeriod"/>
    <measureGroup name="TimePeriodSort" caption="TimePeriodSort"/>
    <measureGroup name="TimePeriodSort_Amart" caption="TimePeriodSort_Amart"/>
  </measureGroups>
  <maps count="49">
    <map measureGroup="0" dimension="0"/>
    <map measureGroup="0" dimension="13"/>
    <map measureGroup="0" dimension="14"/>
    <map measureGroup="1" dimension="1"/>
    <map measureGroup="1" dimension="5"/>
    <map measureGroup="1" dimension="6"/>
    <map measureGroup="1" dimension="7"/>
    <map measureGroup="1" dimension="11"/>
    <map measureGroup="2" dimension="0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1"/>
    <map measureGroup="2" dimension="13"/>
    <map measureGroup="2" dimension="14"/>
    <map measureGroup="3" dimension="3"/>
    <map measureGroup="4" dimension="0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  <map measureGroup="4" dimension="11"/>
    <map measureGroup="4" dimension="13"/>
    <map measureGroup="4" dimension="14"/>
    <map measureGroup="5" dimension="5"/>
    <map measureGroup="5" dimension="7"/>
    <map measureGroup="5" dimension="11"/>
    <map measureGroup="7" dimension="6"/>
    <map measureGroup="8" dimension="6"/>
    <map measureGroup="9" dimension="5"/>
    <map measureGroup="9" dimension="7"/>
    <map measureGroup="9" dimension="11"/>
    <map measureGroup="11" dimension="8"/>
    <map measureGroup="12" dimension="9"/>
    <map measureGroup="18" dimension="11"/>
    <map measureGroup="20" dimension="12"/>
    <map measureGroup="21" dimension="13"/>
    <map measureGroup="21" dimension="14"/>
    <map measureGroup="22" dimension="13"/>
    <map measureGroup="2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55.603662384259" backgroundQuery="1" createdVersion="8" refreshedVersion="8" minRefreshableVersion="3" recordCount="0" supportSubquery="1" supportAdvancedDrill="1" xr:uid="{A75D4C41-177A-48EC-9054-4A4FABAAB52B}">
  <cacheSource type="external" connectionId="1"/>
  <cacheFields count="8">
    <cacheField name="[BI metrics].[TimePeriod].[TimePeriod]" caption="TimePeriod" numFmtId="0" hierarchy="16" level="1">
      <sharedItems containsSemiMixedTypes="0" containsString="0"/>
    </cacheField>
    <cacheField name="[BI metrics].[Fin_Period].[Fin_Period]" caption="Fin_Period" numFmtId="0" level="1">
      <sharedItems count="7"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</sharedItems>
    </cacheField>
    <cacheField name="[BI vw_DynamicsDeliveredSales].[CHANNEL].[CHANNEL]" caption="CHANNEL" numFmtId="0" hierarchy="38" level="1">
      <sharedItems count="2">
        <s v="[BI vw_DynamicsDeliveredSales].[CHANNEL].&amp;[In Store]" c="In Store"/>
        <s v="[BI vw_DynamicsDeliveredSales].[CHANNEL].&amp;[Online]" c="Online"/>
      </sharedItems>
    </cacheField>
    <cacheField name="[BI vw_Store].[Country].[Country]" caption="Country" numFmtId="0" hierarchy="142" level="1">
      <sharedItems count="1">
        <s v="[BI vw_Store].[Country].&amp;[NZ]" c="NZ"/>
      </sharedItems>
    </cacheField>
    <cacheField name="[BI vw_Store].[BranchType].[BranchType]" caption="BranchType" numFmtId="0" hierarchy="140" level="1">
      <sharedItems containsSemiMixedTypes="0" containsString="0"/>
    </cacheField>
    <cacheField name="[BI vw_DynamicsDeliveredSales].[Sales Order Type].[Sales Order Type]" caption="Sales Order Type" numFmtId="0" hierarchy="101" level="1">
      <sharedItems containsSemiMixedTypes="0" containsString="0"/>
    </cacheField>
    <cacheField name="[BI vw_DynamicsDeliveredSales].[Division].[Division]" caption="Division" numFmtId="0" hierarchy="60" level="1">
      <sharedItems count="2">
        <s v="[BI vw_DynamicsDeliveredSales].[Division].&amp;[Furniture]" c="Furniture"/>
        <s v="[BI vw_DynamicsDeliveredSales].[Division].&amp;[Homewares]" c="Homewares"/>
      </sharedItems>
    </cacheField>
    <cacheField name="[Measures].[R-Sales ExGST LY $]" caption="R-Sales ExGST LY $" numFmtId="0" hierarchy="275" level="32767"/>
  </cacheFields>
  <cacheHierarchies count="311"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1"/>
      </fieldsUsage>
    </cacheHierarchy>
    <cacheHierarchy uniqueName="[BI metrics].[Fin_Week]" caption="Fin_Week" attribute="1" defaultMemberUniqueName="[BI metrics].[Fin_Week].[All]" allUniqueName="[BI metrics].[Fin_Week].[All]" dimensionUniqueName="[BI metrics]" displayFolder="" count="0" memberValueDatatype="130" unbalanced="0"/>
    <cacheHierarchy uniqueName="[BI metrics].[Fin_Year]" caption="Fin_Year" attribute="1" defaultMemberUniqueName="[BI metrics].[Fin_Year].[All]" allUniqueName="[BI metrics].[Fin_Year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13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5" unbalanced="0"/>
    <cacheHierarchy uniqueName="[BI metrics].[LastYear_Week]" caption="LastYear_Week" attribute="1" defaultMemberUniqueName="[BI metrics].[LastYear_Week].[All]" allUniqueName="[BI metrics].[LastYear_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5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5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0"/>
      </fieldsUsage>
    </cacheHierarchy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vw_Budget Duplicate].[BudgetDollar]" caption="BudgetDollar" attribute="1" defaultMemberUniqueName="[BI vw_Budget Duplicate].[BudgetDollar].[All]" allUniqueName="[BI vw_Budget Duplicate].[BudgetDollar].[All]" dimensionUniqueName="[BI vw_Budget Duplicate]" displayFolder="" count="0" memberValueDatatype="6" unbalanced="0"/>
    <cacheHierarchy uniqueName="[BI vw_Budget Duplicate].[BudgetYear]" caption="BudgetYear" attribute="1" defaultMemberUniqueName="[BI vw_Budget Duplicate].[BudgetYear].[All]" allUniqueName="[BI vw_Budget Duplicate].[BudgetYear].[All]" dimensionUniqueName="[BI vw_Budget Duplicate]" displayFolder="" count="0" memberValueDatatype="20" unbalanced="0"/>
    <cacheHierarchy uniqueName="[BI vw_Budget Duplicate].[FinPeriod]" caption="FinPeriod" attribute="1" defaultMemberUniqueName="[BI vw_Budget Duplicate].[FinPeriod].[All]" allUniqueName="[BI vw_Budget Duplicate].[FinPeriod].[All]" dimensionUniqueName="[BI vw_Budget Duplicate]" displayFolder="" count="0" memberValueDatatype="130" unbalanced="0"/>
    <cacheHierarchy uniqueName="[BI vw_Budget Duplicate].[Store]" caption="Store" attribute="1" defaultMemberUniqueName="[BI vw_Budget Duplicate].[Store].[All]" allUniqueName="[BI vw_Budget Duplicate].[Store].[All]" dimensionUniqueName="[BI vw_Budget Duplicate]" displayFolder="" count="0" memberValueDatatype="130" unbalanced="0"/>
    <cacheHierarchy uniqueName="[BI vw_Budget Duplicate].[YearFinPeriod]" caption="YearFinPeriod" attribute="1" defaultMemberUniqueName="[BI vw_Budget Duplicate].[YearFinPeriod].[All]" allUniqueName="[BI vw_Budget Duplicate].[YearFinPeriod].[All]" dimensionUniqueName="[BI vw_Budget Duplicate]" displayFolder="" count="0" memberValueDatatype="130" unbalanced="0"/>
    <cacheHierarchy uniqueName="[BI vw_BudgetDeliveredSalesByStore].[Budget_Key]" caption="Budget_Key" attribute="1" defaultMemberUniqueName="[BI vw_BudgetDeliveredSalesByStore].[Budget_Key].[All]" allUniqueName="[BI vw_BudgetDeliveredSalesByStore].[Budget_Key].[All]" dimensionUniqueName="[BI vw_BudgetDeliveredSalesByStore]" displayFolder="" count="0" memberValueDatatype="130" unbalanced="0"/>
    <cacheHierarchy uniqueName="[BI vw_BudgetDeliveredSalesByStore].[BudgetDollar]" caption="BudgetDollar" attribute="1" defaultMemberUniqueName="[BI vw_BudgetDeliveredSalesByStore].[BudgetDollar].[All]" allUniqueName="[BI vw_BudgetDeliveredSalesByStore].[BudgetDollar].[All]" dimensionUniqueName="[BI vw_BudgetDeliveredSalesByStore]" displayFolder="" count="0" memberValueDatatype="6" unbalanced="0"/>
    <cacheHierarchy uniqueName="[BI vw_BudgetDeliveredSalesByStore].[BudgetYear]" caption="BudgetYear" attribute="1" defaultMemberUniqueName="[BI vw_BudgetDeliveredSalesByStore].[BudgetYear].[All]" allUniqueName="[BI vw_BudgetDeliveredSalesByStore].[BudgetYear].[All]" dimensionUniqueName="[BI vw_BudgetDeliveredSalesByStore]" displayFolder="" count="0" memberValueDatatype="20" unbalanced="0"/>
    <cacheHierarchy uniqueName="[BI vw_BudgetDeliveredSalesByStore].[FinPeriod]" caption="FinPeriod" attribute="1" defaultMemberUniqueName="[BI vw_BudgetDeliveredSalesByStore].[FinPeriod].[All]" allUniqueName="[BI vw_BudgetDeliveredSalesByStore].[FinPeriod].[All]" dimensionUniqueName="[BI vw_BudgetDeliveredSalesByStore]" displayFolder="" count="0" memberValueDatatype="130" unbalanced="0"/>
    <cacheHierarchy uniqueName="[BI vw_BudgetDeliveredSalesByStore].[Store]" caption="Store" attribute="1" defaultMemberUniqueName="[BI vw_BudgetDeliveredSalesByStore].[Store].[All]" allUniqueName="[BI vw_BudgetDeliveredSalesByStore].[Store].[All]" dimensionUniqueName="[BI vw_BudgetDeliveredSalesByStore]" displayFolder="" count="0" memberValueDatatype="130" unbalanced="0"/>
    <cacheHierarchy uniqueName="[BI vw_BudgetDeliveredSalesByStore].[YearFinPeriod]" caption="YearFinPeriod" attribute="1" defaultMemberUniqueName="[BI vw_BudgetDeliveredSalesByStore].[YearFinPeriod].[All]" allUniqueName="[BI vw_BudgetDeliveredSalesByStore].[YearFinPeriod].[All]" dimensionUniqueName="[BI vw_BudgetDeliveredSalesByStore]" displayFolder="" count="0" memberValueDatatype="130" unbalanced="0"/>
    <cacheHierarchy uniqueName="[BI vw_Dynamics_FFAFDropshipwholesaleprice].[Key]" caption="Key" attribute="1" defaultMemberUniqueName="[BI vw_Dynamics_FFAFDropshipwholesaleprice].[Key].[All]" allUniqueName="[BI vw_Dynamics_FFAFDropshipwholesaleprice].[Key].[All]" dimensionUniqueName="[BI vw_Dynamics_FFAFDropshipwholesaleprice]" displayFolder="" count="0" memberValueDatatype="130" unbalanced="0"/>
    <cacheHierarchy uniqueName="[BI vw_Dynamics_FFAFDropshipwholesaleprice].[WholeSalePrice_FFAFdropship]" caption="WholeSalePrice_FFAFdropship" attribute="1" defaultMemberUniqueName="[BI vw_Dynamics_FFAFDropshipwholesaleprice].[WholeSalePrice_FFAFdropship].[All]" allUniqueName="[BI vw_Dynamics_FFAFDropshipwholesaleprice].[WholeSalePrice_FFAFdropship].[All]" dimensionUniqueName="[BI vw_Dynamics_FFAFDropshipwholesaleprice]" displayFolder="" count="0" memberValueDatatype="5" unbalanced="0"/>
    <cacheHierarchy uniqueName="[BI vw_DynamicsDeliveredSales].[AU-AU]" caption="AU-AU" attribute="1" defaultMemberUniqueName="[BI vw_DynamicsDeliveredSales].[AU-AU].[All]" allUniqueName="[BI vw_DynamicsDeliveredSales].[AU-AU].[All]" dimensionUniqueName="[BI vw_DynamicsDeliveredSales]" displayFolder="" count="0" memberValueDatatype="5" unbalanced="0"/>
    <cacheHierarchy uniqueName="[BI vw_DynamicsDeliveredSales].[AU-NZ]" caption="AU-NZ" attribute="1" defaultMemberUniqueName="[BI vw_DynamicsDeliveredSales].[AU-NZ].[All]" allUniqueName="[BI vw_DynamicsDeliveredSales].[AU-NZ].[All]" dimensionUniqueName="[BI vw_DynamicsDeliveredSales]" displayFolder="" count="0" memberValueDatatype="5" unbalanced="0"/>
    <cacheHierarchy uniqueName="[BI vw_DynamicsDeliveredSales].[BI vw_Dynamics_FFAFDropshipwholesaleprice.WholeSalePrice_FFAFdropship]" caption="BI vw_Dynamics_FFAFDropshipwholesaleprice.WholeSalePrice_FFAFdropship" attribute="1" defaultMemberUniqueName="[BI vw_DynamicsDeliveredSales].[BI vw_Dynamics_FFAFDropshipwholesaleprice.WholeSalePrice_FFAFdropship].[All]" allUniqueName="[BI vw_DynamicsDeliveredSales].[BI vw_Dynamics_FFAFDropshipwholesaleprice.WholeSalePrice_FFAFdropship].[All]" dimensionUniqueName="[BI vw_DynamicsDeliveredSales]" displayFolder="" count="0" memberValueDatatype="5" unbalanced="0"/>
    <cacheHierarchy uniqueName="[BI vw_DynamicsDeliveredSales].[BranchType]" caption="BranchType" attribute="1" defaultMemberUniqueName="[BI vw_DynamicsDeliveredSales].[BranchType].[All]" allUniqueName="[BI vw_DynamicsDeliveredSales].[BranchType].[All]" dimensionUniqueName="[BI vw_DynamicsDeliveredSales]" displayFolder="" count="0" memberValueDatatype="130" unbalanced="0"/>
    <cacheHierarchy uniqueName="[BI vw_DynamicsDeliveredSales].[Budget_Key]" caption="Budget_Key" attribute="1" defaultMemberUniqueName="[BI vw_DynamicsDeliveredSales].[Budget_Key].[All]" allUniqueName="[BI vw_DynamicsDeliveredSales].[Budget_Key].[All]" dimensionUniqueName="[BI vw_DynamicsDeliveredSales]" displayFolder="" count="0" memberValueDatatype="130" unbalanced="0"/>
    <cacheHierarchy uniqueName="[BI vw_DynamicsDeliveredSales].[CHANNEL]" caption="CHANNEL" attribute="1" defaultMemberUniqueName="[BI vw_DynamicsDeliveredSales].[CHANNEL].[All]" allUniqueName="[BI vw_DynamicsDeliveredSales].[CHANNEL].[All]" dimensionUniqueName="[BI vw_DynamicsDeliveredSales]" displayFolder="" count="2" memberValueDatatype="130" unbalanced="0">
      <fieldsUsage count="2">
        <fieldUsage x="-1"/>
        <fieldUsage x="2"/>
      </fieldsUsage>
    </cacheHierarchy>
    <cacheHierarchy uniqueName="[BI vw_DynamicsDeliveredSales].[ClassDesc]" caption="ClassDesc" attribute="1" defaultMemberUniqueName="[BI vw_DynamicsDeliveredSales].[ClassDesc].[All]" allUniqueName="[BI vw_DynamicsDeliveredSales].[ClassDesc].[All]" dimensionUniqueName="[BI vw_DynamicsDeliveredSales]" displayFolder="" count="0" memberValueDatatype="130" unbalanced="0"/>
    <cacheHierarchy uniqueName="[BI vw_DynamicsDeliveredSales].[COMPANY]" caption="COMPANY" attribute="1" defaultMemberUniqueName="[BI vw_DynamicsDeliveredSales].[COMPANY].[All]" allUniqueName="[BI vw_DynamicsDeliveredSales].[COMPANY].[All]" dimensionUniqueName="[BI vw_DynamicsDeliveredSales]" displayFolder="" count="0" memberValueDatatype="130" unbalanced="0"/>
    <cacheHierarchy uniqueName="[BI vw_DynamicsDeliveredSales].[CONTRIBUTIONMARGIN]" caption="CONTRIBUTIONMARGIN" attribute="1" defaultMemberUniqueName="[BI vw_DynamicsDeliveredSales].[CONTRIBUTIONMARGIN].[All]" allUniqueName="[BI vw_DynamicsDeliveredSales].[CONTRIBUTIONMARGIN].[All]" dimensionUniqueName="[BI vw_DynamicsDeliveredSales]" displayFolder="" count="0" memberValueDatatype="5" unbalanced="0"/>
    <cacheHierarchy uniqueName="[BI vw_DynamicsDeliveredSales].[CONTRIBUTIONMARGININVOICED]" caption="CONTRIBUTIONMARGININVOICED" attribute="1" defaultMemberUniqueName="[BI vw_DynamicsDeliveredSales].[CONTRIBUTIONMARGININVOICED].[All]" allUniqueName="[BI vw_DynamicsDeliveredSales].[CONTRIBUTIONMARGININVOICED].[All]" dimensionUniqueName="[BI vw_DynamicsDeliveredSales]" displayFolder="" count="0" memberValueDatatype="5" unbalanced="0"/>
    <cacheHierarchy uniqueName="[BI vw_DynamicsDeliveredSales].[COSTAMOUNTSTD]" caption="COSTAMOUNTSTD" attribute="1" defaultMemberUniqueName="[BI vw_DynamicsDeliveredSales].[COSTAMOUNTSTD].[All]" allUniqueName="[BI vw_DynamicsDeliveredSales].[COSTAMOUNTSTD].[All]" dimensionUniqueName="[BI vw_DynamicsDeliveredSales]" displayFolder="" count="0" memberValueDatatype="5" unbalanced="0"/>
    <cacheHierarchy uniqueName="[BI vw_DynamicsDeliveredSales].[COSTAMOUNTSTDADJUSTMENT]" caption="COSTAMOUNTSTDADJUSTMENT" attribute="1" defaultMemberUniqueName="[BI vw_DynamicsDeliveredSales].[COSTAMOUNTSTDADJUSTMENT].[All]" allUniqueName="[BI vw_DynamicsDeliveredSales].[COSTAMOUNTSTDADJUSTMENT].[All]" dimensionUniqueName="[BI vw_DynamicsDeliveredSales]" displayFolder="" count="0" memberValueDatatype="5" unbalanced="0"/>
    <cacheHierarchy uniqueName="[BI vw_DynamicsDeliveredSales].[COSTINVOICEDCOST]" caption="COSTINVOICEDCOST" attribute="1" defaultMemberUniqueName="[BI vw_DynamicsDeliveredSales].[COSTINVOICEDCOST].[All]" allUniqueName="[BI vw_DynamicsDeliveredSales].[COSTINVOICEDCOST].[All]" dimensionUniqueName="[BI vw_DynamicsDeliveredSales]" displayFolder="" count="0" memberValueDatatype="5" unbalanced="0"/>
    <cacheHierarchy uniqueName="[BI vw_DynamicsDeliveredSales].[Country]" caption="Country" attribute="1" defaultMemberUniqueName="[BI vw_DynamicsDeliveredSales].[Country].[All]" allUniqueName="[BI vw_DynamicsDeliveredSales].[Country].[All]" dimensionUniqueName="[BI vw_DynamicsDeliveredSales]" displayFolder="" count="0" memberValueDatatype="130" unbalanced="0"/>
    <cacheHierarchy uniqueName="[BI vw_DynamicsDeliveredSales].[CUSTACCOUNT]" caption="CUSTACCOUNT" attribute="1" defaultMemberUniqueName="[BI vw_DynamicsDeliveredSales].[CUSTACCOUNT].[All]" allUniqueName="[BI vw_DynamicsDeliveredSales].[CUSTACCOUNT].[All]" dimensionUniqueName="[BI vw_DynamicsDeliveredSales]" displayFolder="" count="0" memberValueDatatype="130" unbalanced="0"/>
    <cacheHierarchy uniqueName="[BI vw_DynamicsDeliveredSales].[CUSTACCOUNT - Copy]" caption="CUSTACCOUNT - Copy" attribute="1" defaultMemberUniqueName="[BI vw_DynamicsDeliveredSales].[CUSTACCOUNT - Copy].[All]" allUniqueName="[BI vw_DynamicsDeliveredSales].[CUSTACCOUNT - Copy].[All]" dimensionUniqueName="[BI vw_DynamicsDeliveredSales]" displayFolder="" count="0" memberValueDatatype="130" unbalanced="0"/>
    <cacheHierarchy uniqueName="[BI vw_DynamicsDeliveredSales].[CUSTOMERNAME]" caption="CUSTOMERNAME" attribute="1" defaultMemberUniqueName="[BI vw_DynamicsDeliveredSales].[CUSTOMERNAME].[All]" allUniqueName="[BI vw_DynamicsDeliveredSales].[CUSTOMERNAME].[All]" dimensionUniqueName="[BI vw_DynamicsDeliveredSales]" displayFolder="" count="0" memberValueDatatype="130" unbalanced="0"/>
    <cacheHierarchy uniqueName="[BI vw_DynamicsDeliveredSales].[CUSTOMERSORDERREFERENCE]" caption="CUSTOMERSORDERREFERENCE" attribute="1" defaultMemberUniqueName="[BI vw_DynamicsDeliveredSales].[CUSTOMERSORDERREFERENCE].[All]" allUniqueName="[BI vw_DynamicsDeliveredSales].[CUSTOMERSORDERREFERENCE].[All]" dimensionUniqueName="[BI vw_DynamicsDeliveredSales]" displayFolder="" count="0" memberValueDatatype="130" unbalanced="0"/>
    <cacheHierarchy uniqueName="[BI vw_DynamicsDeliveredSales].[DATAAREAID]" caption="DATAAREAID" attribute="1" defaultMemberUniqueName="[BI vw_DynamicsDeliveredSales].[DATAAREAID].[All]" allUniqueName="[BI vw_DynamicsDeliveredSales].[DATAAREAID].[All]" dimensionUniqueName="[BI vw_DynamicsDeliveredSales]" displayFolder="" count="0" memberValueDatatype="130" unbalanced="0"/>
    <cacheHierarchy uniqueName="[BI vw_DynamicsDeliveredSales].[DC Name]" caption="DC Name" attribute="1" defaultMemberUniqueName="[BI vw_DynamicsDeliveredSales].[DC Name].[All]" allUniqueName="[BI vw_DynamicsDeliveredSales].[DC Name].[All]" dimensionUniqueName="[BI vw_DynamicsDeliveredSales]" displayFolder="" count="0" memberValueDatatype="130" unbalanced="0"/>
    <cacheHierarchy uniqueName="[BI vw_DynamicsDeliveredSales].[DC SO Name]" caption="DC SO Name" attribute="1" defaultMemberUniqueName="[BI vw_DynamicsDeliveredSales].[DC SO Name].[All]" allUniqueName="[BI vw_DynamicsDeliveredSales].[DC SO Name].[All]" dimensionUniqueName="[BI vw_DynamicsDeliveredSales]" displayFolder="" count="0" memberValueDatatype="20" unbalanced="0"/>
    <cacheHierarchy uniqueName="[BI vw_DynamicsDeliveredSales].[DEFAULTLEDGERDIMENSIONDISPLAYVALUE]" caption="DEFAULTLEDGERDIMENSIONDISPLAYVALUE" attribute="1" defaultMemberUniqueName="[BI vw_DynamicsDeliveredSales].[DEFAULTLEDGERDIMENSIONDISPLAYVALUE].[All]" allUniqueName="[BI vw_DynamicsDeliveredSales].[DEFAULTLEDGERDIMENSIONDISPLAYVALUE].[All]" dimensionUniqueName="[BI vw_DynamicsDeliveredSales]" displayFolder="" count="0" memberValueDatatype="130" unbalanced="0"/>
    <cacheHierarchy uniqueName="[BI vw_DynamicsDeliveredSales].[DEFAULTSHIPPINGWAREHOUSEID]" caption="DEFAULTSHIPPINGWAREHOUSEID" attribute="1" defaultMemberUniqueName="[BI vw_DynamicsDeliveredSales].[DEFAULTSHIPPINGWAREHOUSEID].[All]" allUniqueName="[BI vw_DynamicsDeliveredSales].[DEFAULTSHIPPINGWAREHOUSEID].[All]" dimensionUniqueName="[BI vw_DynamicsDeliveredSales]" displayFolder="" count="0" memberValueDatatype="130" unbalanced="0"/>
    <cacheHierarchy uniqueName="[BI vw_DynamicsDeliveredSales].[DELIVERYMODECODE]" caption="DELIVERYMODECODE" attribute="1" defaultMemberUniqueName="[BI vw_DynamicsDeliveredSales].[DELIVERYMODECODE].[All]" allUniqueName="[BI vw_DynamicsDeliveredSales].[DELIVERYMODECODE].[All]" dimensionUniqueName="[BI vw_DynamicsDeliveredSales]" displayFolder="" count="0" memberValueDatatype="130" unbalanced="0"/>
    <cacheHierarchy uniqueName="[BI vw_DynamicsDeliveredSales].[Department]" caption="Department" attribute="1" defaultMemberUniqueName="[BI vw_DynamicsDeliveredSales].[Department].[All]" allUniqueName="[BI vw_DynamicsDeliveredSales].[Department].[All]" dimensionUniqueName="[BI vw_DynamicsDeliveredSales]" displayFolder="" count="0" memberValueDatatype="5" unbalanced="0"/>
    <cacheHierarchy uniqueName="[BI vw_DynamicsDeliveredSales].[DepartmentDesc]" caption="DepartmentDesc" attribute="1" defaultMemberUniqueName="[BI vw_DynamicsDeliveredSales].[DepartmentDesc].[All]" allUniqueName="[BI vw_DynamicsDeliveredSales].[DepartmentDesc].[All]" dimensionUniqueName="[BI vw_DynamicsDeliveredSales]" displayFolder="" count="0" memberValueDatatype="130" unbalanced="0"/>
    <cacheHierarchy uniqueName="[BI vw_DynamicsDeliveredSales].[DISCINVOICEDDISC]" caption="DISCINVOICEDDISC" attribute="1" defaultMemberUniqueName="[BI vw_DynamicsDeliveredSales].[DISCINVOICEDDISC].[All]" allUniqueName="[BI vw_DynamicsDeliveredSales].[DISCINVOICEDDISC].[All]" dimensionUniqueName="[BI vw_DynamicsDeliveredSales]" displayFolder="" count="0" memberValueDatatype="5" unbalanced="0"/>
    <cacheHierarchy uniqueName="[BI vw_DynamicsDeliveredSales].[Division]" caption="Division" attribute="1" defaultMemberUniqueName="[BI vw_DynamicsDeliveredSales].[Division].[All]" allUniqueName="[BI vw_DynamicsDeliveredSales].[Division].[All]" dimensionUniqueName="[BI vw_DynamicsDeliveredSales]" displayFolder="" count="2" memberValueDatatype="130" unbalanced="0">
      <fieldsUsage count="2">
        <fieldUsage x="-1"/>
        <fieldUsage x="6"/>
      </fieldsUsage>
    </cacheHierarchy>
    <cacheHierarchy uniqueName="[BI vw_DynamicsDeliveredSales].[Dropship]" caption="Dropship" attribute="1" defaultMemberUniqueName="[BI vw_DynamicsDeliveredSales].[Dropship].[All]" allUniqueName="[BI vw_DynamicsDeliveredSales].[Dropship].[All]" dimensionUniqueName="[BI vw_DynamicsDeliveredSales]" displayFolder="" count="0" memberValueDatatype="130" unbalanced="0"/>
    <cacheHierarchy uniqueName="[BI vw_DynamicsDeliveredSales].[DXC_BASEITEMNUMBER]" caption="DXC_BASEITEMNUMBER" attribute="1" defaultMemberUniqueName="[BI vw_DynamicsDeliveredSales].[DXC_BASEITEMNUMBER].[All]" allUniqueName="[BI vw_DynamicsDeliveredSales].[DXC_BASEITEMNUMBER].[All]" dimensionUniqueName="[BI vw_DynamicsDeliveredSales]" displayFolder="" count="0" memberValueDatatype="130" unbalanced="0"/>
    <cacheHierarchy uniqueName="[BI vw_DynamicsDeliveredSales].[dxc_EXTERNALCREATEDDATE]" caption="dxc_EXTERNALCREATEDDATE" attribute="1" time="1" defaultMemberUniqueName="[BI vw_DynamicsDeliveredSales].[dxc_EXTERNALCREATEDDATE].[All]" allUniqueName="[BI vw_DynamicsDeliveredSales].[dxc_EXTERNALCREATEDDATE].[All]" dimensionUniqueName="[BI vw_DynamicsDeliveredSales]" displayFolder="" count="0" memberValueDatatype="7" unbalanced="0"/>
    <cacheHierarchy uniqueName="[BI vw_DynamicsDeliveredSales].[DXC_EXTERNALITEMNUMBER]" caption="DXC_EXTERNALITEMNUMBER" attribute="1" defaultMemberUniqueName="[BI vw_DynamicsDeliveredSales].[DXC_EXTERNALITEMNUMBER].[All]" allUniqueName="[BI vw_DynamicsDeliveredSales].[DXC_EXTERNALITEMNUMBER].[All]" dimensionUniqueName="[BI vw_DynamicsDeliveredSales]" displayFolder="" count="0" memberValueDatatype="130" unbalanced="0"/>
    <cacheHierarchy uniqueName="[BI vw_DynamicsDeliveredSales].[DXC_SALESPERSONID]" caption="DXC_SALESPERSONID" attribute="1" defaultMemberUniqueName="[BI vw_DynamicsDeliveredSales].[DXC_SALESPERSONID].[All]" allUniqueName="[BI vw_DynamicsDeliveredSales].[DXC_SALESPERSONID].[All]" dimensionUniqueName="[BI vw_DynamicsDeliveredSales]" displayFolder="" count="0" memberValueDatatype="130" unbalanced="0"/>
    <cacheHierarchy uniqueName="[BI vw_DynamicsDeliveredSales].[FINALUPC]" caption="FINALUPC" attribute="1" defaultMemberUniqueName="[BI vw_DynamicsDeliveredSales].[FINALUPC].[All]" allUniqueName="[BI vw_DynamicsDeliveredSales].[FINALUPC].[All]" dimensionUniqueName="[BI vw_DynamicsDeliveredSales]" displayFolder="" count="0" memberValueDatatype="20" unbalanced="0"/>
    <cacheHierarchy uniqueName="[BI vw_DynamicsDeliveredSales].[FinPeriod]" caption="FinPeriod" attribute="1" defaultMemberUniqueName="[BI vw_DynamicsDeliveredSales].[FinPeriod].[All]" allUniqueName="[BI vw_DynamicsDeliveredSales].[FinPeriod].[All]" dimensionUniqueName="[BI vw_DynamicsDeliveredSales]" displayFolder="" count="0" memberValueDatatype="20" unbalanced="0"/>
    <cacheHierarchy uniqueName="[BI vw_DynamicsDeliveredSales].[FinPeriod Cal]" caption="FinPeriod Cal" attribute="1" defaultMemberUniqueName="[BI vw_DynamicsDeliveredSales].[FinPeriod Cal].[All]" allUniqueName="[BI vw_DynamicsDeliveredSales].[FinPeriod Cal].[All]" dimensionUniqueName="[BI vw_DynamicsDeliveredSales]" displayFolder="" count="0" memberValueDatatype="20" unbalanced="0"/>
    <cacheHierarchy uniqueName="[BI vw_DynamicsDeliveredSales].[FirstWeek-Month]" caption="FirstWeek-Month" attribute="1" defaultMemberUniqueName="[BI vw_DynamicsDeliveredSales].[FirstWeek-Month].[All]" allUniqueName="[BI vw_DynamicsDeliveredSales].[FirstWeek-Month].[All]" dimensionUniqueName="[BI vw_DynamicsDeliveredSales]" displayFolder="" count="0" memberValueDatatype="20" unbalanced="0"/>
    <cacheHierarchy uniqueName="[BI vw_DynamicsDeliveredSales].[FirstWeek-QTD]" caption="FirstWeek-QTD" attribute="1" defaultMemberUniqueName="[BI vw_DynamicsDeliveredSales].[FirstWeek-QTD].[All]" allUniqueName="[BI vw_DynamicsDeliveredSales].[FirstWeek-QTD].[All]" dimensionUniqueName="[BI vw_DynamicsDeliveredSales]" displayFolder="" count="0" memberValueDatatype="20" unbalanced="0"/>
    <cacheHierarchy uniqueName="[BI vw_DynamicsDeliveredSales].[FirstWeek-Year]" caption="FirstWeek-Year" attribute="1" defaultMemberUniqueName="[BI vw_DynamicsDeliveredSales].[FirstWeek-Year].[All]" allUniqueName="[BI vw_DynamicsDeliveredSales].[FirstWeek-Year].[All]" dimensionUniqueName="[BI vw_DynamicsDeliveredSales]" displayFolder="" count="0" memberValueDatatype="130" unbalanced="0"/>
    <cacheHierarchy uniqueName="[BI vw_DynamicsDeliveredSales].[GROSSINVOICEDGROSS]" caption="GROSSINVOICEDGROSS" attribute="1" defaultMemberUniqueName="[BI vw_DynamicsDeliveredSales].[GROSSINVOICEDGROSS].[All]" allUniqueName="[BI vw_DynamicsDeliveredSales].[GROSSINVOICEDGROSS].[All]" dimensionUniqueName="[BI vw_DynamicsDeliveredSales]" displayFolder="" count="0" memberValueDatatype="5" unbalanced="0"/>
    <cacheHierarchy uniqueName="[BI vw_DynamicsDeliveredSales].[INVENTTRANSID]" caption="INVENTTRANSID" attribute="1" defaultMemberUniqueName="[BI vw_DynamicsDeliveredSales].[INVENTTRANSID].[All]" allUniqueName="[BI vw_DynamicsDeliveredSales].[INVENTTRANSID].[All]" dimensionUniqueName="[BI vw_DynamicsDeliveredSales]" displayFolder="" count="0" memberValueDatatype="130" unbalanced="0"/>
    <cacheHierarchy uniqueName="[BI vw_DynamicsDeliveredSales].[INVOICEDATE]" caption="INVOICEDATE" attribute="1" time="1" defaultMemberUniqueName="[BI vw_DynamicsDeliveredSales].[INVOICEDATE].[All]" allUniqueName="[BI vw_DynamicsDeliveredSales].[INVOICEDATE].[All]" dimensionUniqueName="[BI vw_DynamicsDeliveredSales]" displayFolder="" count="0" memberValueDatatype="7" unbalanced="0"/>
    <cacheHierarchy uniqueName="[BI vw_DynamicsDeliveredSales].[INVOICEID]" caption="INVOICEID" attribute="1" defaultMemberUniqueName="[BI vw_DynamicsDeliveredSales].[INVOICEID].[All]" allUniqueName="[BI vw_DynamicsDeliveredSales].[INVOICEID].[All]" dimensionUniqueName="[BI vw_DynamicsDeliveredSales]" displayFolder="" count="0" memberValueDatatype="130" unbalanced="0"/>
    <cacheHierarchy uniqueName="[BI vw_DynamicsDeliveredSales].[ISSELECTED]" caption="ISSELECTED" attribute="1" defaultMemberUniqueName="[BI vw_DynamicsDeliveredSales].[ISSELECTED].[All]" allUniqueName="[BI vw_DynamicsDeliveredSales].[ISSELECTED].[All]" dimensionUniqueName="[BI vw_DynamicsDeliveredSales]" displayFolder="" count="0" memberValueDatatype="20" unbalanced="0"/>
    <cacheHierarchy uniqueName="[BI vw_DynamicsDeliveredSales].[ITEMID]" caption="ITEMID" attribute="1" defaultMemberUniqueName="[BI vw_DynamicsDeliveredSales].[ITEMID].[All]" allUniqueName="[BI vw_DynamicsDeliveredSales].[ITEMID].[All]" dimensionUniqueName="[BI vw_DynamicsDeliveredSales]" displayFolder="" count="0" memberValueDatatype="130" unbalanced="0"/>
    <cacheHierarchy uniqueName="[BI vw_DynamicsDeliveredSales].[ITEMNAME]" caption="ITEMNAME" attribute="1" defaultMemberUniqueName="[BI vw_DynamicsDeliveredSales].[ITEMNAME].[All]" allUniqueName="[BI vw_DynamicsDeliveredSales].[ITEMNAME].[All]" dimensionUniqueName="[BI vw_DynamicsDeliveredSales]" displayFolder="" count="0" memberValueDatatype="130" unbalanced="0"/>
    <cacheHierarchy uniqueName="[BI vw_DynamicsDeliveredSales].[ITEMTYPE]" caption="ITEMTYPE" attribute="1" defaultMemberUniqueName="[BI vw_DynamicsDeliveredSales].[ITEMTYPE].[All]" allUniqueName="[BI vw_DynamicsDeliveredSales].[ITEMTYPE].[All]" dimensionUniqueName="[BI vw_DynamicsDeliveredSales]" displayFolder="" count="0" memberValueDatatype="130" unbalanced="0"/>
    <cacheHierarchy uniqueName="[BI vw_DynamicsDeliveredSales].[LINECREATIONSEQUENCENUMBER]" caption="LINECREATIONSEQUENCENUMBER" attribute="1" defaultMemberUniqueName="[BI vw_DynamicsDeliveredSales].[LINECREATIONSEQUENCENUMBER].[All]" allUniqueName="[BI vw_DynamicsDeliveredSales].[LINECREATIONSEQUENCENUMBER].[All]" dimensionUniqueName="[BI vw_DynamicsDeliveredSales]" displayFolder="" count="0" memberValueDatatype="20" unbalanced="0"/>
    <cacheHierarchy uniqueName="[BI vw_DynamicsDeliveredSales].[LINEDISC]" caption="LINEDISC" attribute="1" defaultMemberUniqueName="[BI vw_DynamicsDeliveredSales].[LINEDISC].[All]" allUniqueName="[BI vw_DynamicsDeliveredSales].[LINEDISC].[All]" dimensionUniqueName="[BI vw_DynamicsDeliveredSales]" displayFolder="" count="0" memberValueDatatype="5" unbalanced="0"/>
    <cacheHierarchy uniqueName="[BI vw_DynamicsDeliveredSales].[LINENUM]" caption="LINENUM" attribute="1" defaultMemberUniqueName="[BI vw_DynamicsDeliveredSales].[LINENUM].[All]" allUniqueName="[BI vw_DynamicsDeliveredSales].[LINENUM].[All]" dimensionUniqueName="[BI vw_DynamicsDeliveredSales]" displayFolder="" count="0" memberValueDatatype="20" unbalanced="0"/>
    <cacheHierarchy uniqueName="[BI vw_DynamicsDeliveredSales].[MarkdownAmounts.1]" caption="MarkdownAmounts.1" attribute="1" defaultMemberUniqueName="[BI vw_DynamicsDeliveredSales].[MarkdownAmounts.1].[All]" allUniqueName="[BI vw_DynamicsDeliveredSales].[MarkdownAmounts.1].[All]" dimensionUniqueName="[BI vw_DynamicsDeliveredSales]" displayFolder="" count="0" memberValueDatatype="5" unbalanced="0"/>
    <cacheHierarchy uniqueName="[BI vw_DynamicsDeliveredSales].[MarkdownAmounts.2]" caption="MarkdownAmounts.2" attribute="1" defaultMemberUniqueName="[BI vw_DynamicsDeliveredSales].[MarkdownAmounts.2].[All]" allUniqueName="[BI vw_DynamicsDeliveredSales].[MarkdownAmounts.2].[All]" dimensionUniqueName="[BI vw_DynamicsDeliveredSales]" displayFolder="" count="0" memberValueDatatype="5" unbalanced="0"/>
    <cacheHierarchy uniqueName="[BI vw_DynamicsDeliveredSales].[MarkdownCategory.1]" caption="MarkdownCategory.1" attribute="1" defaultMemberUniqueName="[BI vw_DynamicsDeliveredSales].[MarkdownCategory.1].[All]" allUniqueName="[BI vw_DynamicsDeliveredSales].[MarkdownCategory.1].[All]" dimensionUniqueName="[BI vw_DynamicsDeliveredSales]" displayFolder="" count="0" memberValueDatatype="130" unbalanced="0"/>
    <cacheHierarchy uniqueName="[BI vw_DynamicsDeliveredSales].[MarkdownCategory.2]" caption="MarkdownCategory.2" attribute="1" defaultMemberUniqueName="[BI vw_DynamicsDeliveredSales].[MarkdownCategory.2].[All]" allUniqueName="[BI vw_DynamicsDeliveredSales].[MarkdownCategory.2].[All]" dimensionUniqueName="[BI vw_DynamicsDeliveredSales]" displayFolder="" count="0" memberValueDatatype="130" unbalanced="0"/>
    <cacheHierarchy uniqueName="[BI vw_DynamicsDeliveredSales].[MarkdownCodes.1]" caption="MarkdownCodes.1" attribute="1" defaultMemberUniqueName="[BI vw_DynamicsDeliveredSales].[MarkdownCodes.1].[All]" allUniqueName="[BI vw_DynamicsDeliveredSales].[MarkdownCodes.1].[All]" dimensionUniqueName="[BI vw_DynamicsDeliveredSales]" displayFolder="" count="0" memberValueDatatype="130" unbalanced="0"/>
    <cacheHierarchy uniqueName="[BI vw_DynamicsDeliveredSales].[MarkdownCodes.2]" caption="MarkdownCodes.2" attribute="1" defaultMemberUniqueName="[BI vw_DynamicsDeliveredSales].[MarkdownCodes.2].[All]" allUniqueName="[BI vw_DynamicsDeliveredSales].[MarkdownCodes.2].[All]" dimensionUniqueName="[BI vw_DynamicsDeliveredSales]" displayFolder="" count="0" memberValueDatatype="130" unbalanced="0"/>
    <cacheHierarchy uniqueName="[BI vw_DynamicsDeliveredSales].[Merged]" caption="Merged" attribute="1" defaultMemberUniqueName="[BI vw_DynamicsDeliveredSales].[Merged].[All]" allUniqueName="[BI vw_DynamicsDeliveredSales].[Merged].[All]" dimensionUniqueName="[BI vw_DynamicsDeliveredSales]" displayFolder="" count="0" memberValueDatatype="130" unbalanced="0"/>
    <cacheHierarchy uniqueName="[BI vw_DynamicsDeliveredSales].[NETINVOICEDNET]" caption="NETINVOICEDNET" attribute="1" defaultMemberUniqueName="[BI vw_DynamicsDeliveredSales].[NETINVOICEDNET].[All]" allUniqueName="[BI vw_DynamicsDeliveredSales].[NETINVOICEDNET].[All]" dimensionUniqueName="[BI vw_DynamicsDeliveredSales]" displayFolder="" count="0" memberValueDatatype="5" unbalanced="0"/>
    <cacheHierarchy uniqueName="[BI vw_DynamicsDeliveredSales].[NETSALESNET]" caption="NETSALESNET" attribute="1" defaultMemberUniqueName="[BI vw_DynamicsDeliveredSales].[NETSALESNET].[All]" allUniqueName="[BI vw_DynamicsDeliveredSales].[NETSALESNET].[All]" dimensionUniqueName="[BI vw_DynamicsDeliveredSales]" displayFolder="" count="0" memberValueDatatype="5" unbalanced="0"/>
    <cacheHierarchy uniqueName="[BI vw_DynamicsDeliveredSales].[NZ-NZ]" caption="NZ-NZ" attribute="1" defaultMemberUniqueName="[BI vw_DynamicsDeliveredSales].[NZ-NZ].[All]" allUniqueName="[BI vw_DynamicsDeliveredSales].[NZ-NZ].[All]" dimensionUniqueName="[BI vw_DynamicsDeliveredSales]" displayFolder="" count="0" memberValueDatatype="5" unbalanced="0"/>
    <cacheHierarchy uniqueName="[BI vw_DynamicsDeliveredSales].[ORDERCREATIONDATETIME]" caption="ORDERCREATIONDATETIME" attribute="1" time="1" defaultMemberUniqueName="[BI vw_DynamicsDeliveredSales].[ORDERCREATIONDATETIME].[All]" allUniqueName="[BI vw_DynamicsDeliveredSales].[ORDERCREATIONDATETIME].[All]" dimensionUniqueName="[BI vw_DynamicsDeliveredSales]" displayFolder="" count="0" memberValueDatatype="7" unbalanced="0"/>
    <cacheHierarchy uniqueName="[BI vw_DynamicsDeliveredSales].[PARTITION]" caption="PARTITION" attribute="1" defaultMemberUniqueName="[BI vw_DynamicsDeliveredSales].[PARTITION].[All]" allUniqueName="[BI vw_DynamicsDeliveredSales].[PARTITION].[All]" dimensionUniqueName="[BI vw_DynamicsDeliveredSales]" displayFolder="" count="0" memberValueDatatype="130" unbalanced="0"/>
    <cacheHierarchy uniqueName="[BI vw_DynamicsDeliveredSales].[PRODUCTTYPE]" caption="PRODUCTTYPE" attribute="1" defaultMemberUniqueName="[BI vw_DynamicsDeliveredSales].[PRODUCTTYPE].[All]" allUniqueName="[BI vw_DynamicsDeliveredSales].[PRODUCTTYPE].[All]" dimensionUniqueName="[BI vw_DynamicsDeliveredSales]" displayFolder="" count="0" memberValueDatatype="20" unbalanced="0"/>
    <cacheHierarchy uniqueName="[BI vw_DynamicsDeliveredSales].[QTY]" caption="QTY" attribute="1" defaultMemberUniqueName="[BI vw_DynamicsDeliveredSales].[QTY].[All]" allUniqueName="[BI vw_DynamicsDeliveredSales].[QTY].[All]" dimensionUniqueName="[BI vw_DynamicsDeliveredSales]" displayFolder="" count="0" memberValueDatatype="5" unbalanced="0"/>
    <cacheHierarchy uniqueName="[BI vw_DynamicsDeliveredSales].[Range]" caption="Range" attribute="1" defaultMemberUniqueName="[BI vw_DynamicsDeliveredSales].[Range].[All]" allUniqueName="[BI vw_DynamicsDeliveredSales].[Range].[All]" dimensionUniqueName="[BI vw_DynamicsDeliveredSales]" displayFolder="" count="0" memberValueDatatype="130" unbalanced="0"/>
    <cacheHierarchy uniqueName="[BI vw_DynamicsDeliveredSales].[RECID]" caption="RECID" attribute="1" defaultMemberUniqueName="[BI vw_DynamicsDeliveredSales].[RECID].[All]" allUniqueName="[BI vw_DynamicsDeliveredSales].[RECID].[All]" dimensionUniqueName="[BI vw_DynamicsDeliveredSales]" displayFolder="" count="0" memberValueDatatype="20" unbalanced="0"/>
    <cacheHierarchy uniqueName="[BI vw_DynamicsDeliveredSales].[Retail/Not]" caption="Retail/Not" attribute="1" defaultMemberUniqueName="[BI vw_DynamicsDeliveredSales].[Retail/Not].[All]" allUniqueName="[BI vw_DynamicsDeliveredSales].[Retail/Not].[All]" dimensionUniqueName="[BI vw_DynamicsDeliveredSales]" displayFolder="" count="0" memberValueDatatype="130" unbalanced="0"/>
    <cacheHierarchy uniqueName="[BI vw_DynamicsDeliveredSales].[SaleOrderLineNumber]" caption="SaleOrderLineNumber" attribute="1" defaultMemberUniqueName="[BI vw_DynamicsDeliveredSales].[SaleOrderLineNumber].[All]" allUniqueName="[BI vw_DynamicsDeliveredSales].[SaleOrderLineNumber].[All]" dimensionUniqueName="[BI vw_DynamicsDeliveredSales]" displayFolder="" count="0" memberValueDatatype="20" unbalanced="0"/>
    <cacheHierarchy uniqueName="[BI vw_DynamicsDeliveredSales].[Sales Order Type]" caption="Sales Order Type" attribute="1" defaultMemberUniqueName="[BI vw_DynamicsDeliveredSales].[Sales Order Type].[All]" allUniqueName="[BI vw_DynamicsDeliveredSales].[Sales Order Type].[All]" dimensionUniqueName="[BI vw_DynamicsDeliveredSales]" displayFolder="" count="2" memberValueDatatype="130" unbalanced="0">
      <fieldsUsage count="2">
        <fieldUsage x="-1"/>
        <fieldUsage x="5"/>
      </fieldsUsage>
    </cacheHierarchy>
    <cacheHierarchy uniqueName="[BI vw_DynamicsDeliveredSales].[Sales Type]" caption="Sales Type" attribute="1" defaultMemberUniqueName="[BI vw_DynamicsDeliveredSales].[Sales Type].[All]" allUniqueName="[BI vw_DynamicsDeliveredSales].[Sales Type].[All]" dimensionUniqueName="[BI vw_DynamicsDeliveredSales]" displayFolder="" count="0" memberValueDatatype="130" unbalanced="0"/>
    <cacheHierarchy uniqueName="[BI vw_DynamicsDeliveredSales].[SALESID]" caption="SALESID" attribute="1" defaultMemberUniqueName="[BI vw_DynamicsDeliveredSales].[SALESID].[All]" allUniqueName="[BI vw_DynamicsDeliveredSales].[SALESID].[All]" dimensionUniqueName="[BI vw_DynamicsDeliveredSales]" displayFolder="" count="0" memberValueDatatype="130" unbalanced="0"/>
    <cacheHierarchy uniqueName="[BI vw_DynamicsDeliveredSales].[SALESORDERNUMBER]" caption="SALESORDERNUMBER" attribute="1" defaultMemberUniqueName="[BI vw_DynamicsDeliveredSales].[SALESORDERNUMBER].[All]" allUniqueName="[BI vw_DynamicsDeliveredSales].[SALESORDERNUMBER].[All]" dimensionUniqueName="[BI vw_DynamicsDeliveredSales]" displayFolder="" count="0" memberValueDatatype="130" unbalanced="0"/>
    <cacheHierarchy uniqueName="[BI vw_DynamicsDeliveredSales].[SALESPRICE]" caption="SALESPRICE" attribute="1" defaultMemberUniqueName="[BI vw_DynamicsDeliveredSales].[SALESPRICE].[All]" allUniqueName="[BI vw_DynamicsDeliveredSales].[SALESPRICE].[All]" dimensionUniqueName="[BI vw_DynamicsDeliveredSales]" displayFolder="" count="0" memberValueDatatype="5" unbalanced="0"/>
    <cacheHierarchy uniqueName="[BI vw_DynamicsDeliveredSales].[SHIPPINGWAREHOUSEID]" caption="SHIPPINGWAREHOUSEID" attribute="1" defaultMemberUniqueName="[BI vw_DynamicsDeliveredSales].[SHIPPINGWAREHOUSEID].[All]" allUniqueName="[BI vw_DynamicsDeliveredSales].[SHIPPINGWAREHOUSEID].[All]" dimensionUniqueName="[BI vw_DynamicsDeliveredSales]" displayFolder="" count="0" memberValueDatatype="130" unbalanced="0"/>
    <cacheHierarchy uniqueName="[BI vw_DynamicsDeliveredSales].[StoreCode]" caption="StoreCode" attribute="1" defaultMemberUniqueName="[BI vw_DynamicsDeliveredSales].[StoreCode].[All]" allUniqueName="[BI vw_DynamicsDeliveredSales].[StoreCode].[All]" dimensionUniqueName="[BI vw_DynamicsDeliveredSales]" displayFolder="" count="0" memberValueDatatype="130" unbalanced="0"/>
    <cacheHierarchy uniqueName="[BI vw_DynamicsDeliveredSales].[SubDepartmentDesc]" caption="SubDepartmentDesc" attribute="1" defaultMemberUniqueName="[BI vw_DynamicsDeliveredSales].[SubDepartmentDesc].[All]" allUniqueName="[BI vw_DynamicsDeliveredSales].[SubDepartmentDesc].[All]" dimensionUniqueName="[BI vw_DynamicsDeliveredSales]" displayFolder="" count="0" memberValueDatatype="130" unbalanced="0"/>
    <cacheHierarchy uniqueName="[BI vw_DynamicsDeliveredSales].[TAXAMOUNT]" caption="TAXAMOUNT" attribute="1" defaultMemberUniqueName="[BI vw_DynamicsDeliveredSales].[TAXAMOUNT].[All]" allUniqueName="[BI vw_DynamicsDeliveredSales].[TAXAMOUNT].[All]" dimensionUniqueName="[BI vw_DynamicsDeliveredSales]" displayFolder="" count="0" memberValueDatatype="5" unbalanced="0"/>
    <cacheHierarchy uniqueName="[BI vw_DynamicsDeliveredSales].[TAXGROUP]" caption="TAXGROUP" attribute="1" defaultMemberUniqueName="[BI vw_DynamicsDeliveredSales].[TAXGROUP].[All]" allUniqueName="[BI vw_DynamicsDeliveredSales].[TAXGROUP].[All]" dimensionUniqueName="[BI vw_DynamicsDeliveredSales]" displayFolder="" count="0" memberValueDatatype="130" unbalanced="0"/>
    <cacheHierarchy uniqueName="[BI vw_DynamicsDeliveredSales].[Total Cost Final]" caption="Total Cost Final" attribute="1" defaultMemberUniqueName="[BI vw_DynamicsDeliveredSales].[Total Cost Final].[All]" allUniqueName="[BI vw_DynamicsDeliveredSales].[Total Cost Final].[All]" dimensionUniqueName="[BI vw_DynamicsDeliveredSales]" displayFolder="" count="0" memberValueDatatype="130" unbalanced="0"/>
    <cacheHierarchy uniqueName="[BI vw_DynamicsDeliveredSales].[TRANSFERSTATUS]" caption="TRANSFERSTATUS" attribute="1" defaultMemberUniqueName="[BI vw_DynamicsDeliveredSales].[TRANSFERSTATUS].[All]" allUniqueName="[BI vw_DynamicsDeliveredSales].[TRANSFERSTATUS].[All]" dimensionUniqueName="[BI vw_DynamicsDeliveredSales]" displayFolder="" count="0" memberValueDatatype="20" unbalanced="0"/>
    <cacheHierarchy uniqueName="[BI vw_DynamicsDeliveredSales].[WAREHOUSE]" caption="WAREHOUSE" attribute="1" defaultMemberUniqueName="[BI vw_DynamicsDeliveredSales].[WAREHOUSE].[All]" allUniqueName="[BI vw_DynamicsDeliveredSales].[WAREHOUSE].[All]" dimensionUniqueName="[BI vw_DynamicsDeliveredSales]" displayFolder="" count="0" memberValueDatatype="130" unbalanced="0"/>
    <cacheHierarchy uniqueName="[BI vw_DynamicsDeliveredSales].[Week]" caption="Week" attribute="1" defaultMemberUniqueName="[BI vw_DynamicsDeliveredSales].[Week].[All]" allUniqueName="[BI vw_DynamicsDeliveredSales].[Week].[All]" dimensionUniqueName="[BI vw_DynamicsDeliveredSales]" displayFolder="" count="0" memberValueDatatype="20" unbalanced="0"/>
    <cacheHierarchy uniqueName="[BI vw_DynamicsDeliveredSales].[Year Month]" caption="Year Month" attribute="1" defaultMemberUniqueName="[BI vw_DynamicsDeliveredSales].[Year Month].[All]" allUniqueName="[BI vw_DynamicsDeliveredSales].[Year Month].[All]" dimensionUniqueName="[BI vw_DynamicsDeliveredSales]" displayFolder="" count="0" memberValueDatatype="20" unbalanced="0"/>
    <cacheHierarchy uniqueName="[BI vw_FinCalendar].[Date]" caption="Date" attribute="1" time="1" defaultMemberUniqueName="[BI vw_FinCalendar].[Date].[All]" allUniqueName="[BI vw_FinCalendar].[Date].[All]" dimensionUniqueName="[BI vw_FinCalendar]" displayFolder="" count="0" memberValueDatatype="7" unbalanced="0"/>
    <cacheHierarchy uniqueName="[BI vw_FinCalendar].[Day_Of_Week]" caption="Day_Of_Week" attribute="1" defaultMemberUniqueName="[BI vw_FinCalendar].[Day_Of_Week].[All]" allUniqueName="[BI vw_FinCalendar].[Day_Of_Week].[All]" dimensionUniqueName="[BI vw_FinCalendar]" displayFolder="" count="0" memberValueDatatype="130" unbalanced="0"/>
    <cacheHierarchy uniqueName="[BI vw_FinCalendar].[Day_Of_Week_Sort]" caption="Day_Of_Week_Sort" attribute="1" defaultMemberUniqueName="[BI vw_FinCalendar].[Day_Of_Week_Sort].[All]" allUniqueName="[BI vw_FinCalendar].[Day_Of_Week_Sort].[All]" dimensionUniqueName="[BI vw_FinCalendar]" displayFolder="" count="0" memberValueDatatype="130" unbalanced="0"/>
    <cacheHierarchy uniqueName="[BI vw_FinCalendar].[Fin_Period]" caption="Fin_Period" attribute="1" defaultMemberUniqueName="[BI vw_FinCalendar].[Fin_Period].[All]" allUniqueName="[BI vw_FinCalendar].[Fin_Period].[All]" dimensionUniqueName="[BI vw_FinCalendar]" displayFolder="" count="0" memberValueDatatype="20" unbalanced="0"/>
    <cacheHierarchy uniqueName="[BI vw_FinCalendar].[Fin_Week]" caption="Fin_Week" attribute="1" defaultMemberUniqueName="[BI vw_FinCalendar].[Fin_Week].[All]" allUniqueName="[BI vw_FinCalendar].[Fin_Week].[All]" dimensionUniqueName="[BI vw_FinCalendar]" displayFolder="" count="0" memberValueDatatype="20" unbalanced="0"/>
    <cacheHierarchy uniqueName="[BI vw_FinCalendar].[Fin_Year]" caption="Fin_Year" attribute="1" defaultMemberUniqueName="[BI vw_FinCalendar].[Fin_Year].[All]" allUniqueName="[BI vw_FinCalendar].[Fin_Year].[All]" dimensionUniqueName="[BI vw_FinCalendar]" displayFolder="" count="0" memberValueDatatype="20" unbalanced="0"/>
    <cacheHierarchy uniqueName="[BI vw_FinCalendar].[Fiscal Month]" caption="Fiscal Month" attribute="1" defaultMemberUniqueName="[BI vw_FinCalendar].[Fiscal Month].[All]" allUniqueName="[BI vw_FinCalendar].[Fiscal Month].[All]" dimensionUniqueName="[BI vw_FinCalendar]" displayFolder="" count="0" memberValueDatatype="130" unbalanced="0"/>
    <cacheHierarchy uniqueName="[BI vw_FinCalendar].[FY]" caption="FY" attribute="1" defaultMemberUniqueName="[BI vw_FinCalendar].[FY].[All]" allUniqueName="[BI vw_FinCalendar].[FY].[All]" dimensionUniqueName="[BI vw_FinCalendar]" displayFolder="" count="0" memberValueDatatype="130" unbalanced="0"/>
    <cacheHierarchy uniqueName="[BI vw_FinCalendar].[Is_Last_Week]" caption="Is_Last_Week" attribute="1" defaultMemberUniqueName="[BI vw_FinCalendar].[Is_Last_Week].[All]" allUniqueName="[BI vw_FinCalendar].[Is_Last_Week].[All]" dimensionUniqueName="[BI vw_FinCalendar]" displayFolder="" count="0" memberValueDatatype="20" unbalanced="0"/>
    <cacheHierarchy uniqueName="[BI vw_FinCalendar].[Is_ThisMonth]" caption="Is_ThisMonth" attribute="1" defaultMemberUniqueName="[BI vw_FinCalendar].[Is_ThisMonth].[All]" allUniqueName="[BI vw_FinCalendar].[Is_ThisMonth].[All]" dimensionUniqueName="[BI vw_FinCalendar]" displayFolder="" count="0" memberValueDatatype="20" unbalanced="0"/>
    <cacheHierarchy uniqueName="[BI vw_FinCalendar].[Is_ThisWeek]" caption="Is_ThisWeek" attribute="1" defaultMemberUniqueName="[BI vw_FinCalendar].[Is_ThisWeek].[All]" allUniqueName="[BI vw_FinCalendar].[Is_ThisWeek].[All]" dimensionUniqueName="[BI vw_FinCalendar]" displayFolder="" count="0" memberValueDatatype="20" unbalanced="0"/>
    <cacheHierarchy uniqueName="[BI vw_FinCalendar].[Is_ThisYear]" caption="Is_ThisYear" attribute="1" defaultMemberUniqueName="[BI vw_FinCalendar].[Is_ThisYear].[All]" allUniqueName="[BI vw_FinCalendar].[Is_ThisYear].[All]" dimensionUniqueName="[BI vw_FinCalendar]" displayFolder="" count="0" memberValueDatatype="20" unbalanced="0"/>
    <cacheHierarchy uniqueName="[BI vw_FinCalendar].[Is_Today]" caption="Is_Today" attribute="1" defaultMemberUniqueName="[BI vw_FinCalendar].[Is_Today].[All]" allUniqueName="[BI vw_FinCalendar].[Is_Today].[All]" dimensionUniqueName="[BI vw_FinCalendar]" displayFolder="" count="0" memberValueDatatype="20" unbalanced="0"/>
    <cacheHierarchy uniqueName="[BI vw_FinCalendar].[Month]" caption="Month" attribute="1" defaultMemberUniqueName="[BI vw_FinCalendar].[Month].[All]" allUniqueName="[BI vw_FinCalendar].[Month].[All]" dimensionUniqueName="[BI vw_FinCalendar]" displayFolder="" count="0" memberValueDatatype="130" unbalanced="0"/>
    <cacheHierarchy uniqueName="[BI vw_FinCalendar].[Month_Display]" caption="Month_Display" attribute="1" defaultMemberUniqueName="[BI vw_FinCalendar].[Month_Display].[All]" allUniqueName="[BI vw_FinCalendar].[Month_Display].[All]" dimensionUniqueName="[BI vw_FinCalendar]" displayFolder="" count="0" memberValueDatatype="130" unbalanced="0"/>
    <cacheHierarchy uniqueName="[BI vw_FinCalendar].[Month_Number]" caption="Month_Number" attribute="1" defaultMemberUniqueName="[BI vw_FinCalendar].[Month_Number].[All]" allUniqueName="[BI vw_FinCalendar].[Month_Number].[All]" dimensionUniqueName="[BI vw_FinCalendar]" displayFolder="" count="0" memberValueDatatype="20" unbalanced="0"/>
    <cacheHierarchy uniqueName="[BI vw_FinCalendar].[Quarter]" caption="Quarter" attribute="1" defaultMemberUniqueName="[BI vw_FinCalendar].[Quarter].[All]" allUniqueName="[BI vw_FinCalendar].[Quarter].[All]" dimensionUniqueName="[BI vw_FinCalendar]" displayFolder="" count="0" memberValueDatatype="130" unbalanced="0"/>
    <cacheHierarchy uniqueName="[BI vw_FinCalendar].[Quarter date]" caption="Quarter date" attribute="1" time="1" defaultMemberUniqueName="[BI vw_FinCalendar].[Quarter date].[All]" allUniqueName="[BI vw_FinCalendar].[Quarter date].[All]" dimensionUniqueName="[BI vw_FinCalendar]" displayFolder="" count="0" memberValueDatatype="7" unbalanced="0"/>
    <cacheHierarchy uniqueName="[BI vw_FinCalendar].[Querter]" caption="Querter" attribute="1" defaultMemberUniqueName="[BI vw_FinCalendar].[Querter].[All]" allUniqueName="[BI vw_FinCalendar].[Querter].[All]" dimensionUniqueName="[BI vw_FinCalendar]" displayFolder="" count="0" memberValueDatatype="20" unbalanced="0"/>
    <cacheHierarchy uniqueName="[BI vw_FinCalendar].[Sort_Order]" caption="Sort_Order" attribute="1" defaultMemberUniqueName="[BI vw_FinCalendar].[Sort_Order].[All]" allUniqueName="[BI vw_FinCalendar].[Sort_Order].[All]" dimensionUniqueName="[BI vw_FinCalendar]" displayFolder="" count="0" memberValueDatatype="20" unbalanced="0"/>
    <cacheHierarchy uniqueName="[BI vw_FinCalendar].[Sort_Order1]" caption="Sort_Order1" attribute="1" defaultMemberUniqueName="[BI vw_FinCalendar].[Sort_Order1].[All]" allUniqueName="[BI vw_FinCalendar].[Sort_Order1].[All]" dimensionUniqueName="[BI vw_FinCalendar]" displayFolder="" count="0" memberValueDatatype="20" unbalanced="0"/>
    <cacheHierarchy uniqueName="[BI vw_FinCalendar].[ThisQuarter]" caption="ThisQuarter" attribute="1" defaultMemberUniqueName="[BI vw_FinCalendar].[ThisQuarter].[All]" allUniqueName="[BI vw_FinCalendar].[ThisQuarter].[All]" dimensionUniqueName="[BI vw_FinCalendar]" displayFolder="" count="0" memberValueDatatype="130" unbalanced="0"/>
    <cacheHierarchy uniqueName="[BI vw_FinCalendar].[YearFinPeriod]" caption="YearFinPeriod" attribute="1" defaultMemberUniqueName="[BI vw_FinCalendar].[YearFinPeriod].[All]" allUniqueName="[BI vw_FinCalendar].[YearFinPeriod].[All]" dimensionUniqueName="[BI vw_FinCalendar]" displayFolder="" count="0" memberValueDatatype="130" unbalanced="0"/>
    <cacheHierarchy uniqueName="[BI vw_Store].[AreaLeader]" caption="AreaLeader" attribute="1" defaultMemberUniqueName="[BI vw_Store].[AreaLeader].[All]" allUniqueName="[BI vw_Store].[AreaLeader].[All]" dimensionUniqueName="[BI vw_Store]" displayFolder="" count="0" memberValueDatatype="130" unbalanced="0"/>
    <cacheHierarchy uniqueName="[BI vw_Store].[BranchType]" caption="BranchType" attribute="1" defaultMemberUniqueName="[BI vw_Store].[BranchType].[All]" allUniqueName="[BI vw_Store].[BranchType].[All]" dimensionUniqueName="[BI vw_Store]" displayFolder="" count="2" memberValueDatatype="130" unbalanced="0">
      <fieldsUsage count="2">
        <fieldUsage x="-1"/>
        <fieldUsage x="4"/>
      </fieldsUsage>
    </cacheHierarchy>
    <cacheHierarchy uniqueName="[BI vw_Store].[CompFlag]" caption="CompFlag" attribute="1" defaultMemberUniqueName="[BI vw_Store].[CompFlag].[All]" allUniqueName="[BI vw_Store].[CompFlag].[All]" dimensionUniqueName="[BI vw_Store]" displayFolder="" count="0" memberValueDatatype="130" unbalanced="0"/>
    <cacheHierarchy uniqueName="[BI vw_Store].[Country]" caption="Country" attribute="1" defaultMemberUniqueName="[BI vw_Store].[Country].[All]" allUniqueName="[BI vw_Store].[Country].[All]" dimensionUniqueName="[BI vw_Store]" displayFolder="" count="2" memberValueDatatype="130" unbalanced="0">
      <fieldsUsage count="2">
        <fieldUsage x="-1"/>
        <fieldUsage x="3"/>
      </fieldsUsage>
    </cacheHierarchy>
    <cacheHierarchy uniqueName="[BI vw_Store].[FreedomArea]" caption="FreedomArea" attribute="1" defaultMemberUniqueName="[BI vw_Store].[FreedomArea].[All]" allUniqueName="[BI vw_Store].[FreedomArea].[All]" dimensionUniqueName="[BI vw_Store]" displayFolder="" count="0" memberValueDatatype="5" unbalanced="0"/>
    <cacheHierarchy uniqueName="[BI vw_Store].[IsActive]" caption="IsActive" attribute="1" defaultMemberUniqueName="[BI vw_Store].[IsActive].[All]" allUniqueName="[BI vw_Store].[IsActive].[All]" dimensionUniqueName="[BI vw_Store]" displayFolder="" count="0" memberValueDatatype="130" unbalanced="0"/>
    <cacheHierarchy uniqueName="[BI vw_Store].[IsDC]" caption="IsDC" attribute="1" defaultMemberUniqueName="[BI vw_Store].[IsDC].[All]" allUniqueName="[BI vw_Store].[IsDC].[All]" dimensionUniqueName="[BI vw_Store]" displayFolder="" count="0" memberValueDatatype="11" unbalanced="0"/>
    <cacheHierarchy uniqueName="[BI vw_Store].[IsHO]" caption="IsHO" attribute="1" defaultMemberUniqueName="[BI vw_Store].[IsHO].[All]" allUniqueName="[BI vw_Store].[IsHO].[All]" dimensionUniqueName="[BI vw_Store]" displayFolder="" count="0" memberValueDatatype="11" unbalanced="0"/>
    <cacheHierarchy uniqueName="[BI vw_Store].[State]" caption="State" attribute="1" defaultMemberUniqueName="[BI vw_Store].[State].[All]" allUniqueName="[BI vw_Store].[State].[All]" dimensionUniqueName="[BI vw_Store]" displayFolder="" count="0" memberValueDatatype="130" unbalanced="0"/>
    <cacheHierarchy uniqueName="[BI vw_Store].[StoreCategory]" caption="StoreCategory" attribute="1" defaultMemberUniqueName="[BI vw_Store].[StoreCategory].[All]" allUniqueName="[BI vw_Store].[StoreCategory].[All]" dimensionUniqueName="[BI vw_Store]" displayFolder="" count="0" memberValueDatatype="130" unbalanced="0"/>
    <cacheHierarchy uniqueName="[BI vw_Store].[StoreCode]" caption="StoreCode" attribute="1" defaultMemberUniqueName="[BI vw_Store].[StoreCode].[All]" allUniqueName="[BI vw_Store].[StoreCode].[All]" dimensionUniqueName="[BI vw_Store]" displayFolder="" count="0" memberValueDatatype="130" unbalanced="0"/>
    <cacheHierarchy uniqueName="[BI vw_Store].[StoreKey]" caption="StoreKey" attribute="1" defaultMemberUniqueName="[BI vw_Store].[StoreKey].[All]" allUniqueName="[BI vw_Store].[StoreKey].[All]" dimensionUniqueName="[BI vw_Store]" displayFolder="" count="0" memberValueDatatype="130" unbalanced="0"/>
    <cacheHierarchy uniqueName="[BI vw_Store].[StoreName]" caption="StoreName" attribute="1" defaultMemberUniqueName="[BI vw_Store].[StoreName].[All]" allUniqueName="[BI vw_Store].[StoreName].[All]" dimensionUniqueName="[BI vw_Store]" displayFolder="" count="0" memberValueDatatype="130" unbalanced="0"/>
    <cacheHierarchy uniqueName="[BI vw_Store].[StoreType]" caption="StoreType" attribute="1" defaultMemberUniqueName="[BI vw_Store].[StoreType].[All]" allUniqueName="[BI vw_Store].[StoreType].[All]" dimensionUniqueName="[BI vw_Store]" displayFolder="" count="0" memberValueDatatype="130" unbalanced="0"/>
    <cacheHierarchy uniqueName="[BI vw_Store].[SubLeasedArea]" caption="SubLeasedArea" attribute="1" defaultMemberUniqueName="[BI vw_Store].[SubLeasedArea].[All]" allUniqueName="[BI vw_Store].[SubLeasedArea].[All]" dimensionUniqueName="[BI vw_Store]" displayFolder="" count="0" memberValueDatatype="5" unbalanced="0"/>
    <cacheHierarchy uniqueName="[BI vw_Store].[SubLeasedCompany]" caption="SubLeasedCompany" attribute="1" defaultMemberUniqueName="[BI vw_Store].[SubLeasedCompany].[All]" allUniqueName="[BI vw_Store].[SubLeasedCompany].[All]" dimensionUniqueName="[BI vw_Store]" displayFolder="" count="0" memberValueDatatype="130" unbalanced="0"/>
    <cacheHierarchy uniqueName="[BI vw_Store].[TotalArea]" caption="TotalArea" attribute="1" defaultMemberUniqueName="[BI vw_Store].[TotalArea].[All]" allUniqueName="[BI vw_Store].[TotalArea].[All]" dimensionUniqueName="[BI vw_Store]" displayFolder="" count="0" memberValueDatatype="5" unbalanced="0"/>
    <cacheHierarchy uniqueName="[CalendarMapping].[Fin_Year]" caption="Fin_Year" attribute="1" defaultMemberUniqueName="[CalendarMapping].[Fin_Year].[All]" allUniqueName="[CalendarMapping].[Fin_Year].[All]" dimensionUniqueName="[CalendarMapping]" displayFolder="" count="0" memberValueDatatype="20" unbalanced="0"/>
    <cacheHierarchy uniqueName="[CalendarMapping].[YearFinPeriod]" caption="YearFinPeriod" attribute="1" defaultMemberUniqueName="[CalendarMapping].[YearFinPeriod].[All]" allUniqueName="[CalendarMapping].[YearFinPeriod].[All]" dimensionUniqueName="[CalendarMapping]" displayFolder="" count="0" memberValueDatatype="130" unbalanced="0"/>
    <cacheHierarchy uniqueName="[DC SO].[EntityName]" caption="EntityName" attribute="1" defaultMemberUniqueName="[DC SO].[EntityName].[All]" allUniqueName="[DC SO].[EntityName].[All]" dimensionUniqueName="[DC SO]" displayFolder="" count="0" memberValueDatatype="130" unbalanced="0"/>
    <cacheHierarchy uniqueName="[DC SO].[SortOrder]" caption="SortOrder" attribute="1" defaultMemberUniqueName="[DC SO].[SortOrder].[All]" allUniqueName="[DC SO].[SortOrder].[All]" dimensionUniqueName="[DC SO]" displayFolder="" count="0" memberValueDatatype="20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Quarter]" caption="Quarter" attribute="1" defaultMemberUniqueName="[dim_period].[Quarter].[All]" allUniqueName="[dim_period].[Quarter].[All]" dimensionUniqueName="[dim_period]" displayFolder="" count="0" memberValueDatatype="13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Month Sort].[Month_Display]" caption="Month_Display" attribute="1" defaultMemberUniqueName="[Month Sort].[Month_Display].[All]" allUniqueName="[Month Sort].[Month_Display].[All]" dimensionUniqueName="[Month Sort]" displayFolder="" count="0" memberValueDatatype="130" unbalanced="0"/>
    <cacheHierarchy uniqueName="[Month Sort].[Number]" caption="Number" attribute="1" defaultMemberUniqueName="[Month Sort].[Number].[All]" allUniqueName="[Month Sort].[Number].[All]" dimensionUniqueName="[Month Sort]" displayFolder="" count="0" memberValueDatatype="20" unbalanced="0"/>
    <cacheHierarchy uniqueName="[Month Sort].[Sort_Order1]" caption="Sort_Order1" attribute="1" defaultMemberUniqueName="[Month Sort].[Sort_Order1].[All]" allUniqueName="[Month Sort].[Sort_Order1].[All]" dimensionUniqueName="[Month Sort]" displayFolder="" count="0" memberValueDatatype="20" unbalanced="0"/>
    <cacheHierarchy uniqueName="[TimePeriod].[TimePeriod]" caption="TimePeriod" attribute="1" defaultMemberUniqueName="[TimePeriod].[TimePeriod].[All]" allUniqueName="[TimePeriod].[TimePeriod].[All]" dimensionUniqueName="[TimePeriod]" displayFolder="" count="0" memberValueDatatype="130" unbalanced="0"/>
    <cacheHierarchy uniqueName="[TimePeriod].[TimePeriodSort]" caption="TimePeriodSort" attribute="1" defaultMemberUniqueName="[TimePeriod].[TimePeriodSort].[All]" allUniqueName="[TimePeriod].[TimePeriodSort].[All]" dimensionUniqueName="[TimePeriod]" displayFolder="" count="0" memberValueDatatype="2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0" memberValueDatatype="130" unbalanced="0"/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TimePeriodSort_Amart].[Timeline Slicer]" caption="Timeline Slicer" attribute="1" defaultMemberUniqueName="[TimePeriodSort_Amart].[Timeline Slicer].[All]" allUniqueName="[TimePeriodSort_Amart].[Timeline Slicer].[All]" dimensionUniqueName="[TimePeriodSort_Amart]" displayFolder="" count="0" memberValueDatatype="130" unbalanced="0"/>
    <cacheHierarchy uniqueName="[TimePeriodSort_Amart].[TimePeriod]" caption="TimePeriod" attribute="1" defaultMemberUniqueName="[TimePeriodSort_Amart].[TimePeriod].[All]" allUniqueName="[TimePeriodSort_Amart].[TimePeriod].[All]" dimensionUniqueName="[TimePeriodSort_Amart]" displayFolder="" count="0" memberValueDatatype="130" unbalanced="0"/>
    <cacheHierarchy uniqueName="[TimePeriodSort_Amart].[TimePeriodSort]" caption="TimePeriodSort" attribute="1" defaultMemberUniqueName="[TimePeriodSort_Amart].[TimePeriodSort].[All]" allUniqueName="[TimePeriodSort_Amart].[TimePeriodSort].[All]" dimensionUniqueName="[TimePeriodSort_Amart]" displayFolder="" count="0" memberValueDatatype="20" unbalanced="0"/>
    <cacheHierarchy uniqueName="[BI vw_MarkdownCategory].[Category]" caption="Category" attribute="1" defaultMemberUniqueName="[BI vw_MarkdownCategory].[Category].[All]" allUniqueName="[BI vw_MarkdownCategory].[Category].[All]" dimensionUniqueName="[BI vw_MarkdownCategory]" displayFolder="" count="0" memberValueDatatype="130" unbalanced="0" hidden="1"/>
    <cacheHierarchy uniqueName="[BI vw_MarkdownCategory].[Code]" caption="Code" attribute="1" defaultMemberUniqueName="[BI vw_MarkdownCategory].[Code].[All]" allUniqueName="[BI vw_MarkdownCategory].[Code].[All]" dimensionUniqueName="[BI vw_MarkdownCategory]" displayFolder="" count="0" memberValueDatatype="130" unbalanced="0" hidden="1"/>
    <cacheHierarchy uniqueName="[BI vw_Store (2)].[BranchType]" caption="BranchType" attribute="1" defaultMemberUniqueName="[BI vw_Store (2)].[BranchType].[All]" allUniqueName="[BI vw_Store (2)].[BranchType].[All]" dimensionUniqueName="[BI vw_Store (2)]" displayFolder="" count="0" memberValueDatatype="130" unbalanced="0" hidden="1"/>
    <cacheHierarchy uniqueName="[BI vw_Store (2)].[Country]" caption="Country" attribute="1" defaultMemberUniqueName="[BI vw_Store (2)].[Country].[All]" allUniqueName="[BI vw_Store (2)].[Country].[All]" dimensionUniqueName="[BI vw_Store (2)]" displayFolder="" count="0" memberValueDatatype="130" unbalanced="0" hidden="1"/>
    <cacheHierarchy uniqueName="[BI vw_Store (2)].[StoreCode]" caption="StoreCode" attribute="1" defaultMemberUniqueName="[BI vw_Store (2)].[StoreCode].[All]" allUniqueName="[BI vw_Store (2)].[StoreCode].[All]" dimensionUniqueName="[BI vw_Store (2)]" displayFolder="" count="0" memberValueDatatype="130" unbalanced="0" hidden="1"/>
    <cacheHierarchy uniqueName="[DateTableTemplate_3f9b2c98-215a-4ac6-bb5b-5edb3fb7613d].[Date]" caption="Date" attribute="1" time="1" defaultMemberUniqueName="[DateTableTemplate_3f9b2c98-215a-4ac6-bb5b-5edb3fb7613d].[Date].[All]" allUniqueName="[DateTableTemplate_3f9b2c98-215a-4ac6-bb5b-5edb3fb7613d].[Date].[All]" dimensionUniqueName="[DateTableTemplate_3f9b2c98-215a-4ac6-bb5b-5edb3fb7613d]" displayFolder="" count="0" memberValueDatatype="7" unbalanced="0" hidden="1"/>
    <cacheHierarchy uniqueName="[DateTableTemplate_3f9b2c98-215a-4ac6-bb5b-5edb3fb7613d].[Date Hierarchy]" caption="Date Hierarchy" defaultMemberUniqueName="[DateTableTemplate_3f9b2c98-215a-4ac6-bb5b-5edb3fb7613d].[Date Hierarchy].[All]" allUniqueName="[DateTableTemplate_3f9b2c98-215a-4ac6-bb5b-5edb3fb7613d].[Date Hierarchy].[All]" dimensionUniqueName="[DateTableTemplate_3f9b2c98-215a-4ac6-bb5b-5edb3fb7613d]" displayFolder="" count="0" unbalanced="0" hidden="1"/>
    <cacheHierarchy uniqueName="[DateTableTemplate_3f9b2c98-215a-4ac6-bb5b-5edb3fb7613d].[Day]" caption="Day" attribute="1" defaultMemberUniqueName="[DateTableTemplate_3f9b2c98-215a-4ac6-bb5b-5edb3fb7613d].[Day].[All]" allUniqueName="[DateTableTemplate_3f9b2c98-215a-4ac6-bb5b-5edb3fb7613d].[Day].[All]" dimensionUniqueName="[DateTableTemplate_3f9b2c98-215a-4ac6-bb5b-5edb3fb7613d]" displayFolder="" count="0" memberValueDatatype="20" unbalanced="0" hidden="1"/>
    <cacheHierarchy uniqueName="[DateTableTemplate_3f9b2c98-215a-4ac6-bb5b-5edb3fb7613d].[Month]" caption="Month" attribute="1" defaultMemberUniqueName="[DateTableTemplate_3f9b2c98-215a-4ac6-bb5b-5edb3fb7613d].[Month].[All]" allUniqueName="[DateTableTemplate_3f9b2c98-215a-4ac6-bb5b-5edb3fb7613d].[Month].[All]" dimensionUniqueName="[DateTableTemplate_3f9b2c98-215a-4ac6-bb5b-5edb3fb7613d]" displayFolder="" count="0" memberValueDatatype="130" unbalanced="0" hidden="1"/>
    <cacheHierarchy uniqueName="[DateTableTemplate_3f9b2c98-215a-4ac6-bb5b-5edb3fb7613d].[MonthNo]" caption="MonthNo" attribute="1" defaultMemberUniqueName="[DateTableTemplate_3f9b2c98-215a-4ac6-bb5b-5edb3fb7613d].[MonthNo].[All]" allUniqueName="[DateTableTemplate_3f9b2c98-215a-4ac6-bb5b-5edb3fb7613d].[MonthNo].[All]" dimensionUniqueName="[DateTableTemplate_3f9b2c98-215a-4ac6-bb5b-5edb3fb7613d]" displayFolder="" count="0" memberValueDatatype="20" unbalanced="0" hidden="1"/>
    <cacheHierarchy uniqueName="[DateTableTemplate_3f9b2c98-215a-4ac6-bb5b-5edb3fb7613d].[Quarter]" caption="Quarter" attribute="1" defaultMemberUniqueName="[DateTableTemplate_3f9b2c98-215a-4ac6-bb5b-5edb3fb7613d].[Quarter].[All]" allUniqueName="[DateTableTemplate_3f9b2c98-215a-4ac6-bb5b-5edb3fb7613d].[Quarter].[All]" dimensionUniqueName="[DateTableTemplate_3f9b2c98-215a-4ac6-bb5b-5edb3fb7613d]" displayFolder="" count="0" memberValueDatatype="130" unbalanced="0" hidden="1"/>
    <cacheHierarchy uniqueName="[DateTableTemplate_3f9b2c98-215a-4ac6-bb5b-5edb3fb7613d].[QuarterNo]" caption="QuarterNo" attribute="1" defaultMemberUniqueName="[DateTableTemplate_3f9b2c98-215a-4ac6-bb5b-5edb3fb7613d].[QuarterNo].[All]" allUniqueName="[DateTableTemplate_3f9b2c98-215a-4ac6-bb5b-5edb3fb7613d].[QuarterNo].[All]" dimensionUniqueName="[DateTableTemplate_3f9b2c98-215a-4ac6-bb5b-5edb3fb7613d]" displayFolder="" count="0" memberValueDatatype="20" unbalanced="0" hidden="1"/>
    <cacheHierarchy uniqueName="[DateTableTemplate_3f9b2c98-215a-4ac6-bb5b-5edb3fb7613d].[Year]" caption="Year" attribute="1" defaultMemberUniqueName="[DateTableTemplate_3f9b2c98-215a-4ac6-bb5b-5edb3fb7613d].[Year].[All]" allUniqueName="[DateTableTemplate_3f9b2c98-215a-4ac6-bb5b-5edb3fb7613d].[Year].[All]" dimensionUniqueName="[DateTableTemplate_3f9b2c98-215a-4ac6-bb5b-5edb3fb7613d]" displayFolder="" count="0" memberValueDatatype="20" unbalanced="0" hidden="1"/>
    <cacheHierarchy uniqueName="[LocalDateTable_2dc8ec59-2991-4ed7-b97f-b3968012b3bf].[Date]" caption="Date" attribute="1" time="1" defaultMemberUniqueName="[LocalDateTable_2dc8ec59-2991-4ed7-b97f-b3968012b3bf].[Date].[All]" allUniqueName="[LocalDateTable_2dc8ec59-2991-4ed7-b97f-b3968012b3bf].[Date].[All]" dimensionUniqueName="[LocalDateTable_2dc8ec59-2991-4ed7-b97f-b3968012b3bf]" displayFolder="" count="0" memberValueDatatype="7" unbalanced="0" hidden="1"/>
    <cacheHierarchy uniqueName="[LocalDateTable_2dc8ec59-2991-4ed7-b97f-b3968012b3bf].[Date Hierarchy]" caption="Date Hierarchy" defaultMemberUniqueName="[LocalDateTable_2dc8ec59-2991-4ed7-b97f-b3968012b3bf].[Date Hierarchy].[All]" allUniqueName="[LocalDateTable_2dc8ec59-2991-4ed7-b97f-b3968012b3bf].[Date Hierarchy].[All]" dimensionUniqueName="[LocalDateTable_2dc8ec59-2991-4ed7-b97f-b3968012b3bf]" displayFolder="" count="0" unbalanced="0" hidden="1"/>
    <cacheHierarchy uniqueName="[LocalDateTable_2dc8ec59-2991-4ed7-b97f-b3968012b3bf].[Day]" caption="Day" attribute="1" defaultMemberUniqueName="[LocalDateTable_2dc8ec59-2991-4ed7-b97f-b3968012b3bf].[Day].[All]" allUniqueName="[LocalDateTable_2dc8ec59-2991-4ed7-b97f-b3968012b3bf].[Day].[All]" dimensionUniqueName="[LocalDateTable_2dc8ec59-2991-4ed7-b97f-b3968012b3bf]" displayFolder="" count="0" memberValueDatatype="20" unbalanced="0" hidden="1"/>
    <cacheHierarchy uniqueName="[LocalDateTable_2dc8ec59-2991-4ed7-b97f-b3968012b3bf].[Month]" caption="Month" attribute="1" defaultMemberUniqueName="[LocalDateTable_2dc8ec59-2991-4ed7-b97f-b3968012b3bf].[Month].[All]" allUniqueName="[LocalDateTable_2dc8ec59-2991-4ed7-b97f-b3968012b3bf].[Month].[All]" dimensionUniqueName="[LocalDateTable_2dc8ec59-2991-4ed7-b97f-b3968012b3bf]" displayFolder="" count="0" memberValueDatatype="130" unbalanced="0" hidden="1"/>
    <cacheHierarchy uniqueName="[LocalDateTable_2dc8ec59-2991-4ed7-b97f-b3968012b3bf].[MonthNo]" caption="MonthNo" attribute="1" defaultMemberUniqueName="[LocalDateTable_2dc8ec59-2991-4ed7-b97f-b3968012b3bf].[MonthNo].[All]" allUniqueName="[LocalDateTable_2dc8ec59-2991-4ed7-b97f-b3968012b3bf].[MonthNo].[All]" dimensionUniqueName="[LocalDateTable_2dc8ec59-2991-4ed7-b97f-b3968012b3bf]" displayFolder="" count="0" memberValueDatatype="20" unbalanced="0" hidden="1"/>
    <cacheHierarchy uniqueName="[LocalDateTable_2dc8ec59-2991-4ed7-b97f-b3968012b3bf].[Quarter]" caption="Quarter" attribute="1" defaultMemberUniqueName="[LocalDateTable_2dc8ec59-2991-4ed7-b97f-b3968012b3bf].[Quarter].[All]" allUniqueName="[LocalDateTable_2dc8ec59-2991-4ed7-b97f-b3968012b3bf].[Quarter].[All]" dimensionUniqueName="[LocalDateTable_2dc8ec59-2991-4ed7-b97f-b3968012b3bf]" displayFolder="" count="0" memberValueDatatype="130" unbalanced="0" hidden="1"/>
    <cacheHierarchy uniqueName="[LocalDateTable_2dc8ec59-2991-4ed7-b97f-b3968012b3bf].[QuarterNo]" caption="QuarterNo" attribute="1" defaultMemberUniqueName="[LocalDateTable_2dc8ec59-2991-4ed7-b97f-b3968012b3bf].[QuarterNo].[All]" allUniqueName="[LocalDateTable_2dc8ec59-2991-4ed7-b97f-b3968012b3bf].[QuarterNo].[All]" dimensionUniqueName="[LocalDateTable_2dc8ec59-2991-4ed7-b97f-b3968012b3bf]" displayFolder="" count="0" memberValueDatatype="20" unbalanced="0" hidden="1"/>
    <cacheHierarchy uniqueName="[LocalDateTable_2dc8ec59-2991-4ed7-b97f-b3968012b3bf].[Year]" caption="Year" attribute="1" defaultMemberUniqueName="[LocalDateTable_2dc8ec59-2991-4ed7-b97f-b3968012b3bf].[Year].[All]" allUniqueName="[LocalDateTable_2dc8ec59-2991-4ed7-b97f-b3968012b3bf].[Year].[All]" dimensionUniqueName="[LocalDateTable_2dc8ec59-2991-4ed7-b97f-b3968012b3bf]" displayFolder="" count="0" memberValueDatatype="20" unbalanced="0" hidden="1"/>
    <cacheHierarchy uniqueName="[LocalDateTable_35b2b28c-5e49-4861-9014-eb0865a61f58].[Date]" caption="Date" attribute="1" time="1" defaultMemberUniqueName="[LocalDateTable_35b2b28c-5e49-4861-9014-eb0865a61f58].[Date].[All]" allUniqueName="[LocalDateTable_35b2b28c-5e49-4861-9014-eb0865a61f58].[Date].[All]" dimensionUniqueName="[LocalDateTable_35b2b28c-5e49-4861-9014-eb0865a61f58]" displayFolder="" count="0" memberValueDatatype="7" unbalanced="0" hidden="1"/>
    <cacheHierarchy uniqueName="[LocalDateTable_35b2b28c-5e49-4861-9014-eb0865a61f58].[Date Hierarchy]" caption="Date Hierarchy" defaultMemberUniqueName="[LocalDateTable_35b2b28c-5e49-4861-9014-eb0865a61f58].[Date Hierarchy].[All]" allUniqueName="[LocalDateTable_35b2b28c-5e49-4861-9014-eb0865a61f58].[Date Hierarchy].[All]" dimensionUniqueName="[LocalDateTable_35b2b28c-5e49-4861-9014-eb0865a61f58]" displayFolder="" count="0" unbalanced="0" hidden="1"/>
    <cacheHierarchy uniqueName="[LocalDateTable_35b2b28c-5e49-4861-9014-eb0865a61f58].[Day]" caption="Day" attribute="1" defaultMemberUniqueName="[LocalDateTable_35b2b28c-5e49-4861-9014-eb0865a61f58].[Day].[All]" allUniqueName="[LocalDateTable_35b2b28c-5e49-4861-9014-eb0865a61f58].[Day].[All]" dimensionUniqueName="[LocalDateTable_35b2b28c-5e49-4861-9014-eb0865a61f58]" displayFolder="" count="0" memberValueDatatype="20" unbalanced="0" hidden="1"/>
    <cacheHierarchy uniqueName="[LocalDateTable_35b2b28c-5e49-4861-9014-eb0865a61f58].[Month]" caption="Month" attribute="1" defaultMemberUniqueName="[LocalDateTable_35b2b28c-5e49-4861-9014-eb0865a61f58].[Month].[All]" allUniqueName="[LocalDateTable_35b2b28c-5e49-4861-9014-eb0865a61f58].[Month].[All]" dimensionUniqueName="[LocalDateTable_35b2b28c-5e49-4861-9014-eb0865a61f58]" displayFolder="" count="0" memberValueDatatype="130" unbalanced="0" hidden="1"/>
    <cacheHierarchy uniqueName="[LocalDateTable_35b2b28c-5e49-4861-9014-eb0865a61f58].[MonthNo]" caption="MonthNo" attribute="1" defaultMemberUniqueName="[LocalDateTable_35b2b28c-5e49-4861-9014-eb0865a61f58].[MonthNo].[All]" allUniqueName="[LocalDateTable_35b2b28c-5e49-4861-9014-eb0865a61f58].[MonthNo].[All]" dimensionUniqueName="[LocalDateTable_35b2b28c-5e49-4861-9014-eb0865a61f58]" displayFolder="" count="0" memberValueDatatype="20" unbalanced="0" hidden="1"/>
    <cacheHierarchy uniqueName="[LocalDateTable_35b2b28c-5e49-4861-9014-eb0865a61f58].[Quarter]" caption="Quarter" attribute="1" defaultMemberUniqueName="[LocalDateTable_35b2b28c-5e49-4861-9014-eb0865a61f58].[Quarter].[All]" allUniqueName="[LocalDateTable_35b2b28c-5e49-4861-9014-eb0865a61f58].[Quarter].[All]" dimensionUniqueName="[LocalDateTable_35b2b28c-5e49-4861-9014-eb0865a61f58]" displayFolder="" count="0" memberValueDatatype="130" unbalanced="0" hidden="1"/>
    <cacheHierarchy uniqueName="[LocalDateTable_35b2b28c-5e49-4861-9014-eb0865a61f58].[QuarterNo]" caption="QuarterNo" attribute="1" defaultMemberUniqueName="[LocalDateTable_35b2b28c-5e49-4861-9014-eb0865a61f58].[QuarterNo].[All]" allUniqueName="[LocalDateTable_35b2b28c-5e49-4861-9014-eb0865a61f58].[QuarterNo].[All]" dimensionUniqueName="[LocalDateTable_35b2b28c-5e49-4861-9014-eb0865a61f58]" displayFolder="" count="0" memberValueDatatype="20" unbalanced="0" hidden="1"/>
    <cacheHierarchy uniqueName="[LocalDateTable_35b2b28c-5e49-4861-9014-eb0865a61f58].[Year]" caption="Year" attribute="1" defaultMemberUniqueName="[LocalDateTable_35b2b28c-5e49-4861-9014-eb0865a61f58].[Year].[All]" allUniqueName="[LocalDateTable_35b2b28c-5e49-4861-9014-eb0865a61f58].[Year].[All]" dimensionUniqueName="[LocalDateTable_35b2b28c-5e49-4861-9014-eb0865a61f58]" displayFolder="" count="0" memberValueDatatype="20" unbalanced="0" hidden="1"/>
    <cacheHierarchy uniqueName="[LocalDateTable_3ea1f34c-3b67-443a-8479-d47192825849].[Date]" caption="Date" attribute="1" time="1" defaultMemberUniqueName="[LocalDateTable_3ea1f34c-3b67-443a-8479-d47192825849].[Date].[All]" allUniqueName="[LocalDateTable_3ea1f34c-3b67-443a-8479-d47192825849].[Date].[All]" dimensionUniqueName="[LocalDateTable_3ea1f34c-3b67-443a-8479-d47192825849]" displayFolder="" count="0" memberValueDatatype="7" unbalanced="0" hidden="1"/>
    <cacheHierarchy uniqueName="[LocalDateTable_3ea1f34c-3b67-443a-8479-d47192825849].[Date Hierarchy]" caption="Date Hierarchy" defaultMemberUniqueName="[LocalDateTable_3ea1f34c-3b67-443a-8479-d47192825849].[Date Hierarchy].[All]" allUniqueName="[LocalDateTable_3ea1f34c-3b67-443a-8479-d47192825849].[Date Hierarchy].[All]" dimensionUniqueName="[LocalDateTable_3ea1f34c-3b67-443a-8479-d47192825849]" displayFolder="" count="0" unbalanced="0" hidden="1"/>
    <cacheHierarchy uniqueName="[LocalDateTable_3ea1f34c-3b67-443a-8479-d47192825849].[Day]" caption="Day" attribute="1" defaultMemberUniqueName="[LocalDateTable_3ea1f34c-3b67-443a-8479-d47192825849].[Day].[All]" allUniqueName="[LocalDateTable_3ea1f34c-3b67-443a-8479-d47192825849].[Day].[All]" dimensionUniqueName="[LocalDateTable_3ea1f34c-3b67-443a-8479-d47192825849]" displayFolder="" count="0" memberValueDatatype="20" unbalanced="0" hidden="1"/>
    <cacheHierarchy uniqueName="[LocalDateTable_3ea1f34c-3b67-443a-8479-d47192825849].[Month]" caption="Month" attribute="1" defaultMemberUniqueName="[LocalDateTable_3ea1f34c-3b67-443a-8479-d47192825849].[Month].[All]" allUniqueName="[LocalDateTable_3ea1f34c-3b67-443a-8479-d47192825849].[Month].[All]" dimensionUniqueName="[LocalDateTable_3ea1f34c-3b67-443a-8479-d47192825849]" displayFolder="" count="0" memberValueDatatype="130" unbalanced="0" hidden="1"/>
    <cacheHierarchy uniqueName="[LocalDateTable_3ea1f34c-3b67-443a-8479-d47192825849].[MonthNo]" caption="MonthNo" attribute="1" defaultMemberUniqueName="[LocalDateTable_3ea1f34c-3b67-443a-8479-d47192825849].[MonthNo].[All]" allUniqueName="[LocalDateTable_3ea1f34c-3b67-443a-8479-d47192825849].[MonthNo].[All]" dimensionUniqueName="[LocalDateTable_3ea1f34c-3b67-443a-8479-d47192825849]" displayFolder="" count="0" memberValueDatatype="20" unbalanced="0" hidden="1"/>
    <cacheHierarchy uniqueName="[LocalDateTable_3ea1f34c-3b67-443a-8479-d47192825849].[Quarter]" caption="Quarter" attribute="1" defaultMemberUniqueName="[LocalDateTable_3ea1f34c-3b67-443a-8479-d47192825849].[Quarter].[All]" allUniqueName="[LocalDateTable_3ea1f34c-3b67-443a-8479-d47192825849].[Quarter].[All]" dimensionUniqueName="[LocalDateTable_3ea1f34c-3b67-443a-8479-d47192825849]" displayFolder="" count="0" memberValueDatatype="130" unbalanced="0" hidden="1"/>
    <cacheHierarchy uniqueName="[LocalDateTable_3ea1f34c-3b67-443a-8479-d47192825849].[QuarterNo]" caption="QuarterNo" attribute="1" defaultMemberUniqueName="[LocalDateTable_3ea1f34c-3b67-443a-8479-d47192825849].[QuarterNo].[All]" allUniqueName="[LocalDateTable_3ea1f34c-3b67-443a-8479-d47192825849].[QuarterNo].[All]" dimensionUniqueName="[LocalDateTable_3ea1f34c-3b67-443a-8479-d47192825849]" displayFolder="" count="0" memberValueDatatype="20" unbalanced="0" hidden="1"/>
    <cacheHierarchy uniqueName="[LocalDateTable_3ea1f34c-3b67-443a-8479-d47192825849].[Year]" caption="Year" attribute="1" defaultMemberUniqueName="[LocalDateTable_3ea1f34c-3b67-443a-8479-d47192825849].[Year].[All]" allUniqueName="[LocalDateTable_3ea1f34c-3b67-443a-8479-d47192825849].[Year].[All]" dimensionUniqueName="[LocalDateTable_3ea1f34c-3b67-443a-8479-d47192825849]" displayFolder="" count="0" memberValueDatatype="20" unbalanced="0" hidden="1"/>
    <cacheHierarchy uniqueName="[LocalDateTable_44c7d4ef-ea67-4ad2-970c-4dd712d1bff0].[Date]" caption="Date" attribute="1" time="1" defaultMemberUniqueName="[LocalDateTable_44c7d4ef-ea67-4ad2-970c-4dd712d1bff0].[Date].[All]" allUniqueName="[LocalDateTable_44c7d4ef-ea67-4ad2-970c-4dd712d1bff0].[Date].[All]" dimensionUniqueName="[LocalDateTable_44c7d4ef-ea67-4ad2-970c-4dd712d1bff0]" displayFolder="" count="0" memberValueDatatype="7" unbalanced="0" hidden="1"/>
    <cacheHierarchy uniqueName="[LocalDateTable_44c7d4ef-ea67-4ad2-970c-4dd712d1bff0].[Date Hierarchy]" caption="Date Hierarchy" defaultMemberUniqueName="[LocalDateTable_44c7d4ef-ea67-4ad2-970c-4dd712d1bff0].[Date Hierarchy].[All]" allUniqueName="[LocalDateTable_44c7d4ef-ea67-4ad2-970c-4dd712d1bff0].[Date Hierarchy].[All]" dimensionUniqueName="[LocalDateTable_44c7d4ef-ea67-4ad2-970c-4dd712d1bff0]" displayFolder="" count="0" unbalanced="0" hidden="1"/>
    <cacheHierarchy uniqueName="[LocalDateTable_44c7d4ef-ea67-4ad2-970c-4dd712d1bff0].[Day]" caption="Day" attribute="1" defaultMemberUniqueName="[LocalDateTable_44c7d4ef-ea67-4ad2-970c-4dd712d1bff0].[Day].[All]" allUniqueName="[LocalDateTable_44c7d4ef-ea67-4ad2-970c-4dd712d1bff0].[Day].[All]" dimensionUniqueName="[LocalDateTable_44c7d4ef-ea67-4ad2-970c-4dd712d1bff0]" displayFolder="" count="0" memberValueDatatype="20" unbalanced="0" hidden="1"/>
    <cacheHierarchy uniqueName="[LocalDateTable_44c7d4ef-ea67-4ad2-970c-4dd712d1bff0].[Month]" caption="Month" attribute="1" defaultMemberUniqueName="[LocalDateTable_44c7d4ef-ea67-4ad2-970c-4dd712d1bff0].[Month].[All]" allUniqueName="[LocalDateTable_44c7d4ef-ea67-4ad2-970c-4dd712d1bff0].[Month].[All]" dimensionUniqueName="[LocalDateTable_44c7d4ef-ea67-4ad2-970c-4dd712d1bff0]" displayFolder="" count="0" memberValueDatatype="130" unbalanced="0" hidden="1"/>
    <cacheHierarchy uniqueName="[LocalDateTable_44c7d4ef-ea67-4ad2-970c-4dd712d1bff0].[MonthNo]" caption="MonthNo" attribute="1" defaultMemberUniqueName="[LocalDateTable_44c7d4ef-ea67-4ad2-970c-4dd712d1bff0].[MonthNo].[All]" allUniqueName="[LocalDateTable_44c7d4ef-ea67-4ad2-970c-4dd712d1bff0].[MonthNo].[All]" dimensionUniqueName="[LocalDateTable_44c7d4ef-ea67-4ad2-970c-4dd712d1bff0]" displayFolder="" count="0" memberValueDatatype="20" unbalanced="0" hidden="1"/>
    <cacheHierarchy uniqueName="[LocalDateTable_44c7d4ef-ea67-4ad2-970c-4dd712d1bff0].[Quarter]" caption="Quarter" attribute="1" defaultMemberUniqueName="[LocalDateTable_44c7d4ef-ea67-4ad2-970c-4dd712d1bff0].[Quarter].[All]" allUniqueName="[LocalDateTable_44c7d4ef-ea67-4ad2-970c-4dd712d1bff0].[Quarter].[All]" dimensionUniqueName="[LocalDateTable_44c7d4ef-ea67-4ad2-970c-4dd712d1bff0]" displayFolder="" count="0" memberValueDatatype="130" unbalanced="0" hidden="1"/>
    <cacheHierarchy uniqueName="[LocalDateTable_44c7d4ef-ea67-4ad2-970c-4dd712d1bff0].[QuarterNo]" caption="QuarterNo" attribute="1" defaultMemberUniqueName="[LocalDateTable_44c7d4ef-ea67-4ad2-970c-4dd712d1bff0].[QuarterNo].[All]" allUniqueName="[LocalDateTable_44c7d4ef-ea67-4ad2-970c-4dd712d1bff0].[QuarterNo].[All]" dimensionUniqueName="[LocalDateTable_44c7d4ef-ea67-4ad2-970c-4dd712d1bff0]" displayFolder="" count="0" memberValueDatatype="20" unbalanced="0" hidden="1"/>
    <cacheHierarchy uniqueName="[LocalDateTable_44c7d4ef-ea67-4ad2-970c-4dd712d1bff0].[Year]" caption="Year" attribute="1" defaultMemberUniqueName="[LocalDateTable_44c7d4ef-ea67-4ad2-970c-4dd712d1bff0].[Year].[All]" allUniqueName="[LocalDateTable_44c7d4ef-ea67-4ad2-970c-4dd712d1bff0].[Year].[All]" dimensionUniqueName="[LocalDateTable_44c7d4ef-ea67-4ad2-970c-4dd712d1bff0]" displayFolder="" count="0" memberValueDatatype="20" unbalanced="0" hidden="1"/>
    <cacheHierarchy uniqueName="[Measure].[Column]" caption="Column" attribute="1" defaultMemberUniqueName="[Measure].[Column].[All]" allUniqueName="[Measure].[Column].[All]" dimensionUniqueName="[Measure]" displayFolder="" count="0" memberValueDatatype="20" unbalanced="0" hidden="1"/>
    <cacheHierarchy uniqueName="[Measures].[Current Quarter]" caption="Current Quarter" measure="1" displayFolder="" measureGroup="BI vw_FinCalendar" count="0"/>
    <cacheHierarchy uniqueName="[Measures].[Delivered Sales Ex GST]" caption="Delivered Sales Ex GST" measure="1" displayFolder="" measureGroup="Measure" count="0"/>
    <cacheHierarchy uniqueName="[Measures].[Sales Price]" caption="Sales Price" measure="1" displayFolder="" measureGroup="Measure" count="0"/>
    <cacheHierarchy uniqueName="[Measures].[CostInvoicedCost]" caption="CostInvoicedCost" measure="1" displayFolder="" measureGroup="Measure" count="0"/>
    <cacheHierarchy uniqueName="[Measures].[CostAmountAdjustment]" caption="CostAmountAdjustment" measure="1" displayFolder="" measureGroup="Measure" count="0"/>
    <cacheHierarchy uniqueName="[Measures].[Gross Sales]" caption="Gross Sales" measure="1" displayFolder="" measureGroup="Measure" count="0"/>
    <cacheHierarchy uniqueName="[Measures].[GM %]" caption="GM %" measure="1" displayFolder="" measureGroup="Measure" count="0"/>
    <cacheHierarchy uniqueName="[Measures].[Total Markdown]" caption="Total Markdown" measure="1" displayFolder="" measureGroup="Measure" count="0"/>
    <cacheHierarchy uniqueName="[Measures].[Quantity]" caption="Quantity" measure="1" displayFolder="" measureGroup="Measure" count="0"/>
    <cacheHierarchy uniqueName="[Measures].[Tax]" caption="Tax" measure="1" displayFolder="" measureGroup="Measure" count="0"/>
    <cacheHierarchy uniqueName="[Measures].[Gross Margin]" caption="Gross Margin" measure="1" displayFolder="" measureGroup="Measure" count="0"/>
    <cacheHierarchy uniqueName="[Measures].[ItemWholeSalePrice]" caption="ItemWholeSalePrice" measure="1" displayFolder="" measureGroup="Measure" count="0"/>
    <cacheHierarchy uniqueName="[Measures].[Line Disc]" caption="Line Disc" measure="1" displayFolder="" measureGroup="Measure" count="0"/>
    <cacheHierarchy uniqueName="[Measures].[COSTFINAL]" caption="COSTFINAL" measure="1" displayFolder="" measureGroup="Measure" count="0"/>
    <cacheHierarchy uniqueName="[Measures].[Markdown$1]" caption="Markdown$1" measure="1" displayFolder="" measureGroup="Measure" count="0"/>
    <cacheHierarchy uniqueName="[Measures].[Markdown$2]" caption="Markdown$2" measure="1" displayFolder="" measureGroup="Measure" count="0"/>
    <cacheHierarchy uniqueName="[Measures].[Total Markdown $]" caption="Total Markdown $" measure="1" displayFolder="" measureGroup="Measure" count="0"/>
    <cacheHierarchy uniqueName="[Measures].[Delivered Sales Inc GST]" caption="Delivered Sales Inc GST" measure="1" displayFolder="" measureGroup="Measure" count="0"/>
    <cacheHierarchy uniqueName="[Measures].[39% Margin]" caption="39% Margin" measure="1" displayFolder="" measureGroup="Measure" count="0"/>
    <cacheHierarchy uniqueName="[Measures].[Rebate Amount]" caption="Rebate Amount" measure="1" displayFolder="" measureGroup="Measure" count="0"/>
    <cacheHierarchy uniqueName="[Measures].[Eligible for Rebate]" caption="Eligible for Rebate" measure="1" displayFolder="" measureGroup="Measure" count="0"/>
    <cacheHierarchy uniqueName="[Measures].[Budget Variance]" caption="Budget Variance" measure="1" displayFolder="" measureGroup="Measure" count="0"/>
    <cacheHierarchy uniqueName="[Measures].[DeliveredSalesBudget]" caption="DeliveredSalesBudget" measure="1" displayFolder="" measureGroup="Measure" count="0"/>
    <cacheHierarchy uniqueName="[Measures].[% Budget Complete]" caption="% Budget Complete" measure="1" displayFolder="" measureGroup="Measure" count="0"/>
    <cacheHierarchy uniqueName="[Measures].[MarkDown]" caption="MarkDown" measure="1" displayFolder="" measureGroup="Measure" count="0"/>
    <cacheHierarchy uniqueName="[Measures].[ItemWholeSalePrice_old]" caption="ItemWholeSalePrice_old" measure="1" displayFolder="" measureGroup="Measure" count="0"/>
    <cacheHierarchy uniqueName="[Measures].[R-Gross Sales]" caption="R-Gross Sales" measure="1" displayFolder="" measureGroup="Period Measures" count="0"/>
    <cacheHierarchy uniqueName="[Measures].[R-M/D]" caption="R-M/D" measure="1" displayFolder="" measureGroup="Period Measures" count="0"/>
    <cacheHierarchy uniqueName="[Measures].[R-Delivered Sales Ex GST]" caption="R-Delivered Sales Ex GST" measure="1" displayFolder="" measureGroup="Period Measures" count="0"/>
    <cacheHierarchy uniqueName="[Measures].[R-CostFinal]" caption="R-CostFinal" measure="1" displayFolder="" measureGroup="Period Measures" count="0"/>
    <cacheHierarchy uniqueName="[Measures].[R-Trading Margin]" caption="R-Trading Margin" measure="1" displayFolder="" measureGroup="Period Measures" count="0"/>
    <cacheHierarchy uniqueName="[Measures].[R-GM%]" caption="R-GM%" measure="1" displayFolder="" measureGroup="Period Measures" count="0"/>
    <cacheHierarchy uniqueName="[Measures].[R-DeliveredSalesBudget]" caption="R-DeliveredSalesBudget" measure="1" displayFolder="" measureGroup="Period Measures" count="0"/>
    <cacheHierarchy uniqueName="[Measures].[R-Budget Variance]" caption="R-Budget Variance" measure="1" displayFolder="" measureGroup="Period Measures" count="0"/>
    <cacheHierarchy uniqueName="[Measures].[R-Gross Sales rolling]" caption="R-Gross Sales rolling" measure="1" displayFolder="" measureGroup="Period Measures" count="0"/>
    <cacheHierarchy uniqueName="[Measures].[R-Gross Sales TY $]" caption="R-Gross Sales TY $" measure="1" displayFolder="" measureGroup="BI metrics" count="0"/>
    <cacheHierarchy uniqueName="[Measures].[R-M/D TY $]" caption="R-M/D TY $" measure="1" displayFolder="" measureGroup="BI metrics" count="0"/>
    <cacheHierarchy uniqueName="[Measures].[R-Sales ExGST TY $]" caption="R-Sales ExGST TY $" measure="1" displayFolder="" measureGroup="BI metrics" count="0"/>
    <cacheHierarchy uniqueName="[Measures].[R-CostFinal TY $]" caption="R-CostFinal TY $" measure="1" displayFolder="" measureGroup="BI metrics" count="0"/>
    <cacheHierarchy uniqueName="[Measures].[R-Sale Budget TY $]" caption="R-Sale Budget TY $" measure="1" displayFolder="" measureGroup="BI metrics" count="0"/>
    <cacheHierarchy uniqueName="[Measures].[R-Trading Margin TY $]" caption="R-Trading Margin TY $" measure="1" displayFolder="" measureGroup="BI metrics" count="0"/>
    <cacheHierarchy uniqueName="[Measures].[R-GM % TY]" caption="R-GM % TY" measure="1" displayFolder="" measureGroup="BI metrics" count="0"/>
    <cacheHierarchy uniqueName="[Measures].[R-Budget Variance TY]" caption="R-Budget Variance TY" measure="1" displayFolder="" measureGroup="BI metrics" count="0"/>
    <cacheHierarchy uniqueName="[Measures].[R-Gross Sales LY $]" caption="R-Gross Sales LY $" measure="1" displayFolder="" measureGroup="BI metrics" count="0"/>
    <cacheHierarchy uniqueName="[Measures].[R-M/D LY $]" caption="R-M/D LY $" measure="1" displayFolder="" measureGroup="BI metrics" count="0"/>
    <cacheHierarchy uniqueName="[Measures].[R-Sales ExGST LY $]" caption="R-Sales ExGST LY $" measure="1" displayFolder="" measureGroup="BI metrics" count="0" oneField="1">
      <fieldsUsage count="1">
        <fieldUsage x="7"/>
      </fieldsUsage>
    </cacheHierarchy>
    <cacheHierarchy uniqueName="[Measures].[R-CostFinal LY $]" caption="R-CostFinal LY $" measure="1" displayFolder="" measureGroup="BI metrics" count="0"/>
    <cacheHierarchy uniqueName="[Measures].[R-Trading Margin LY $]" caption="R-Trading Margin LY $" measure="1" displayFolder="" measureGroup="BI metrics" count="0"/>
    <cacheHierarchy uniqueName="[Measures].[R-Sales Budget LY $]" caption="R-Sales Budget LY $" measure="1" displayFolder="" measureGroup="BI metrics" count="0"/>
    <cacheHierarchy uniqueName="[Measures].[R-Gross Sales YoY]" caption="R-Gross Sales YoY" measure="1" displayFolder="" measureGroup="BI metrics" count="0"/>
    <cacheHierarchy uniqueName="[Measures].[R-M/D YoY]" caption="R-M/D YoY" measure="1" displayFolder="" measureGroup="BI metrics" count="0"/>
    <cacheHierarchy uniqueName="[Measures].[R-Sales ExGST YoY]" caption="R-Sales ExGST YoY" measure="1" displayFolder="" measureGroup="BI metrics" count="0"/>
    <cacheHierarchy uniqueName="[Measures].[R-CostFinal YoY]" caption="R-CostFinal YoY" measure="1" displayFolder="" measureGroup="BI metrics" count="0"/>
    <cacheHierarchy uniqueName="[Measures].[R-Trading Margin YoY]" caption="R-Trading Margin YoY" measure="1" displayFolder="" measureGroup="BI metrics" count="0"/>
    <cacheHierarchy uniqueName="[Measures].[R-Sales ExGST TY $(Amart)]" caption="R-Sales ExGST TY $(Amart)" measure="1" displayFolder="aa_Quadrant-Amart" measureGroup="BI metrics" count="0"/>
    <cacheHierarchy uniqueName="[Measures].[Delivered Sales Ex GST LY]" caption="Delivered Sales Ex GST LY" measure="1" displayFolder="" measureGroup="BI metrics" count="0"/>
    <cacheHierarchy uniqueName="[Measures].[R-Sales ExGST LY $(Amart)]" caption="R-Sales ExGST LY $(Amart)" measure="1" displayFolder="aa_Quadrant-Amart" measureGroup="BI metrics" count="0"/>
    <cacheHierarchy uniqueName="[Measures].[Delivered Sales ExGST LY 1]" caption="Delivered Sales ExGST LY 1" measure="1" displayFolder="" measureGroup="BI metrics" count="0"/>
    <cacheHierarchy uniqueName="[Measures].[R-Sales ExGST YoY(Amart)]" caption="R-Sales ExGST YoY(Amart)" measure="1" displayFolder="aa_Quadrant-Amart" measureGroup="BI metrics" count="0"/>
    <cacheHierarchy uniqueName="[Measures].[R-Sale Budget TY $(Amart)]" caption="R-Sale Budget TY $(Amart)" measure="1" displayFolder="aa_Quadrant-Amart" measureGroup="BI metrics" count="0"/>
    <cacheHierarchy uniqueName="[Measures].[R-Budget Variance TY(Amart)]" caption="R-Budget Variance TY(Amart)" measure="1" displayFolder="aa_Quadrant-Amart" measureGroup="BI metrics" count="0"/>
    <cacheHierarchy uniqueName="[Measures].[R-Trading Margin TY $(Amart)]" caption="R-Trading Margin TY $(Amart)" measure="1" displayFolder="aa_Quadrant-Amart" measureGroup="BI metrics" count="0"/>
    <cacheHierarchy uniqueName="[Measures].[Gross Margin LY]" caption="Gross Margin LY" measure="1" displayFolder="aa_Quadrant-Amart" measureGroup="BI metrics" count="0"/>
    <cacheHierarchy uniqueName="[Measures].[R-Trading Margin LY $(Amart)]" caption="R-Trading Margin LY $(Amart)" measure="1" displayFolder="aa_Quadrant-Amart" measureGroup="BI metrics" count="0"/>
    <cacheHierarchy uniqueName="[Measures].[Gross Sales LY]" caption="Gross Sales LY" measure="1" displayFolder="aa_Quadrant-Amart" measureGroup="BI metrics" count="0"/>
    <cacheHierarchy uniqueName="[Measures].[R-Gross Sales TY $(Amart)]" caption="R-Gross Sales TY $(Amart)" measure="1" displayFolder="aa_Quadrant-Amart" measureGroup="BI metrics" count="0"/>
    <cacheHierarchy uniqueName="[Measures].[R-Gross Sales LY $(Amart)]" caption="R-Gross Sales LY $(Amart)" measure="1" displayFolder="aa_Quadrant-Amart" measureGroup="BI metrics" count="0"/>
    <cacheHierarchy uniqueName="[Measures].[R-Gross Sales YoY(Amart)]" caption="R-Gross Sales YoY(Amart)" measure="1" displayFolder="aa_Quadrant-Amart" measureGroup="BI metrics" count="0"/>
    <cacheHierarchy uniqueName="[Measures].[R-Trading Margin YoY(Amart)]" caption="R-Trading Margin YoY(Amart)" measure="1" displayFolder="aa_Quadrant-Amart" measureGroup="BI metrics" count="0"/>
    <cacheHierarchy uniqueName="[Measures].[Markdown LY]" caption="Markdown LY" measure="1" displayFolder="aa_Quadrant-Amart" measureGroup="BI metrics" count="0"/>
    <cacheHierarchy uniqueName="[Measures].[R-M/D TY $(Amart)]" caption="R-M/D TY $(Amart)" measure="1" displayFolder="aa_Quadrant-Amart" measureGroup="BI metrics" count="0"/>
    <cacheHierarchy uniqueName="[Measures].[R-M/D LY $(Amart)]" caption="R-M/D LY $(Amart)" measure="1" displayFolder="aa_Quadrant-Amart" measureGroup="BI metrics" count="0"/>
    <cacheHierarchy uniqueName="[Measures].[R-M/D YoY(Amart)]" caption="R-M/D YoY(Amart)" measure="1" displayFolder="aa_Quadrant-Amart" measureGroup="BI metrics" count="0"/>
    <cacheHierarchy uniqueName="[Measures].[COSTFINAL LY]" caption="COSTFINAL LY" measure="1" displayFolder="aa_Quadrant-Amart" measureGroup="BI metrics" count="0"/>
    <cacheHierarchy uniqueName="[Measures].[R-CostFinal TY $(Amart)]" caption="R-CostFinal TY $(Amart)" measure="1" displayFolder="aa_Quadrant-Amart" measureGroup="BI metrics" count="0"/>
    <cacheHierarchy uniqueName="[Measures].[R-CostFinal LY $(Amart)]" caption="R-CostFinal LY $(Amart)" measure="1" displayFolder="aa_Quadrant-Amart" measureGroup="BI metrics" count="0"/>
    <cacheHierarchy uniqueName="[Measures].[R-CostFinal YoY(Amart)]" caption="R-CostFinal YoY(Amart)" measure="1" displayFolder="aa_Quadrant-Amart" measureGroup="BI metrics" count="0"/>
    <cacheHierarchy uniqueName="[Measures].[R-GM % TY(Amart)]" caption="R-GM % TY(Amart)" measure="1" displayFolder="aa_Quadrant-Amart" measureGroup="BI metrics" count="0"/>
    <cacheHierarchy uniqueName="[Measures].[R-sales ExGST LY NFY]" caption="R-sales ExGST LY NFY" measure="1" displayFolder="" measureGroup="BI metrics" count="0"/>
    <cacheHierarchy uniqueName="[Measures].[R-Sales ExGST LY $(Amart) NFY]" caption="R-Sales ExGST LY $(Amart) NFY" measure="1" displayFolder="aa_Quadrant-Amart" measureGroup="BI metrics" count="0"/>
    <cacheHierarchy uniqueName="[Measures].[__Default measure]" caption="__Default measure" measure="1" displayFolder="" count="0" hidden="1"/>
  </cacheHierarchies>
  <kpis count="0"/>
  <dimensions count="15">
    <dimension name="BI metrics" uniqueName="[BI metrics]" caption="BI metrics"/>
    <dimension name="BI vw_Budget Duplicate" uniqueName="[BI vw_Budget Duplicate]" caption="BI vw_Budget Duplicate"/>
    <dimension name="BI vw_BudgetDeliveredSalesByStore" uniqueName="[BI vw_BudgetDeliveredSalesByStore]" caption="BI vw_BudgetDeliveredSalesByStore"/>
    <dimension name="BI vw_Dynamics_FFAFDropshipwholesaleprice" uniqueName="[BI vw_Dynamics_FFAFDropshipwholesaleprice]" caption="BI vw_Dynamics_FFAFDropshipwholesaleprice"/>
    <dimension name="BI vw_DynamicsDeliveredSales" uniqueName="[BI vw_DynamicsDeliveredSales]" caption="BI vw_DynamicsDeliveredSales"/>
    <dimension name="BI vw_FinCalendar" uniqueName="[BI vw_FinCalendar]" caption="BI vw_FinCalendar"/>
    <dimension name="BI vw_Store" uniqueName="[BI vw_Store]" caption="BI vw_Store"/>
    <dimension name="CalendarMapping" uniqueName="[CalendarMapping]" caption="CalendarMapping"/>
    <dimension name="DC SO" uniqueName="[DC SO]" caption="DC SO"/>
    <dimension name="dim_period" uniqueName="[dim_period]" caption="dim_period"/>
    <dimension measure="1" name="Measures" uniqueName="[Measures]" caption="Measures"/>
    <dimension name="Month Sort" uniqueName="[Month Sort]" caption="Month Sort"/>
    <dimension name="TimePeriod" uniqueName="[TimePeriod]" caption="TimePeriod"/>
    <dimension name="TimePeriodSort" uniqueName="[TimePeriodSort]" caption="TimePeriodSort"/>
    <dimension name="TimePeriodSort_Amart" uniqueName="[TimePeriodSort_Amart]" caption="TimePeriodSort_Amart"/>
  </dimensions>
  <measureGroups count="23">
    <measureGroup name="BI metrics" caption="BI metrics"/>
    <measureGroup name="BI vw_Budget Duplicate" caption="BI vw_Budget Duplicate"/>
    <measureGroup name="BI vw_BudgetDeliveredSalesByStore" caption="BI vw_BudgetDeliveredSalesByStore"/>
    <measureGroup name="BI vw_Dynamics_FFAFDropshipwholesaleprice" caption="BI vw_Dynamics_FFAFDropshipwholesaleprice"/>
    <measureGroup name="BI vw_DynamicsDeliveredSales" caption="BI vw_DynamicsDeliveredSales"/>
    <measureGroup name="BI vw_FinCalendar" caption="BI vw_FinCalendar"/>
    <measureGroup name="BI vw_MarkdownCategory" caption="BI vw_MarkdownCategory"/>
    <measureGroup name="BI vw_Store" caption="BI vw_Store"/>
    <measureGroup name="BI vw_Store (2)" caption="BI vw_Store (2)"/>
    <measureGroup name="CalendarMapping" caption="CalendarMapping"/>
    <measureGroup name="DateTableTemplate_3f9b2c98-215a-4ac6-bb5b-5edb3fb7613d" caption="DateTableTemplate_3f9b2c98-215a-4ac6-bb5b-5edb3fb7613d"/>
    <measureGroup name="DC SO" caption="DC SO"/>
    <measureGroup name="dim_period" caption="dim_period"/>
    <measureGroup name="LocalDateTable_2dc8ec59-2991-4ed7-b97f-b3968012b3bf" caption="LocalDateTable_2dc8ec59-2991-4ed7-b97f-b3968012b3bf"/>
    <measureGroup name="LocalDateTable_35b2b28c-5e49-4861-9014-eb0865a61f58" caption="LocalDateTable_35b2b28c-5e49-4861-9014-eb0865a61f58"/>
    <measureGroup name="LocalDateTable_3ea1f34c-3b67-443a-8479-d47192825849" caption="LocalDateTable_3ea1f34c-3b67-443a-8479-d47192825849"/>
    <measureGroup name="LocalDateTable_44c7d4ef-ea67-4ad2-970c-4dd712d1bff0" caption="LocalDateTable_44c7d4ef-ea67-4ad2-970c-4dd712d1bff0"/>
    <measureGroup name="Measure" caption="Measure"/>
    <measureGroup name="Month Sort" caption="Month Sort"/>
    <measureGroup name="Period Measures" caption="Period Measures"/>
    <measureGroup name="TimePeriod" caption="TimePeriod"/>
    <measureGroup name="TimePeriodSort" caption="TimePeriodSort"/>
    <measureGroup name="TimePeriodSort_Amart" caption="TimePeriodSort_Amart"/>
  </measureGroups>
  <maps count="49">
    <map measureGroup="0" dimension="0"/>
    <map measureGroup="0" dimension="13"/>
    <map measureGroup="0" dimension="14"/>
    <map measureGroup="1" dimension="1"/>
    <map measureGroup="1" dimension="5"/>
    <map measureGroup="1" dimension="6"/>
    <map measureGroup="1" dimension="7"/>
    <map measureGroup="1" dimension="11"/>
    <map measureGroup="2" dimension="0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1"/>
    <map measureGroup="2" dimension="13"/>
    <map measureGroup="2" dimension="14"/>
    <map measureGroup="3" dimension="3"/>
    <map measureGroup="4" dimension="0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  <map measureGroup="4" dimension="11"/>
    <map measureGroup="4" dimension="13"/>
    <map measureGroup="4" dimension="14"/>
    <map measureGroup="5" dimension="5"/>
    <map measureGroup="5" dimension="7"/>
    <map measureGroup="5" dimension="11"/>
    <map measureGroup="7" dimension="6"/>
    <map measureGroup="8" dimension="6"/>
    <map measureGroup="9" dimension="5"/>
    <map measureGroup="9" dimension="7"/>
    <map measureGroup="9" dimension="11"/>
    <map measureGroup="11" dimension="8"/>
    <map measureGroup="12" dimension="9"/>
    <map measureGroup="18" dimension="11"/>
    <map measureGroup="20" dimension="12"/>
    <map measureGroup="21" dimension="13"/>
    <map measureGroup="21" dimension="14"/>
    <map measureGroup="22" dimension="13"/>
    <map measureGroup="2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5.591336689817" backgroundQuery="1" createdVersion="8" refreshedVersion="8" minRefreshableVersion="3" recordCount="0" supportSubquery="1" supportAdvancedDrill="1" xr:uid="{7BF419F9-51AF-48AD-9175-CE99D12D16CA}">
  <cacheSource type="external" connectionId="2"/>
  <cacheFields count="13">
    <cacheField name="[BI metrics].[Fin_Period].[Fin_Period]" caption="Fin_Period" numFmtId="0" hierarchy="44" level="1">
      <sharedItems count="208">
        <s v="[BI metrics].[Fin_Period].&amp;[202401]" c="202401"/>
        <s v="[BI metrics].[Fin_Period].&amp;[202402]" c="202402"/>
        <s v="[BI metrics].[Fin_Period].&amp;[202403]" c="202403"/>
        <s v="[BI metrics].[Fin_Period].&amp;[202404]" c="202404"/>
        <s v="[BI metrics].[Fin_Period].&amp;[202405]" c="202405"/>
        <s v="[BI metrics].[Fin_Period].&amp;[202406]" c="202406"/>
        <s v="[BI metrics].[Fin_Period].&amp;[202407]" c="202407"/>
        <s v="[BI metrics].[Fin_Period].&amp;[202408]" c="202408"/>
        <s v="[BI metrics].[Fin_Period].&amp;[202409]" c="202409"/>
        <s v="[BI metrics].[Fin_Period].&amp;[202410]" c="202410"/>
        <s v="[BI metrics].[Fin_Period].&amp;[202411]" c="202411"/>
        <s v="[BI metrics].[Fin_Period].&amp;[202412]" c="202412"/>
        <s v="[BI metrics].[Fin_Period].&amp;[202413]" c="202413"/>
        <s v="[BI metrics].[Fin_Period].&amp;[202414]" c="202414"/>
        <s v="[BI metrics].[Fin_Period].&amp;[202415]" c="202415"/>
        <s v="[BI metrics].[Fin_Period].&amp;[202416]" c="202416"/>
        <s v="[BI metrics].[Fin_Period].&amp;[202417]" c="202417"/>
        <s v="[BI metrics].[Fin_Period].&amp;[202418]" c="202418"/>
        <s v="[BI metrics].[Fin_Period].&amp;[202419]" c="202419"/>
        <s v="[BI metrics].[Fin_Period].&amp;[202420]" c="202420"/>
        <s v="[BI metrics].[Fin_Period].&amp;[202421]" c="202421"/>
        <s v="[BI metrics].[Fin_Period].&amp;[202422]" c="202422"/>
        <s v="[BI metrics].[Fin_Period].&amp;[202423]" c="202423"/>
        <s v="[BI metrics].[Fin_Period].&amp;[202424]" c="202424"/>
        <s v="[BI metrics].[Fin_Period].&amp;[202425]" c="202425"/>
        <s v="[BI metrics].[Fin_Period].&amp;[202426]" c="202426"/>
        <s v="[BI metrics].[Fin_Period].&amp;[202427]" c="202427"/>
        <s v="[BI metrics].[Fin_Period].&amp;[202428]" c="202428"/>
        <s v="[BI metrics].[Fin_Period].&amp;[202429]" c="202429"/>
        <s v="[BI metrics].[Fin_Period].&amp;[202430]" c="202430"/>
        <s v="[BI metrics].[Fin_Period].&amp;[202431]" c="202431"/>
        <s v="[BI metrics].[Fin_Period].&amp;[202432]" c="202432"/>
        <s v="[BI metrics].[Fin_Period].&amp;[202433]" c="202433"/>
        <s v="[BI metrics].[Fin_Period].&amp;[202434]" c="202434"/>
        <s v="[BI metrics].[Fin_Period].&amp;[202435]" c="202435"/>
        <s v="[BI metrics].[Fin_Period].&amp;[202436]" c="202436"/>
        <s v="[BI metrics].[Fin_Period].&amp;[202437]" c="202437"/>
        <s v="[BI metrics].[Fin_Period].&amp;[202438]" c="202438"/>
        <s v="[BI metrics].[Fin_Period].&amp;[202439]" c="202439"/>
        <s v="[BI metrics].[Fin_Period].&amp;[202440]" c="202440"/>
        <s v="[BI metrics].[Fin_Period].&amp;[202441]" c="202441"/>
        <s v="[BI metrics].[Fin_Period].&amp;[202442]" c="202442"/>
        <s v="[BI metrics].[Fin_Period].&amp;[202443]" c="202443"/>
        <s v="[BI metrics].[Fin_Period].&amp;[202444]" c="202444"/>
        <s v="[BI metrics].[Fin_Period].&amp;[202445]" c="202445"/>
        <s v="[BI metrics].[Fin_Period].&amp;[202446]" c="202446"/>
        <s v="[BI metrics].[Fin_Period].&amp;[202447]" c="202447"/>
        <s v="[BI metrics].[Fin_Period].&amp;[202448]" c="202448"/>
        <s v="[BI metrics].[Fin_Period].&amp;[202449]" c="202449"/>
        <s v="[BI metrics].[Fin_Period].&amp;[202450]" c="202450"/>
        <s v="[BI metrics].[Fin_Period].&amp;[202451]" c="202451"/>
        <s v="[BI metrics].[Fin_Period].&amp;[202452]" c="202452"/>
        <s v="[BI metrics].[Fin_Period].&amp;[202501]" c="202501"/>
        <s v="[BI metrics].[Fin_Period].&amp;[202502]" c="202502"/>
        <s v="[BI metrics].[Fin_Period].&amp;[202503]" c="202503"/>
        <s v="[BI metrics].[Fin_Period].&amp;[202504]" c="202504"/>
        <s v="[BI metrics].[Fin_Period].&amp;[202505]" c="202505"/>
        <s v="[BI metrics].[Fin_Period].&amp;[202506]" c="202506"/>
        <s v="[BI metrics].[Fin_Period].&amp;[202507]" c="202507"/>
        <s v="[BI metrics].[Fin_Period].&amp;[202508]" c="202508"/>
        <s v="[BI metrics].[Fin_Period].&amp;[202509]" c="202509"/>
        <s v="[BI metrics].[Fin_Period].&amp;[202510]" c="202510"/>
        <s v="[BI metrics].[Fin_Period].&amp;[202511]" c="202511"/>
        <s v="[BI metrics].[Fin_Period].&amp;[202512]" c="202512"/>
        <s v="[BI metrics].[Fin_Period].&amp;[202513]" c="202513"/>
        <s v="[BI metrics].[Fin_Period].&amp;[202514]" c="202514"/>
        <s v="[BI metrics].[Fin_Period].&amp;[202515]" c="202515"/>
        <s v="[BI metrics].[Fin_Period].&amp;[202516]" c="202516"/>
        <s v="[BI metrics].[Fin_Period].&amp;[202517]" c="202517"/>
        <s v="[BI metrics].[Fin_Period].&amp;[202518]" c="202518"/>
        <s v="[BI metrics].[Fin_Period].&amp;[202519]" c="202519"/>
        <s v="[BI metrics].[Fin_Period].&amp;[202520]" c="202520"/>
        <s v="[BI metrics].[Fin_Period].&amp;[202521]" c="202521"/>
        <s v="[BI metrics].[Fin_Period].&amp;[202522]" c="202522"/>
        <s v="[BI metrics].[Fin_Period].&amp;[202523]" c="202523"/>
        <s v="[BI metrics].[Fin_Period].&amp;[202524]" c="202524"/>
        <s v="[BI metrics].[Fin_Period].&amp;[202525]" c="202525"/>
        <s v="[BI metrics].[Fin_Period].&amp;[202526]" c="202526"/>
        <s v="[BI metrics].[Fin_Period].&amp;[202527]" c="202527"/>
        <s v="[BI metrics].[Fin_Period].&amp;[202528]" c="202528"/>
        <s v="[BI metrics].[Fin_Period].&amp;[202529]" c="202529"/>
        <s v="[BI metrics].[Fin_Period].&amp;[202530]" c="202530"/>
        <s v="[BI metrics].[Fin_Period].&amp;[202531]" c="202531"/>
        <s v="[BI metrics].[Fin_Period].&amp;[202532]" c="202532"/>
        <s v="[BI metrics].[Fin_Period].&amp;[202533]" c="202533"/>
        <s v="[BI metrics].[Fin_Period].&amp;[202534]" c="202534"/>
        <s v="[BI metrics].[Fin_Period].&amp;[202535]" c="202535"/>
        <s v="[BI metrics].[Fin_Period].&amp;[202536]" c="202536"/>
        <s v="[BI metrics].[Fin_Period].&amp;[202537]" c="202537"/>
        <s v="[BI metrics].[Fin_Period].&amp;[202538]" c="202538"/>
        <s v="[BI metrics].[Fin_Period].&amp;[202539]" c="202539"/>
        <s v="[BI metrics].[Fin_Period].&amp;[202540]" c="202540"/>
        <s v="[BI metrics].[Fin_Period].&amp;[202541]" c="202541"/>
        <s v="[BI metrics].[Fin_Period].&amp;[202542]" c="202542"/>
        <s v="[BI metrics].[Fin_Period].&amp;[202543]" c="202543"/>
        <s v="[BI metrics].[Fin_Period].&amp;[202544]" c="202544"/>
        <s v="[BI metrics].[Fin_Period].&amp;[202545]" c="202545"/>
        <s v="[BI metrics].[Fin_Period].&amp;[202546]" c="202546"/>
        <s v="[BI metrics].[Fin_Period].&amp;[202547]" c="202547"/>
        <s v="[BI metrics].[Fin_Period].&amp;[202548]" c="202548"/>
        <s v="[BI metrics].[Fin_Period].&amp;[202549]" c="202549"/>
        <s v="[BI metrics].[Fin_Period].&amp;[202550]" c="202550"/>
        <s v="[BI metrics].[Fin_Period].&amp;[202551]" c="202551"/>
        <s v="[BI metrics].[Fin_Period].&amp;[202552]" c="202552"/>
        <s v="[BI metrics].[Fin_Period].&amp;[202601]" c="202601"/>
        <s v="[BI metrics].[Fin_Period].&amp;[202602]" c="202602"/>
        <s v="[BI metrics].[Fin_Period].&amp;[202603]" c="202603"/>
        <s v="[BI metrics].[Fin_Period].&amp;[202604]" c="202604"/>
        <s v="[BI metrics].[Fin_Period].&amp;[202605]" c="202605"/>
        <s v="[BI metrics].[Fin_Period].&amp;[202606]" c="202606"/>
        <s v="[BI metrics].[Fin_Period].&amp;[202607]" c="202607"/>
        <s v="[BI metrics].[Fin_Period].&amp;[202608]" c="202608"/>
        <s v="[BI metrics].[Fin_Period].&amp;[202609]" c="202609"/>
        <s v="[BI metrics].[Fin_Period].&amp;[202610]" c="202610"/>
        <s v="[BI metrics].[Fin_Period].&amp;[202611]" c="202611"/>
        <s v="[BI metrics].[Fin_Period].&amp;[202612]" c="202612"/>
        <s v="[BI metrics].[Fin_Period].&amp;[202613]" c="202613"/>
        <s v="[BI metrics].[Fin_Period].&amp;[202614]" c="202614"/>
        <s v="[BI metrics].[Fin_Period].&amp;[202615]" c="202615"/>
        <s v="[BI metrics].[Fin_Period].&amp;[202616]" c="202616"/>
        <s v="[BI metrics].[Fin_Period].&amp;[202617]" c="202617"/>
        <s v="[BI metrics].[Fin_Period].&amp;[202618]" c="202618"/>
        <s v="[BI metrics].[Fin_Period].&amp;[202619]" c="202619"/>
        <s v="[BI metrics].[Fin_Period].&amp;[202620]" c="202620"/>
        <s v="[BI metrics].[Fin_Period].&amp;[202621]" c="202621"/>
        <s v="[BI metrics].[Fin_Period].&amp;[202622]" c="202622"/>
        <s v="[BI metrics].[Fin_Period].&amp;[202623]" c="202623"/>
        <s v="[BI metrics].[Fin_Period].&amp;[202624]" c="202624"/>
        <s v="[BI metrics].[Fin_Period].&amp;[202625]" c="202625"/>
        <s v="[BI metrics].[Fin_Period].&amp;[202626]" c="202626"/>
        <s v="[BI metrics].[Fin_Period].&amp;[202627]" c="202627"/>
        <s v="[BI metrics].[Fin_Period].&amp;[202628]" c="202628"/>
        <s v="[BI metrics].[Fin_Period].&amp;[202629]" c="202629"/>
        <s v="[BI metrics].[Fin_Period].&amp;[202630]" c="202630"/>
        <s v="[BI metrics].[Fin_Period].&amp;[202631]" c="202631"/>
        <s v="[BI metrics].[Fin_Period].&amp;[202632]" c="202632"/>
        <s v="[BI metrics].[Fin_Period].&amp;[202633]" c="202633"/>
        <s v="[BI metrics].[Fin_Period].&amp;[202634]" c="202634"/>
        <s v="[BI metrics].[Fin_Period].&amp;[202635]" c="202635"/>
        <s v="[BI metrics].[Fin_Period].&amp;[202636]" c="202636"/>
        <s v="[BI metrics].[Fin_Period].&amp;[202637]" c="202637"/>
        <s v="[BI metrics].[Fin_Period].&amp;[202638]" c="202638"/>
        <s v="[BI metrics].[Fin_Period].&amp;[202639]" c="202639"/>
        <s v="[BI metrics].[Fin_Period].&amp;[202640]" c="202640"/>
        <s v="[BI metrics].[Fin_Period].&amp;[202641]" c="202641"/>
        <s v="[BI metrics].[Fin_Period].&amp;[202642]" c="202642"/>
        <s v="[BI metrics].[Fin_Period].&amp;[202643]" c="202643"/>
        <s v="[BI metrics].[Fin_Period].&amp;[202644]" c="202644"/>
        <s v="[BI metrics].[Fin_Period].&amp;[202645]" c="202645"/>
        <s v="[BI metrics].[Fin_Period].&amp;[202646]" c="202646"/>
        <s v="[BI metrics].[Fin_Period].&amp;[202647]" c="202647"/>
        <s v="[BI metrics].[Fin_Period].&amp;[202648]" c="202648"/>
        <s v="[BI metrics].[Fin_Period].&amp;[202649]" c="202649"/>
        <s v="[BI metrics].[Fin_Period].&amp;[202650]" c="202650"/>
        <s v="[BI metrics].[Fin_Period].&amp;[202651]" c="202651"/>
        <s v="[BI metrics].[Fin_Period].&amp;[202652]" c="202652"/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  <s v="[BI metrics].[Fin_Period].&amp;[202708]" c="202708"/>
        <s v="[BI metrics].[Fin_Period].&amp;[202709]" c="202709"/>
        <s v="[BI metrics].[Fin_Period].&amp;[202710]" c="202710"/>
        <s v="[BI metrics].[Fin_Period].&amp;[202711]" c="202711"/>
        <s v="[BI metrics].[Fin_Period].&amp;[202712]" c="202712"/>
        <s v="[BI metrics].[Fin_Period].&amp;[202713]" c="202713"/>
        <s v="[BI metrics].[Fin_Period].&amp;[202714]" c="202714"/>
        <s v="[BI metrics].[Fin_Period].&amp;[202715]" c="202715"/>
        <s v="[BI metrics].[Fin_Period].&amp;[202716]" c="202716"/>
        <s v="[BI metrics].[Fin_Period].&amp;[202717]" c="202717"/>
        <s v="[BI metrics].[Fin_Period].&amp;[202718]" c="202718"/>
        <s v="[BI metrics].[Fin_Period].&amp;[202719]" c="202719"/>
        <s v="[BI metrics].[Fin_Period].&amp;[202720]" c="202720"/>
        <s v="[BI metrics].[Fin_Period].&amp;[202721]" c="202721"/>
        <s v="[BI metrics].[Fin_Period].&amp;[202722]" c="202722"/>
        <s v="[BI metrics].[Fin_Period].&amp;[202723]" c="202723"/>
        <s v="[BI metrics].[Fin_Period].&amp;[202724]" c="202724"/>
        <s v="[BI metrics].[Fin_Period].&amp;[202725]" c="202725"/>
        <s v="[BI metrics].[Fin_Period].&amp;[202726]" c="202726"/>
        <s v="[BI metrics].[Fin_Period].&amp;[202727]" c="202727"/>
        <s v="[BI metrics].[Fin_Period].&amp;[202728]" c="202728"/>
        <s v="[BI metrics].[Fin_Period].&amp;[202729]" c="202729"/>
        <s v="[BI metrics].[Fin_Period].&amp;[202730]" c="202730"/>
        <s v="[BI metrics].[Fin_Period].&amp;[202731]" c="202731"/>
        <s v="[BI metrics].[Fin_Period].&amp;[202732]" c="202732"/>
        <s v="[BI metrics].[Fin_Period].&amp;[202733]" c="202733"/>
        <s v="[BI metrics].[Fin_Period].&amp;[202734]" c="202734"/>
        <s v="[BI metrics].[Fin_Period].&amp;[202735]" c="202735"/>
        <s v="[BI metrics].[Fin_Period].&amp;[202736]" c="202736"/>
        <s v="[BI metrics].[Fin_Period].&amp;[202737]" c="202737"/>
        <s v="[BI metrics].[Fin_Period].&amp;[202738]" c="202738"/>
        <s v="[BI metrics].[Fin_Period].&amp;[202739]" c="202739"/>
        <s v="[BI metrics].[Fin_Period].&amp;[202740]" c="202740"/>
        <s v="[BI metrics].[Fin_Period].&amp;[202741]" c="202741"/>
        <s v="[BI metrics].[Fin_Period].&amp;[202742]" c="202742"/>
        <s v="[BI metrics].[Fin_Period].&amp;[202743]" c="202743"/>
        <s v="[BI metrics].[Fin_Period].&amp;[202744]" c="202744"/>
        <s v="[BI metrics].[Fin_Period].&amp;[202745]" c="202745"/>
        <s v="[BI metrics].[Fin_Period].&amp;[202746]" c="202746"/>
        <s v="[BI metrics].[Fin_Period].&amp;[202747]" c="202747"/>
        <s v="[BI metrics].[Fin_Period].&amp;[202748]" c="202748"/>
        <s v="[BI metrics].[Fin_Period].&amp;[202749]" c="202749"/>
        <s v="[BI metrics].[Fin_Period].&amp;[202750]" c="202750"/>
        <s v="[BI metrics].[Fin_Period].&amp;[202751]" c="202751"/>
        <s v="[BI metrics].[Fin_Period].&amp;[202752]" c="202752"/>
      </sharedItems>
    </cacheField>
    <cacheField name="[BI metrics].[TimePeriod].[TimePeriod]" caption="TimePeriod" numFmtId="0" hierarchy="60" level="1">
      <sharedItems containsSemiMixedTypes="0" containsString="0"/>
    </cacheField>
    <cacheField name="[BI Item].[Item_Country].[Item_Country]" caption="Item_Country" numFmtId="0" hierarchy="22" level="1">
      <sharedItems containsSemiMixedTypes="0" containsString="0"/>
    </cacheField>
    <cacheField name="[BI Item].[Division].[Division]" caption="Division" numFmtId="0" hierarchy="17" level="1">
      <sharedItems containsSemiMixedTypes="0" containsString="0"/>
    </cacheField>
    <cacheField name="[BI Store].[Branch_Type].[Branch_Type]" caption="Branch_Type" numFmtId="0" hierarchy="69" level="1">
      <sharedItems containsSemiMixedTypes="0" containsString="0"/>
    </cacheField>
    <cacheField name="[BI Store].[Store_Country].[Store_Country]" caption="Store_Country" numFmtId="0" hierarchy="75" level="1">
      <sharedItems containsSemiMixedTypes="0" containsString="0"/>
    </cacheField>
    <cacheField name="[BI vw_BudgetByItemCategory].[Country].[Country]" caption="Country" numFmtId="0" hierarchy="92" level="1">
      <sharedItems containsSemiMixedTypes="0" containsString="0"/>
    </cacheField>
    <cacheField name="[TimePeriodSort].[TimePeriod].[TimePeriod]" caption="TimePeriod" numFmtId="0" hierarchy="284" level="1">
      <sharedItems containsSemiMixedTypes="0" containsString="0"/>
    </cacheField>
    <cacheField name="[BI vw_WeeklyWrittenSalesMetrics].[Branch_Type].[Branch_Type]" caption="Branch_Type" numFmtId="0" hierarchy="199" level="1">
      <sharedItems containsSemiMixedTypes="0" containsString="0"/>
    </cacheField>
    <cacheField name="[BI vw_WeeklyWrittenSalesMetrics].[Division].[Division]" caption="Division" numFmtId="0" hierarchy="209" level="1">
      <sharedItems count="2">
        <s v="[BI vw_WeeklyWrittenSalesMetrics].[Division].&amp;[Furniture]" c="Furniture"/>
        <s v="[BI vw_WeeklyWrittenSalesMetrics].[Division].&amp;[Homewares]" c="Homewares"/>
      </sharedItems>
    </cacheField>
    <cacheField name="[BI vw_WeeklyWrittenSalesMetrics].[Country].[Country]" caption="Country" numFmtId="0" hierarchy="207" level="1">
      <sharedItems containsSemiMixedTypes="0" containsString="0"/>
    </cacheField>
    <cacheField name="[Measures].[R-Sales TY $]" caption="R-Sales TY $" numFmtId="0" hierarchy="350" level="32767"/>
    <cacheField name="[BI vw_WeeklyWrittenSalesMetrics].[Channel].[Channel]" caption="Channel" numFmtId="0" hierarchy="205" level="1">
      <sharedItems count="4">
        <s v="[BI vw_WeeklyWrittenSalesMetrics].[Channel].&amp;" c=""/>
        <s v="[BI vw_WeeklyWrittenSalesMetrics].[Channel].&amp;[Dropship]" c="Dropship"/>
        <s v="[BI vw_WeeklyWrittenSalesMetrics].[Channel].&amp;[In Store]" c="In Store"/>
        <s v="[BI vw_WeeklyWrittenSalesMetrics].[Channel].&amp;[Online]" c="Online"/>
      </sharedItems>
    </cacheField>
  </cacheFields>
  <cacheHierarchies count="579">
    <cacheHierarchy uniqueName="[BI ForecastClass].[BranchType]" caption="BranchType" attribute="1" defaultMemberUniqueName="[BI ForecastClass].[BranchType].[All]" allUniqueName="[BI ForecastClass].[BranchType].[All]" dimensionUniqueName="[BI ForecastClass]" displayFolder="" count="0" memberValueDatatype="130" unbalanced="0"/>
    <cacheHierarchy uniqueName="[BI ForecastClass].[Channel]" caption="Channel" attribute="1" defaultMemberUniqueName="[BI ForecastClass].[Channel].[All]" allUniqueName="[BI ForecastClass].[Channel].[All]" dimensionUniqueName="[BI ForecastClass]" displayFolder="" count="0" memberValueDatatype="130" unbalanced="0"/>
    <cacheHierarchy uniqueName="[BI ForecastClass].[Class]" caption="Class" attribute="1" defaultMemberUniqueName="[BI ForecastClass].[Class].[All]" allUniqueName="[BI ForecastClass].[Class].[All]" dimensionUniqueName="[BI ForecastClass]" displayFolder="" count="0" memberValueDatatype="130" unbalanced="0"/>
    <cacheHierarchy uniqueName="[BI ForecastClass].[Country]" caption="Country" attribute="1" defaultMemberUniqueName="[BI ForecastClass].[Country].[All]" allUniqueName="[BI ForecastClass].[Country].[All]" dimensionUniqueName="[BI ForecastClass]" displayFolder="" count="0" memberValueDatatype="130" unbalanced="0"/>
    <cacheHierarchy uniqueName="[BI ForecastClass].[DepartmentDesc]" caption="DepartmentDesc" attribute="1" defaultMemberUniqueName="[BI ForecastClass].[DepartmentDesc].[All]" allUniqueName="[BI ForecastClass].[DepartmentDesc].[All]" dimensionUniqueName="[BI ForecastClass]" displayFolder="" count="0" memberValueDatatype="130" unbalanced="0"/>
    <cacheHierarchy uniqueName="[BI ForecastClass].[Division]" caption="Division" attribute="1" defaultMemberUniqueName="[BI ForecastClass].[Division].[All]" allUniqueName="[BI ForecastClass].[Division].[All]" dimensionUniqueName="[BI ForecastClass]" displayFolder="" count="0" memberValueDatatype="130" unbalanced="0"/>
    <cacheHierarchy uniqueName="[BI ForecastClass].[Period]" caption="Period" attribute="1" defaultMemberUniqueName="[BI ForecastClass].[Period].[All]" allUniqueName="[BI ForecastClass].[Period].[All]" dimensionUniqueName="[BI ForecastClass]" displayFolder="" count="0" memberValueDatatype="20" unbalanced="0"/>
    <cacheHierarchy uniqueName="[BI ForecastClass].[Storekey]" caption="Storekey" attribute="1" defaultMemberUniqueName="[BI ForecastClass].[Storekey].[All]" allUniqueName="[BI ForecastClass].[Storekey].[All]" dimensionUniqueName="[BI ForecastClass]" displayFolder="" count="0" memberValueDatatype="20" unbalanced="0"/>
    <cacheHierarchy uniqueName="[BI ForecastClass].[SubDepartmentDesc]" caption="SubDepartmentDesc" attribute="1" defaultMemberUniqueName="[BI ForecastClass].[SubDepartmentDesc].[All]" allUniqueName="[BI ForecastClass].[SubDepartmentDesc].[All]" dimensionUniqueName="[BI ForecastClass]" displayFolder="" count="0" memberValueDatatype="130" unbalanced="0"/>
    <cacheHierarchy uniqueName="[BI Item].[AddedDate]" caption="AddedDate" attribute="1" time="1" defaultMemberUniqueName="[BI Item].[AddedDate].[All]" allUniqueName="[BI Item].[AddedDate].[All]" dimensionUniqueName="[BI Item]" displayFolder="" count="0" memberValueDatatype="7" unbalanced="0"/>
    <cacheHierarchy uniqueName="[BI Item].[AUtoNZWholesale]" caption="AUtoNZWholesale" attribute="1" defaultMemberUniqueName="[BI Item].[AUtoNZWholesale].[All]" allUniqueName="[BI Item].[AUtoNZWholesale].[All]" dimensionUniqueName="[BI Item]" displayFolder="" count="0" memberValueDatatype="5" unbalanced="0"/>
    <cacheHierarchy uniqueName="[BI Item].[Base_SKU]" caption="Base_SKU" attribute="1" defaultMemberUniqueName="[BI Item].[Base_SKU].[All]" allUniqueName="[BI Item].[Base_SKU].[All]" dimensionUniqueName="[BI Item]" displayFolder="" count="0" memberValueDatatype="130" unbalanced="0"/>
    <cacheHierarchy uniqueName="[BI Item].[Class]" caption="Class" attribute="1" defaultMemberUniqueName="[BI Item].[Class].[All]" allUniqueName="[BI Item].[Class].[All]" dimensionUniqueName="[BI Item]" displayFolder="" count="0" memberValueDatatype="20" unbalanced="0"/>
    <cacheHierarchy uniqueName="[BI Item].[Cost]" caption="Cost" attribute="1" defaultMemberUniqueName="[BI Item].[Cost].[All]" allUniqueName="[BI Item].[Cost].[All]" dimensionUniqueName="[BI Item]" displayFolder="" count="0" memberValueDatatype="6" unbalanced="0"/>
    <cacheHierarchy uniqueName="[BI Item].[CostAveage]" caption="CostAveage" attribute="1" defaultMemberUniqueName="[BI Item].[CostAveage].[All]" allUniqueName="[BI Item].[CostAveage].[All]" dimensionUniqueName="[BI Item]" displayFolder="" count="0" memberValueDatatype="6" unbalanced="0"/>
    <cacheHierarchy uniqueName="[BI Item].[DepartmentDesc]" caption="DepartmentDesc" attribute="1" defaultMemberUniqueName="[BI Item].[DepartmentDesc].[All]" allUniqueName="[BI Item].[DepartmentDesc].[All]" dimensionUniqueName="[BI Item]" displayFolder="" count="0" memberValueDatatype="130" unbalanced="0"/>
    <cacheHierarchy uniqueName="[BI Item].[Description]" caption="Description" attribute="1" defaultMemberUniqueName="[BI Item].[Description].[All]" allUniqueName="[BI Item].[Description].[All]" dimensionUniqueName="[BI Item]" displayFolder="" count="0" memberValueDatatype="130" unbalanced="0"/>
    <cacheHierarchy uniqueName="[BI Item].[Division]" caption="Division" attribute="1" defaultMemberUniqueName="[BI Item].[Division].[All]" allUniqueName="[BI Item].[Division].[All]" dimensionUniqueName="[BI Item]" displayFolder="" count="2" memberValueDatatype="130" unbalanced="0">
      <fieldsUsage count="2">
        <fieldUsage x="-1"/>
        <fieldUsage x="3"/>
      </fieldsUsage>
    </cacheHierarchy>
    <cacheHierarchy uniqueName="[BI Item].[InActive]" caption="InActive" attribute="1" defaultMemberUniqueName="[BI Item].[InActive].[All]" allUniqueName="[BI Item].[InActive].[All]" dimensionUniqueName="[BI Item]" displayFolder="" count="0" memberValueDatatype="11" unbalanced="0"/>
    <cacheHierarchy uniqueName="[BI Item].[Infinity_UPC]" caption="Infinity_UPC" attribute="1" defaultMemberUniqueName="[BI Item].[Infinity_UPC].[All]" allUniqueName="[BI Item].[Infinity_UPC].[All]" dimensionUniqueName="[BI Item]" displayFolder="" count="0" memberValueDatatype="130" unbalanced="0"/>
    <cacheHierarchy uniqueName="[BI Item].[IsChanged]" caption="IsChanged" attribute="1" defaultMemberUniqueName="[BI Item].[IsChanged].[All]" allUniqueName="[BI Item].[IsChanged].[All]" dimensionUniqueName="[BI Item]" displayFolder="" count="0" memberValueDatatype="11" unbalanced="0"/>
    <cacheHierarchy uniqueName="[BI Item].[Item_Class_Desc]" caption="Item_Class_Desc" attribute="1" defaultMemberUniqueName="[BI Item].[Item_Class_Desc].[All]" allUniqueName="[BI Item].[Item_Class_Desc].[All]" dimensionUniqueName="[BI Item]" displayFolder="" count="0" memberValueDatatype="130" unbalanced="0"/>
    <cacheHierarchy uniqueName="[BI Item].[Item_Country]" caption="Item_Country" attribute="1" defaultMemberUniqueName="[BI Item].[Item_Country].[All]" allUniqueName="[BI Item].[Item_Country].[All]" dimensionUniqueName="[BI Item]" displayFolder="" count="2" memberValueDatatype="130" unbalanced="0">
      <fieldsUsage count="2">
        <fieldUsage x="-1"/>
        <fieldUsage x="2"/>
      </fieldsUsage>
    </cacheHierarchy>
    <cacheHierarchy uniqueName="[BI Item].[Item_Type]" caption="Item_Type" attribute="1" defaultMemberUniqueName="[BI Item].[Item_Type].[All]" allUniqueName="[BI Item].[Item_Type].[All]" dimensionUniqueName="[BI Item]" displayFolder="" count="0" memberValueDatatype="130" unbalanced="0"/>
    <cacheHierarchy uniqueName="[BI Item].[ItemKey]" caption="ItemKey" attribute="1" defaultMemberUniqueName="[BI Item].[ItemKey].[All]" allUniqueName="[BI Item].[ItemKey].[All]" dimensionUniqueName="[BI Item]" displayFolder="" count="0" memberValueDatatype="20" unbalanced="0"/>
    <cacheHierarchy uniqueName="[BI Item].[NonStock]" caption="NonStock" attribute="1" defaultMemberUniqueName="[BI Item].[NonStock].[All]" allUniqueName="[BI Item].[NonStock].[All]" dimensionUniqueName="[BI Item]" displayFolder="" count="0" memberValueDatatype="11" unbalanced="0"/>
    <cacheHierarchy uniqueName="[BI Item].[Price]" caption="Price" attribute="1" defaultMemberUniqueName="[BI Item].[Price].[All]" allUniqueName="[BI Item].[Price].[All]" dimensionUniqueName="[BI Item]" displayFolder="" count="0" memberValueDatatype="6" unbalanced="0"/>
    <cacheHierarchy uniqueName="[BI Item].[Product_Cate_Key]" caption="Product_Cate_Key" attribute="1" defaultMemberUniqueName="[BI Item].[Product_Cate_Key].[All]" allUniqueName="[BI Item].[Product_Cate_Key].[All]" dimensionUniqueName="[BI Item]" displayFolder="" count="0" memberValueDatatype="20" unbalanced="0"/>
    <cacheHierarchy uniqueName="[BI Item].[Product_Status]" caption="Product_Status" attribute="1" defaultMemberUniqueName="[BI Item].[Product_Status].[All]" allUniqueName="[BI Item].[Product_Status].[All]" dimensionUniqueName="[BI Item]" displayFolder="" count="0" memberValueDatatype="130" unbalanced="0"/>
    <cacheHierarchy uniqueName="[BI Item].[Product_Sub_Cate_Key]" caption="Product_Sub_Cate_Key" attribute="1" defaultMemberUniqueName="[BI Item].[Product_Sub_Cate_Key].[All]" allUniqueName="[BI Item].[Product_Sub_Cate_Key].[All]" dimensionUniqueName="[BI Item]" displayFolder="" count="0" memberValueDatatype="20" unbalanced="0"/>
    <cacheHierarchy uniqueName="[BI Item].[PurchaseCost]" caption="PurchaseCost" attribute="1" defaultMemberUniqueName="[BI Item].[PurchaseCost].[All]" allUniqueName="[BI Item].[PurchaseCost].[All]" dimensionUniqueName="[BI Item]" displayFolder="" count="0" memberValueDatatype="6" unbalanced="0"/>
    <cacheHierarchy uniqueName="[BI Item].[PurchaseQty]" caption="PurchaseQty" attribute="1" defaultMemberUniqueName="[BI Item].[PurchaseQty].[All]" allUniqueName="[BI Item].[PurchaseQty].[All]" dimensionUniqueName="[BI Item]" displayFolder="" count="0" memberValueDatatype="5" unbalanced="0"/>
    <cacheHierarchy uniqueName="[BI Item].[Range]" caption="Range" attribute="1" defaultMemberUniqueName="[BI Item].[Range].[All]" allUniqueName="[BI Item].[Range].[All]" dimensionUniqueName="[BI Item]" displayFolder="" count="0" memberValueDatatype="130" unbalanced="0"/>
    <cacheHierarchy uniqueName="[BI Item].[Season]" caption="Season" attribute="1" defaultMemberUniqueName="[BI Item].[Season].[All]" allUniqueName="[BI Item].[Season].[All]" dimensionUniqueName="[BI Item]" displayFolder="" count="0" memberValueDatatype="130" unbalanced="0"/>
    <cacheHierarchy uniqueName="[BI Item].[SellingQty]" caption="SellingQty" attribute="1" defaultMemberUniqueName="[BI Item].[SellingQty].[All]" allUniqueName="[BI Item].[SellingQty].[All]" dimensionUniqueName="[BI Item]" displayFolder="" count="0" memberValueDatatype="5" unbalanced="0"/>
    <cacheHierarchy uniqueName="[BI Item].[StockType]" caption="StockType" attribute="1" defaultMemberUniqueName="[BI Item].[StockType].[All]" allUniqueName="[BI Item].[StockType].[All]" dimensionUniqueName="[BI Item]" displayFolder="" count="0" memberValueDatatype="130" unbalanced="0"/>
    <cacheHierarchy uniqueName="[BI Item].[SubDepartmentDesc]" caption="SubDepartmentDesc" attribute="1" defaultMemberUniqueName="[BI Item].[SubDepartmentDesc].[All]" allUniqueName="[BI Item].[SubDepartmentDesc].[All]" dimensionUniqueName="[BI Item]" displayFolder="" count="0" memberValueDatatype="130" unbalanced="0"/>
    <cacheHierarchy uniqueName="[BI Item].[Supplier_Code]" caption="Supplier_Code" attribute="1" defaultMemberUniqueName="[BI Item].[Supplier_Code].[All]" allUniqueName="[BI Item].[Supplier_Code].[All]" dimensionUniqueName="[BI Item]" displayFolder="" count="0" memberValueDatatype="130" unbalanced="0"/>
    <cacheHierarchy uniqueName="[BI Item].[TaxType]" caption="TaxType" attribute="1" defaultMemberUniqueName="[BI Item].[TaxType].[All]" allUniqueName="[BI Item].[TaxType].[All]" dimensionUniqueName="[BI Item]" displayFolder="" count="0" memberValueDatatype="130" unbalanced="0"/>
    <cacheHierarchy uniqueName="[BI Item].[Unit]" caption="Unit" attribute="1" defaultMemberUniqueName="[BI Item].[Unit].[All]" allUniqueName="[BI Item].[Unit].[All]" dimensionUniqueName="[BI Item]" displayFolder="" count="0" memberValueDatatype="130" unbalanced="0"/>
    <cacheHierarchy uniqueName="[BI Item].[UpdatedDate]" caption="UpdatedDate" attribute="1" time="1" defaultMemberUniqueName="[BI Item].[UpdatedDate].[All]" allUniqueName="[BI Item].[UpdatedDate].[All]" dimensionUniqueName="[BI Item]" displayFolder="" count="0" memberValueDatatype="7" unbalanced="0"/>
    <cacheHierarchy uniqueName="[BI Item].[Wholesale]" caption="Wholesale" attribute="1" defaultMemberUniqueName="[BI Item].[Wholesale].[All]" allUniqueName="[BI Item].[Wholesale].[All]" dimensionUniqueName="[BI Item]" displayFolder="" count="0" memberValueDatatype="5" unbalanced="0"/>
    <cacheHierarchy uniqueName="[BI metrics].[Current Date]" caption="Current Date" attribute="1" time="1" defaultMemberUniqueName="[BI metrics].[Current Date].[All]" allUniqueName="[BI metrics].[Current Date].[All]" dimensionUniqueName="[BI metrics]" displayFolder="" count="0" memberValueDatatype="7" unbalanced="0"/>
    <cacheHierarchy uniqueName="[BI metrics].[Date]" caption="Date" attribute="1" time="1" defaultMemberUniqueName="[BI metrics].[Date].[All]" allUniqueName="[BI metrics].[Date].[All]" dimensionUniqueName="[BI metrics]" displayFolder="" count="0" memberValueDatatype="7" unbalanced="0"/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0"/>
      </fieldsUsage>
    </cacheHierarchy>
    <cacheHierarchy uniqueName="[BI metrics].[finPeriod_Before]" caption="finPeriod_Before" attribute="1" defaultMemberUniqueName="[BI metrics].[finPeriod_Before].[All]" allUniqueName="[BI metrics].[finPeriod_Before].[All]" dimensionUniqueName="[BI metrics]" displayFolder="" count="0" memberValueDatatype="130" unbalanced="0"/>
    <cacheHierarchy uniqueName="[BI metrics].[finPeriod_Before_Trend]" caption="finPeriod_Before_Trend" attribute="1" defaultMemberUniqueName="[BI metrics].[finPeriod_Before_Trend].[All]" allUniqueName="[BI metrics].[finPeriod_Before_Trend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2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20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20" unbalanced="0"/>
    <cacheHierarchy uniqueName="[BI metrics].[Min_Year]" caption="Min_Year" attribute="1" time="1" defaultMemberUniqueName="[BI metrics].[Min_Year].[All]" allUniqueName="[BI metrics].[Min_Year].[All]" dimensionUniqueName="[BI metrics]" displayFolder="" count="0" memberValueDatatype="7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1"/>
      </fieldsUsage>
    </cacheHierarchy>
    <cacheHierarchy uniqueName="[BI metrics].[TimePeriodSort]" caption="TimePeriodSort" attribute="1" defaultMemberUniqueName="[BI metrics].[TimePeriodSort].[All]" allUniqueName="[BI metrics].[TimePeriodSort].[All]" dimensionUniqueName="[BI metrics]" displayFolder="" count="0" memberValueDatatype="20" unbalanced="0"/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 Int]" caption="Year Int" attribute="1" defaultMemberUniqueName="[BI metrics].[Year Int].[All]" allUniqueName="[BI metrics].[Year Int].[All]" dimensionUniqueName="[BI metrics]" displayFolder="" count="0" memberValueDatatype="2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metrics].[Year_New]" caption="Year_New" attribute="1" defaultMemberUniqueName="[BI metrics].[Year_New].[All]" allUniqueName="[BI metrics].[Year_New].[All]" dimensionUniqueName="[BI metrics]" displayFolder="" count="0" memberValueDatatype="20" unbalanced="0"/>
    <cacheHierarchy uniqueName="[BI Store].[Area_Leader]" caption="Area_Leader" attribute="1" defaultMemberUniqueName="[BI Store].[Area_Leader].[All]" allUniqueName="[BI Store].[Area_Leader].[All]" dimensionUniqueName="[BI Store]" displayFolder="" count="0" memberValueDatatype="130" unbalanced="0"/>
    <cacheHierarchy uniqueName="[BI Store].[Area_Leader_New]" caption="Area_Leader_New" attribute="1" defaultMemberUniqueName="[BI Store].[Area_Leader_New].[All]" allUniqueName="[BI Store].[Area_Leader_New].[All]" dimensionUniqueName="[BI Store]" displayFolder="" count="0" memberValueDatatype="130" unbalanced="0"/>
    <cacheHierarchy uniqueName="[BI Store].[Branch_Type]" caption="Branch_Type" attribute="1" defaultMemberUniqueName="[BI Store].[Branch_Type].[All]" allUniqueName="[BI Store].[Branch_Type].[All]" dimensionUniqueName="[BI Store]" displayFolder="" count="2" memberValueDatatype="130" unbalanced="0">
      <fieldsUsage count="2">
        <fieldUsage x="-1"/>
        <fieldUsage x="4"/>
      </fieldsUsage>
    </cacheHierarchy>
    <cacheHierarchy uniqueName="[BI Store].[FreedomArea]" caption="FreedomArea" attribute="1" defaultMemberUniqueName="[BI Store].[FreedomArea].[All]" allUniqueName="[BI Store].[FreedomArea].[All]" dimensionUniqueName="[BI Store]" displayFolder="" count="0" memberValueDatatype="5" unbalanced="0"/>
    <cacheHierarchy uniqueName="[BI Store].[IsDC]" caption="IsDC" attribute="1" defaultMemberUniqueName="[BI Store].[IsDC].[All]" allUniqueName="[BI Store].[IsDC].[All]" dimensionUniqueName="[BI Store]" displayFolder="" count="0" memberValueDatatype="11" unbalanced="0"/>
    <cacheHierarchy uniqueName="[BI Store].[IsHO]" caption="IsHO" attribute="1" defaultMemberUniqueName="[BI Store].[IsHO].[All]" allUniqueName="[BI Store].[IsHO].[All]" dimensionUniqueName="[BI Store]" displayFolder="" count="0" memberValueDatatype="11" unbalanced="0"/>
    <cacheHierarchy uniqueName="[BI Store].[Store State Sort]" caption="Store State Sort" attribute="1" defaultMemberUniqueName="[BI Store].[Store State Sort].[All]" allUniqueName="[BI Store].[Store State Sort].[All]" dimensionUniqueName="[BI Store]" displayFolder="" count="0" memberValueDatatype="20" unbalanced="0"/>
    <cacheHierarchy uniqueName="[BI Store].[Store_Code]" caption="Store_Code" attribute="1" defaultMemberUniqueName="[BI Store].[Store_Code].[All]" allUniqueName="[BI Store].[Store_Code].[All]" dimensionUniqueName="[BI Store]" displayFolder="" count="0" memberValueDatatype="130" unbalanced="0"/>
    <cacheHierarchy uniqueName="[BI Store].[Store_Country]" caption="Store_Country" attribute="1" defaultMemberUniqueName="[BI Store].[Store_Country].[All]" allUniqueName="[BI Store].[Store_Country].[All]" dimensionUniqueName="[BI Store]" displayFolder="" count="2" memberValueDatatype="130" unbalanced="0">
      <fieldsUsage count="2">
        <fieldUsage x="-1"/>
        <fieldUsage x="5"/>
      </fieldsUsage>
    </cacheHierarchy>
    <cacheHierarchy uniqueName="[BI Store].[Store_Name]" caption="Store_Name" attribute="1" defaultMemberUniqueName="[BI Store].[Store_Name].[All]" allUniqueName="[BI Store].[Store_Name].[All]" dimensionUniqueName="[BI Store]" displayFolder="" count="0" memberValueDatatype="130" unbalanced="0"/>
    <cacheHierarchy uniqueName="[BI Store].[Store_State]" caption="Store_State" attribute="1" defaultMemberUniqueName="[BI Store].[Store_State].[All]" allUniqueName="[BI Store].[Store_State].[All]" dimensionUniqueName="[BI Store]" displayFolder="" count="0" memberValueDatatype="130" unbalanced="0"/>
    <cacheHierarchy uniqueName="[BI Store].[Store_Type]" caption="Store_Type" attribute="1" defaultMemberUniqueName="[BI Store].[Store_Type].[All]" allUniqueName="[BI Store].[Store_Type].[All]" dimensionUniqueName="[BI Store]" displayFolder="" count="0" memberValueDatatype="130" unbalanced="0"/>
    <cacheHierarchy uniqueName="[BI Store].[StoreKey]" caption="StoreKey" attribute="1" defaultMemberUniqueName="[BI Store].[StoreKey].[All]" allUniqueName="[BI Store].[StoreKey].[All]" dimensionUniqueName="[BI Store]" displayFolder="" count="0" memberValueDatatype="130" unbalanced="0"/>
    <cacheHierarchy uniqueName="[BI Store].[SubLeasedArea]" caption="SubLeasedArea" attribute="1" defaultMemberUniqueName="[BI Store].[SubLeasedArea].[All]" allUniqueName="[BI Store].[SubLeasedArea].[All]" dimensionUniqueName="[BI Store]" displayFolder="" count="0" memberValueDatatype="5" unbalanced="0"/>
    <cacheHierarchy uniqueName="[BI Store].[SubLeasedCompany]" caption="SubLeasedCompany" attribute="1" defaultMemberUniqueName="[BI Store].[SubLeasedCompany].[All]" allUniqueName="[BI Store].[SubLeasedCompany].[All]" dimensionUniqueName="[BI Store]" displayFolder="" count="0" memberValueDatatype="130" unbalanced="0"/>
    <cacheHierarchy uniqueName="[BI Store].[TotalArea]" caption="TotalArea" attribute="1" defaultMemberUniqueName="[BI Store].[TotalArea].[All]" allUniqueName="[BI Store].[TotalArea].[All]" dimensionUniqueName="[BI Store]" displayFolder="" count="0" memberValueDatatype="5" unbalanced="0"/>
    <cacheHierarchy uniqueName="[BI Store State Sort].[Sort No]" caption="Sort No" attribute="1" defaultMemberUniqueName="[BI Store State Sort].[Sort No].[All]" allUniqueName="[BI Store State Sort].[Sort No].[All]" dimensionUniqueName="[BI Store State Sort]" displayFolder="" count="0" memberValueDatatype="20" unbalanced="0"/>
    <cacheHierarchy uniqueName="[BI Store State Sort].[State Name]" caption="State Name" attribute="1" defaultMemberUniqueName="[BI Store State Sort].[State Name].[All]" allUniqueName="[BI Store State Sort].[State Name].[All]" dimensionUniqueName="[BI Store State Sort]" displayFolder="" count="0" memberValueDatatype="130" unbalanced="0"/>
    <cacheHierarchy uniqueName="[BI vw_BudgetByItemCategory].[BudgetDollar]" caption="BudgetDollar" attribute="1" defaultMemberUniqueName="[BI vw_BudgetByItemCategory].[BudgetDollar].[All]" allUniqueName="[BI vw_BudgetByItemCategory].[BudgetDollar].[All]" dimensionUniqueName="[BI vw_BudgetByItemCategory]" displayFolder="" count="0" memberValueDatatype="20" unbalanced="0"/>
    <cacheHierarchy uniqueName="[BI vw_BudgetByItemCategory].[BudgetGMDollar]" caption="BudgetGMDollar" attribute="1" defaultMemberUniqueName="[BI vw_BudgetByItemCategory].[BudgetGMDollar].[All]" allUniqueName="[BI vw_BudgetByItemCategory].[BudgetGMDollar].[All]" dimensionUniqueName="[BI vw_BudgetByItemCategory]" displayFolder="" count="0" memberValueDatatype="20" unbalanced="0"/>
    <cacheHierarchy uniqueName="[BI vw_BudgetByItemCategory].[BudgetMarkDown]" caption="BudgetMarkDown" attribute="1" defaultMemberUniqueName="[BI vw_BudgetByItemCategory].[BudgetMarkDown].[All]" allUniqueName="[BI vw_BudgetByItemCategory].[BudgetMarkDown].[All]" dimensionUniqueName="[BI vw_BudgetByItemCategory]" displayFolder="" count="0" memberValueDatatype="20" unbalanced="0"/>
    <cacheHierarchy uniqueName="[BI vw_BudgetByItemCategory].[BudgetPeriod]" caption="BudgetPeriod" attribute="1" defaultMemberUniqueName="[BI vw_BudgetByItemCategory].[BudgetPeriod].[All]" allUniqueName="[BI vw_BudgetByItemCategory].[BudgetPeriod].[All]" dimensionUniqueName="[BI vw_BudgetByItemCategory]" displayFolder="" count="0" memberValueDatatype="20" unbalanced="0"/>
    <cacheHierarchy uniqueName="[BI vw_BudgetByItemCategory].[BudgetWeek]" caption="BudgetWeek" attribute="1" defaultMemberUniqueName="[BI vw_BudgetByItemCategory].[BudgetWeek].[All]" allUniqueName="[BI vw_BudgetByItemCategory].[BudgetWeek].[All]" dimensionUniqueName="[BI vw_BudgetByItemCategory]" displayFolder="" count="0" memberValueDatatype="20" unbalanced="0"/>
    <cacheHierarchy uniqueName="[BI vw_BudgetByItemCategory].[BudgetYear]" caption="BudgetYear" attribute="1" defaultMemberUniqueName="[BI vw_BudgetByItemCategory].[BudgetYear].[All]" allUniqueName="[BI vw_BudgetByItemCategory].[BudgetYear].[All]" dimensionUniqueName="[BI vw_BudgetByItemCategory]" displayFolder="" count="0" memberValueDatatype="20" unbalanced="0"/>
    <cacheHierarchy uniqueName="[BI vw_BudgetByItemCategory].[Channel]" caption="Channel" attribute="1" defaultMemberUniqueName="[BI vw_BudgetByItemCategory].[Channel].[All]" allUniqueName="[BI vw_BudgetByItemCategory].[Channel].[All]" dimensionUniqueName="[BI vw_BudgetByItemCategory]" displayFolder="" count="0" memberValueDatatype="130" unbalanced="0"/>
    <cacheHierarchy uniqueName="[BI vw_BudgetByItemCategory].[Country]" caption="Country" attribute="1" defaultMemberUniqueName="[BI vw_BudgetByItemCategory].[Country].[All]" allUniqueName="[BI vw_BudgetByItemCategory].[Country].[All]" dimensionUniqueName="[BI vw_BudgetByItemCategory]" displayFolder="" count="2" memberValueDatatype="130" unbalanced="0">
      <fieldsUsage count="2">
        <fieldUsage x="-1"/>
        <fieldUsage x="6"/>
      </fieldsUsage>
    </cacheHierarchy>
    <cacheHierarchy uniqueName="[BI vw_BudgetByItemCategory].[DepartmentDesc]" caption="DepartmentDesc" attribute="1" defaultMemberUniqueName="[BI vw_BudgetByItemCategory].[DepartmentDesc].[All]" allUniqueName="[BI vw_BudgetByItemCategory].[DepartmentDesc].[All]" dimensionUniqueName="[BI vw_BudgetByItemCategory]" displayFolder="" count="0" memberValueDatatype="130" unbalanced="0"/>
    <cacheHierarchy uniqueName="[BI vw_BudgetByItemCategory].[Division]" caption="Division" attribute="1" defaultMemberUniqueName="[BI vw_BudgetByItemCategory].[Division].[All]" allUniqueName="[BI vw_BudgetByItemCategory].[Division].[All]" dimensionUniqueName="[BI vw_BudgetByItemCategory]" displayFolder="" count="0" memberValueDatatype="130" unbalanced="0"/>
    <cacheHierarchy uniqueName="[BI vw_BudgetByItemCategory].[JoinKey]" caption="JoinKey" attribute="1" defaultMemberUniqueName="[BI vw_BudgetByItemCategory].[JoinKey].[All]" allUniqueName="[BI vw_BudgetByItemCategory].[JoinKey].[All]" dimensionUniqueName="[BI vw_BudgetByItemCategory]" displayFolder="" count="0" memberValueDatatype="130" unbalanced="0"/>
    <cacheHierarchy uniqueName="[BI vw_BudgetByItemCategory].[Sale$ Pure]" caption="Sale$ Pure" attribute="1" defaultMemberUniqueName="[BI vw_BudgetByItemCategory].[Sale$ Pure].[All]" allUniqueName="[BI vw_BudgetByItemCategory].[Sale$ Pure].[All]" dimensionUniqueName="[BI vw_BudgetByItemCategory]" displayFolder="" count="0" memberValueDatatype="20" unbalanced="0"/>
    <cacheHierarchy uniqueName="[BI vw_BudgetByItemCategory].[Sales GM%]" caption="Sales GM%" attribute="1" defaultMemberUniqueName="[BI vw_BudgetByItemCategory].[Sales GM%].[All]" allUniqueName="[BI vw_BudgetByItemCategory].[Sales GM%].[All]" dimensionUniqueName="[BI vw_BudgetByItemCategory]" displayFolder="" count="0" memberValueDatatype="20" unbalanced="0"/>
    <cacheHierarchy uniqueName="[BI vw_BudgetByItemCategory].[Sales GM% Pure]" caption="Sales GM% Pure" attribute="1" defaultMemberUniqueName="[BI vw_BudgetByItemCategory].[Sales GM% Pure].[All]" allUniqueName="[BI vw_BudgetByItemCategory].[Sales GM% Pure].[All]" dimensionUniqueName="[BI vw_BudgetByItemCategory]" displayFolder="" count="0" memberValueDatatype="20" unbalanced="0"/>
    <cacheHierarchy uniqueName="[BI vw_BudgetByItemCategory].[StoreType]" caption="StoreType" attribute="1" defaultMemberUniqueName="[BI vw_BudgetByItemCategory].[StoreType].[All]" allUniqueName="[BI vw_BudgetByItemCategory].[StoreType].[All]" dimensionUniqueName="[BI vw_BudgetByItemCategory]" displayFolder="" count="0" memberValueDatatype="130" unbalanced="0"/>
    <cacheHierarchy uniqueName="[BI vw_BudgetByItemCategory].[SubDepartmentDesc]" caption="SubDepartmentDesc" attribute="1" defaultMemberUniqueName="[BI vw_BudgetByItemCategory].[SubDepartmentDesc].[All]" allUniqueName="[BI vw_BudgetByItemCategory].[SubDepartmentDesc].[All]" dimensionUniqueName="[BI vw_BudgetByItemCategory]" displayFolder="" count="0" memberValueDatatype="130" unbalanced="0"/>
    <cacheHierarchy uniqueName="[BI vw_BudgetByStore].[BudgetDollar]" caption="BudgetDollar" attribute="1" defaultMemberUniqueName="[BI vw_BudgetByStore].[BudgetDollar].[All]" allUniqueName="[BI vw_BudgetByStore].[BudgetDollar].[All]" dimensionUniqueName="[BI vw_BudgetByStore]" displayFolder="" count="0" memberValueDatatype="5" unbalanced="0"/>
    <cacheHierarchy uniqueName="[BI vw_BudgetByStore].[BudgetPeriod]" caption="BudgetPeriod" attribute="1" defaultMemberUniqueName="[BI vw_BudgetByStore].[BudgetPeriod].[All]" allUniqueName="[BI vw_BudgetByStore].[BudgetPeriod].[All]" dimensionUniqueName="[BI vw_BudgetByStore]" displayFolder="" count="0" memberValueDatatype="20" unbalanced="0"/>
    <cacheHierarchy uniqueName="[BI vw_BudgetByStore].[BudgetWeek]" caption="BudgetWeek" attribute="1" defaultMemberUniqueName="[BI vw_BudgetByStore].[BudgetWeek].[All]" allUniqueName="[BI vw_BudgetByStore].[BudgetWeek].[All]" dimensionUniqueName="[BI vw_BudgetByStore]" displayFolder="" count="0" memberValueDatatype="20" unbalanced="0"/>
    <cacheHierarchy uniqueName="[BI vw_BudgetByStore].[BudgetYear]" caption="BudgetYear" attribute="1" defaultMemberUniqueName="[BI vw_BudgetByStore].[BudgetYear].[All]" allUniqueName="[BI vw_BudgetByStore].[BudgetYear].[All]" dimensionUniqueName="[BI vw_BudgetByStore]" displayFolder="" count="0" memberValueDatatype="20" unbalanced="0"/>
    <cacheHierarchy uniqueName="[BI vw_BudgetByStore].[Channel]" caption="Channel" attribute="1" defaultMemberUniqueName="[BI vw_BudgetByStore].[Channel].[All]" allUniqueName="[BI vw_BudgetByStore].[Channel].[All]" dimensionUniqueName="[BI vw_BudgetByStore]" displayFolder="" count="0" memberValueDatatype="130" unbalanced="0"/>
    <cacheHierarchy uniqueName="[BI vw_BudgetByStore].[Country]" caption="Country" attribute="1" defaultMemberUniqueName="[BI vw_BudgetByStore].[Country].[All]" allUniqueName="[BI vw_BudgetByStore].[Country].[All]" dimensionUniqueName="[BI vw_BudgetByStore]" displayFolder="" count="0" memberValueDatatype="130" unbalanced="0"/>
    <cacheHierarchy uniqueName="[BI vw_BudgetByStore].[Division]" caption="Division" attribute="1" defaultMemberUniqueName="[BI vw_BudgetByStore].[Division].[All]" allUniqueName="[BI vw_BudgetByStore].[Division].[All]" dimensionUniqueName="[BI vw_BudgetByStore]" displayFolder="" count="0" memberValueDatatype="130" unbalanced="0"/>
    <cacheHierarchy uniqueName="[BI vw_BudgetByStore].[JoinKey]" caption="JoinKey" attribute="1" defaultMemberUniqueName="[BI vw_BudgetByStore].[JoinKey].[All]" allUniqueName="[BI vw_BudgetByStore].[JoinKey].[All]" dimensionUniqueName="[BI vw_BudgetByStore]" displayFolder="" count="0" memberValueDatatype="130" unbalanced="0"/>
    <cacheHierarchy uniqueName="[BI vw_BudgetByStore].[Store]" caption="Store" attribute="1" defaultMemberUniqueName="[BI vw_BudgetByStore].[Store].[All]" allUniqueName="[BI vw_BudgetByStore].[Store].[All]" dimensionUniqueName="[BI vw_BudgetByStore]" displayFolder="" count="0" memberValueDatatype="130" unbalanced="0"/>
    <cacheHierarchy uniqueName="[BI vw_BudgetByStore].[StoreKey]" caption="StoreKey" attribute="1" defaultMemberUniqueName="[BI vw_BudgetByStore].[StoreKey].[All]" allUniqueName="[BI vw_BudgetByStore].[StoreKey].[All]" dimensionUniqueName="[BI vw_BudgetByStore]" displayFolder="" count="0" memberValueDatatype="130" unbalanced="0"/>
    <cacheHierarchy uniqueName="[BI vw_BudgetByWeek].[BudgetPeriod]" caption="BudgetPeriod" attribute="1" defaultMemberUniqueName="[BI vw_BudgetByWeek].[BudgetPeriod].[All]" allUniqueName="[BI vw_BudgetByWeek].[BudgetPeriod].[All]" dimensionUniqueName="[BI vw_BudgetByWeek]" displayFolder="" count="0" memberValueDatatype="20" unbalanced="0"/>
    <cacheHierarchy uniqueName="[BI vw_BudgetByWeek].[BudgetWeek]" caption="BudgetWeek" attribute="1" defaultMemberUniqueName="[BI vw_BudgetByWeek].[BudgetWeek].[All]" allUniqueName="[BI vw_BudgetByWeek].[BudgetWeek].[All]" dimensionUniqueName="[BI vw_BudgetByWeek]" displayFolder="" count="0" memberValueDatatype="20" unbalanced="0"/>
    <cacheHierarchy uniqueName="[BI vw_BudgetByWeek].[BudgetYear]" caption="BudgetYear" attribute="1" defaultMemberUniqueName="[BI vw_BudgetByWeek].[BudgetYear].[All]" allUniqueName="[BI vw_BudgetByWeek].[BudgetYear].[All]" dimensionUniqueName="[BI vw_BudgetByWeek]" displayFolder="" count="0" memberValueDatatype="20" unbalanced="0"/>
    <cacheHierarchy uniqueName="[BI vw_BudgetByWeek].[Channel]" caption="Channel" attribute="1" defaultMemberUniqueName="[BI vw_BudgetByWeek].[Channel].[All]" allUniqueName="[BI vw_BudgetByWeek].[Channel].[All]" dimensionUniqueName="[BI vw_BudgetByWeek]" displayFolder="" count="0" memberValueDatatype="130" unbalanced="0"/>
    <cacheHierarchy uniqueName="[BI vw_BudgetByWeek].[Country]" caption="Country" attribute="1" defaultMemberUniqueName="[BI vw_BudgetByWeek].[Country].[All]" allUniqueName="[BI vw_BudgetByWeek].[Country].[All]" dimensionUniqueName="[BI vw_BudgetByWeek]" displayFolder="" count="0" memberValueDatatype="130" unbalanced="0"/>
    <cacheHierarchy uniqueName="[BI vw_BudgetByWeek].[FootTrafficBudget]" caption="FootTrafficBudget" attribute="1" defaultMemberUniqueName="[BI vw_BudgetByWeek].[FootTrafficBudget].[All]" allUniqueName="[BI vw_BudgetByWeek].[FootTrafficBudget].[All]" dimensionUniqueName="[BI vw_BudgetByWeek]" displayFolder="" count="0" memberValueDatatype="5" unbalanced="0"/>
    <cacheHierarchy uniqueName="[BI vw_BudgetByWeek].[ID]" caption="ID" attribute="1" defaultMemberUniqueName="[BI vw_BudgetByWeek].[ID].[All]" allUniqueName="[BI vw_BudgetByWeek].[ID].[All]" dimensionUniqueName="[BI vw_BudgetByWeek]" displayFolder="" count="0" memberValueDatatype="20" unbalanced="0"/>
    <cacheHierarchy uniqueName="[BI vw_BudgetByWeek].[joinKey]" caption="joinKey" attribute="1" defaultMemberUniqueName="[BI vw_BudgetByWeek].[joinKey].[All]" allUniqueName="[BI vw_BudgetByWeek].[joinKey].[All]" dimensionUniqueName="[BI vw_BudgetByWeek]" displayFolder="" count="0" memberValueDatatype="130" unbalanced="0"/>
    <cacheHierarchy uniqueName="[BI vw_BudgetByWeek].[NumberOfTransactionBudget]" caption="NumberOfTransactionBudget" attribute="1" defaultMemberUniqueName="[BI vw_BudgetByWeek].[NumberOfTransactionBudget].[All]" allUniqueName="[BI vw_BudgetByWeek].[NumberOfTransactionBudget].[All]" dimensionUniqueName="[BI vw_BudgetByWeek]" displayFolder="" count="0" memberValueDatatype="5" unbalanced="0"/>
    <cacheHierarchy uniqueName="[BI vw_BudgetByWeek].[Store]" caption="Store" attribute="1" defaultMemberUniqueName="[BI vw_BudgetByWeek].[Store].[All]" allUniqueName="[BI vw_BudgetByWeek].[Store].[All]" dimensionUniqueName="[BI vw_BudgetByWeek]" displayFolder="" count="0" memberValueDatatype="130" unbalanced="0"/>
    <cacheHierarchy uniqueName="[BI vw_BudgetDigital].[1P Sales]" caption="1P Sales" attribute="1" defaultMemberUniqueName="[BI vw_BudgetDigital].[1P Sales].[All]" allUniqueName="[BI vw_BudgetDigital].[1P Sales].[All]" dimensionUniqueName="[BI vw_BudgetDigital]" displayFolder="" count="0" memberValueDatatype="5" unbalanced="0"/>
    <cacheHierarchy uniqueName="[BI vw_BudgetDigital].[3P Sales]" caption="3P Sales" attribute="1" defaultMemberUniqueName="[BI vw_BudgetDigital].[3P Sales].[All]" allUniqueName="[BI vw_BudgetDigital].[3P Sales].[All]" dimensionUniqueName="[BI vw_BudgetDigital]" displayFolder="" count="0" memberValueDatatype="5" unbalanced="0"/>
    <cacheHierarchy uniqueName="[BI vw_BudgetDigital].[BudgetPeriod]" caption="BudgetPeriod" attribute="1" defaultMemberUniqueName="[BI vw_BudgetDigital].[BudgetPeriod].[All]" allUniqueName="[BI vw_BudgetDigital].[BudgetPeriod].[All]" dimensionUniqueName="[BI vw_BudgetDigital]" displayFolder="" count="0" memberValueDatatype="20" unbalanced="0"/>
    <cacheHierarchy uniqueName="[BI vw_BudgetDigital].[BudgetWeek]" caption="BudgetWeek" attribute="1" defaultMemberUniqueName="[BI vw_BudgetDigital].[BudgetWeek].[All]" allUniqueName="[BI vw_BudgetDigital].[BudgetWeek].[All]" dimensionUniqueName="[BI vw_BudgetDigital]" displayFolder="" count="0" memberValueDatatype="20" unbalanced="0"/>
    <cacheHierarchy uniqueName="[BI vw_BudgetDigital].[BudgetYear]" caption="BudgetYear" attribute="1" defaultMemberUniqueName="[BI vw_BudgetDigital].[BudgetYear].[All]" allUniqueName="[BI vw_BudgetDigital].[BudgetYear].[All]" dimensionUniqueName="[BI vw_BudgetDigital]" displayFolder="" count="0" memberValueDatatype="20" unbalanced="0"/>
    <cacheHierarchy uniqueName="[BI vw_BudgetDigital].[Country]" caption="Country" attribute="1" defaultMemberUniqueName="[BI vw_BudgetDigital].[Country].[All]" allUniqueName="[BI vw_BudgetDigital].[Country].[All]" dimensionUniqueName="[BI vw_BudgetDigital]" displayFolder="" count="0" memberValueDatatype="130" unbalanced="0"/>
    <cacheHierarchy uniqueName="[BI vw_BudgetDigital].[ID]" caption="ID" attribute="1" defaultMemberUniqueName="[BI vw_BudgetDigital].[ID].[All]" allUniqueName="[BI vw_BudgetDigital].[ID].[All]" dimensionUniqueName="[BI vw_BudgetDigital]" displayFolder="" count="0" memberValueDatatype="20" unbalanced="0"/>
    <cacheHierarchy uniqueName="[BI vw_BudgetDigital].[Key]" caption="Key" attribute="1" defaultMemberUniqueName="[BI vw_BudgetDigital].[Key].[All]" allUniqueName="[BI vw_BudgetDigital].[Key].[All]" dimensionUniqueName="[BI vw_BudgetDigital]" displayFolder="" count="0" memberValueDatatype="130" unbalanced="0"/>
    <cacheHierarchy uniqueName="[BI vw_BudgetDigital].[Online ATV]" caption="Online ATV" attribute="1" defaultMemberUniqueName="[BI vw_BudgetDigital].[Online ATV].[All]" allUniqueName="[BI vw_BudgetDigital].[Online ATV].[All]" dimensionUniqueName="[BI vw_BudgetDigital]" displayFolder="" count="0" memberValueDatatype="5" unbalanced="0"/>
    <cacheHierarchy uniqueName="[BI vw_BudgetDigital].[Online CR]" caption="Online CR" attribute="1" defaultMemberUniqueName="[BI vw_BudgetDigital].[Online CR].[All]" allUniqueName="[BI vw_BudgetDigital].[Online CR].[All]" dimensionUniqueName="[BI vw_BudgetDigital]" displayFolder="" count="0" memberValueDatatype="5" unbalanced="0"/>
    <cacheHierarchy uniqueName="[BI vw_BudgetDigital].[Online Traffic]" caption="Online Traffic" attribute="1" defaultMemberUniqueName="[BI vw_BudgetDigital].[Online Traffic].[All]" allUniqueName="[BI vw_BudgetDigital].[Online Traffic].[All]" dimensionUniqueName="[BI vw_BudgetDigital]" displayFolder="" count="0" memberValueDatatype="5" unbalanced="0"/>
    <cacheHierarchy uniqueName="[BI vw_BudgetDigital].[Total Sales]" caption="Total Sales" attribute="1" defaultMemberUniqueName="[BI vw_BudgetDigital].[Total Sales].[All]" allUniqueName="[BI vw_BudgetDigital].[Total Sales].[All]" dimensionUniqueName="[BI vw_BudgetDigital]" displayFolder="" count="0" memberValueDatatype="5" unbalanced="0"/>
    <cacheHierarchy uniqueName="[BI vw_BudgetDigital].[Trans Nbr]" caption="Trans Nbr" attribute="1" defaultMemberUniqueName="[BI vw_BudgetDigital].[Trans Nbr].[All]" allUniqueName="[BI vw_BudgetDigital].[Trans Nbr].[All]" dimensionUniqueName="[BI vw_BudgetDigital]" displayFolder="" count="0" memberValueDatatype="5" unbalanced="0"/>
    <cacheHierarchy uniqueName="[BI vw_BudgetOnlineByStore].[BudgetPeriod]" caption="BudgetPeriod" attribute="1" defaultMemberUniqueName="[BI vw_BudgetOnlineByStore].[BudgetPeriod].[All]" allUniqueName="[BI vw_BudgetOnlineByStore].[BudgetPeriod].[All]" dimensionUniqueName="[BI vw_BudgetOnlineByStore]" displayFolder="" count="0" memberValueDatatype="20" unbalanced="0"/>
    <cacheHierarchy uniqueName="[BI vw_BudgetOnlineByStore].[BudgetWeek]" caption="BudgetWeek" attribute="1" defaultMemberUniqueName="[BI vw_BudgetOnlineByStore].[BudgetWeek].[All]" allUniqueName="[BI vw_BudgetOnlineByStore].[BudgetWeek].[All]" dimensionUniqueName="[BI vw_BudgetOnlineByStore]" displayFolder="" count="0" memberValueDatatype="20" unbalanced="0"/>
    <cacheHierarchy uniqueName="[BI vw_BudgetOnlineByStore].[BudgetYear]" caption="BudgetYear" attribute="1" defaultMemberUniqueName="[BI vw_BudgetOnlineByStore].[BudgetYear].[All]" allUniqueName="[BI vw_BudgetOnlineByStore].[BudgetYear].[All]" dimensionUniqueName="[BI vw_BudgetOnlineByStore]" displayFolder="" count="0" memberValueDatatype="20" unbalanced="0"/>
    <cacheHierarchy uniqueName="[BI vw_BudgetOnlineByStore].[DropshipBudget]" caption="DropshipBudget" attribute="1" defaultMemberUniqueName="[BI vw_BudgetOnlineByStore].[DropshipBudget].[All]" allUniqueName="[BI vw_BudgetOnlineByStore].[DropshipBudget].[All]" dimensionUniqueName="[BI vw_BudgetOnlineByStore]" displayFolder="" count="0" memberValueDatatype="6" unbalanced="0"/>
    <cacheHierarchy uniqueName="[BI vw_BudgetOnlineByStore].[JoinKey]" caption="JoinKey" attribute="1" defaultMemberUniqueName="[BI vw_BudgetOnlineByStore].[JoinKey].[All]" allUniqueName="[BI vw_BudgetOnlineByStore].[JoinKey].[All]" dimensionUniqueName="[BI vw_BudgetOnlineByStore]" displayFolder="" count="0" memberValueDatatype="130" unbalanced="0"/>
    <cacheHierarchy uniqueName="[BI vw_BudgetOnlineByStore].[NOT_Budget]" caption="NOT_Budget" attribute="1" defaultMemberUniqueName="[BI vw_BudgetOnlineByStore].[NOT_Budget].[All]" allUniqueName="[BI vw_BudgetOnlineByStore].[NOT_Budget].[All]" dimensionUniqueName="[BI vw_BudgetOnlineByStore]" displayFolder="" count="0" memberValueDatatype="5" unbalanced="0"/>
    <cacheHierarchy uniqueName="[BI vw_BudgetOnlineByStore].[SalesClassification]" caption="SalesClassification" attribute="1" defaultMemberUniqueName="[BI vw_BudgetOnlineByStore].[SalesClassification].[All]" allUniqueName="[BI vw_BudgetOnlineByStore].[SalesClassification].[All]" dimensionUniqueName="[BI vw_BudgetOnlineByStore]" displayFolder="" count="0" memberValueDatatype="130" unbalanced="0"/>
    <cacheHierarchy uniqueName="[BI vw_BudgetOnlineByStore].[Store]" caption="Store" attribute="1" defaultMemberUniqueName="[BI vw_BudgetOnlineByStore].[Store].[All]" allUniqueName="[BI vw_BudgetOnlineByStore].[Store].[All]" dimensionUniqueName="[BI vw_BudgetOnlineByStore]" displayFolder="" count="0" memberValueDatatype="130" unbalanced="0"/>
    <cacheHierarchy uniqueName="[BI vw_BudgetOnlineByStore].[TotalOnlineBudget]" caption="TotalOnlineBudget" attribute="1" defaultMemberUniqueName="[BI vw_BudgetOnlineByStore].[TotalOnlineBudget].[All]" allUniqueName="[BI vw_BudgetOnlineByStore].[TotalOnlineBudget].[All]" dimensionUniqueName="[BI vw_BudgetOnlineByStore]" displayFolder="" count="0" memberValueDatatype="6" unbalanced="0"/>
    <cacheHierarchy uniqueName="[BI vw_DropshipBudget].[BudgetDollar]" caption="BudgetDollar" attribute="1" defaultMemberUniqueName="[BI vw_DropshipBudget].[BudgetDollar].[All]" allUniqueName="[BI vw_DropshipBudget].[BudgetDollar].[All]" dimensionUniqueName="[BI vw_DropshipBudget]" displayFolder="" count="0" memberValueDatatype="5" unbalanced="0"/>
    <cacheHierarchy uniqueName="[BI vw_DropshipBudget].[BudgetPeriod]" caption="BudgetPeriod" attribute="1" defaultMemberUniqueName="[BI vw_DropshipBudget].[BudgetPeriod].[All]" allUniqueName="[BI vw_DropshipBudget].[BudgetPeriod].[All]" dimensionUniqueName="[BI vw_DropshipBudget]" displayFolder="" count="0" memberValueDatatype="20" unbalanced="0"/>
    <cacheHierarchy uniqueName="[BI vw_DropshipBudget].[Department]" caption="Department" attribute="1" defaultMemberUniqueName="[BI vw_DropshipBudget].[Department].[All]" allUniqueName="[BI vw_DropshipBudget].[Department].[All]" dimensionUniqueName="[BI vw_DropshipBudget]" displayFolder="" count="0" memberValueDatatype="20" unbalanced="0"/>
    <cacheHierarchy uniqueName="[BI vw_DropshipBudget].[DepartmentDesc]" caption="DepartmentDesc" attribute="1" defaultMemberUniqueName="[BI vw_DropshipBudget].[DepartmentDesc].[All]" allUniqueName="[BI vw_DropshipBudget].[DepartmentDesc].[All]" dimensionUniqueName="[BI vw_DropshipBudget]" displayFolder="" count="0" memberValueDatatype="130" unbalanced="0"/>
    <cacheHierarchy uniqueName="[BI vw_DropshipBudget].[Division]" caption="Division" attribute="1" defaultMemberUniqueName="[BI vw_DropshipBudget].[Division].[All]" allUniqueName="[BI vw_DropshipBudget].[Division].[All]" dimensionUniqueName="[BI vw_DropshipBudget]" displayFolder="" count="0" memberValueDatatype="130" unbalanced="0"/>
    <cacheHierarchy uniqueName="[BI vw_DropshipBudget].[JoinKey]" caption="JoinKey" attribute="1" defaultMemberUniqueName="[BI vw_DropshipBudget].[JoinKey].[All]" allUniqueName="[BI vw_DropshipBudget].[JoinKey].[All]" dimensionUniqueName="[BI vw_DropshipBudget]" displayFolder="" count="0" memberValueDatatype="130" unbalanced="0"/>
    <cacheHierarchy uniqueName="[BI vw_Items].[Class]" caption="Class" attribute="1" defaultMemberUniqueName="[BI vw_Items].[Class].[All]" allUniqueName="[BI vw_Items].[Class].[All]" dimensionUniqueName="[BI vw_Items]" displayFolder="" count="0" memberValueDatatype="20" unbalanced="0"/>
    <cacheHierarchy uniqueName="[BI vw_Items].[ClassDesc]" caption="ClassDesc" attribute="1" defaultMemberUniqueName="[BI vw_Items].[ClassDesc].[All]" allUniqueName="[BI vw_Items].[ClassDesc].[All]" dimensionUniqueName="[BI vw_Items]" displayFolder="" count="0" memberValueDatatype="130" unbalanced="0"/>
    <cacheHierarchy uniqueName="[BI vw_Items].[department]" caption="department" attribute="1" defaultMemberUniqueName="[BI vw_Items].[department].[All]" allUniqueName="[BI vw_Items].[department].[All]" dimensionUniqueName="[BI vw_Items]" displayFolder="" count="0" memberValueDatatype="20" unbalanced="0"/>
    <cacheHierarchy uniqueName="[BI vw_Items].[DepartmentDesc]" caption="DepartmentDesc" attribute="1" defaultMemberUniqueName="[BI vw_Items].[DepartmentDesc].[All]" allUniqueName="[BI vw_Items].[DepartmentDesc].[All]" dimensionUniqueName="[BI vw_Items]" displayFolder="" count="0" memberValueDatatype="130" unbalanced="0"/>
    <cacheHierarchy uniqueName="[BI vw_Items].[Division]" caption="Division" attribute="1" defaultMemberUniqueName="[BI vw_Items].[Division].[All]" allUniqueName="[BI vw_Items].[Division].[All]" dimensionUniqueName="[BI vw_Items]" displayFolder="" count="0" memberValueDatatype="130" unbalanced="0"/>
    <cacheHierarchy uniqueName="[BI vw_Items].[FOB Port]" caption="FOB Port" attribute="1" defaultMemberUniqueName="[BI vw_Items].[FOB Port].[All]" allUniqueName="[BI vw_Items].[FOB Port].[All]" dimensionUniqueName="[BI vw_Items]" displayFolder="" count="0" memberValueDatatype="130" unbalanced="0"/>
    <cacheHierarchy uniqueName="[BI vw_Items].[Forecast Birth Date AU]" caption="Forecast Birth Date AU" attribute="1" defaultMemberUniqueName="[BI vw_Items].[Forecast Birth Date AU].[All]" allUniqueName="[BI vw_Items].[Forecast Birth Date AU].[All]" dimensionUniqueName="[BI vw_Items]" displayFolder="" count="0" memberValueDatatype="130" unbalanced="0"/>
    <cacheHierarchy uniqueName="[BI vw_Items].[Forecast Birth Date NZ]" caption="Forecast Birth Date NZ" attribute="1" defaultMemberUniqueName="[BI vw_Items].[Forecast Birth Date NZ].[All]" allUniqueName="[BI vw_Items].[Forecast Birth Date NZ].[All]" dimensionUniqueName="[BI vw_Items]" displayFolder="" count="0" memberValueDatatype="130" unbalanced="0"/>
    <cacheHierarchy uniqueName="[BI vw_Items].[IsComponent]" caption="IsComponent" attribute="1" defaultMemberUniqueName="[BI vw_Items].[IsComponent].[All]" allUniqueName="[BI vw_Items].[IsComponent].[All]" dimensionUniqueName="[BI vw_Items]" displayFolder="" count="0" memberValueDatatype="130" unbalanced="0"/>
    <cacheHierarchy uniqueName="[BI vw_Items].[ItemDescription]" caption="ItemDescription" attribute="1" defaultMemberUniqueName="[BI vw_Items].[ItemDescription].[All]" allUniqueName="[BI vw_Items].[ItemDescription].[All]" dimensionUniqueName="[BI vw_Items]" displayFolder="" count="0" memberValueDatatype="130" unbalanced="0"/>
    <cacheHierarchy uniqueName="[BI vw_Items].[ProductStatus]" caption="ProductStatus" attribute="1" defaultMemberUniqueName="[BI vw_Items].[ProductStatus].[All]" allUniqueName="[BI vw_Items].[ProductStatus].[All]" dimensionUniqueName="[BI vw_Items]" displayFolder="" count="0" memberValueDatatype="130" unbalanced="0"/>
    <cacheHierarchy uniqueName="[BI vw_Items].[ProductStatusNZ]" caption="ProductStatusNZ" attribute="1" defaultMemberUniqueName="[BI vw_Items].[ProductStatusNZ].[All]" allUniqueName="[BI vw_Items].[ProductStatusNZ].[All]" dimensionUniqueName="[BI vw_Items]" displayFolder="" count="0" memberValueDatatype="130" unbalanced="0"/>
    <cacheHierarchy uniqueName="[BI vw_Items].[PurchaseQTY]" caption="PurchaseQTY" attribute="1" defaultMemberUniqueName="[BI vw_Items].[PurchaseQTY].[All]" allUniqueName="[BI vw_Items].[PurchaseQTY].[All]" dimensionUniqueName="[BI vw_Items]" displayFolder="" count="0" memberValueDatatype="6" unbalanced="0"/>
    <cacheHierarchy uniqueName="[BI vw_Items].[Range]" caption="Range" attribute="1" defaultMemberUniqueName="[BI vw_Items].[Range].[All]" allUniqueName="[BI vw_Items].[Range].[All]" dimensionUniqueName="[BI vw_Items]" displayFolder="" count="0" memberValueDatatype="130" unbalanced="0"/>
    <cacheHierarchy uniqueName="[BI vw_Items].[Season_AUS]" caption="Season_AUS" attribute="1" defaultMemberUniqueName="[BI vw_Items].[Season_AUS].[All]" allUniqueName="[BI vw_Items].[Season_AUS].[All]" dimensionUniqueName="[BI vw_Items]" displayFolder="" count="0" memberValueDatatype="130" unbalanced="0"/>
    <cacheHierarchy uniqueName="[BI vw_Items].[Season_NZ]" caption="Season_NZ" attribute="1" defaultMemberUniqueName="[BI vw_Items].[Season_NZ].[All]" allUniqueName="[BI vw_Items].[Season_NZ].[All]" dimensionUniqueName="[BI vw_Items]" displayFolder="" count="0" memberValueDatatype="130" unbalanced="0"/>
    <cacheHierarchy uniqueName="[BI vw_Items].[SKU]" caption="SKU" attribute="1" defaultMemberUniqueName="[BI vw_Items].[SKU].[All]" allUniqueName="[BI vw_Items].[SKU].[All]" dimensionUniqueName="[BI vw_Items]" displayFolder="" count="0" memberValueDatatype="20" unbalanced="0"/>
    <cacheHierarchy uniqueName="[BI vw_Items].[Stock Type_AUS]" caption="Stock Type_AUS" attribute="1" defaultMemberUniqueName="[BI vw_Items].[Stock Type_AUS].[All]" allUniqueName="[BI vw_Items].[Stock Type_AUS].[All]" dimensionUniqueName="[BI vw_Items]" displayFolder="" count="0" memberValueDatatype="130" unbalanced="0"/>
    <cacheHierarchy uniqueName="[BI vw_Items].[SubDepartment]" caption="SubDepartment" attribute="1" defaultMemberUniqueName="[BI vw_Items].[SubDepartment].[All]" allUniqueName="[BI vw_Items].[SubDepartment].[All]" dimensionUniqueName="[BI vw_Items]" displayFolder="" count="0" memberValueDatatype="20" unbalanced="0"/>
    <cacheHierarchy uniqueName="[BI vw_Items].[SubDepartmentDesc]" caption="SubDepartmentDesc" attribute="1" defaultMemberUniqueName="[BI vw_Items].[SubDepartmentDesc].[All]" allUniqueName="[BI vw_Items].[SubDepartmentDesc].[All]" dimensionUniqueName="[BI vw_Items]" displayFolder="" count="0" memberValueDatatype="130" unbalanced="0"/>
    <cacheHierarchy uniqueName="[BI vw_Items].[Supplier Cost]" caption="Supplier Cost" attribute="1" defaultMemberUniqueName="[BI vw_Items].[Supplier Cost].[All]" allUniqueName="[BI vw_Items].[Supplier Cost].[All]" dimensionUniqueName="[BI vw_Items]" displayFolder="" count="0" memberValueDatatype="130" unbalanced="0"/>
    <cacheHierarchy uniqueName="[BI vw_Items].[supplier_code]" caption="supplier_code" attribute="1" defaultMemberUniqueName="[BI vw_Items].[supplier_code].[All]" allUniqueName="[BI vw_Items].[supplier_code].[All]" dimensionUniqueName="[BI vw_Items]" displayFolder="" count="0" memberValueDatatype="130" unbalanced="0"/>
    <cacheHierarchy uniqueName="[BI vw_WeeklyItemSales].[Country]" caption="Country" attribute="1" defaultMemberUniqueName="[BI vw_WeeklyItemSales].[Country].[All]" allUniqueName="[BI vw_WeeklyItemSales].[Country].[All]" dimensionUniqueName="[BI vw_WeeklyItemSales]" displayFolder="" count="0" memberValueDatatype="130" unbalanced="0"/>
    <cacheHierarchy uniqueName="[BI vw_WeeklyItemSales].[finPeriod]" caption="finPeriod" attribute="1" defaultMemberUniqueName="[BI vw_WeeklyItemSales].[finPeriod].[All]" allUniqueName="[BI vw_WeeklyItemSales].[finPeriod].[All]" dimensionUniqueName="[BI vw_WeeklyItemSales]" displayFolder="" count="0" memberValueDatatype="130" unbalanced="0"/>
    <cacheHierarchy uniqueName="[BI vw_WeeklyItemSales].[FirstWeek-Year]" caption="FirstWeek-Year" attribute="1" defaultMemberUniqueName="[BI vw_WeeklyItemSales].[FirstWeek-Year].[All]" allUniqueName="[BI vw_WeeklyItemSales].[FirstWeek-Year].[All]" dimensionUniqueName="[BI vw_WeeklyItemSales]" displayFolder="" count="0" memberValueDatatype="130" unbalanced="0"/>
    <cacheHierarchy uniqueName="[BI vw_WeeklyItemSales].[ItemKey]" caption="ItemKey" attribute="1" defaultMemberUniqueName="[BI vw_WeeklyItemSales].[ItemKey].[All]" allUniqueName="[BI vw_WeeklyItemSales].[ItemKey].[All]" dimensionUniqueName="[BI vw_WeeklyItemSales]" displayFolder="" count="0" memberValueDatatype="20" unbalanced="0"/>
    <cacheHierarchy uniqueName="[BI vw_WeeklyItemSales].[JoinKey]" caption="JoinKey" attribute="1" defaultMemberUniqueName="[BI vw_WeeklyItemSales].[JoinKey].[All]" allUniqueName="[BI vw_WeeklyItemSales].[JoinKey].[All]" dimensionUniqueName="[BI vw_WeeklyItemSales]" displayFolder="" count="0" memberValueDatatype="130" unbalanced="0"/>
    <cacheHierarchy uniqueName="[BI vw_WeeklyItemSales].[Quantity]" caption="Quantity" attribute="1" defaultMemberUniqueName="[BI vw_WeeklyItemSales].[Quantity].[All]" allUniqueName="[BI vw_WeeklyItemSales].[Quantity].[All]" dimensionUniqueName="[BI vw_WeeklyItemSales]" displayFolder="" count="0" memberValueDatatype="6" unbalanced="0"/>
    <cacheHierarchy uniqueName="[BI vw_WeeklyItemSales].[SalesClassification]" caption="SalesClassification" attribute="1" defaultMemberUniqueName="[BI vw_WeeklyItemSales].[SalesClassification].[All]" allUniqueName="[BI vw_WeeklyItemSales].[SalesClassification].[All]" dimensionUniqueName="[BI vw_WeeklyItemSales]" displayFolder="" count="0" memberValueDatatype="130" unbalanced="0"/>
    <cacheHierarchy uniqueName="[BI vw_WeeklyItemSales].[SalesCost]" caption="SalesCost" attribute="1" defaultMemberUniqueName="[BI vw_WeeklyItemSales].[SalesCost].[All]" allUniqueName="[BI vw_WeeklyItemSales].[SalesCost].[All]" dimensionUniqueName="[BI vw_WeeklyItemSales]" displayFolder="" count="0" memberValueDatatype="5" unbalanced="0"/>
    <cacheHierarchy uniqueName="[BI vw_WeeklyItemSales].[SalesRetail]" caption="SalesRetail" attribute="1" defaultMemberUniqueName="[BI vw_WeeklyItemSales].[SalesRetail].[All]" allUniqueName="[BI vw_WeeklyItemSales].[SalesRetail].[All]" dimensionUniqueName="[BI vw_WeeklyItemSales]" displayFolder="" count="0" memberValueDatatype="5" unbalanced="0"/>
    <cacheHierarchy uniqueName="[BI vw_WeeklyItemSales].[StoreKey]" caption="StoreKey" attribute="1" defaultMemberUniqueName="[BI vw_WeeklyItemSales].[StoreKey].[All]" allUniqueName="[BI vw_WeeklyItemSales].[StoreKey].[All]" dimensionUniqueName="[BI vw_WeeklyItemSales]" displayFolder="" count="0" memberValueDatatype="130" unbalanced="0"/>
    <cacheHierarchy uniqueName="[BI vw_WeeklyStoreATV].[division]" caption="division" attribute="1" defaultMemberUniqueName="[BI vw_WeeklyStoreATV].[division].[All]" allUniqueName="[BI vw_WeeklyStoreATV].[division].[All]" dimensionUniqueName="[BI vw_WeeklyStoreATV]" displayFolder="" count="0" memberValueDatatype="130" unbalanced="0"/>
    <cacheHierarchy uniqueName="[BI vw_WeeklyStoreATV].[FinOrderNumber]" caption="FinOrderNumber" attribute="1" defaultMemberUniqueName="[BI vw_WeeklyStoreATV].[FinOrderNumber].[All]" allUniqueName="[BI vw_WeeklyStoreATV].[FinOrderNumber].[All]" dimensionUniqueName="[BI vw_WeeklyStoreATV]" displayFolder="" count="0" memberValueDatatype="130" unbalanced="0"/>
    <cacheHierarchy uniqueName="[BI vw_WeeklyStoreATV].[FinPeriod]" caption="FinPeriod" attribute="1" defaultMemberUniqueName="[BI vw_WeeklyStoreATV].[FinPeriod].[All]" allUniqueName="[BI vw_WeeklyStoreATV].[FinPeriod].[All]" dimensionUniqueName="[BI vw_WeeklyStoreATV]" displayFolder="" count="0" memberValueDatatype="20" unbalanced="0"/>
    <cacheHierarchy uniqueName="[BI vw_WeeklyStoreATV].[JoinKey]" caption="JoinKey" attribute="1" defaultMemberUniqueName="[BI vw_WeeklyStoreATV].[JoinKey].[All]" allUniqueName="[BI vw_WeeklyStoreATV].[JoinKey].[All]" dimensionUniqueName="[BI vw_WeeklyStoreATV]" displayFolder="" count="0" memberValueDatatype="130" unbalanced="0"/>
    <cacheHierarchy uniqueName="[BI vw_WeeklyStoreATV].[NumTrans]" caption="NumTrans" attribute="1" defaultMemberUniqueName="[BI vw_WeeklyStoreATV].[NumTrans].[All]" allUniqueName="[BI vw_WeeklyStoreATV].[NumTrans].[All]" dimensionUniqueName="[BI vw_WeeklyStoreATV]" displayFolder="" count="0" memberValueDatatype="20" unbalanced="0"/>
    <cacheHierarchy uniqueName="[BI vw_WeeklyStoreATV].[NumTrans2]" caption="NumTrans2" attribute="1" defaultMemberUniqueName="[BI vw_WeeklyStoreATV].[NumTrans2].[All]" allUniqueName="[BI vw_WeeklyStoreATV].[NumTrans2].[All]" dimensionUniqueName="[BI vw_WeeklyStoreATV]" displayFolder="" count="0" memberValueDatatype="130" unbalanced="0"/>
    <cacheHierarchy uniqueName="[BI vw_WeeklyStoreATV].[OrderNumber]" caption="OrderNumber" attribute="1" defaultMemberUniqueName="[BI vw_WeeklyStoreATV].[OrderNumber].[All]" allUniqueName="[BI vw_WeeklyStoreATV].[OrderNumber].[All]" dimensionUniqueName="[BI vw_WeeklyStoreATV]" displayFolder="" count="0" memberValueDatatype="130" unbalanced="0"/>
    <cacheHierarchy uniqueName="[BI vw_WeeklyStoreATV].[SalesClassification]" caption="SalesClassification" attribute="1" defaultMemberUniqueName="[BI vw_WeeklyStoreATV].[SalesClassification].[All]" allUniqueName="[BI vw_WeeklyStoreATV].[SalesClassification].[All]" dimensionUniqueName="[BI vw_WeeklyStoreATV]" displayFolder="" count="0" memberValueDatatype="130" unbalanced="0"/>
    <cacheHierarchy uniqueName="[BI vw_WeeklyStoreATV].[SalesRetail]" caption="SalesRetail" attribute="1" defaultMemberUniqueName="[BI vw_WeeklyStoreATV].[SalesRetail].[All]" allUniqueName="[BI vw_WeeklyStoreATV].[SalesRetail].[All]" dimensionUniqueName="[BI vw_WeeklyStoreATV]" displayFolder="" count="0" memberValueDatatype="20" unbalanced="0"/>
    <cacheHierarchy uniqueName="[BI vw_WeeklyStoreATV].[Store_Country]" caption="Store_Country" attribute="1" defaultMemberUniqueName="[BI vw_WeeklyStoreATV].[Store_Country].[All]" allUniqueName="[BI vw_WeeklyStoreATV].[Store_Country].[All]" dimensionUniqueName="[BI vw_WeeklyStoreATV]" displayFolder="" count="0" memberValueDatatype="130" unbalanced="0"/>
    <cacheHierarchy uniqueName="[BI vw_WeeklyStoreATV].[StoreKey]" caption="StoreKey" attribute="1" defaultMemberUniqueName="[BI vw_WeeklyStoreATV].[StoreKey].[All]" allUniqueName="[BI vw_WeeklyStoreATV].[StoreKey].[All]" dimensionUniqueName="[BI vw_WeeklyStoreATV]" displayFolder="" count="0" memberValueDatatype="130" unbalanced="0"/>
    <cacheHierarchy uniqueName="[BI vw_WeeklyStoreTraffic].[Country]" caption="Country" attribute="1" defaultMemberUniqueName="[BI vw_WeeklyStoreTraffic].[Country].[All]" allUniqueName="[BI vw_WeeklyStoreTraffic].[Country].[All]" dimensionUniqueName="[BI vw_WeeklyStoreTraffic]" displayFolder="" count="0" memberValueDatatype="130" unbalanced="0"/>
    <cacheHierarchy uniqueName="[BI vw_WeeklyStoreTraffic].[finPeriod]" caption="finPeriod" attribute="1" defaultMemberUniqueName="[BI vw_WeeklyStoreTraffic].[finPeriod].[All]" allUniqueName="[BI vw_WeeklyStoreTraffic].[finPeriod].[All]" dimensionUniqueName="[BI vw_WeeklyStoreTraffic]" displayFolder="" count="0" memberValueDatatype="130" unbalanced="0"/>
    <cacheHierarchy uniqueName="[BI vw_WeeklyStoreTraffic].[JoinKey]" caption="JoinKey" attribute="1" defaultMemberUniqueName="[BI vw_WeeklyStoreTraffic].[JoinKey].[All]" allUniqueName="[BI vw_WeeklyStoreTraffic].[JoinKey].[All]" dimensionUniqueName="[BI vw_WeeklyStoreTraffic]" displayFolder="" count="0" memberValueDatatype="130" unbalanced="0"/>
    <cacheHierarchy uniqueName="[BI vw_WeeklyStoreTraffic].[Store]" caption="Store" attribute="1" defaultMemberUniqueName="[BI vw_WeeklyStoreTraffic].[Store].[All]" allUniqueName="[BI vw_WeeklyStoreTraffic].[Store].[All]" dimensionUniqueName="[BI vw_WeeklyStoreTraffic]" displayFolder="" count="0" memberValueDatatype="130" unbalanced="0"/>
    <cacheHierarchy uniqueName="[BI vw_WeeklyStoreTraffic].[storekey]" caption="storekey" attribute="1" defaultMemberUniqueName="[BI vw_WeeklyStoreTraffic].[storekey].[All]" allUniqueName="[BI vw_WeeklyStoreTraffic].[storekey].[All]" dimensionUniqueName="[BI vw_WeeklyStoreTraffic]" displayFolder="" count="0" memberValueDatatype="130" unbalanced="0"/>
    <cacheHierarchy uniqueName="[BI vw_WeeklyStoreTraffic].[Traffic]" caption="Traffic" attribute="1" defaultMemberUniqueName="[BI vw_WeeklyStoreTraffic].[Traffic].[All]" allUniqueName="[BI vw_WeeklyStoreTraffic].[Traffic].[All]" dimensionUniqueName="[BI vw_WeeklyStoreTraffic]" displayFolder="" count="0" memberValueDatatype="20" unbalanced="0"/>
    <cacheHierarchy uniqueName="[BI vw_WeeklyWrittenSalesMetrics].[ATV_JoinKey]" caption="ATV_JoinKey" attribute="1" defaultMemberUniqueName="[BI vw_WeeklyWrittenSalesMetrics].[ATV_JoinKey].[All]" allUniqueName="[BI vw_WeeklyWrittenSalesMetrics].[ATV_JoinKey].[All]" dimensionUniqueName="[BI vw_WeeklyWrittenSalesMetrics]" displayFolder="" count="0" memberValueDatatype="130" unbalanced="0"/>
    <cacheHierarchy uniqueName="[BI vw_WeeklyWrittenSalesMetrics].[Branch_Type]" caption="Branch_Type" attribute="1" defaultMemberUniqueName="[BI vw_WeeklyWrittenSalesMetrics].[Branch_Type].[All]" allUniqueName="[BI vw_WeeklyWrittenSalesMetrics].[Branch_Type].[All]" dimensionUniqueName="[BI vw_WeeklyWrittenSalesMetrics]" displayFolder="" count="2" memberValueDatatype="130" unbalanced="0">
      <fieldsUsage count="2">
        <fieldUsage x="-1"/>
        <fieldUsage x="8"/>
      </fieldsUsage>
    </cacheHierarchy>
    <cacheHierarchy uniqueName="[BI vw_WeeklyWrittenSalesMetrics].[BudgetByItem_JoinKey]" caption="BudgetByItem_JoinKey" attribute="1" defaultMemberUniqueName="[BI vw_WeeklyWrittenSalesMetrics].[BudgetByItem_JoinKey].[All]" allUniqueName="[BI vw_WeeklyWrittenSalesMetrics].[BudgetByItem_JoinKey].[All]" dimensionUniqueName="[BI vw_WeeklyWrittenSalesMetrics]" displayFolder="" count="0" memberValueDatatype="130" unbalanced="0"/>
    <cacheHierarchy uniqueName="[BI vw_WeeklyWrittenSalesMetrics].[BudgetByStore_JoinKey]" caption="BudgetByStore_JoinKey" attribute="1" defaultMemberUniqueName="[BI vw_WeeklyWrittenSalesMetrics].[BudgetByStore_JoinKey].[All]" allUniqueName="[BI vw_WeeklyWrittenSalesMetrics].[BudgetByStore_JoinKey].[All]" dimensionUniqueName="[BI vw_WeeklyWrittenSalesMetrics]" displayFolder="" count="0" memberValueDatatype="130" unbalanced="0"/>
    <cacheHierarchy uniqueName="[BI vw_WeeklyWrittenSalesMetrics].[BudgetByWeek_JoinKey]" caption="BudgetByWeek_JoinKey" attribute="1" defaultMemberUniqueName="[BI vw_WeeklyWrittenSalesMetrics].[BudgetByWeek_JoinKey].[All]" allUniqueName="[BI vw_WeeklyWrittenSalesMetrics].[BudgetByWeek_JoinKey].[All]" dimensionUniqueName="[BI vw_WeeklyWrittenSalesMetrics]" displayFolder="" count="0" memberValueDatatype="130" unbalanced="0"/>
    <cacheHierarchy uniqueName="[BI vw_WeeklyWrittenSalesMetrics].[BudgetDigital_JoinKey]" caption="BudgetDigital_JoinKey" attribute="1" defaultMemberUniqueName="[BI vw_WeeklyWrittenSalesMetrics].[BudgetDigital_JoinKey].[All]" allUniqueName="[BI vw_WeeklyWrittenSalesMetrics].[BudgetDigital_JoinKey].[All]" dimensionUniqueName="[BI vw_WeeklyWrittenSalesMetrics]" displayFolder="" count="0" memberValueDatatype="130" unbalanced="0"/>
    <cacheHierarchy uniqueName="[BI vw_WeeklyWrittenSalesMetrics].[BudgetOnlineByStore_JoinKey]" caption="BudgetOnlineByStore_JoinKey" attribute="1" defaultMemberUniqueName="[BI vw_WeeklyWrittenSalesMetrics].[BudgetOnlineByStore_JoinKey].[All]" allUniqueName="[BI vw_WeeklyWrittenSalesMetrics].[BudgetOnlineByStore_JoinKey].[All]" dimensionUniqueName="[BI vw_WeeklyWrittenSalesMetrics]" displayFolder="" count="0" memberValueDatatype="130" unbalanced="0"/>
    <cacheHierarchy uniqueName="[BI vw_WeeklyWrittenSalesMetrics].[Channel]" caption="Channel" attribute="1" defaultMemberUniqueName="[BI vw_WeeklyWrittenSalesMetrics].[Channel].[All]" allUniqueName="[BI vw_WeeklyWrittenSalesMetrics].[Channel].[All]" dimensionUniqueName="[BI vw_WeeklyWrittenSalesMetrics]" displayFolder="" count="2" memberValueDatatype="130" unbalanced="0">
      <fieldsUsage count="2">
        <fieldUsage x="-1"/>
        <fieldUsage x="12"/>
      </fieldsUsage>
    </cacheHierarchy>
    <cacheHierarchy uniqueName="[BI vw_WeeklyWrittenSalesMetrics].[ClassDesc]" caption="ClassDesc" attribute="1" defaultMemberUniqueName="[BI vw_WeeklyWrittenSalesMetrics].[ClassDesc].[All]" allUniqueName="[BI vw_WeeklyWrittenSalesMetrics].[ClassDesc].[All]" dimensionUniqueName="[BI vw_WeeklyWrittenSalesMetrics]" displayFolder="" count="0" memberValueDatatype="130" unbalanced="0"/>
    <cacheHierarchy uniqueName="[BI vw_WeeklyWrittenSalesMetrics].[Country]" caption="Country" attribute="1" defaultMemberUniqueName="[BI vw_WeeklyWrittenSalesMetrics].[Country].[All]" allUniqueName="[BI vw_WeeklyWrittenSalesMetrics].[Country].[All]" dimensionUniqueName="[BI vw_WeeklyWrittenSalesMetrics]" displayFolder="" count="2" memberValueDatatype="130" unbalanced="0">
      <fieldsUsage count="2">
        <fieldUsage x="-1"/>
        <fieldUsage x="10"/>
      </fieldsUsage>
    </cacheHierarchy>
    <cacheHierarchy uniqueName="[BI vw_WeeklyWrittenSalesMetrics].[DepartmentDesc]" caption="DepartmentDesc" attribute="1" defaultMemberUniqueName="[BI vw_WeeklyWrittenSalesMetrics].[DepartmentDesc].[All]" allUniqueName="[BI vw_WeeklyWrittenSalesMetrics].[DepartmentDesc].[All]" dimensionUniqueName="[BI vw_WeeklyWrittenSalesMetrics]" displayFolder="" count="0" memberValueDatatype="130" unbalanced="0"/>
    <cacheHierarchy uniqueName="[BI vw_WeeklyWrittenSalesMetrics].[Division]" caption="Division" attribute="1" defaultMemberUniqueName="[BI vw_WeeklyWrittenSalesMetrics].[Division].[All]" allUniqueName="[BI vw_WeeklyWrittenSalesMetrics].[Division].[All]" dimensionUniqueName="[BI vw_WeeklyWrittenSalesMetrics]" displayFolder="" count="2" memberValueDatatype="130" unbalanced="0">
      <fieldsUsage count="2">
        <fieldUsage x="-1"/>
        <fieldUsage x="9"/>
      </fieldsUsage>
    </cacheHierarchy>
    <cacheHierarchy uniqueName="[BI vw_WeeklyWrittenSalesMetrics].[Dropship]" caption="Dropship" attribute="1" defaultMemberUniqueName="[BI vw_WeeklyWrittenSalesMetrics].[Dropship].[All]" allUniqueName="[BI vw_WeeklyWrittenSalesMetrics].[Dropship].[All]" dimensionUniqueName="[BI vw_WeeklyWrittenSalesMetrics]" displayFolder="" count="0" memberValueDatatype="130" unbalanced="0"/>
    <cacheHierarchy uniqueName="[BI vw_WeeklyWrittenSalesMetrics].[DropshipBudget_JoinKey]" caption="DropshipBudget_JoinKey" attribute="1" defaultMemberUniqueName="[BI vw_WeeklyWrittenSalesMetrics].[DropshipBudget_JoinKey].[All]" allUniqueName="[BI vw_WeeklyWrittenSalesMetrics].[DropshipBudget_JoinKey].[All]" dimensionUniqueName="[BI vw_WeeklyWrittenSalesMetrics]" displayFolder="" count="0" memberValueDatatype="130" unbalanced="0"/>
    <cacheHierarchy uniqueName="[BI vw_WeeklyWrittenSalesMetrics].[FinPeriod]" caption="FinPeriod" attribute="1" defaultMemberUniqueName="[BI vw_WeeklyWrittenSalesMetrics].[FinPeriod].[All]" allUniqueName="[BI vw_WeeklyWrittenSalesMetrics].[FinPeriod].[All]" dimensionUniqueName="[BI vw_WeeklyWrittenSalesMetrics]" displayFolder="" count="0" memberValueDatatype="20" unbalanced="0"/>
    <cacheHierarchy uniqueName="[BI vw_WeeklyWrittenSalesMetrics].[FinPeriod_2025]" caption="FinPeriod_2025" attribute="1" defaultMemberUniqueName="[BI vw_WeeklyWrittenSalesMetrics].[FinPeriod_2025].[All]" allUniqueName="[BI vw_WeeklyWrittenSalesMetrics].[FinPeriod_2025].[All]" dimensionUniqueName="[BI vw_WeeklyWrittenSalesMetrics]" displayFolder="" count="0" memberValueDatatype="130" unbalanced="0"/>
    <cacheHierarchy uniqueName="[BI vw_WeeklyWrittenSalesMetrics].[FinPeriod_LY]" caption="FinPeriod_LY" attribute="1" defaultMemberUniqueName="[BI vw_WeeklyWrittenSalesMetrics].[FinPeriod_LY].[All]" allUniqueName="[BI vw_WeeklyWrittenSalesMetrics].[FinPeriod_LY].[All]" dimensionUniqueName="[BI vw_WeeklyWrittenSalesMetrics]" displayFolder="" count="0" memberValueDatatype="20" unbalanced="0"/>
    <cacheHierarchy uniqueName="[BI vw_WeeklyWrittenSalesMetrics].[FirstWeek-Month]" caption="FirstWeek-Month" attribute="1" defaultMemberUniqueName="[BI vw_WeeklyWrittenSalesMetrics].[FirstWeek-Month].[All]" allUniqueName="[BI vw_WeeklyWrittenSalesMetrics].[FirstWeek-Month].[All]" dimensionUniqueName="[BI vw_WeeklyWrittenSalesMetrics]" displayFolder="" count="0" memberValueDatatype="20" unbalanced="0"/>
    <cacheHierarchy uniqueName="[BI vw_WeeklyWrittenSalesMetrics].[FirstWeek-QTD]" caption="FirstWeek-QTD" attribute="1" defaultMemberUniqueName="[BI vw_WeeklyWrittenSalesMetrics].[FirstWeek-QTD].[All]" allUniqueName="[BI vw_WeeklyWrittenSalesMetrics].[FirstWeek-QTD].[All]" dimensionUniqueName="[BI vw_WeeklyWrittenSalesMetrics]" displayFolder="" count="0" memberValueDatatype="20" unbalanced="0"/>
    <cacheHierarchy uniqueName="[BI vw_WeeklyWrittenSalesMetrics].[FirstWeek-Year]" caption="FirstWeek-Year" attribute="1" defaultMemberUniqueName="[BI vw_WeeklyWrittenSalesMetrics].[FirstWeek-Year].[All]" allUniqueName="[BI vw_WeeklyWrittenSalesMetrics].[FirstWeek-Year].[All]" dimensionUniqueName="[BI vw_WeeklyWrittenSalesMetrics]" displayFolder="" count="0" memberValueDatatype="20" unbalanced="0"/>
    <cacheHierarchy uniqueName="[BI vw_WeeklyWrittenSalesMetrics].[Forcast_JoinKey]" caption="Forcast_JoinKey" attribute="1" defaultMemberUniqueName="[BI vw_WeeklyWrittenSalesMetrics].[Forcast_JoinKey].[All]" allUniqueName="[BI vw_WeeklyWrittenSalesMetrics].[Forcast_JoinKey].[All]" dimensionUniqueName="[BI vw_WeeklyWrittenSalesMetrics]" displayFolder="" count="0" memberValueDatatype="130" unbalanced="0"/>
    <cacheHierarchy uniqueName="[BI vw_WeeklyWrittenSalesMetrics].[ForcastByClass_JoinKey]" caption="ForcastByClass_JoinKey" attribute="1" defaultMemberUniqueName="[BI vw_WeeklyWrittenSalesMetrics].[ForcastByClass_JoinKey].[All]" allUniqueName="[BI vw_WeeklyWrittenSalesMetrics].[ForcastByClass_JoinKey].[All]" dimensionUniqueName="[BI vw_WeeklyWrittenSalesMetrics]" displayFolder="" count="0" memberValueDatatype="130" unbalanced="0"/>
    <cacheHierarchy uniqueName="[BI vw_WeeklyWrittenSalesMetrics].[SalesatFullRet]" caption="SalesatFullRet" attribute="1" defaultMemberUniqueName="[BI vw_WeeklyWrittenSalesMetrics].[SalesatFullRet].[All]" allUniqueName="[BI vw_WeeklyWrittenSalesMetrics].[SalesatFullRet].[All]" dimensionUniqueName="[BI vw_WeeklyWrittenSalesMetrics]" displayFolder="" count="0" memberValueDatatype="5" unbalanced="0"/>
    <cacheHierarchy uniqueName="[BI vw_WeeklyWrittenSalesMetrics].[SalesClassification]" caption="SalesClassification" attribute="1" defaultMemberUniqueName="[BI vw_WeeklyWrittenSalesMetrics].[SalesClassification].[All]" allUniqueName="[BI vw_WeeklyWrittenSalesMetrics].[SalesClassification].[All]" dimensionUniqueName="[BI vw_WeeklyWrittenSalesMetrics]" displayFolder="" count="0" memberValueDatatype="130" unbalanced="0"/>
    <cacheHierarchy uniqueName="[BI vw_WeeklyWrittenSalesMetrics].[SalesCost]" caption="SalesCost" attribute="1" defaultMemberUniqueName="[BI vw_WeeklyWrittenSalesMetrics].[SalesCost].[All]" allUniqueName="[BI vw_WeeklyWrittenSalesMetrics].[SalesCost].[All]" dimensionUniqueName="[BI vw_WeeklyWrittenSalesMetrics]" displayFolder="" count="0" memberValueDatatype="5" unbalanced="0"/>
    <cacheHierarchy uniqueName="[BI vw_WeeklyWrittenSalesMetrics].[SalesGM]" caption="SalesGM" attribute="1" defaultMemberUniqueName="[BI vw_WeeklyWrittenSalesMetrics].[SalesGM].[All]" allUniqueName="[BI vw_WeeklyWrittenSalesMetrics].[SalesGM].[All]" dimensionUniqueName="[BI vw_WeeklyWrittenSalesMetrics]" displayFolder="" count="0" memberValueDatatype="5" unbalanced="0"/>
    <cacheHierarchy uniqueName="[BI vw_WeeklyWrittenSalesMetrics].[SalesRetail]" caption="SalesRetail" attribute="1" defaultMemberUniqueName="[BI vw_WeeklyWrittenSalesMetrics].[SalesRetail].[All]" allUniqueName="[BI vw_WeeklyWrittenSalesMetrics].[SalesRetail].[All]" dimensionUniqueName="[BI vw_WeeklyWrittenSalesMetrics]" displayFolder="" count="0" memberValueDatatype="5" unbalanced="0"/>
    <cacheHierarchy uniqueName="[BI vw_WeeklyWrittenSalesMetrics].[SalesType]" caption="SalesType" attribute="1" defaultMemberUniqueName="[BI vw_WeeklyWrittenSalesMetrics].[SalesType].[All]" allUniqueName="[BI vw_WeeklyWrittenSalesMetrics].[SalesType].[All]" dimensionUniqueName="[BI vw_WeeklyWrittenSalesMetrics]" displayFolder="" count="0" memberValueDatatype="130" unbalanced="0"/>
    <cacheHierarchy uniqueName="[BI vw_WeeklyWrittenSalesMetrics].[SalesUnits]" caption="SalesUnits" attribute="1" defaultMemberUniqueName="[BI vw_WeeklyWrittenSalesMetrics].[SalesUnits].[All]" allUniqueName="[BI vw_WeeklyWrittenSalesMetrics].[SalesUnits].[All]" dimensionUniqueName="[BI vw_WeeklyWrittenSalesMetrics]" displayFolder="" count="0" memberValueDatatype="5" unbalanced="0"/>
    <cacheHierarchy uniqueName="[BI vw_WeeklyWrittenSalesMetrics].[Store]" caption="Store" attribute="1" defaultMemberUniqueName="[BI vw_WeeklyWrittenSalesMetrics].[Store].[All]" allUniqueName="[BI vw_WeeklyWrittenSalesMetrics].[Store].[All]" dimensionUniqueName="[BI vw_WeeklyWrittenSalesMetrics]" displayFolder="" count="0" memberValueDatatype="130" unbalanced="0"/>
    <cacheHierarchy uniqueName="[BI vw_WeeklyWrittenSalesMetrics].[StoreKey]" caption="StoreKey" attribute="1" defaultMemberUniqueName="[BI vw_WeeklyWrittenSalesMetrics].[StoreKey].[All]" allUniqueName="[BI vw_WeeklyWrittenSalesMetrics].[StoreKey].[All]" dimensionUniqueName="[BI vw_WeeklyWrittenSalesMetrics]" displayFolder="" count="0" memberValueDatatype="20" unbalanced="0"/>
    <cacheHierarchy uniqueName="[BI vw_WeeklyWrittenSalesMetrics].[SubDepartmentDesc]" caption="SubDepartmentDesc" attribute="1" defaultMemberUniqueName="[BI vw_WeeklyWrittenSalesMetrics].[SubDepartmentDesc].[All]" allUniqueName="[BI vw_WeeklyWrittenSalesMetrics].[SubDepartmentDesc].[All]" dimensionUniqueName="[BI vw_WeeklyWrittenSalesMetrics]" displayFolder="" count="0" memberValueDatatype="130" unbalanced="0"/>
    <cacheHierarchy uniqueName="[BI vw_WeeklyWrittenSalesMetrics].[TOTRETMD]" caption="TOTRETMD" attribute="1" defaultMemberUniqueName="[BI vw_WeeklyWrittenSalesMetrics].[TOTRETMD].[All]" allUniqueName="[BI vw_WeeklyWrittenSalesMetrics].[TOTRETMD].[All]" dimensionUniqueName="[BI vw_WeeklyWrittenSalesMetrics]" displayFolder="" count="0" memberValueDatatype="5" unbalanced="0"/>
    <cacheHierarchy uniqueName="[BI vw_WeeklyWrittenSalesMetrics].[Traffic_JoinKey]" caption="Traffic_JoinKey" attribute="1" defaultMemberUniqueName="[BI vw_WeeklyWrittenSalesMetrics].[Traffic_JoinKey].[All]" allUniqueName="[BI vw_WeeklyWrittenSalesMetrics].[Traffic_JoinKey].[All]" dimensionUniqueName="[BI vw_WeeklyWrittenSalesMetrics]" displayFolder="" count="0" memberValueDatatype="130" unbalanced="0"/>
    <cacheHierarchy uniqueName="[BI vw_WeeklyWrittenSalesMetrics].[WeeklyItemSaleKey]" caption="WeeklyItemSaleKey" attribute="1" defaultMemberUniqueName="[BI vw_WeeklyWrittenSalesMetrics].[WeeklyItemSaleKey].[All]" allUniqueName="[BI vw_WeeklyWrittenSalesMetrics].[WeeklyItemSaleKey].[All]" dimensionUniqueName="[BI vw_WeeklyWrittenSalesMetrics]" displayFolder="" count="0" memberValueDatatype="130" unbalanced="0"/>
    <cacheHierarchy uniqueName="[Dim_Category].[Column_Name]" caption="Column_Name" attribute="1" defaultMemberUniqueName="[Dim_Category].[Column_Name].[All]" allUniqueName="[Dim_Category].[Column_Name].[All]" dimensionUniqueName="[Dim_Category]" displayFolder="" count="0" memberValueDatatype="130" unbalanced="0"/>
    <cacheHierarchy uniqueName="[Dim_Category].[Sort N]" caption="Sort N" attribute="1" defaultMemberUniqueName="[Dim_Category].[Sort N].[All]" allUniqueName="[Dim_Category].[Sort N].[All]" dimensionUniqueName="[Dim_Category]" displayFolder="" count="0" memberValueDatatype="20" unbalanced="0"/>
    <cacheHierarchy uniqueName="[dim_period].[Current Date]" caption="Current Date" attribute="1" time="1" defaultMemberUniqueName="[dim_period].[Current Date].[All]" allUniqueName="[dim_period].[Current Date].[All]" dimensionUniqueName="[dim_period]" displayFolder="" count="0" memberValueDatatype="7" unbalanced="0"/>
    <cacheHierarchy uniqueName="[dim_period].[Date]" caption="Date" attribute="1" time="1" defaultMemberUniqueName="[dim_period].[Date].[All]" allUniqueName="[dim_period].[Date].[All]" dimensionUniqueName="[dim_period]" displayFolder="" count="0" memberValueDatatype="7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inPeriod_BeforeToday]" caption="finPeriod_BeforeToday" attribute="1" defaultMemberUniqueName="[dim_period].[finPeriod_BeforeToday].[All]" allUniqueName="[dim_period].[finPeriod_BeforeToday].[All]" dimensionUniqueName="[dim_period]" displayFolder="" count="0" memberValueDatatype="13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Month_NumberY]" caption="Month_NumberY" attribute="1" defaultMemberUniqueName="[dim_period].[Month_NumberY].[All]" allUniqueName="[dim_period].[Month_NumberY].[All]" dimensionUniqueName="[dim_period]" displayFolder="" count="0" memberValueDatatype="2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dim_period].[Year_New]" caption="Year_New" attribute="1" defaultMemberUniqueName="[dim_period].[Year_New].[All]" allUniqueName="[dim_period].[Year_New].[All]" dimensionUniqueName="[dim_period]" displayFolder="" count="0" memberValueDatatype="20" unbalanced="0"/>
    <cacheHierarchy uniqueName="[ForcastByClass].[Branch Type]" caption="Branch Type" attribute="1" defaultMemberUniqueName="[ForcastByClass].[Branch Type].[All]" allUniqueName="[ForcastByClass].[Branch Type].[All]" dimensionUniqueName="[ForcastByClass]" displayFolder="" count="0" memberValueDatatype="130" unbalanced="0"/>
    <cacheHierarchy uniqueName="[ForcastByClass].[Class]" caption="Class" attribute="1" defaultMemberUniqueName="[ForcastByClass].[Class].[All]" allUniqueName="[ForcastByClass].[Class].[All]" dimensionUniqueName="[ForcastByClass]" displayFolder="" count="0" memberValueDatatype="130" unbalanced="0"/>
    <cacheHierarchy uniqueName="[ForcastByClass].[Country]" caption="Country" attribute="1" defaultMemberUniqueName="[ForcastByClass].[Country].[All]" allUniqueName="[ForcastByClass].[Country].[All]" dimensionUniqueName="[ForcastByClass]" displayFolder="" count="0" memberValueDatatype="130" unbalanced="0"/>
    <cacheHierarchy uniqueName="[ForcastByClass].[CountryN]" caption="CountryN" attribute="1" defaultMemberUniqueName="[ForcastByClass].[CountryN].[All]" allUniqueName="[ForcastByClass].[CountryN].[All]" dimensionUniqueName="[ForcastByClass]" displayFolder="" count="0" memberValueDatatype="130" unbalanced="0"/>
    <cacheHierarchy uniqueName="[ForcastByClass].[FClassKey]" caption="FClassKey" attribute="1" defaultMemberUniqueName="[ForcastByClass].[FClassKey].[All]" allUniqueName="[ForcastByClass].[FClassKey].[All]" dimensionUniqueName="[ForcastByClass]" displayFolder="" count="0" memberValueDatatype="130" unbalanced="0"/>
    <cacheHierarchy uniqueName="[ForcastByClass].[FinPeriod]" caption="FinPeriod" attribute="1" defaultMemberUniqueName="[ForcastByClass].[FinPeriod].[All]" allUniqueName="[ForcastByClass].[FinPeriod].[All]" dimensionUniqueName="[ForcastByClass]" displayFolder="" count="0" memberValueDatatype="130" unbalanced="0"/>
    <cacheHierarchy uniqueName="[ForcastByClass].[FinWeek]" caption="FinWeek" attribute="1" defaultMemberUniqueName="[ForcastByClass].[FinWeek].[All]" allUniqueName="[ForcastByClass].[FinWeek].[All]" dimensionUniqueName="[ForcastByClass]" displayFolder="" count="0" memberValueDatatype="20" unbalanced="0"/>
    <cacheHierarchy uniqueName="[ForcastByClass].[FinYear]" caption="FinYear" attribute="1" defaultMemberUniqueName="[ForcastByClass].[FinYear].[All]" allUniqueName="[ForcastByClass].[FinYear].[All]" dimensionUniqueName="[ForcastByClass]" displayFolder="" count="0" memberValueDatatype="130" unbalanced="0"/>
    <cacheHierarchy uniqueName="[ForcastByClass].[ForcastDollars]" caption="ForcastDollars" attribute="1" defaultMemberUniqueName="[ForcastByClass].[ForcastDollars].[All]" allUniqueName="[ForcastByClass].[ForcastDollars].[All]" dimensionUniqueName="[ForcastByClass]" displayFolder="" count="0" memberValueDatatype="5" unbalanced="0"/>
    <cacheHierarchy uniqueName="[ForcastByClass].[StoreType]" caption="StoreType" attribute="1" defaultMemberUniqueName="[ForcastByClass].[StoreType].[All]" allUniqueName="[ForcastByClass].[StoreType].[All]" dimensionUniqueName="[ForcastByClass]" displayFolder="" count="0" memberValueDatatype="130" unbalanced="0"/>
    <cacheHierarchy uniqueName="[Forecast].[Branch Type]" caption="Branch Type" attribute="1" defaultMemberUniqueName="[Forecast].[Branch Type].[All]" allUniqueName="[Forecast].[Branch Type].[All]" dimensionUniqueName="[Forecast]" displayFolder="" count="0" memberValueDatatype="130" unbalanced="0"/>
    <cacheHierarchy uniqueName="[Forecast].[Channel]" caption="Channel" attribute="1" defaultMemberUniqueName="[Forecast].[Channel].[All]" allUniqueName="[Forecast].[Channel].[All]" dimensionUniqueName="[Forecast]" displayFolder="" count="0" memberValueDatatype="130" unbalanced="0"/>
    <cacheHierarchy uniqueName="[Forecast].[Class]" caption="Class" attribute="1" defaultMemberUniqueName="[Forecast].[Class].[All]" allUniqueName="[Forecast].[Class].[All]" dimensionUniqueName="[Forecast]" displayFolder="" count="0" memberValueDatatype="130" unbalanced="0"/>
    <cacheHierarchy uniqueName="[Forecast].[Class-1]" caption="Class-1" attribute="1" defaultMemberUniqueName="[Forecast].[Class-1].[All]" allUniqueName="[Forecast].[Class-1].[All]" dimensionUniqueName="[Forecast]" displayFolder="" count="0" memberValueDatatype="130" unbalanced="0"/>
    <cacheHierarchy uniqueName="[Forecast].[Column3 - Copy]" caption="Column3 - Copy" attribute="1" defaultMemberUniqueName="[Forecast].[Column3 - Copy].[All]" allUniqueName="[Forecast].[Column3 - Copy].[All]" dimensionUniqueName="[Forecast]" displayFolder="" count="0" memberValueDatatype="130" unbalanced="0"/>
    <cacheHierarchy uniqueName="[Forecast].[Country]" caption="Country" attribute="1" defaultMemberUniqueName="[Forecast].[Country].[All]" allUniqueName="[Forecast].[Country].[All]" dimensionUniqueName="[Forecast]" displayFolder="" count="0" memberValueDatatype="130" unbalanced="0"/>
    <cacheHierarchy uniqueName="[Forecast].[CountryN]" caption="CountryN" attribute="1" defaultMemberUniqueName="[Forecast].[CountryN].[All]" allUniqueName="[Forecast].[CountryN].[All]" dimensionUniqueName="[Forecast]" displayFolder="" count="0" memberValueDatatype="130" unbalanced="0"/>
    <cacheHierarchy uniqueName="[Forecast].[FClassKey]" caption="FClassKey" attribute="1" defaultMemberUniqueName="[Forecast].[FClassKey].[All]" allUniqueName="[Forecast].[FClassKey].[All]" dimensionUniqueName="[Forecast]" displayFolder="" count="0" memberValueDatatype="130" unbalanced="0"/>
    <cacheHierarchy uniqueName="[Forecast].[Fin_Period]" caption="Fin_Period" attribute="1" defaultMemberUniqueName="[Forecast].[Fin_Period].[All]" allUniqueName="[Forecast].[Fin_Period].[All]" dimensionUniqueName="[Forecast]" displayFolder="" count="0" memberValueDatatype="20" unbalanced="0"/>
    <cacheHierarchy uniqueName="[Forecast].[FinWeek]" caption="FinWeek" attribute="1" defaultMemberUniqueName="[Forecast].[FinWeek].[All]" allUniqueName="[Forecast].[FinWeek].[All]" dimensionUniqueName="[Forecast]" displayFolder="" count="0" memberValueDatatype="20" unbalanced="0"/>
    <cacheHierarchy uniqueName="[Forecast].[ForcastDollars]" caption="ForcastDollars" attribute="1" defaultMemberUniqueName="[Forecast].[ForcastDollars].[All]" allUniqueName="[Forecast].[ForcastDollars].[All]" dimensionUniqueName="[Forecast]" displayFolder="" count="0" memberValueDatatype="5" unbalanced="0"/>
    <cacheHierarchy uniqueName="[Forecast].[GM$]" caption="GM$" attribute="1" defaultMemberUniqueName="[Forecast].[GM$].[All]" allUniqueName="[Forecast].[GM$].[All]" dimensionUniqueName="[Forecast]" displayFolder="" count="0" memberValueDatatype="5" unbalanced="0"/>
    <cacheHierarchy uniqueName="[Forecast].[GM%]" caption="GM%" attribute="1" defaultMemberUniqueName="[Forecast].[GM%].[All]" allUniqueName="[Forecast].[GM%].[All]" dimensionUniqueName="[Forecast]" displayFolder="" count="0" memberValueDatatype="5" unbalanced="0"/>
    <cacheHierarchy uniqueName="[Forecast].[Period]" caption="Period" attribute="1" defaultMemberUniqueName="[Forecast].[Period].[All]" allUniqueName="[Forecast].[Period].[All]" dimensionUniqueName="[Forecast]" displayFolder="" count="0" memberValueDatatype="130" unbalanced="0"/>
    <cacheHierarchy uniqueName="[Forecast].[StoreType]" caption="StoreType" attribute="1" defaultMemberUniqueName="[Forecast].[StoreType].[All]" allUniqueName="[Forecast].[StoreType].[All]" dimensionUniqueName="[Forecast]" displayFolder="" count="0" memberValueDatatype="130" unbalanced="0"/>
    <cacheHierarchy uniqueName="[Measure].[StoreKey]" caption="StoreKey" attribute="1" defaultMemberUniqueName="[Measure].[StoreKey].[All]" allUniqueName="[Measure].[StoreKey].[All]" dimensionUniqueName="[Measure]" displayFolder="" count="0" memberValueDatatype="130" unbalanced="0"/>
    <cacheHierarchy uniqueName="[Measure Categories].[Cat Sort]" caption="Cat Sort" attribute="1" defaultMemberUniqueName="[Measure Categories].[Cat Sort].[All]" allUniqueName="[Measure Categories].[Cat Sort].[All]" dimensionUniqueName="[Measure Categories]" displayFolder="" count="0" memberValueDatatype="20" unbalanced="0"/>
    <cacheHierarchy uniqueName="[Measure Categories].[Measure Categories]" caption="Measure Categories" attribute="1" defaultMemberUniqueName="[Measure Categories].[Measure Categories].[All]" allUniqueName="[Measure Categories].[Measure Categories].[All]" dimensionUniqueName="[Measure Categories]" displayFolder="" count="0" memberValueDatatype="130" unbalanced="0"/>
    <cacheHierarchy uniqueName="[Product Parameter].[Product Parameter]" caption="Product Parameter" attribute="1" defaultMemberUniqueName="[Product Parameter].[Product Parameter].[All]" allUniqueName="[Product Parameter].[Product Parameter].[All]" dimensionUniqueName="[Product Parameter]" displayFolder="" count="0" memberValueDatatype="130" unbalanced="0"/>
    <cacheHierarchy uniqueName="[Query1].[Column1]" caption="Column1" attribute="1" time="1" defaultMemberUniqueName="[Query1].[Column1].[All]" allUniqueName="[Query1].[Column1].[All]" dimensionUniqueName="[Query1]" displayFolder="" count="0" memberValueDatatype="7" unbalanced="0"/>
    <cacheHierarchy uniqueName="[Query2].[Column1]" caption="Column1" attribute="1" defaultMemberUniqueName="[Query2].[Column1].[All]" allUniqueName="[Query2].[Column1].[All]" dimensionUniqueName="[Query2]" displayFolder="" count="0" memberValueDatatype="13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2" memberValueDatatype="130" unbalanced="0">
      <fieldsUsage count="2">
        <fieldUsage x="-1"/>
        <fieldUsage x="7"/>
      </fieldsUsage>
    </cacheHierarchy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LocalDateTable_0d9eeced-3257-4609-8cfb-234f1d7c24d7].[Date]" caption="Date" attribute="1" time="1" defaultMemberUniqueName="[LocalDateTable_0d9eeced-3257-4609-8cfb-234f1d7c24d7].[Date].[All]" allUniqueName="[LocalDateTable_0d9eeced-3257-4609-8cfb-234f1d7c24d7].[Date].[All]" dimensionUniqueName="[LocalDateTable_0d9eeced-3257-4609-8cfb-234f1d7c24d7]" displayFolder="" count="0" memberValueDatatype="7" unbalanced="0" hidden="1"/>
    <cacheHierarchy uniqueName="[LocalDateTable_0d9eeced-3257-4609-8cfb-234f1d7c24d7].[Day]" caption="Day" attribute="1" defaultMemberUniqueName="[LocalDateTable_0d9eeced-3257-4609-8cfb-234f1d7c24d7].[Day].[All]" allUniqueName="[LocalDateTable_0d9eeced-3257-4609-8cfb-234f1d7c24d7].[Day].[All]" dimensionUniqueName="[LocalDateTable_0d9eeced-3257-4609-8cfb-234f1d7c24d7]" displayFolder="" count="0" memberValueDatatype="20" unbalanced="0" hidden="1"/>
    <cacheHierarchy uniqueName="[LocalDateTable_0d9eeced-3257-4609-8cfb-234f1d7c24d7].[Month]" caption="Month" attribute="1" defaultMemberUniqueName="[LocalDateTable_0d9eeced-3257-4609-8cfb-234f1d7c24d7].[Month].[All]" allUniqueName="[LocalDateTable_0d9eeced-3257-4609-8cfb-234f1d7c24d7].[Month].[All]" dimensionUniqueName="[LocalDateTable_0d9eeced-3257-4609-8cfb-234f1d7c24d7]" displayFolder="" count="0" memberValueDatatype="130" unbalanced="0" hidden="1"/>
    <cacheHierarchy uniqueName="[LocalDateTable_0d9eeced-3257-4609-8cfb-234f1d7c24d7].[MonthNo]" caption="MonthNo" attribute="1" defaultMemberUniqueName="[LocalDateTable_0d9eeced-3257-4609-8cfb-234f1d7c24d7].[MonthNo].[All]" allUniqueName="[LocalDateTable_0d9eeced-3257-4609-8cfb-234f1d7c24d7].[MonthNo].[All]" dimensionUniqueName="[LocalDateTable_0d9eeced-3257-4609-8cfb-234f1d7c24d7]" displayFolder="" count="0" memberValueDatatype="20" unbalanced="0" hidden="1"/>
    <cacheHierarchy uniqueName="[LocalDateTable_0d9eeced-3257-4609-8cfb-234f1d7c24d7].[Quarter]" caption="Quarter" attribute="1" defaultMemberUniqueName="[LocalDateTable_0d9eeced-3257-4609-8cfb-234f1d7c24d7].[Quarter].[All]" allUniqueName="[LocalDateTable_0d9eeced-3257-4609-8cfb-234f1d7c24d7].[Quarter].[All]" dimensionUniqueName="[LocalDateTable_0d9eeced-3257-4609-8cfb-234f1d7c24d7]" displayFolder="" count="0" memberValueDatatype="130" unbalanced="0" hidden="1"/>
    <cacheHierarchy uniqueName="[LocalDateTable_0d9eeced-3257-4609-8cfb-234f1d7c24d7].[QuarterNo]" caption="QuarterNo" attribute="1" defaultMemberUniqueName="[LocalDateTable_0d9eeced-3257-4609-8cfb-234f1d7c24d7].[QuarterNo].[All]" allUniqueName="[LocalDateTable_0d9eeced-3257-4609-8cfb-234f1d7c24d7].[QuarterNo].[All]" dimensionUniqueName="[LocalDateTable_0d9eeced-3257-4609-8cfb-234f1d7c24d7]" displayFolder="" count="0" memberValueDatatype="20" unbalanced="0" hidden="1"/>
    <cacheHierarchy uniqueName="[LocalDateTable_0d9eeced-3257-4609-8cfb-234f1d7c24d7].[Year]" caption="Year" attribute="1" defaultMemberUniqueName="[LocalDateTable_0d9eeced-3257-4609-8cfb-234f1d7c24d7].[Year].[All]" allUniqueName="[LocalDateTable_0d9eeced-3257-4609-8cfb-234f1d7c24d7].[Year].[All]" dimensionUniqueName="[LocalDateTable_0d9eeced-3257-4609-8cfb-234f1d7c24d7]" displayFolder="" count="0" memberValueDatatype="20" unbalanced="0" hidden="1"/>
    <cacheHierarchy uniqueName="[LocalDateTable_3a17192d-ec7c-4dba-ac0e-bcf6b3a6a0ff].[Date]" caption="Date" attribute="1" time="1" defaultMemberUniqueName="[LocalDateTable_3a17192d-ec7c-4dba-ac0e-bcf6b3a6a0ff].[Date].[All]" allUniqueName="[LocalDateTable_3a17192d-ec7c-4dba-ac0e-bcf6b3a6a0ff].[Date].[All]" dimensionUniqueName="[LocalDateTable_3a17192d-ec7c-4dba-ac0e-bcf6b3a6a0ff]" displayFolder="" count="0" memberValueDatatype="7" unbalanced="0" hidden="1"/>
    <cacheHierarchy uniqueName="[LocalDateTable_3a17192d-ec7c-4dba-ac0e-bcf6b3a6a0ff].[Day]" caption="Day" attribute="1" defaultMemberUniqueName="[LocalDateTable_3a17192d-ec7c-4dba-ac0e-bcf6b3a6a0ff].[Day].[All]" allUniqueName="[LocalDateTable_3a17192d-ec7c-4dba-ac0e-bcf6b3a6a0ff].[Day].[All]" dimensionUniqueName="[LocalDateTable_3a17192d-ec7c-4dba-ac0e-bcf6b3a6a0ff]" displayFolder="" count="0" memberValueDatatype="20" unbalanced="0" hidden="1"/>
    <cacheHierarchy uniqueName="[LocalDateTable_3a17192d-ec7c-4dba-ac0e-bcf6b3a6a0ff].[Month]" caption="Month" attribute="1" defaultMemberUniqueName="[LocalDateTable_3a17192d-ec7c-4dba-ac0e-bcf6b3a6a0ff].[Month].[All]" allUniqueName="[LocalDateTable_3a17192d-ec7c-4dba-ac0e-bcf6b3a6a0ff].[Month].[All]" dimensionUniqueName="[LocalDateTable_3a17192d-ec7c-4dba-ac0e-bcf6b3a6a0ff]" displayFolder="" count="0" memberValueDatatype="130" unbalanced="0" hidden="1"/>
    <cacheHierarchy uniqueName="[LocalDateTable_3a17192d-ec7c-4dba-ac0e-bcf6b3a6a0ff].[MonthNo]" caption="MonthNo" attribute="1" defaultMemberUniqueName="[LocalDateTable_3a17192d-ec7c-4dba-ac0e-bcf6b3a6a0ff].[MonthNo].[All]" allUniqueName="[LocalDateTable_3a17192d-ec7c-4dba-ac0e-bcf6b3a6a0ff].[MonthNo].[All]" dimensionUniqueName="[LocalDateTable_3a17192d-ec7c-4dba-ac0e-bcf6b3a6a0ff]" displayFolder="" count="0" memberValueDatatype="20" unbalanced="0" hidden="1"/>
    <cacheHierarchy uniqueName="[LocalDateTable_3a17192d-ec7c-4dba-ac0e-bcf6b3a6a0ff].[Quarter]" caption="Quarter" attribute="1" defaultMemberUniqueName="[LocalDateTable_3a17192d-ec7c-4dba-ac0e-bcf6b3a6a0ff].[Quarter].[All]" allUniqueName="[LocalDateTable_3a17192d-ec7c-4dba-ac0e-bcf6b3a6a0ff].[Quarter].[All]" dimensionUniqueName="[LocalDateTable_3a17192d-ec7c-4dba-ac0e-bcf6b3a6a0ff]" displayFolder="" count="0" memberValueDatatype="130" unbalanced="0" hidden="1"/>
    <cacheHierarchy uniqueName="[LocalDateTable_3a17192d-ec7c-4dba-ac0e-bcf6b3a6a0ff].[QuarterNo]" caption="QuarterNo" attribute="1" defaultMemberUniqueName="[LocalDateTable_3a17192d-ec7c-4dba-ac0e-bcf6b3a6a0ff].[QuarterNo].[All]" allUniqueName="[LocalDateTable_3a17192d-ec7c-4dba-ac0e-bcf6b3a6a0ff].[QuarterNo].[All]" dimensionUniqueName="[LocalDateTable_3a17192d-ec7c-4dba-ac0e-bcf6b3a6a0ff]" displayFolder="" count="0" memberValueDatatype="20" unbalanced="0" hidden="1"/>
    <cacheHierarchy uniqueName="[LocalDateTable_3a17192d-ec7c-4dba-ac0e-bcf6b3a6a0ff].[Year]" caption="Year" attribute="1" defaultMemberUniqueName="[LocalDateTable_3a17192d-ec7c-4dba-ac0e-bcf6b3a6a0ff].[Year].[All]" allUniqueName="[LocalDateTable_3a17192d-ec7c-4dba-ac0e-bcf6b3a6a0ff].[Year].[All]" dimensionUniqueName="[LocalDateTable_3a17192d-ec7c-4dba-ac0e-bcf6b3a6a0ff]" displayFolder="" count="0" memberValueDatatype="20" unbalanced="0" hidden="1"/>
    <cacheHierarchy uniqueName="[LocalDateTable_3f117c71-2c04-4fa5-8c23-2b2c1ab14338].[Date]" caption="Date" attribute="1" time="1" defaultMemberUniqueName="[LocalDateTable_3f117c71-2c04-4fa5-8c23-2b2c1ab14338].[Date].[All]" allUniqueName="[LocalDateTable_3f117c71-2c04-4fa5-8c23-2b2c1ab14338].[Date].[All]" dimensionUniqueName="[LocalDateTable_3f117c71-2c04-4fa5-8c23-2b2c1ab14338]" displayFolder="" count="0" memberValueDatatype="7" unbalanced="0" hidden="1"/>
    <cacheHierarchy uniqueName="[LocalDateTable_3f117c71-2c04-4fa5-8c23-2b2c1ab14338].[Day]" caption="Day" attribute="1" defaultMemberUniqueName="[LocalDateTable_3f117c71-2c04-4fa5-8c23-2b2c1ab14338].[Day].[All]" allUniqueName="[LocalDateTable_3f117c71-2c04-4fa5-8c23-2b2c1ab14338].[Day].[All]" dimensionUniqueName="[LocalDateTable_3f117c71-2c04-4fa5-8c23-2b2c1ab14338]" displayFolder="" count="0" memberValueDatatype="20" unbalanced="0" hidden="1"/>
    <cacheHierarchy uniqueName="[LocalDateTable_3f117c71-2c04-4fa5-8c23-2b2c1ab14338].[Month]" caption="Month" attribute="1" defaultMemberUniqueName="[LocalDateTable_3f117c71-2c04-4fa5-8c23-2b2c1ab14338].[Month].[All]" allUniqueName="[LocalDateTable_3f117c71-2c04-4fa5-8c23-2b2c1ab14338].[Month].[All]" dimensionUniqueName="[LocalDateTable_3f117c71-2c04-4fa5-8c23-2b2c1ab14338]" displayFolder="" count="0" memberValueDatatype="130" unbalanced="0" hidden="1"/>
    <cacheHierarchy uniqueName="[LocalDateTable_3f117c71-2c04-4fa5-8c23-2b2c1ab14338].[MonthNo]" caption="MonthNo" attribute="1" defaultMemberUniqueName="[LocalDateTable_3f117c71-2c04-4fa5-8c23-2b2c1ab14338].[MonthNo].[All]" allUniqueName="[LocalDateTable_3f117c71-2c04-4fa5-8c23-2b2c1ab14338].[MonthNo].[All]" dimensionUniqueName="[LocalDateTable_3f117c71-2c04-4fa5-8c23-2b2c1ab14338]" displayFolder="" count="0" memberValueDatatype="20" unbalanced="0" hidden="1"/>
    <cacheHierarchy uniqueName="[LocalDateTable_3f117c71-2c04-4fa5-8c23-2b2c1ab14338].[Quarter]" caption="Quarter" attribute="1" defaultMemberUniqueName="[LocalDateTable_3f117c71-2c04-4fa5-8c23-2b2c1ab14338].[Quarter].[All]" allUniqueName="[LocalDateTable_3f117c71-2c04-4fa5-8c23-2b2c1ab14338].[Quarter].[All]" dimensionUniqueName="[LocalDateTable_3f117c71-2c04-4fa5-8c23-2b2c1ab14338]" displayFolder="" count="0" memberValueDatatype="130" unbalanced="0" hidden="1"/>
    <cacheHierarchy uniqueName="[LocalDateTable_3f117c71-2c04-4fa5-8c23-2b2c1ab14338].[QuarterNo]" caption="QuarterNo" attribute="1" defaultMemberUniqueName="[LocalDateTable_3f117c71-2c04-4fa5-8c23-2b2c1ab14338].[QuarterNo].[All]" allUniqueName="[LocalDateTable_3f117c71-2c04-4fa5-8c23-2b2c1ab14338].[QuarterNo].[All]" dimensionUniqueName="[LocalDateTable_3f117c71-2c04-4fa5-8c23-2b2c1ab14338]" displayFolder="" count="0" memberValueDatatype="20" unbalanced="0" hidden="1"/>
    <cacheHierarchy uniqueName="[LocalDateTable_3f117c71-2c04-4fa5-8c23-2b2c1ab14338].[Year]" caption="Year" attribute="1" defaultMemberUniqueName="[LocalDateTable_3f117c71-2c04-4fa5-8c23-2b2c1ab14338].[Year].[All]" allUniqueName="[LocalDateTable_3f117c71-2c04-4fa5-8c23-2b2c1ab14338].[Year].[All]" dimensionUniqueName="[LocalDateTable_3f117c71-2c04-4fa5-8c23-2b2c1ab14338]" displayFolder="" count="0" memberValueDatatype="20" unbalanced="0" hidden="1"/>
    <cacheHierarchy uniqueName="[LocalDateTable_66f09a5d-f864-46bc-a2f5-c0014bc05155].[Date]" caption="Date" attribute="1" time="1" defaultMemberUniqueName="[LocalDateTable_66f09a5d-f864-46bc-a2f5-c0014bc05155].[Date].[All]" allUniqueName="[LocalDateTable_66f09a5d-f864-46bc-a2f5-c0014bc05155].[Date].[All]" dimensionUniqueName="[LocalDateTable_66f09a5d-f864-46bc-a2f5-c0014bc05155]" displayFolder="" count="0" memberValueDatatype="7" unbalanced="0" hidden="1"/>
    <cacheHierarchy uniqueName="[LocalDateTable_66f09a5d-f864-46bc-a2f5-c0014bc05155].[Day]" caption="Day" attribute="1" defaultMemberUniqueName="[LocalDateTable_66f09a5d-f864-46bc-a2f5-c0014bc05155].[Day].[All]" allUniqueName="[LocalDateTable_66f09a5d-f864-46bc-a2f5-c0014bc05155].[Day].[All]" dimensionUniqueName="[LocalDateTable_66f09a5d-f864-46bc-a2f5-c0014bc05155]" displayFolder="" count="0" memberValueDatatype="20" unbalanced="0" hidden="1"/>
    <cacheHierarchy uniqueName="[LocalDateTable_66f09a5d-f864-46bc-a2f5-c0014bc05155].[Month]" caption="Month" attribute="1" defaultMemberUniqueName="[LocalDateTable_66f09a5d-f864-46bc-a2f5-c0014bc05155].[Month].[All]" allUniqueName="[LocalDateTable_66f09a5d-f864-46bc-a2f5-c0014bc05155].[Month].[All]" dimensionUniqueName="[LocalDateTable_66f09a5d-f864-46bc-a2f5-c0014bc05155]" displayFolder="" count="0" memberValueDatatype="130" unbalanced="0" hidden="1"/>
    <cacheHierarchy uniqueName="[LocalDateTable_66f09a5d-f864-46bc-a2f5-c0014bc05155].[MonthNo]" caption="MonthNo" attribute="1" defaultMemberUniqueName="[LocalDateTable_66f09a5d-f864-46bc-a2f5-c0014bc05155].[MonthNo].[All]" allUniqueName="[LocalDateTable_66f09a5d-f864-46bc-a2f5-c0014bc05155].[MonthNo].[All]" dimensionUniqueName="[LocalDateTable_66f09a5d-f864-46bc-a2f5-c0014bc05155]" displayFolder="" count="0" memberValueDatatype="20" unbalanced="0" hidden="1"/>
    <cacheHierarchy uniqueName="[LocalDateTable_66f09a5d-f864-46bc-a2f5-c0014bc05155].[Quarter]" caption="Quarter" attribute="1" defaultMemberUniqueName="[LocalDateTable_66f09a5d-f864-46bc-a2f5-c0014bc05155].[Quarter].[All]" allUniqueName="[LocalDateTable_66f09a5d-f864-46bc-a2f5-c0014bc05155].[Quarter].[All]" dimensionUniqueName="[LocalDateTable_66f09a5d-f864-46bc-a2f5-c0014bc05155]" displayFolder="" count="0" memberValueDatatype="130" unbalanced="0" hidden="1"/>
    <cacheHierarchy uniqueName="[LocalDateTable_66f09a5d-f864-46bc-a2f5-c0014bc05155].[QuarterNo]" caption="QuarterNo" attribute="1" defaultMemberUniqueName="[LocalDateTable_66f09a5d-f864-46bc-a2f5-c0014bc05155].[QuarterNo].[All]" allUniqueName="[LocalDateTable_66f09a5d-f864-46bc-a2f5-c0014bc05155].[QuarterNo].[All]" dimensionUniqueName="[LocalDateTable_66f09a5d-f864-46bc-a2f5-c0014bc05155]" displayFolder="" count="0" memberValueDatatype="20" unbalanced="0" hidden="1"/>
    <cacheHierarchy uniqueName="[LocalDateTable_66f09a5d-f864-46bc-a2f5-c0014bc05155].[Year]" caption="Year" attribute="1" defaultMemberUniqueName="[LocalDateTable_66f09a5d-f864-46bc-a2f5-c0014bc05155].[Year].[All]" allUniqueName="[LocalDateTable_66f09a5d-f864-46bc-a2f5-c0014bc05155].[Year].[All]" dimensionUniqueName="[LocalDateTable_66f09a5d-f864-46bc-a2f5-c0014bc05155]" displayFolder="" count="0" memberValueDatatype="20" unbalanced="0" hidden="1"/>
    <cacheHierarchy uniqueName="[LocalDateTable_754a5606-f042-4514-8c57-59f8f32672fc].[Date]" caption="Date" attribute="1" time="1" defaultMemberUniqueName="[LocalDateTable_754a5606-f042-4514-8c57-59f8f32672fc].[Date].[All]" allUniqueName="[LocalDateTable_754a5606-f042-4514-8c57-59f8f32672fc].[Date].[All]" dimensionUniqueName="[LocalDateTable_754a5606-f042-4514-8c57-59f8f32672fc]" displayFolder="" count="0" memberValueDatatype="7" unbalanced="0" hidden="1"/>
    <cacheHierarchy uniqueName="[LocalDateTable_754a5606-f042-4514-8c57-59f8f32672fc].[Day]" caption="Day" attribute="1" defaultMemberUniqueName="[LocalDateTable_754a5606-f042-4514-8c57-59f8f32672fc].[Day].[All]" allUniqueName="[LocalDateTable_754a5606-f042-4514-8c57-59f8f32672fc].[Day].[All]" dimensionUniqueName="[LocalDateTable_754a5606-f042-4514-8c57-59f8f32672fc]" displayFolder="" count="0" memberValueDatatype="20" unbalanced="0" hidden="1"/>
    <cacheHierarchy uniqueName="[LocalDateTable_754a5606-f042-4514-8c57-59f8f32672fc].[Month]" caption="Month" attribute="1" defaultMemberUniqueName="[LocalDateTable_754a5606-f042-4514-8c57-59f8f32672fc].[Month].[All]" allUniqueName="[LocalDateTable_754a5606-f042-4514-8c57-59f8f32672fc].[Month].[All]" dimensionUniqueName="[LocalDateTable_754a5606-f042-4514-8c57-59f8f32672fc]" displayFolder="" count="0" memberValueDatatype="130" unbalanced="0" hidden="1"/>
    <cacheHierarchy uniqueName="[LocalDateTable_754a5606-f042-4514-8c57-59f8f32672fc].[MonthNo]" caption="MonthNo" attribute="1" defaultMemberUniqueName="[LocalDateTable_754a5606-f042-4514-8c57-59f8f32672fc].[MonthNo].[All]" allUniqueName="[LocalDateTable_754a5606-f042-4514-8c57-59f8f32672fc].[MonthNo].[All]" dimensionUniqueName="[LocalDateTable_754a5606-f042-4514-8c57-59f8f32672fc]" displayFolder="" count="0" memberValueDatatype="20" unbalanced="0" hidden="1"/>
    <cacheHierarchy uniqueName="[LocalDateTable_754a5606-f042-4514-8c57-59f8f32672fc].[Quarter]" caption="Quarter" attribute="1" defaultMemberUniqueName="[LocalDateTable_754a5606-f042-4514-8c57-59f8f32672fc].[Quarter].[All]" allUniqueName="[LocalDateTable_754a5606-f042-4514-8c57-59f8f32672fc].[Quarter].[All]" dimensionUniqueName="[LocalDateTable_754a5606-f042-4514-8c57-59f8f32672fc]" displayFolder="" count="0" memberValueDatatype="130" unbalanced="0" hidden="1"/>
    <cacheHierarchy uniqueName="[LocalDateTable_754a5606-f042-4514-8c57-59f8f32672fc].[QuarterNo]" caption="QuarterNo" attribute="1" defaultMemberUniqueName="[LocalDateTable_754a5606-f042-4514-8c57-59f8f32672fc].[QuarterNo].[All]" allUniqueName="[LocalDateTable_754a5606-f042-4514-8c57-59f8f32672fc].[QuarterNo].[All]" dimensionUniqueName="[LocalDateTable_754a5606-f042-4514-8c57-59f8f32672fc]" displayFolder="" count="0" memberValueDatatype="20" unbalanced="0" hidden="1"/>
    <cacheHierarchy uniqueName="[LocalDateTable_754a5606-f042-4514-8c57-59f8f32672fc].[Year]" caption="Year" attribute="1" defaultMemberUniqueName="[LocalDateTable_754a5606-f042-4514-8c57-59f8f32672fc].[Year].[All]" allUniqueName="[LocalDateTable_754a5606-f042-4514-8c57-59f8f32672fc].[Year].[All]" dimensionUniqueName="[LocalDateTable_754a5606-f042-4514-8c57-59f8f32672fc]" displayFolder="" count="0" memberValueDatatype="20" unbalanced="0" hidden="1"/>
    <cacheHierarchy uniqueName="[LocalDateTable_9b9a9699-5b52-40e9-b4a0-c11cb55a9d61].[Date]" caption="Date" attribute="1" time="1" defaultMemberUniqueName="[LocalDateTable_9b9a9699-5b52-40e9-b4a0-c11cb55a9d61].[Date].[All]" allUniqueName="[LocalDateTable_9b9a9699-5b52-40e9-b4a0-c11cb55a9d61].[Date].[All]" dimensionUniqueName="[LocalDateTable_9b9a9699-5b52-40e9-b4a0-c11cb55a9d61]" displayFolder="" count="0" memberValueDatatype="7" unbalanced="0" hidden="1"/>
    <cacheHierarchy uniqueName="[LocalDateTable_9b9a9699-5b52-40e9-b4a0-c11cb55a9d61].[Day]" caption="Day" attribute="1" defaultMemberUniqueName="[LocalDateTable_9b9a9699-5b52-40e9-b4a0-c11cb55a9d61].[Day].[All]" allUniqueName="[LocalDateTable_9b9a9699-5b52-40e9-b4a0-c11cb55a9d61].[Day].[All]" dimensionUniqueName="[LocalDateTable_9b9a9699-5b52-40e9-b4a0-c11cb55a9d61]" displayFolder="" count="0" memberValueDatatype="20" unbalanced="0" hidden="1"/>
    <cacheHierarchy uniqueName="[LocalDateTable_9b9a9699-5b52-40e9-b4a0-c11cb55a9d61].[Month]" caption="Month" attribute="1" defaultMemberUniqueName="[LocalDateTable_9b9a9699-5b52-40e9-b4a0-c11cb55a9d61].[Month].[All]" allUniqueName="[LocalDateTable_9b9a9699-5b52-40e9-b4a0-c11cb55a9d61].[Month].[All]" dimensionUniqueName="[LocalDateTable_9b9a9699-5b52-40e9-b4a0-c11cb55a9d61]" displayFolder="" count="0" memberValueDatatype="130" unbalanced="0" hidden="1"/>
    <cacheHierarchy uniqueName="[LocalDateTable_9b9a9699-5b52-40e9-b4a0-c11cb55a9d61].[MonthNo]" caption="MonthNo" attribute="1" defaultMemberUniqueName="[LocalDateTable_9b9a9699-5b52-40e9-b4a0-c11cb55a9d61].[MonthNo].[All]" allUniqueName="[LocalDateTable_9b9a9699-5b52-40e9-b4a0-c11cb55a9d61].[MonthNo].[All]" dimensionUniqueName="[LocalDateTable_9b9a9699-5b52-40e9-b4a0-c11cb55a9d61]" displayFolder="" count="0" memberValueDatatype="20" unbalanced="0" hidden="1"/>
    <cacheHierarchy uniqueName="[LocalDateTable_9b9a9699-5b52-40e9-b4a0-c11cb55a9d61].[Quarter]" caption="Quarter" attribute="1" defaultMemberUniqueName="[LocalDateTable_9b9a9699-5b52-40e9-b4a0-c11cb55a9d61].[Quarter].[All]" allUniqueName="[LocalDateTable_9b9a9699-5b52-40e9-b4a0-c11cb55a9d61].[Quarter].[All]" dimensionUniqueName="[LocalDateTable_9b9a9699-5b52-40e9-b4a0-c11cb55a9d61]" displayFolder="" count="0" memberValueDatatype="130" unbalanced="0" hidden="1"/>
    <cacheHierarchy uniqueName="[LocalDateTable_9b9a9699-5b52-40e9-b4a0-c11cb55a9d61].[QuarterNo]" caption="QuarterNo" attribute="1" defaultMemberUniqueName="[LocalDateTable_9b9a9699-5b52-40e9-b4a0-c11cb55a9d61].[QuarterNo].[All]" allUniqueName="[LocalDateTable_9b9a9699-5b52-40e9-b4a0-c11cb55a9d61].[QuarterNo].[All]" dimensionUniqueName="[LocalDateTable_9b9a9699-5b52-40e9-b4a0-c11cb55a9d61]" displayFolder="" count="0" memberValueDatatype="20" unbalanced="0" hidden="1"/>
    <cacheHierarchy uniqueName="[LocalDateTable_9b9a9699-5b52-40e9-b4a0-c11cb55a9d61].[Year]" caption="Year" attribute="1" defaultMemberUniqueName="[LocalDateTable_9b9a9699-5b52-40e9-b4a0-c11cb55a9d61].[Year].[All]" allUniqueName="[LocalDateTable_9b9a9699-5b52-40e9-b4a0-c11cb55a9d61].[Year].[All]" dimensionUniqueName="[LocalDateTable_9b9a9699-5b52-40e9-b4a0-c11cb55a9d61]" displayFolder="" count="0" memberValueDatatype="20" unbalanced="0" hidden="1"/>
    <cacheHierarchy uniqueName="[LocalDateTable_a29de990-df00-42e6-9e8c-814d0b4b9a86].[Date]" caption="Date" attribute="1" time="1" defaultMemberUniqueName="[LocalDateTable_a29de990-df00-42e6-9e8c-814d0b4b9a86].[Date].[All]" allUniqueName="[LocalDateTable_a29de990-df00-42e6-9e8c-814d0b4b9a86].[Date].[All]" dimensionUniqueName="[LocalDateTable_a29de990-df00-42e6-9e8c-814d0b4b9a86]" displayFolder="" count="0" memberValueDatatype="7" unbalanced="0" hidden="1"/>
    <cacheHierarchy uniqueName="[LocalDateTable_a29de990-df00-42e6-9e8c-814d0b4b9a86].[Day]" caption="Day" attribute="1" defaultMemberUniqueName="[LocalDateTable_a29de990-df00-42e6-9e8c-814d0b4b9a86].[Day].[All]" allUniqueName="[LocalDateTable_a29de990-df00-42e6-9e8c-814d0b4b9a86].[Day].[All]" dimensionUniqueName="[LocalDateTable_a29de990-df00-42e6-9e8c-814d0b4b9a86]" displayFolder="" count="0" memberValueDatatype="20" unbalanced="0" hidden="1"/>
    <cacheHierarchy uniqueName="[LocalDateTable_a29de990-df00-42e6-9e8c-814d0b4b9a86].[Month]" caption="Month" attribute="1" defaultMemberUniqueName="[LocalDateTable_a29de990-df00-42e6-9e8c-814d0b4b9a86].[Month].[All]" allUniqueName="[LocalDateTable_a29de990-df00-42e6-9e8c-814d0b4b9a86].[Month].[All]" dimensionUniqueName="[LocalDateTable_a29de990-df00-42e6-9e8c-814d0b4b9a86]" displayFolder="" count="0" memberValueDatatype="130" unbalanced="0" hidden="1"/>
    <cacheHierarchy uniqueName="[LocalDateTable_a29de990-df00-42e6-9e8c-814d0b4b9a86].[MonthNo]" caption="MonthNo" attribute="1" defaultMemberUniqueName="[LocalDateTable_a29de990-df00-42e6-9e8c-814d0b4b9a86].[MonthNo].[All]" allUniqueName="[LocalDateTable_a29de990-df00-42e6-9e8c-814d0b4b9a86].[MonthNo].[All]" dimensionUniqueName="[LocalDateTable_a29de990-df00-42e6-9e8c-814d0b4b9a86]" displayFolder="" count="0" memberValueDatatype="20" unbalanced="0" hidden="1"/>
    <cacheHierarchy uniqueName="[LocalDateTable_a29de990-df00-42e6-9e8c-814d0b4b9a86].[Quarter]" caption="Quarter" attribute="1" defaultMemberUniqueName="[LocalDateTable_a29de990-df00-42e6-9e8c-814d0b4b9a86].[Quarter].[All]" allUniqueName="[LocalDateTable_a29de990-df00-42e6-9e8c-814d0b4b9a86].[Quarter].[All]" dimensionUniqueName="[LocalDateTable_a29de990-df00-42e6-9e8c-814d0b4b9a86]" displayFolder="" count="0" memberValueDatatype="130" unbalanced="0" hidden="1"/>
    <cacheHierarchy uniqueName="[LocalDateTable_a29de990-df00-42e6-9e8c-814d0b4b9a86].[QuarterNo]" caption="QuarterNo" attribute="1" defaultMemberUniqueName="[LocalDateTable_a29de990-df00-42e6-9e8c-814d0b4b9a86].[QuarterNo].[All]" allUniqueName="[LocalDateTable_a29de990-df00-42e6-9e8c-814d0b4b9a86].[QuarterNo].[All]" dimensionUniqueName="[LocalDateTable_a29de990-df00-42e6-9e8c-814d0b4b9a86]" displayFolder="" count="0" memberValueDatatype="20" unbalanced="0" hidden="1"/>
    <cacheHierarchy uniqueName="[LocalDateTable_a29de990-df00-42e6-9e8c-814d0b4b9a86].[Year]" caption="Year" attribute="1" defaultMemberUniqueName="[LocalDateTable_a29de990-df00-42e6-9e8c-814d0b4b9a86].[Year].[All]" allUniqueName="[LocalDateTable_a29de990-df00-42e6-9e8c-814d0b4b9a86].[Year].[All]" dimensionUniqueName="[LocalDateTable_a29de990-df00-42e6-9e8c-814d0b4b9a86]" displayFolder="" count="0" memberValueDatatype="20" unbalanced="0" hidden="1"/>
    <cacheHierarchy uniqueName="[LocalDateTable_e1d748f9-bc77-4c73-ba8d-fcf5ec29dd71].[Date]" caption="Date" attribute="1" time="1" defaultMemberUniqueName="[LocalDateTable_e1d748f9-bc77-4c73-ba8d-fcf5ec29dd71].[Date].[All]" allUniqueName="[LocalDateTable_e1d748f9-bc77-4c73-ba8d-fcf5ec29dd71].[Date].[All]" dimensionUniqueName="[LocalDateTable_e1d748f9-bc77-4c73-ba8d-fcf5ec29dd71]" displayFolder="" count="0" memberValueDatatype="7" unbalanced="0" hidden="1"/>
    <cacheHierarchy uniqueName="[LocalDateTable_e1d748f9-bc77-4c73-ba8d-fcf5ec29dd71].[Day]" caption="Day" attribute="1" defaultMemberUniqueName="[LocalDateTable_e1d748f9-bc77-4c73-ba8d-fcf5ec29dd71].[Day].[All]" allUniqueName="[LocalDateTable_e1d748f9-bc77-4c73-ba8d-fcf5ec29dd71].[Day].[All]" dimensionUniqueName="[LocalDateTable_e1d748f9-bc77-4c73-ba8d-fcf5ec29dd71]" displayFolder="" count="0" memberValueDatatype="20" unbalanced="0" hidden="1"/>
    <cacheHierarchy uniqueName="[LocalDateTable_e1d748f9-bc77-4c73-ba8d-fcf5ec29dd71].[Month]" caption="Month" attribute="1" defaultMemberUniqueName="[LocalDateTable_e1d748f9-bc77-4c73-ba8d-fcf5ec29dd71].[Month].[All]" allUniqueName="[LocalDateTable_e1d748f9-bc77-4c73-ba8d-fcf5ec29dd71].[Month].[All]" dimensionUniqueName="[LocalDateTable_e1d748f9-bc77-4c73-ba8d-fcf5ec29dd71]" displayFolder="" count="0" memberValueDatatype="130" unbalanced="0" hidden="1"/>
    <cacheHierarchy uniqueName="[LocalDateTable_e1d748f9-bc77-4c73-ba8d-fcf5ec29dd71].[MonthNo]" caption="MonthNo" attribute="1" defaultMemberUniqueName="[LocalDateTable_e1d748f9-bc77-4c73-ba8d-fcf5ec29dd71].[MonthNo].[All]" allUniqueName="[LocalDateTable_e1d748f9-bc77-4c73-ba8d-fcf5ec29dd71].[MonthNo].[All]" dimensionUniqueName="[LocalDateTable_e1d748f9-bc77-4c73-ba8d-fcf5ec29dd71]" displayFolder="" count="0" memberValueDatatype="20" unbalanced="0" hidden="1"/>
    <cacheHierarchy uniqueName="[LocalDateTable_e1d748f9-bc77-4c73-ba8d-fcf5ec29dd71].[Quarter]" caption="Quarter" attribute="1" defaultMemberUniqueName="[LocalDateTable_e1d748f9-bc77-4c73-ba8d-fcf5ec29dd71].[Quarter].[All]" allUniqueName="[LocalDateTable_e1d748f9-bc77-4c73-ba8d-fcf5ec29dd71].[Quarter].[All]" dimensionUniqueName="[LocalDateTable_e1d748f9-bc77-4c73-ba8d-fcf5ec29dd71]" displayFolder="" count="0" memberValueDatatype="130" unbalanced="0" hidden="1"/>
    <cacheHierarchy uniqueName="[LocalDateTable_e1d748f9-bc77-4c73-ba8d-fcf5ec29dd71].[QuarterNo]" caption="QuarterNo" attribute="1" defaultMemberUniqueName="[LocalDateTable_e1d748f9-bc77-4c73-ba8d-fcf5ec29dd71].[QuarterNo].[All]" allUniqueName="[LocalDateTable_e1d748f9-bc77-4c73-ba8d-fcf5ec29dd71].[QuarterNo].[All]" dimensionUniqueName="[LocalDateTable_e1d748f9-bc77-4c73-ba8d-fcf5ec29dd71]" displayFolder="" count="0" memberValueDatatype="20" unbalanced="0" hidden="1"/>
    <cacheHierarchy uniqueName="[LocalDateTable_e1d748f9-bc77-4c73-ba8d-fcf5ec29dd71].[Year]" caption="Year" attribute="1" defaultMemberUniqueName="[LocalDateTable_e1d748f9-bc77-4c73-ba8d-fcf5ec29dd71].[Year].[All]" allUniqueName="[LocalDateTable_e1d748f9-bc77-4c73-ba8d-fcf5ec29dd71].[Year].[All]" dimensionUniqueName="[LocalDateTable_e1d748f9-bc77-4c73-ba8d-fcf5ec29dd71]" displayFolder="" count="0" memberValueDatatype="20" unbalanced="0" hidden="1"/>
    <cacheHierarchy uniqueName="[Product Parameter].[Product Parameter Fields]" caption="Product Parameter Fields" attribute="1" defaultMemberUniqueName="[Product Parameter].[Product Parameter Fields].[All]" allUniqueName="[Product Parameter].[Product Parameter Fields].[All]" dimensionUniqueName="[Product Parameter]" displayFolder="" count="0" memberValueDatatype="130" unbalanced="0" hidden="1"/>
    <cacheHierarchy uniqueName="[Product Parameter].[Product Parameter Order]" caption="Product Parameter Order" attribute="1" defaultMemberUniqueName="[Product Parameter].[Product Parameter Order].[All]" allUniqueName="[Product Parameter].[Product Parameter Order].[All]" dimensionUniqueName="[Product Parameter]" displayFolder="" count="0" memberValueDatatype="20" unbalanced="0" hidden="1"/>
    <cacheHierarchy uniqueName="[Measures].[Total Retail Sales]" caption="Total Retail Sales" measure="1" displayFolder="" measureGroup="BI vw_WeeklyWrittenSalesMetrics" count="0"/>
    <cacheHierarchy uniqueName="[Measures].[Cancelled]" caption="Cancelled" measure="1" displayFolder="" measureGroup="BI vw_WeeklyWrittenSalesMetrics" count="0"/>
    <cacheHierarchy uniqueName="[Measures].[Return]" caption="Return" measure="1" displayFolder="" measureGroup="BI vw_WeeklyWrittenSalesMetrics" count="0"/>
    <cacheHierarchy uniqueName="[Measures].[R-SalesCost]" caption="R-SalesCost" measure="1" displayFolder="" measureGroup="BI metrics" count="0"/>
    <cacheHierarchy uniqueName="[Measures].[R-SalesatFullRet]" caption="R-SalesatFullRet" measure="1" displayFolder="" measureGroup="BI metrics" count="0"/>
    <cacheHierarchy uniqueName="[Measures].[R-GM$ TY]" caption="R-GM$ TY" measure="1" displayFolder="" measureGroup="BI metrics" count="0"/>
    <cacheHierarchy uniqueName="[Measures].[R-Sales TY $]" caption="R-Sales TY $" measure="1" displayFolder="" measureGroup="BI metrics" count="0" oneField="1">
      <fieldsUsage count="1">
        <fieldUsage x="11"/>
      </fieldsUsage>
    </cacheHierarchy>
    <cacheHierarchy uniqueName="[Measures].[R-Units TY]" caption="R-Units TY" measure="1" displayFolder="" measureGroup="BI metrics" count="0"/>
    <cacheHierarchy uniqueName="[Measures].[R-M/D$ TY]" caption="R-M/D$ TY" measure="1" displayFolder="" measureGroup="BI metrics" count="0"/>
    <cacheHierarchy uniqueName="[Measures].[R-Budget$-ItemDept]" caption="R-Budget$-ItemDept" measure="1" displayFolder="" measureGroup="BI metrics" count="0"/>
    <cacheHierarchy uniqueName="[Measures].[R-BudgetGM$-ItemDept]" caption="R-BudgetGM$-ItemDept" measure="1" displayFolder="" measureGroup="BI metrics" count="0"/>
    <cacheHierarchy uniqueName="[Measures].[R-Budget$-Store]" caption="R-Budget$-Store" measure="1" displayFolder="" measureGroup="BI metrics" count="0"/>
    <cacheHierarchy uniqueName="[Measures].[R-Units LY]" caption="R-Units LY" measure="1" displayFolder="" measureGroup="BI metrics" count="0"/>
    <cacheHierarchy uniqueName="[Measures].[R-Sales LY $]" caption="R-Sales LY $" measure="1" displayFolder="" measureGroup="BI metrics" count="0"/>
    <cacheHierarchy uniqueName="[Measures].[R-GM$ LY]" caption="R-GM$ LY" measure="1" displayFolder="" measureGroup="BI metrics" count="0"/>
    <cacheHierarchy uniqueName="[Measures].[R-Sales YoY]" caption="R-Sales YoY" measure="1" displayFolder="" measureGroup="BI metrics" count="0"/>
    <cacheHierarchy uniqueName="[Measures].[R-GM$ YoY]" caption="R-GM$ YoY" measure="1" displayFolder="" measureGroup="BI metrics" count="0"/>
    <cacheHierarchy uniqueName="[Measures].[R-Sales vs Budget]" caption="R-Sales vs Budget" measure="1" displayFolder="" measureGroup="BI metrics" count="0"/>
    <cacheHierarchy uniqueName="[Measures].[R-M/D$ LY]" caption="R-M/D$ LY" measure="1" displayFolder="" measureGroup="BI metrics" count="0"/>
    <cacheHierarchy uniqueName="[Measures].[period_test]" caption="period_test" measure="1" displayFolder="" measureGroup="BI metrics" count="0"/>
    <cacheHierarchy uniqueName="[Measures].[R-Traffic TY]" caption="R-Traffic TY" measure="1" displayFolder="" measureGroup="BI metrics" count="0"/>
    <cacheHierarchy uniqueName="[Measures].[R-ATV TY]" caption="R-ATV TY" measure="1" displayFolder="" measureGroup="BI metrics" count="0"/>
    <cacheHierarchy uniqueName="[Measures].[R Sales YoY]" caption="R Sales YoY" measure="1" displayFolder="" measureGroup="BI metrics" count="0"/>
    <cacheHierarchy uniqueName="[Measures].[R-GM$ budget TY]" caption="R-GM$ budget TY" measure="1" displayFolder="" measureGroup="BI metrics" count="0"/>
    <cacheHierarchy uniqueName="[Measures].[R-GM$ Budget LY]" caption="R-GM$ Budget LY" measure="1" displayFolder="" measureGroup="BI metrics" count="0"/>
    <cacheHierarchy uniqueName="[Measures].[R-GM vs Budget]" caption="R-GM vs Budget" measure="1" displayFolder="" measureGroup="BI metrics" count="0"/>
    <cacheHierarchy uniqueName="[Measures].[R-GM % TY]" caption="R-GM % TY" measure="1" displayFolder="" measureGroup="BI metrics" count="0"/>
    <cacheHierarchy uniqueName="[Measures].[R-GM % LY]" caption="R-GM % LY" measure="1" displayFolder="" measureGroup="BI metrics" count="0"/>
    <cacheHierarchy uniqueName="[Measures].[R-GM% Budget TY]" caption="R-GM% Budget TY" measure="1" displayFolder="" measureGroup="BI metrics" count="0"/>
    <cacheHierarchy uniqueName="[Measures].[R-M/D % TY]" caption="R-M/D % TY" measure="1" displayFolder="" measureGroup="BI metrics" count="0"/>
    <cacheHierarchy uniqueName="[Measures].[R-M/D % LY]" caption="R-M/D % LY" measure="1" displayFolder="" measureGroup="BI metrics" count="0"/>
    <cacheHierarchy uniqueName="[Measures].[R-ATV LY]" caption="R-ATV LY" measure="1" displayFolder="" measureGroup="BI metrics" count="0"/>
    <cacheHierarchy uniqueName="[Measures].[R-Traffic LY]" caption="R-Traffic LY" measure="1" displayFolder="" measureGroup="BI metrics" count="0"/>
    <cacheHierarchy uniqueName="[Measures].[R-Traffic YoY]" caption="R-Traffic YoY" measure="1" displayFolder="" measureGroup="BI metrics" count="0"/>
    <cacheHierarchy uniqueName="[Measures].[R-Store Trans LY]" caption="R-Store Trans LY" measure="1" displayFolder="" measureGroup="BI metrics" count="0"/>
    <cacheHierarchy uniqueName="[Measures].[R-Store Trans TY]" caption="R-Store Trans TY" measure="1" displayFolder="" measureGroup="BI metrics" count="0"/>
    <cacheHierarchy uniqueName="[Measures].[R-Conv TY]" caption="R-Conv TY" measure="1" displayFolder="" measureGroup="BI metrics" count="0"/>
    <cacheHierarchy uniqueName="[Measures].[R-Conv LY]" caption="R-Conv LY" measure="1" displayFolder="" measureGroup="BI metrics" count="0"/>
    <cacheHierarchy uniqueName="[Measures].[R-IPT TY]" caption="R-IPT TY" measure="1" displayFolder="" measureGroup="BI metrics" count="0"/>
    <cacheHierarchy uniqueName="[Measures].[R-GM% Budget LY]" caption="R-GM% Budget LY" measure="1" displayFolder="" measureGroup="BI metrics" count="0"/>
    <cacheHierarchy uniqueName="[Measures].[R-Store Trans YoY]" caption="R-Store Trans YoY" measure="1" displayFolder="" measureGroup="BI metrics" count="0"/>
    <cacheHierarchy uniqueName="[Measures].[R-Conv YoY]" caption="R-Conv YoY" measure="1" displayFolder="" measureGroup="BI metrics" count="0"/>
    <cacheHierarchy uniqueName="[Measures].[R-Sales vs Budget - ItemDept]" caption="R-Sales vs Budget - ItemDept" measure="1" displayFolder="" measureGroup="BI metrics" count="0"/>
    <cacheHierarchy uniqueName="[Measures].[R-ATV YoY]" caption="R-ATV YoY" measure="1" displayFolder="" measureGroup="BI metrics" count="0"/>
    <cacheHierarchy uniqueName="[Measures].[R-M/D$ Budget-ItemDept]" caption="R-M/D$ Budget-ItemDept" measure="1" displayFolder="" measureGroup="BI metrics" count="0"/>
    <cacheHierarchy uniqueName="[Measures].[R-M/D% Budget TY]" caption="R-M/D% Budget TY" measure="1" displayFolder="" measureGroup="BI metrics" count="0"/>
    <cacheHierarchy uniqueName="[Measures].[R-Dropship$ budget TY]" caption="R-Dropship$ budget TY" measure="1" displayFolder="" measureGroup="BI metrics" count="0"/>
    <cacheHierarchy uniqueName="[Measures].[R-GM$ Revenue budget TY]" caption="R-GM$ Revenue budget TY" measure="1" displayFolder="" measureGroup="BI metrics" count="0"/>
    <cacheHierarchy uniqueName="[Measures].[GM$ Revenue Budget TY]" caption="GM$ Revenue Budget TY" measure="1" displayFolder="" measureGroup="BI metrics" count="0"/>
    <cacheHierarchy uniqueName="[Measures].[R-Sales vs Plan]" caption="R-Sales vs Plan" measure="1" displayFolder="" measureGroup="BI metrics" count="0"/>
    <cacheHierarchy uniqueName="[Measures].[R-Cancellation TY $]" caption="R-Cancellation TY $" measure="1" displayFolder="" measureGroup="BI metrics" count="0"/>
    <cacheHierarchy uniqueName="[Measures].[R-Return TY $]" caption="R-Return TY $" measure="1" displayFolder="" measureGroup="BI metrics" count="0"/>
    <cacheHierarchy uniqueName="[Measures].[R-Sales TY $1]" caption="R-Sales TY $1" measure="1" displayFolder="" measureGroup="BI metrics" count="0"/>
    <cacheHierarchy uniqueName="[Measures].[R-Budget ATV Online]" caption="R-Budget ATV Online" measure="1" displayFolder="" measureGroup="BI metrics" count="0"/>
    <cacheHierarchy uniqueName="[Measures].[R-Budget Traffic Online]" caption="R-Budget Traffic Online" measure="1" displayFolder="" measureGroup="BI metrics" count="0"/>
    <cacheHierarchy uniqueName="[Measures].[R-Budget Store Trans Online]" caption="R-Budget Store Trans Online" measure="1" displayFolder="" measureGroup="BI metrics" count="0"/>
    <cacheHierarchy uniqueName="[Measures].[R-Budget Conv Online]" caption="R-Budget Conv Online" measure="1" displayFolder="" measureGroup="BI metrics" count="0"/>
    <cacheHierarchy uniqueName="[Measures].[R-M/D$ YoY]" caption="R-M/D$ YoY" measure="1" displayFolder="" measureGroup="BI metrics" count="0"/>
    <cacheHierarchy uniqueName="[Measures].[R-M/D vs Budget]" caption="R-M/D vs Budget" measure="1" displayFolder="" measureGroup="BI metrics" count="0"/>
    <cacheHierarchy uniqueName="[Measures].[R-Traffic Budget Online]" caption="R-Traffic Budget Online" measure="1" displayFolder="" measureGroup="BI metrics" count="0"/>
    <cacheHierarchy uniqueName="[Measures].[R-Traffic vs Budget]" caption="R-Traffic vs Budget" measure="1" displayFolder="" measureGroup="BI metrics" count="0"/>
    <cacheHierarchy uniqueName="[Measures].[R-Store Trans Budget Online]" caption="R-Store Trans Budget Online" measure="1" displayFolder="" measureGroup="BI metrics" count="0"/>
    <cacheHierarchy uniqueName="[Measures].[R-Store Trans vs Budget]" caption="R-Store Trans vs Budget" measure="1" displayFolder="" measureGroup="BI metrics" count="0"/>
    <cacheHierarchy uniqueName="[Measures].[R-Conv Budget Online]" caption="R-Conv Budget Online" measure="1" displayFolder="" measureGroup="BI metrics" count="0"/>
    <cacheHierarchy uniqueName="[Measures].[R-Conv vs Budget]" caption="R-Conv vs Budget" measure="1" displayFolder="" measureGroup="BI metrics" count="0"/>
    <cacheHierarchy uniqueName="[Measures].[R-ATV Budget Online]" caption="R-ATV Budget Online" measure="1" displayFolder="" measureGroup="BI metrics" count="0"/>
    <cacheHierarchy uniqueName="[Measures].[R-ATV vs Budget]" caption="R-ATV vs Budget" measure="1" displayFolder="" measureGroup="BI metrics" count="0"/>
    <cacheHierarchy uniqueName="[Measures].[R-Conv LY1]" caption="R-Conv LY1" measure="1" displayFolder="" measureGroup="BI metrics" count="0"/>
    <cacheHierarchy uniqueName="[Measures].[R-Conv TY1]" caption="R-Conv TY1" measure="1" displayFolder="" measureGroup="BI metrics" count="0"/>
    <cacheHierarchy uniqueName="[Measures].[R-ASP TY]" caption="R-ASP TY" measure="1" displayFolder="" measureGroup="BI metrics" count="0"/>
    <cacheHierarchy uniqueName="[Measures].[ASP LY]" caption="ASP LY" measure="1" displayFolder="" measureGroup="BI metrics" count="0"/>
    <cacheHierarchy uniqueName="[Measures].[R-ASP LY]" caption="R-ASP LY" measure="1" displayFolder="" measureGroup="BI metrics" count="0"/>
    <cacheHierarchy uniqueName="[Measures].[R-Sales TY In Store$]" caption="R-Sales TY In Store$" measure="1" displayFolder="aa_New Measures" measureGroup="BI metrics" count="0"/>
    <cacheHierarchy uniqueName="[Measures].[R-Sales TY Dropship$]" caption="R-Sales TY Dropship$" measure="1" displayFolder="aa_New Measures" measureGroup="BI metrics" count="0"/>
    <cacheHierarchy uniqueName="[Measures].[R-Sales TY Online$]" caption="R-Sales TY Online$" measure="1" displayFolder="aa_New Measures" measureGroup="BI metrics" count="0"/>
    <cacheHierarchy uniqueName="[Measures].[R-Sales TY Dropship Budget$]" caption="R-Sales TY Dropship Budget$" measure="1" displayFolder="aa_New Measures" measureGroup="BI metrics" count="0"/>
    <cacheHierarchy uniqueName="[Measures].[R-Sales TY In Store Budget$]" caption="R-Sales TY In Store Budget$" measure="1" displayFolder="aa_New Measures" measureGroup="BI metrics" count="0"/>
    <cacheHierarchy uniqueName="[Measures].[R-Sales TY Online Budget$]" caption="R-Sales TY Online Budget$" measure="1" displayFolder="aa_New Measures" measureGroup="BI metrics" count="0"/>
    <cacheHierarchy uniqueName="[Measures].[Delta Dropship]" caption="Delta Dropship" measure="1" displayFolder="aa_New Measures" measureGroup="BI metrics" count="0"/>
    <cacheHierarchy uniqueName="[Measures].[Delta Total]" caption="Delta Total" measure="1" displayFolder="aa_New Measures" measureGroup="BI metrics" count="0"/>
    <cacheHierarchy uniqueName="[Measures].[Delta In Store + Online]" caption="Delta In Store + Online" measure="1" displayFolder="aa_New Measures" measureGroup="BI metrics" count="0"/>
    <cacheHierarchy uniqueName="[Measures].[Delta Online]" caption="Delta Online" measure="1" displayFolder="aa_New Measures" measureGroup="BI metrics" count="0"/>
    <cacheHierarchy uniqueName="[Measures].[%Var Total]" caption="%Var Total" measure="1" displayFolder="aa_New Measures" measureGroup="BI metrics" count="0"/>
    <cacheHierarchy uniqueName="[Measures].[%Var In Store + Online]" caption="%Var In Store + Online" measure="1" displayFolder="aa_New Measures" measureGroup="BI metrics" count="0"/>
    <cacheHierarchy uniqueName="[Measures].[%Var Online]" caption="%Var Online" measure="1" displayFolder="aa_New Measures" measureGroup="BI metrics" count="0"/>
    <cacheHierarchy uniqueName="[Measures].[%Var Dropship]" caption="%Var Dropship" measure="1" displayFolder="aa_New Measures" measureGroup="BI metrics" count="0"/>
    <cacheHierarchy uniqueName="[Measures].[R-Sales TY In Store + Online$]" caption="R-Sales TY In Store + Online$" measure="1" displayFolder="aa_New Measures" measureGroup="BI metrics" count="0"/>
    <cacheHierarchy uniqueName="[Measures].[R-Sales TY In Store + Online Budget$]" caption="R-Sales TY In Store + Online Budget$" measure="1" displayFolder="aa_New Measures" measureGroup="BI metrics" count="0"/>
    <cacheHierarchy uniqueName="[Measures].[Delta In Store]" caption="Delta In Store" measure="1" displayFolder="aa_New Measures" measureGroup="BI metrics" count="0"/>
    <cacheHierarchy uniqueName="[Measures].[%Var In Store]" caption="%Var In Store" measure="1" displayFolder="aa_New Measures" measureGroup="BI metrics" count="0"/>
    <cacheHierarchy uniqueName="[Measures].[Sales TY In Store$]" caption="Sales TY In Store$" measure="1" displayFolder="aa_New Measures" measureGroup="BI metrics" count="0"/>
    <cacheHierarchy uniqueName="[Measures].[Sales TY Total$]" caption="Sales TY Total$" measure="1" displayFolder="aa_New Measures" measureGroup="BI metrics" count="0"/>
    <cacheHierarchy uniqueName="[Measures].[Sales TY Instore + Online$]" caption="Sales TY Instore + Online$" measure="1" displayFolder="aa_New Measures" measureGroup="BI metrics" count="0"/>
    <cacheHierarchy uniqueName="[Measures].[Sales TY Dropship$]" caption="Sales TY Dropship$" measure="1" displayFolder="aa_New Measures" measureGroup="BI metrics" count="0"/>
    <cacheHierarchy uniqueName="[Measures].[Budget TY Total$]" caption="Budget TY Total$" measure="1" displayFolder="aa_New Measures" measureGroup="BI metrics" count="0"/>
    <cacheHierarchy uniqueName="[Measures].[Budget TY In Store$]" caption="Budget TY In Store$" measure="1" displayFolder="aa_New Measures" measureGroup="BI metrics" count="0"/>
    <cacheHierarchy uniqueName="[Measures].[Budget TY Dropship$]" caption="Budget TY Dropship$" measure="1" displayFolder="aa_New Measures" measureGroup="BI metrics" count="0"/>
    <cacheHierarchy uniqueName="[Measures].[Budget TY Instore + Online$]" caption="Budget TY Instore + Online$" measure="1" displayFolder="aa_New Measures" measureGroup="BI metrics" count="0"/>
    <cacheHierarchy uniqueName="[Measures].[Delta1 Total]" caption="Delta1 Total" measure="1" displayFolder="aa_New Measures" measureGroup="BI metrics" count="0"/>
    <cacheHierarchy uniqueName="[Measures].[Delta1 In Store]" caption="Delta1 In Store" measure="1" displayFolder="aa_New Measures" measureGroup="BI metrics" count="0"/>
    <cacheHierarchy uniqueName="[Measures].[Delta1 In Store + Online]" caption="Delta1 In Store + Online" measure="1" displayFolder="aa_New Measures" measureGroup="BI metrics" count="0"/>
    <cacheHierarchy uniqueName="[Measures].[Delta1 In Dropship]" caption="Delta1 In Dropship" measure="1" displayFolder="aa_New Measures" measureGroup="BI metrics" count="0"/>
    <cacheHierarchy uniqueName="[Measures].[%Var1 Total]" caption="%Var1 Total" measure="1" displayFolder="aa_New Measures" measureGroup="BI metrics" count="0"/>
    <cacheHierarchy uniqueName="[Measures].[%Var1 In Store]" caption="%Var1 In Store" measure="1" displayFolder="aa_New Measures" measureGroup="BI metrics" count="0"/>
    <cacheHierarchy uniqueName="[Measures].[%Var1 In Store + Online]" caption="%Var1 In Store + Online" measure="1" displayFolder="aa_New Measures" measureGroup="BI metrics" count="0"/>
    <cacheHierarchy uniqueName="[Measures].[%Var1 Dropship]" caption="%Var1 Dropship" measure="1" displayFolder="aa_New Measures" measureGroup="BI metrics" count="0"/>
    <cacheHierarchy uniqueName="[Measures].[Total Budget]" caption="Total Budget" measure="1" displayFolder="" measureGroup="BI vw_BudgetByStore" count="0"/>
    <cacheHierarchy uniqueName="[Measures].[R-Budget$-Store1]" caption="R-Budget$-Store1" measure="1" displayFolder="" measureGroup="BI vw_BudgetByStore" count="0"/>
    <cacheHierarchy uniqueName="[Measures].[Total Budget1]" caption="Total Budget1" measure="1" displayFolder="" measureGroup="BI vw_BudgetByStore" count="0"/>
    <cacheHierarchy uniqueName="[Measures].[Sales/Budget KPIs]" caption="Sales/Budget KPIs" measure="1" displayFolder="" measureGroup="BI vw_BudgetByStore" count="0"/>
    <cacheHierarchy uniqueName="[Measures].[Sales/Budget Color]" caption="Sales/Budget Color" measure="1" displayFolder="" measureGroup="BI vw_BudgetByStore" count="0"/>
    <cacheHierarchy uniqueName="[Measures].[Sales TY/LY KPIs]" caption="Sales TY/LY KPIs" measure="1" displayFolder="" measureGroup="BI vw_BudgetByStore" count="0"/>
    <cacheHierarchy uniqueName="[Measures].[Sales TY/LY Color]" caption="Sales TY/LY Color" measure="1" displayFolder="" measureGroup="BI vw_BudgetByStore" count="0"/>
    <cacheHierarchy uniqueName="[Measures].[GM KPIs]" caption="GM KPIs" measure="1" displayFolder="" measureGroup="BI vw_BudgetByStore" count="0"/>
    <cacheHierarchy uniqueName="[Measures].[GM TY/LY Color]" caption="GM TY/LY Color" measure="1" displayFolder="" measureGroup="BI vw_BudgetByStore" count="0"/>
    <cacheHierarchy uniqueName="[Measures].[R-Budget-ItemDept Y/N]" caption="R-Budget-ItemDept Y/N" measure="1" displayFolder="" measureGroup="BI vw_BudgetByItemCategory" count="0"/>
    <cacheHierarchy uniqueName="[Measures].[R-Sales vs Budget-ItemDept Y/N]" caption="R-Sales vs Budget-ItemDept Y/N" measure="1" displayFolder="" measureGroup="BI vw_BudgetByItemCategory" count="0"/>
    <cacheHierarchy uniqueName="[Measures].[Rank]" caption="Rank" measure="1" displayFolder="" measureGroup="BI vw_WeeklyItemSales" count="0"/>
    <cacheHierarchy uniqueName="[Measures].[Store Trans]" caption="Store Trans" measure="1" displayFolder="" measureGroup="BI vw_WeeklyStoreATV" count="0"/>
    <cacheHierarchy uniqueName="[Measures].[Sales TY $]" caption="Sales TY $" measure="1" displayFolder="" measureGroup="Measure" count="0"/>
    <cacheHierarchy uniqueName="[Measures].[This Year]" caption="This Year" measure="1" displayFolder="" measureGroup="Measure" count="0"/>
    <cacheHierarchy uniqueName="[Measures].[Sales LY $]" caption="Sales LY $" measure="1" displayFolder="" measureGroup="Measure" count="0"/>
    <cacheHierarchy uniqueName="[Measures].[GM$ TY]" caption="GM$ TY" measure="1" displayFolder="" measureGroup="Measure" count="0"/>
    <cacheHierarchy uniqueName="[Measures].[GM$ LY]" caption="GM$ LY" measure="1" displayFolder="" measureGroup="Measure" count="0"/>
    <cacheHierarchy uniqueName="[Measures].[M/D$ TY]" caption="M/D$ TY" measure="1" displayFolder="" measureGroup="Measure" count="0"/>
    <cacheHierarchy uniqueName="[Measures].[M/D LY $]" caption="M/D LY $" measure="1" displayFolder="" measureGroup="Measure" count="0"/>
    <cacheHierarchy uniqueName="[Measures].[Budget$-Store]" caption="Budget$-Store" measure="1" displayFolder="" measureGroup="Measure" count="0"/>
    <cacheHierarchy uniqueName="[Measures].[ATV TY]" caption="ATV TY" measure="1" displayFolder="" measureGroup="Measure" count="0"/>
    <cacheHierarchy uniqueName="[Measures].[ATV LY $]" caption="ATV LY $" measure="1" displayFolder="" measureGroup="Measure" count="0"/>
    <cacheHierarchy uniqueName="[Measures].[BudgetDollar-ItemDept]" caption="BudgetDollar-ItemDept" measure="1" displayFolder="" measureGroup="Measure" count="0"/>
    <cacheHierarchy uniqueName="[Measures].[BudgetGMDollar-ItemDept]" caption="BudgetGMDollar-ItemDept" measure="1" displayFolder="" measureGroup="Measure" count="0"/>
    <cacheHierarchy uniqueName="[Measures].[GM$ YoY]" caption="GM$ YoY" measure="1" displayFolder="" measureGroup="Measure" count="0"/>
    <cacheHierarchy uniqueName="[Measures].[Sales vs Budget]" caption="Sales vs Budget" measure="1" displayFolder="" measureGroup="Measure" count="0"/>
    <cacheHierarchy uniqueName="[Measures].[Sales YoY]" caption="Sales YoY" measure="1" displayFolder="" measureGroup="Measure" count="0"/>
    <cacheHierarchy uniqueName="[Measures].[SalesatFullRet]" caption="SalesatFullRet" measure="1" displayFolder="" measureGroup="Measure" count="0"/>
    <cacheHierarchy uniqueName="[Measures].[SalesCost]" caption="SalesCost" measure="1" displayFolder="" measureGroup="Measure" count="0"/>
    <cacheHierarchy uniqueName="[Measures].[Traffic TY]" caption="Traffic TY" measure="1" displayFolder="" measureGroup="Measure" count="0"/>
    <cacheHierarchy uniqueName="[Measures].[Units TY]" caption="Units TY" measure="1" displayFolder="" measureGroup="Measure" count="0"/>
    <cacheHierarchy uniqueName="[Measures].[Units LY]" caption="Units LY" measure="1" displayFolder="" measureGroup="Measure" count="0"/>
    <cacheHierarchy uniqueName="[Measures].[Rolling 12 months Sales]" caption="Rolling 12 months Sales" measure="1" displayFolder="" measureGroup="Measure" count="0"/>
    <cacheHierarchy uniqueName="[Measures].[Rolling 12 months GM]" caption="Rolling 12 months GM" measure="1" displayFolder="" measureGroup="Measure" count="0"/>
    <cacheHierarchy uniqueName="[Measures].[Rolling 12 months M/D]" caption="Rolling 12 months M/D" measure="1" displayFolder="" measureGroup="Measure" count="0"/>
    <cacheHierarchy uniqueName="[Measures].[Transaction TY]" caption="Transaction TY" measure="1" displayFolder="" measureGroup="Measure" count="0"/>
    <cacheHierarchy uniqueName="[Measures].[Transactions LY]" caption="Transactions LY" measure="1" displayFolder="" measureGroup="Measure" count="0"/>
    <cacheHierarchy uniqueName="[Measures].[Transaction YOY]" caption="Transaction YOY" measure="1" displayFolder="" measureGroup="Measure" count="0"/>
    <cacheHierarchy uniqueName="[Measures].[GM$ Budget TY]" caption="GM$ Budget TY" measure="1" displayFolder="" measureGroup="Measure" count="0"/>
    <cacheHierarchy uniqueName="[Measures].[GM$ Budget LY]" caption="GM$ Budget LY" measure="1" displayFolder="" measureGroup="Measure" count="0"/>
    <cacheHierarchy uniqueName="[Measures].[GM vs Budget $]" caption="GM vs Budget $" measure="1" displayFolder="" measureGroup="Measure" count="0"/>
    <cacheHierarchy uniqueName="[Measures].[Measure]" caption="Measure" measure="1" displayFolder="" measureGroup="Measure" count="0"/>
    <cacheHierarchy uniqueName="[Measures].[GM % TY]" caption="GM % TY" measure="1" displayFolder="" measureGroup="Measure" count="0"/>
    <cacheHierarchy uniqueName="[Measures].[GM % LY]" caption="GM % LY" measure="1" displayFolder="" measureGroup="Measure" count="0"/>
    <cacheHierarchy uniqueName="[Measures].[GM% Budget]" caption="GM% Budget" measure="1" displayFolder="" measureGroup="Measure" count="0"/>
    <cacheHierarchy uniqueName="[Measures].[Measure 2]" caption="Measure 2" measure="1" displayFolder="" measureGroup="Measure" count="0"/>
    <cacheHierarchy uniqueName="[Measures].[M/D % TY]" caption="M/D % TY" measure="1" displayFolder="" measureGroup="Measure" count="0"/>
    <cacheHierarchy uniqueName="[Measures].[M/D % LY]" caption="M/D % LY" measure="1" displayFolder="" measureGroup="Measure" count="0"/>
    <cacheHierarchy uniqueName="[Measures].[Dropship$ Budget TY]" caption="Dropship$ Budget TY" measure="1" displayFolder="" measureGroup="Measure" count="0"/>
    <cacheHierarchy uniqueName="[Measures].[Rolling 12 months R-Sale $ TY]" caption="Rolling 12 months R-Sale $ TY" measure="1" displayFolder="" measureGroup="Measure" count="0"/>
    <cacheHierarchy uniqueName="[Measures].[Rolling 12 months Traffic YoY]" caption="Rolling 12 months Traffic YoY" measure="1" displayFolder="" measureGroup="Measure" count="0"/>
    <cacheHierarchy uniqueName="[Measures].[Rolling 12 months ATV YoY]" caption="Rolling 12 months ATV YoY" measure="1" displayFolder="" measureGroup="Measure" count="0"/>
    <cacheHierarchy uniqueName="[Measures].[Rolling 12 months Conv YoY]" caption="Rolling 12 months Conv YoY" measure="1" displayFolder="" measureGroup="Measure" count="0"/>
    <cacheHierarchy uniqueName="[Measures].[Rolling 12 months Store Trans YoY]" caption="Rolling 12 months Store Trans YoY" measure="1" displayFolder="" measureGroup="Measure" count="0"/>
    <cacheHierarchy uniqueName="[Measures].[LastRefreshedSydney]" caption="LastRefreshedSydney" measure="1" displayFolder="" measureGroup="Measure" count="0"/>
    <cacheHierarchy uniqueName="[Measures].[R-Sales Forecast TY]" caption="R-Sales Forecast TY" measure="1" displayFolder="" measureGroup="ForcastByClass" count="0"/>
    <cacheHierarchy uniqueName="[Measures].[Actual Select]" caption="Actual Select" measure="1" displayFolder="" measureGroup="Dim_Category" count="0"/>
    <cacheHierarchy uniqueName="[Measures].[Actual select1]" caption="Actual select1" measure="1" displayFolder="" measureGroup="Dim_Category" count="0"/>
    <cacheHierarchy uniqueName="[Measures].[Week Sales]" caption="Week Sales" measure="1" displayFolder="" measureGroup="Dim_Category" count="0"/>
    <cacheHierarchy uniqueName="[Measures].[MTD Sales]" caption="MTD Sales" measure="1" displayFolder="" measureGroup="Dim_Category" count="0"/>
    <cacheHierarchy uniqueName="[Measures].[YTD Sales]" caption="YTD Sales" measure="1" displayFolder="" measureGroup="Dim_Category" count="0"/>
    <cacheHierarchy uniqueName="[Measures].[Week Budget]" caption="Week Budget" measure="1" displayFolder="" measureGroup="Dim_Category" count="0"/>
    <cacheHierarchy uniqueName="[Measures].[MTD Budget]" caption="MTD Budget" measure="1" displayFolder="" measureGroup="Dim_Category" count="0"/>
    <cacheHierarchy uniqueName="[Measures].[YTD Budget]" caption="YTD Budget" measure="1" displayFolder="" measureGroup="Dim_Category" count="0"/>
    <cacheHierarchy uniqueName="[Measures].[SelectorNum]" caption="SelectorNum" measure="1" displayFolder="" measureGroup="Dim_Category" count="0"/>
    <cacheHierarchy uniqueName="[Measures].[Sales Select]" caption="Sales Select" measure="1" displayFolder="" measureGroup="Dim_Category" count="0"/>
    <cacheHierarchy uniqueName="[Measures].[Budget Select]" caption="Budget Select" measure="1" displayFolder="" measureGroup="Dim_Category" count="0"/>
    <cacheHierarchy uniqueName="[Measures].[TodayWeek]" caption="TodayWeek" measure="1" displayFolder="" measureGroup="Dim_Category" count="0"/>
    <cacheHierarchy uniqueName="[Measures].[MTD Sales Filter]" caption="MTD Sales Filter" measure="1" displayFolder="" measureGroup="Dim_Category" count="0"/>
    <cacheHierarchy uniqueName="[Measures].[Week Sales LY]" caption="Week Sales LY" measure="1" displayFolder="" measureGroup="Dim_Category" count="0"/>
    <cacheHierarchy uniqueName="[Measures].[MTD Sales LY]" caption="MTD Sales LY" measure="1" displayFolder="" measureGroup="Dim_Category" count="0"/>
    <cacheHierarchy uniqueName="[Measures].[YTD Sales LY]" caption="YTD Sales LY" measure="1" displayFolder="" measureGroup="Dim_Category" count="0"/>
    <cacheHierarchy uniqueName="[Measures].[Sales LY Select]" caption="Sales LY Select" measure="1" displayFolder="" measureGroup="Dim_Category" count="0"/>
    <cacheHierarchy uniqueName="[Measures].[GM TY Week]" caption="GM TY Week" measure="1" displayFolder="" measureGroup="Dim_Category" count="0"/>
    <cacheHierarchy uniqueName="[Measures].[GM TY MTD]" caption="GM TY MTD" measure="1" displayFolder="" measureGroup="Dim_Category" count="0"/>
    <cacheHierarchy uniqueName="[Measures].[GM TY YTD]" caption="GM TY YTD" measure="1" displayFolder="" measureGroup="Dim_Category" count="0"/>
    <cacheHierarchy uniqueName="[Measures].[GM TY Select]" caption="GM TY Select" measure="1" displayFolder="" measureGroup="Dim_Category" count="0"/>
    <cacheHierarchy uniqueName="[Measures].[Sales Categories]" caption="Sales Categories" measure="1" displayFolder="" measureGroup="Measure Categories" count="0"/>
    <cacheHierarchy uniqueName="[Measures].[Sales Categories 1]" caption="Sales Categories 1" measure="1" displayFolder="" measureGroup="Measure Categories" count="0"/>
    <cacheHierarchy uniqueName="[Measures].[Sales Title]" caption="Sales Title" measure="1" displayFolder="" measureGroup="Measure Categories" count="0"/>
    <cacheHierarchy uniqueName="[Measures].[Traffic KPIs]" caption="Traffic KPIs" measure="1" displayFolder="" measureGroup="Measure Tooltip" count="0"/>
    <cacheHierarchy uniqueName="[Measures].[Traffic TY/LY Color]" caption="Traffic TY/LY Color" measure="1" displayFolder="" measureGroup="Measure Tooltip" count="0"/>
    <cacheHierarchy uniqueName="[Measures].[Store Trans KPIs]" caption="Store Trans KPIs" measure="1" displayFolder="" measureGroup="Measure Tooltip" count="0"/>
    <cacheHierarchy uniqueName="[Measures].[Store Trans TY/LY Color]" caption="Store Trans TY/LY Color" measure="1" displayFolder="" measureGroup="Measure Tooltip" count="0"/>
    <cacheHierarchy uniqueName="[Measures].[Conv KPIs]" caption="Conv KPIs" measure="1" displayFolder="" measureGroup="Measure Tooltip" count="0"/>
    <cacheHierarchy uniqueName="[Measures].[Conv TY/LY Color]" caption="Conv TY/LY Color" measure="1" displayFolder="" measureGroup="Measure Tooltip" count="0"/>
    <cacheHierarchy uniqueName="[Measures].[ATV KPIs]" caption="ATV KPIs" measure="1" displayFolder="" measureGroup="Measure Tooltip" count="0"/>
    <cacheHierarchy uniqueName="[Measures].[ATV TY/LY Color]" caption="ATV TY/LY Color" measure="1" displayFolder="" measureGroup="Measure Tooltip" count="0"/>
    <cacheHierarchy uniqueName="[Measures].[Measure 4]" caption="Measure 4" measure="1" displayFolder="" measureGroup="Measure Tooltip" count="0"/>
    <cacheHierarchy uniqueName="[Measures].[R-M/D$ Budget Color]" caption="R-M/D$ Budget Color" measure="1" displayFolder="" measureGroup="Measure Tooltip" count="0"/>
    <cacheHierarchy uniqueName="[Measures].[R-Sales$ Budget Color]" caption="R-Sales$ Budget Color" measure="1" displayFolder="" measureGroup="Measure Tooltip" count="0"/>
    <cacheHierarchy uniqueName="[Measures].[R-GM TY Color]" caption="R-GM TY Color" measure="1" displayFolder="" measureGroup="Measure Tooltip" count="0"/>
    <cacheHierarchy uniqueName="[Measures].[R-Store Trans Color]" caption="R-Store Trans Color" measure="1" displayFolder="" measureGroup="Measure Tooltip" count="0"/>
    <cacheHierarchy uniqueName="[Measures].[R-Traffic Color]" caption="R-Traffic Color" measure="1" displayFolder="" measureGroup="Measure Tooltip" count="0"/>
    <cacheHierarchy uniqueName="[Measures].[R-COnv Color]" caption="R-COnv Color" measure="1" displayFolder="" measureGroup="Measure Tooltip" count="0"/>
    <cacheHierarchy uniqueName="[Measures].[R-ATV Color]" caption="R-ATV Color" measure="1" displayFolder="" measureGroup="Measure Tooltip" count="0"/>
    <cacheHierarchy uniqueName="[Measures].[R-M/D$% Budget Color]" caption="R-M/D$% Budget Color" measure="1" displayFolder="" measureGroup="Measure Tooltip" count="0"/>
    <cacheHierarchy uniqueName="[Measures].[R-Traffic Budget Color]" caption="R-Traffic Budget Color" measure="1" displayFolder="" measureGroup="Measure Tooltip" count="0"/>
    <cacheHierarchy uniqueName="[Measures].[R-Store Trans Budget Color]" caption="R-Store Trans Budget Color" measure="1" displayFolder="" measureGroup="Measure Tooltip" count="0"/>
    <cacheHierarchy uniqueName="[Measures].[R-Conv Budget Color]" caption="R-Conv Budget Color" measure="1" displayFolder="" measureGroup="Measure Tooltip" count="0"/>
    <cacheHierarchy uniqueName="[Measures].[R-ATV Budget Color]" caption="R-ATV Budget Color" measure="1" displayFolder="" measureGroup="Measure Tooltip" count="0"/>
    <cacheHierarchy uniqueName="[Measures].[R-Sales TY/LY Color]" caption="R-Sales TY/LY Color" measure="1" displayFolder="" measureGroup="Measure Tooltip" count="0"/>
    <cacheHierarchy uniqueName="[Measures].[R-Sales$ Plan Color]" caption="R-Sales$ Plan Color" measure="1" displayFolder="" measureGroup="Measure Tooltip" count="0"/>
    <cacheHierarchy uniqueName="[Measures].[R-GM % TY Color]" caption="R-GM % TY Color" measure="1" displayFolder="" measureGroup="Measure Tooltip" count="0"/>
    <cacheHierarchy uniqueName="[Measures].[R-Budget$-Online-Store]" caption="R-Budget$-Online-Store" measure="1" displayFolder="" measureGroup="BI vw_BudgetOnlineByStore" count="0"/>
    <cacheHierarchy uniqueName="[Measures].[R-Budget-Online Store Y/N]" caption="R-Budget-Online Store Y/N" measure="1" displayFolder="" measureGroup="BI vw_BudgetOnlineByStore" count="0"/>
    <cacheHierarchy uniqueName="[Measures].[R-Budget Y/N]" caption="R-Budget Y/N" measure="1" displayFolder="" measureGroup="BI vw_BudgetOnlineByStore" count="0"/>
    <cacheHierarchy uniqueName="[Measures].[Product Dynamic Title]" caption="Product Dynamic Title" measure="1" displayFolder="" measureGroup="Product Parameter" count="0"/>
    <cacheHierarchy uniqueName="[Measures].[Budget Online]" caption="Budget Online" measure="1" displayFolder="" measureGroup="BI vw_BudgetDigital" count="0"/>
    <cacheHierarchy uniqueName="[Measures].[R-Budget Online TY]" caption="R-Budget Online TY" measure="1" displayFolder="" measureGroup="BI vw_BudgetDigital" count="0"/>
    <cacheHierarchy uniqueName="[Measures].[Store Trans Budget]" caption="Store Trans Budget" measure="1" displayFolder="" measureGroup="BI vw_BudgetByWeek" count="0"/>
    <cacheHierarchy uniqueName="[Measures].[R-Store Trans InStore Budget]" caption="R-Store Trans InStore Budget" measure="1" displayFolder="" measureGroup="BI vw_BudgetByWeek" count="0"/>
    <cacheHierarchy uniqueName="[Measures].[Traffic Budget]" caption="Traffic Budget" measure="1" displayFolder="" measureGroup="BI vw_BudgetByWeek" count="0"/>
    <cacheHierarchy uniqueName="[Measures].[R-Traffic InStore Budget]" caption="R-Traffic InStore Budget" measure="1" displayFolder="" measureGroup="BI vw_BudgetByWeek" count="0"/>
    <cacheHierarchy uniqueName="[Measures].[R-Conv Instore Budget]" caption="R-Conv Instore Budget" measure="1" displayFolder="" measureGroup="BI vw_BudgetByWeek" count="0"/>
    <cacheHierarchy uniqueName="[Measures].[R-Budget InStore]" caption="R-Budget InStore" measure="1" displayFolder="" measureGroup="BI vw_BudgetByWeek" count="0"/>
    <cacheHierarchy uniqueName="[Measures].[R-Traffic Budget Channel]" caption="R-Traffic Budget Channel" measure="1" displayFolder="" measureGroup="BI vw_BudgetByWeek" count="0"/>
    <cacheHierarchy uniqueName="[Measures].[R-Conv Budget Channel]" caption="R-Conv Budget Channel" measure="1" displayFolder="" measureGroup="BI vw_BudgetByWeek" count="0"/>
    <cacheHierarchy uniqueName="[Measures].[R-Store trans Budget Channel]" caption="R-Store trans Budget Channel" measure="1" displayFolder="" measureGroup="BI vw_BudgetByWeek" count="0"/>
    <cacheHierarchy uniqueName="[Measures].[R-ATV InStore Budget Cal]" caption="R-ATV InStore Budget Cal" measure="1" displayFolder="" measureGroup="BI vw_BudgetByWeek" count="0"/>
    <cacheHierarchy uniqueName="[Measures].[R-ATV Budget Channel]" caption="R-ATV Budget Channel" measure="1" displayFolder="" measureGroup="BI vw_BudgetByWeek" count="0"/>
    <cacheHierarchy uniqueName="[Measures].[R-GM Plan TY]" caption="R-GM Plan TY" measure="1" displayFolder="" measureGroup="Forecast" count="0"/>
    <cacheHierarchy uniqueName="[Measures].[R-GM vs Plan]" caption="R-GM vs Plan" measure="1" displayFolder="" measureGroup="Forecast" count="0"/>
    <cacheHierarchy uniqueName="[Measures].[R-GM %]" caption="R-GM %" measure="1" displayFolder="" measureGroup="Forecast" count="0"/>
    <cacheHierarchy uniqueName="[Measures].[R-Sales Plan TY]" caption="R-Sales Plan TY" measure="1" displayFolder="" measureGroup="Forecast" count="0"/>
    <cacheHierarchy uniqueName="[Measures].[R-GM Plan %]" caption="R-GM Plan %" measure="1" displayFolder="" measureGroup="Forecast" count="0"/>
    <cacheHierarchy uniqueName="[Measures].[R-Sales Plan TY-K]" caption="R-Sales Plan TY-K" measure="1" displayFolder="" measureGroup="Forecast" count="0"/>
    <cacheHierarchy uniqueName="[Measures].[__Default measure]" caption="__Default measure" measure="1" displayFolder="" count="0" hidden="1"/>
  </cacheHierarchies>
  <kpis count="0"/>
  <dimensions count="35">
    <dimension name="BI ForecastClass" uniqueName="[BI ForecastClass]" caption="BI ForecastClass"/>
    <dimension name="BI Item" uniqueName="[BI Item]" caption="BI Item"/>
    <dimension name="BI metrics" uniqueName="[BI metrics]" caption="BI metrics"/>
    <dimension name="BI Store" uniqueName="[BI Store]" caption="BI Store"/>
    <dimension name="BI Store State Sort" uniqueName="[BI Store State Sort]" caption="BI Store State Sort"/>
    <dimension name="BI vw_BudgetByItemCategory" uniqueName="[BI vw_BudgetByItemCategory]" caption="BI vw_BudgetByItemCategory"/>
    <dimension name="BI vw_BudgetByStore" uniqueName="[BI vw_BudgetByStore]" caption="BI vw_BudgetByStore"/>
    <dimension name="BI vw_BudgetByWeek" uniqueName="[BI vw_BudgetByWeek]" caption="BI vw_BudgetByWeek"/>
    <dimension name="BI vw_BudgetDigital" uniqueName="[BI vw_BudgetDigital]" caption="BI vw_BudgetDigital"/>
    <dimension name="BI vw_BudgetOnlineByStore" uniqueName="[BI vw_BudgetOnlineByStore]" caption="BI vw_BudgetOnlineByStore"/>
    <dimension name="BI vw_DropshipBudget" uniqueName="[BI vw_DropshipBudget]" caption="BI vw_DropshipBudget"/>
    <dimension name="BI vw_Items" uniqueName="[BI vw_Items]" caption="BI vw_Items"/>
    <dimension name="BI vw_WeeklyItemSales" uniqueName="[BI vw_WeeklyItemSales]" caption="BI vw_WeeklyItemSales"/>
    <dimension name="BI vw_WeeklyStoreATV" uniqueName="[BI vw_WeeklyStoreATV]" caption="BI vw_WeeklyStoreATV"/>
    <dimension name="BI vw_WeeklyStoreTraffic" uniqueName="[BI vw_WeeklyStoreTraffic]" caption="BI vw_WeeklyStoreTraffic"/>
    <dimension name="BI vw_WeeklyWrittenSalesMetrics" uniqueName="[BI vw_WeeklyWrittenSalesMetrics]" caption="BI vw_WeeklyWrittenSalesMetrics"/>
    <dimension name="Dim_Category" uniqueName="[Dim_Category]" caption="Dim_Category"/>
    <dimension name="dim_period" uniqueName="[dim_period]" caption="dim_period"/>
    <dimension name="ForcastByClass" uniqueName="[ForcastByClass]" caption="ForcastByClass"/>
    <dimension name="Forecast" uniqueName="[Forecast]" caption="Forecast"/>
    <dimension name="LocalDateTable_0d9eeced-3257-4609-8cfb-234f1d7c24d7" uniqueName="[LocalDateTable_0d9eeced-3257-4609-8cfb-234f1d7c24d7]" caption="LocalDateTable_0d9eeced-3257-4609-8cfb-234f1d7c24d7"/>
    <dimension name="LocalDateTable_3a17192d-ec7c-4dba-ac0e-bcf6b3a6a0ff" uniqueName="[LocalDateTable_3a17192d-ec7c-4dba-ac0e-bcf6b3a6a0ff]" caption="LocalDateTable_3a17192d-ec7c-4dba-ac0e-bcf6b3a6a0ff"/>
    <dimension name="LocalDateTable_3f117c71-2c04-4fa5-8c23-2b2c1ab14338" uniqueName="[LocalDateTable_3f117c71-2c04-4fa5-8c23-2b2c1ab14338]" caption="LocalDateTable_3f117c71-2c04-4fa5-8c23-2b2c1ab14338"/>
    <dimension name="LocalDateTable_66f09a5d-f864-46bc-a2f5-c0014bc05155" uniqueName="[LocalDateTable_66f09a5d-f864-46bc-a2f5-c0014bc05155]" caption="LocalDateTable_66f09a5d-f864-46bc-a2f5-c0014bc05155"/>
    <dimension name="LocalDateTable_754a5606-f042-4514-8c57-59f8f32672fc" uniqueName="[LocalDateTable_754a5606-f042-4514-8c57-59f8f32672fc]" caption="LocalDateTable_754a5606-f042-4514-8c57-59f8f32672fc"/>
    <dimension name="LocalDateTable_9b9a9699-5b52-40e9-b4a0-c11cb55a9d61" uniqueName="[LocalDateTable_9b9a9699-5b52-40e9-b4a0-c11cb55a9d61]" caption="LocalDateTable_9b9a9699-5b52-40e9-b4a0-c11cb55a9d61"/>
    <dimension name="LocalDateTable_a29de990-df00-42e6-9e8c-814d0b4b9a86" uniqueName="[LocalDateTable_a29de990-df00-42e6-9e8c-814d0b4b9a86]" caption="LocalDateTable_a29de990-df00-42e6-9e8c-814d0b4b9a86"/>
    <dimension name="LocalDateTable_e1d748f9-bc77-4c73-ba8d-fcf5ec29dd71" uniqueName="[LocalDateTable_e1d748f9-bc77-4c73-ba8d-fcf5ec29dd71]" caption="LocalDateTable_e1d748f9-bc77-4c73-ba8d-fcf5ec29dd71"/>
    <dimension name="Measure" uniqueName="[Measure]" caption="Measure"/>
    <dimension name="Measure Categories" uniqueName="[Measure Categories]" caption="Measure Categories"/>
    <dimension measure="1" name="Measures" uniqueName="[Measures]" caption="Measures"/>
    <dimension name="Product Parameter" uniqueName="[Product Parameter]" caption="Product Parameter"/>
    <dimension name="Query1" uniqueName="[Query1]" caption="Query1"/>
    <dimension name="Query2" uniqueName="[Query2]" caption="Query2"/>
    <dimension name="TimePeriodSort" uniqueName="[TimePeriodSort]" caption="TimePeriodSort"/>
  </dimensions>
  <measureGroups count="35">
    <measureGroup name="BI ForecastClass" caption="BI ForecastClass"/>
    <measureGroup name="BI Item" caption="BI Item"/>
    <measureGroup name="BI metrics" caption="BI metrics"/>
    <measureGroup name="BI Store" caption="BI Store"/>
    <measureGroup name="BI Store State Sort" caption="BI Store State Sort"/>
    <measureGroup name="BI vw_BudgetByItemCategory" caption="BI vw_BudgetByItemCategory"/>
    <measureGroup name="BI vw_BudgetByStore" caption="BI vw_BudgetByStore"/>
    <measureGroup name="BI vw_BudgetByWeek" caption="BI vw_BudgetByWeek"/>
    <measureGroup name="BI vw_BudgetDigital" caption="BI vw_BudgetDigital"/>
    <measureGroup name="BI vw_BudgetOnlineByStore" caption="BI vw_BudgetOnlineByStore"/>
    <measureGroup name="BI vw_DropshipBudget" caption="BI vw_DropshipBudget"/>
    <measureGroup name="BI vw_Items" caption="BI vw_Items"/>
    <measureGroup name="BI vw_WeeklyItemSales" caption="BI vw_WeeklyItemSales"/>
    <measureGroup name="BI vw_WeeklyStoreATV" caption="BI vw_WeeklyStoreATV"/>
    <measureGroup name="BI vw_WeeklyStoreTraffic" caption="BI vw_WeeklyStoreTraffic"/>
    <measureGroup name="BI vw_WeeklyWrittenSalesMetrics" caption="BI vw_WeeklyWrittenSalesMetrics"/>
    <measureGroup name="Dim_Category" caption="Dim_Category"/>
    <measureGroup name="dim_period" caption="dim_period"/>
    <measureGroup name="ForcastByClass" caption="ForcastByClass"/>
    <measureGroup name="Forecast" caption="Forecast"/>
    <measureGroup name="LocalDateTable_0d9eeced-3257-4609-8cfb-234f1d7c24d7" caption="LocalDateTable_0d9eeced-3257-4609-8cfb-234f1d7c24d7"/>
    <measureGroup name="LocalDateTable_3a17192d-ec7c-4dba-ac0e-bcf6b3a6a0ff" caption="LocalDateTable_3a17192d-ec7c-4dba-ac0e-bcf6b3a6a0ff"/>
    <measureGroup name="LocalDateTable_3f117c71-2c04-4fa5-8c23-2b2c1ab14338" caption="LocalDateTable_3f117c71-2c04-4fa5-8c23-2b2c1ab14338"/>
    <measureGroup name="LocalDateTable_66f09a5d-f864-46bc-a2f5-c0014bc05155" caption="LocalDateTable_66f09a5d-f864-46bc-a2f5-c0014bc05155"/>
    <measureGroup name="LocalDateTable_754a5606-f042-4514-8c57-59f8f32672fc" caption="LocalDateTable_754a5606-f042-4514-8c57-59f8f32672fc"/>
    <measureGroup name="LocalDateTable_9b9a9699-5b52-40e9-b4a0-c11cb55a9d61" caption="LocalDateTable_9b9a9699-5b52-40e9-b4a0-c11cb55a9d61"/>
    <measureGroup name="LocalDateTable_a29de990-df00-42e6-9e8c-814d0b4b9a86" caption="LocalDateTable_a29de990-df00-42e6-9e8c-814d0b4b9a86"/>
    <measureGroup name="LocalDateTable_e1d748f9-bc77-4c73-ba8d-fcf5ec29dd71" caption="LocalDateTable_e1d748f9-bc77-4c73-ba8d-fcf5ec29dd71"/>
    <measureGroup name="Measure" caption="Measure"/>
    <measureGroup name="Measure Categories" caption="Measure Categories"/>
    <measureGroup name="Measure Tooltip" caption="Measure Tooltip"/>
    <measureGroup name="Product Parameter" caption="Product Parameter"/>
    <measureGroup name="Query1" caption="Query1"/>
    <measureGroup name="Query2" caption="Query2"/>
    <measureGroup name="TimePeriodSort" caption="TimePeriodSort"/>
  </measureGroups>
  <maps count="41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2"/>
    <map measureGroup="0" dimension="13"/>
    <map measureGroup="0" dimension="14"/>
    <map measureGroup="0" dimension="15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34"/>
    <map measureGroup="1" dimension="1"/>
    <map measureGroup="1" dimension="23"/>
    <map measureGroup="1" dimension="25"/>
    <map measureGroup="2" dimension="2"/>
    <map measureGroup="2" dimension="20"/>
    <map measureGroup="2" dimension="24"/>
    <map measureGroup="2" dimension="27"/>
    <map measureGroup="2" dimension="34"/>
    <map measureGroup="3" dimension="0"/>
    <map measureGroup="3" dimension="1"/>
    <map measureGroup="3" dimension="2"/>
    <map measureGroup="3" dimension="3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2"/>
    <map measureGroup="3" dimension="13"/>
    <map measureGroup="3" dimension="14"/>
    <map measureGroup="3" dimension="15"/>
    <map measureGroup="3" dimension="17"/>
    <map measureGroup="3" dimension="18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8"/>
    <map measureGroup="3" dimension="34"/>
    <map measureGroup="4" dimension="4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2"/>
    <map measureGroup="5" dimension="13"/>
    <map measureGroup="5" dimension="14"/>
    <map measureGroup="5" dimension="15"/>
    <map measureGroup="5" dimension="17"/>
    <map measureGroup="5" dimension="18"/>
    <map measureGroup="5" dimension="19"/>
    <map measureGroup="5" dimension="20"/>
    <map measureGroup="5" dimension="21"/>
    <map measureGroup="5" dimension="22"/>
    <map measureGroup="5" dimension="23"/>
    <map measureGroup="5" dimension="24"/>
    <map measureGroup="5" dimension="25"/>
    <map measureGroup="5" dimension="27"/>
    <map measureGroup="5" dimension="28"/>
    <map measureGroup="5" dimension="34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  <map measureGroup="6" dimension="8"/>
    <map measureGroup="6" dimension="9"/>
    <map measureGroup="6" dimension="10"/>
    <map measureGroup="6" dimension="12"/>
    <map measureGroup="6" dimension="13"/>
    <map measureGroup="6" dimension="14"/>
    <map measureGroup="6" dimension="15"/>
    <map measureGroup="6" dimension="17"/>
    <map measureGroup="6" dimension="18"/>
    <map measureGroup="6" dimension="19"/>
    <map measureGroup="6" dimension="20"/>
    <map measureGroup="6" dimension="21"/>
    <map measureGroup="6" dimension="22"/>
    <map measureGroup="6" dimension="23"/>
    <map measureGroup="6" dimension="24"/>
    <map measureGroup="6" dimension="25"/>
    <map measureGroup="6" dimension="27"/>
    <map measureGroup="6" dimension="28"/>
    <map measureGroup="6" dimension="34"/>
    <map measureGroup="7" dimension="0"/>
    <map measureGroup="7" dimension="1"/>
    <map measureGroup="7" dimension="2"/>
    <map measureGroup="7" dimension="3"/>
    <map measureGroup="7" dimension="5"/>
    <map measureGroup="7" dimension="6"/>
    <map measureGroup="7" dimension="7"/>
    <map measureGroup="7" dimension="8"/>
    <map measureGroup="7" dimension="9"/>
    <map measureGroup="7" dimension="10"/>
    <map measureGroup="7" dimension="12"/>
    <map measureGroup="7" dimension="13"/>
    <map measureGroup="7" dimension="14"/>
    <map measureGroup="7" dimension="15"/>
    <map measureGroup="7" dimension="17"/>
    <map measureGroup="7" dimension="18"/>
    <map measureGroup="7" dimension="19"/>
    <map measureGroup="7" dimension="20"/>
    <map measureGroup="7" dimension="21"/>
    <map measureGroup="7" dimension="22"/>
    <map measureGroup="7" dimension="23"/>
    <map measureGroup="7" dimension="24"/>
    <map measureGroup="7" dimension="25"/>
    <map measureGroup="7" dimension="27"/>
    <map measureGroup="7" dimension="28"/>
    <map measureGroup="7" dimension="34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8" dimension="12"/>
    <map measureGroup="8" dimension="13"/>
    <map measureGroup="8" dimension="14"/>
    <map measureGroup="8" dimension="15"/>
    <map measureGroup="8" dimension="17"/>
    <map measureGroup="8" dimension="18"/>
    <map measureGroup="8" dimension="19"/>
    <map measureGroup="8" dimension="20"/>
    <map measureGroup="8" dimension="21"/>
    <map measureGroup="8" dimension="22"/>
    <map measureGroup="8" dimension="23"/>
    <map measureGroup="8" dimension="24"/>
    <map measureGroup="8" dimension="25"/>
    <map measureGroup="8" dimension="27"/>
    <map measureGroup="8" dimension="28"/>
    <map measureGroup="8" dimension="34"/>
    <map measureGroup="9" dimension="0"/>
    <map measureGroup="9" dimension="1"/>
    <map measureGroup="9" dimension="2"/>
    <map measureGroup="9" dimension="3"/>
    <map measureGroup="9" dimension="5"/>
    <map measureGroup="9" dimension="6"/>
    <map measureGroup="9" dimension="7"/>
    <map measureGroup="9" dimension="8"/>
    <map measureGroup="9" dimension="9"/>
    <map measureGroup="9" dimension="10"/>
    <map measureGroup="9" dimension="12"/>
    <map measureGroup="9" dimension="13"/>
    <map measureGroup="9" dimension="14"/>
    <map measureGroup="9" dimension="15"/>
    <map measureGroup="9" dimension="17"/>
    <map measureGroup="9" dimension="18"/>
    <map measureGroup="9" dimension="19"/>
    <map measureGroup="9" dimension="20"/>
    <map measureGroup="9" dimension="21"/>
    <map measureGroup="9" dimension="22"/>
    <map measureGroup="9" dimension="23"/>
    <map measureGroup="9" dimension="24"/>
    <map measureGroup="9" dimension="25"/>
    <map measureGroup="9" dimension="27"/>
    <map measureGroup="9" dimension="28"/>
    <map measureGroup="9" dimension="34"/>
    <map measureGroup="10" dimension="0"/>
    <map measureGroup="10" dimension="1"/>
    <map measureGroup="10" dimension="2"/>
    <map measureGroup="10" dimension="3"/>
    <map measureGroup="10" dimension="5"/>
    <map measureGroup="10" dimension="6"/>
    <map measureGroup="10" dimension="7"/>
    <map measureGroup="10" dimension="8"/>
    <map measureGroup="10" dimension="9"/>
    <map measureGroup="10" dimension="10"/>
    <map measureGroup="10" dimension="12"/>
    <map measureGroup="10" dimension="13"/>
    <map measureGroup="10" dimension="14"/>
    <map measureGroup="10" dimension="15"/>
    <map measureGroup="10" dimension="17"/>
    <map measureGroup="10" dimension="18"/>
    <map measureGroup="10" dimension="19"/>
    <map measureGroup="10" dimension="20"/>
    <map measureGroup="10" dimension="21"/>
    <map measureGroup="10" dimension="22"/>
    <map measureGroup="10" dimension="23"/>
    <map measureGroup="10" dimension="24"/>
    <map measureGroup="10" dimension="25"/>
    <map measureGroup="10" dimension="27"/>
    <map measureGroup="10" dimension="28"/>
    <map measureGroup="10" dimension="34"/>
    <map measureGroup="11" dimension="11"/>
    <map measureGroup="12" dimension="0"/>
    <map measureGroup="12" dimension="1"/>
    <map measureGroup="12" dimension="2"/>
    <map measureGroup="12" dimension="3"/>
    <map measureGroup="12" dimension="5"/>
    <map measureGroup="12" dimension="6"/>
    <map measureGroup="12" dimension="7"/>
    <map measureGroup="12" dimension="8"/>
    <map measureGroup="12" dimension="9"/>
    <map measureGroup="12" dimension="10"/>
    <map measureGroup="12" dimension="12"/>
    <map measureGroup="12" dimension="13"/>
    <map measureGroup="12" dimension="14"/>
    <map measureGroup="12" dimension="15"/>
    <map measureGroup="12" dimension="17"/>
    <map measureGroup="12" dimension="18"/>
    <map measureGroup="12" dimension="19"/>
    <map measureGroup="12" dimension="20"/>
    <map measureGroup="12" dimension="21"/>
    <map measureGroup="12" dimension="22"/>
    <map measureGroup="12" dimension="23"/>
    <map measureGroup="12" dimension="24"/>
    <map measureGroup="12" dimension="25"/>
    <map measureGroup="12" dimension="27"/>
    <map measureGroup="12" dimension="28"/>
    <map measureGroup="12" dimension="34"/>
    <map measureGroup="13" dimension="0"/>
    <map measureGroup="13" dimension="1"/>
    <map measureGroup="13" dimension="2"/>
    <map measureGroup="13" dimension="3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2"/>
    <map measureGroup="13" dimension="13"/>
    <map measureGroup="13" dimension="14"/>
    <map measureGroup="13" dimension="15"/>
    <map measureGroup="13" dimension="17"/>
    <map measureGroup="13" dimension="18"/>
    <map measureGroup="13" dimension="19"/>
    <map measureGroup="13" dimension="20"/>
    <map measureGroup="13" dimension="21"/>
    <map measureGroup="13" dimension="22"/>
    <map measureGroup="13" dimension="23"/>
    <map measureGroup="13" dimension="24"/>
    <map measureGroup="13" dimension="25"/>
    <map measureGroup="13" dimension="27"/>
    <map measureGroup="13" dimension="28"/>
    <map measureGroup="13" dimension="34"/>
    <map measureGroup="14" dimension="0"/>
    <map measureGroup="14" dimension="1"/>
    <map measureGroup="14" dimension="2"/>
    <map measureGroup="14" dimension="3"/>
    <map measureGroup="14" dimension="5"/>
    <map measureGroup="14" dimension="6"/>
    <map measureGroup="14" dimension="7"/>
    <map measureGroup="14" dimension="8"/>
    <map measureGroup="14" dimension="9"/>
    <map measureGroup="14" dimension="10"/>
    <map measureGroup="14" dimension="12"/>
    <map measureGroup="14" dimension="13"/>
    <map measureGroup="14" dimension="14"/>
    <map measureGroup="14" dimension="15"/>
    <map measureGroup="14" dimension="17"/>
    <map measureGroup="14" dimension="18"/>
    <map measureGroup="14" dimension="19"/>
    <map measureGroup="14" dimension="20"/>
    <map measureGroup="14" dimension="21"/>
    <map measureGroup="14" dimension="22"/>
    <map measureGroup="14" dimension="23"/>
    <map measureGroup="14" dimension="24"/>
    <map measureGroup="14" dimension="25"/>
    <map measureGroup="14" dimension="27"/>
    <map measureGroup="14" dimension="28"/>
    <map measureGroup="14" dimension="34"/>
    <map measureGroup="15" dimension="0"/>
    <map measureGroup="15" dimension="1"/>
    <map measureGroup="15" dimension="2"/>
    <map measureGroup="15" dimension="3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2"/>
    <map measureGroup="15" dimension="13"/>
    <map measureGroup="15" dimension="14"/>
    <map measureGroup="15" dimension="15"/>
    <map measureGroup="15" dimension="17"/>
    <map measureGroup="15" dimension="18"/>
    <map measureGroup="15" dimension="19"/>
    <map measureGroup="15" dimension="20"/>
    <map measureGroup="15" dimension="21"/>
    <map measureGroup="15" dimension="22"/>
    <map measureGroup="15" dimension="23"/>
    <map measureGroup="15" dimension="24"/>
    <map measureGroup="15" dimension="25"/>
    <map measureGroup="15" dimension="27"/>
    <map measureGroup="15" dimension="28"/>
    <map measureGroup="15" dimension="34"/>
    <map measureGroup="16" dimension="16"/>
    <map measureGroup="17" dimension="17"/>
    <map measureGroup="17" dimension="21"/>
    <map measureGroup="17" dimension="22"/>
    <map measureGroup="18" dimension="0"/>
    <map measureGroup="18" dimension="1"/>
    <map measureGroup="18" dimension="2"/>
    <map measureGroup="18" dimension="3"/>
    <map measureGroup="18" dimension="5"/>
    <map measureGroup="18" dimension="6"/>
    <map measureGroup="18" dimension="7"/>
    <map measureGroup="18" dimension="8"/>
    <map measureGroup="18" dimension="9"/>
    <map measureGroup="18" dimension="10"/>
    <map measureGroup="18" dimension="12"/>
    <map measureGroup="18" dimension="13"/>
    <map measureGroup="18" dimension="14"/>
    <map measureGroup="18" dimension="15"/>
    <map measureGroup="18" dimension="17"/>
    <map measureGroup="18" dimension="18"/>
    <map measureGroup="18" dimension="19"/>
    <map measureGroup="18" dimension="20"/>
    <map measureGroup="18" dimension="21"/>
    <map measureGroup="18" dimension="22"/>
    <map measureGroup="18" dimension="23"/>
    <map measureGroup="18" dimension="24"/>
    <map measureGroup="18" dimension="25"/>
    <map measureGroup="18" dimension="27"/>
    <map measureGroup="18" dimension="28"/>
    <map measureGroup="18" dimension="34"/>
    <map measureGroup="19" dimension="0"/>
    <map measureGroup="19" dimension="1"/>
    <map measureGroup="19" dimension="2"/>
    <map measureGroup="19" dimension="3"/>
    <map measureGroup="19" dimension="5"/>
    <map measureGroup="19" dimension="6"/>
    <map measureGroup="19" dimension="7"/>
    <map measureGroup="19" dimension="8"/>
    <map measureGroup="19" dimension="9"/>
    <map measureGroup="19" dimension="10"/>
    <map measureGroup="19" dimension="12"/>
    <map measureGroup="19" dimension="13"/>
    <map measureGroup="19" dimension="14"/>
    <map measureGroup="19" dimension="15"/>
    <map measureGroup="19" dimension="17"/>
    <map measureGroup="19" dimension="18"/>
    <map measureGroup="19" dimension="19"/>
    <map measureGroup="19" dimension="20"/>
    <map measureGroup="19" dimension="21"/>
    <map measureGroup="19" dimension="22"/>
    <map measureGroup="19" dimension="23"/>
    <map measureGroup="19" dimension="24"/>
    <map measureGroup="19" dimension="25"/>
    <map measureGroup="19" dimension="27"/>
    <map measureGroup="19" dimension="28"/>
    <map measureGroup="19" dimension="34"/>
    <map measureGroup="20" dimension="20"/>
    <map measureGroup="21" dimension="21"/>
    <map measureGroup="22" dimension="22"/>
    <map measureGroup="23" dimension="23"/>
    <map measureGroup="24" dimension="24"/>
    <map measureGroup="25" dimension="25"/>
    <map measureGroup="26" dimension="26"/>
    <map measureGroup="27" dimension="27"/>
    <map measureGroup="28" dimension="0"/>
    <map measureGroup="28" dimension="1"/>
    <map measureGroup="28" dimension="2"/>
    <map measureGroup="28" dimension="3"/>
    <map measureGroup="28" dimension="5"/>
    <map measureGroup="28" dimension="6"/>
    <map measureGroup="28" dimension="7"/>
    <map measureGroup="28" dimension="8"/>
    <map measureGroup="28" dimension="9"/>
    <map measureGroup="28" dimension="10"/>
    <map measureGroup="28" dimension="12"/>
    <map measureGroup="28" dimension="13"/>
    <map measureGroup="28" dimension="14"/>
    <map measureGroup="28" dimension="15"/>
    <map measureGroup="28" dimension="17"/>
    <map measureGroup="28" dimension="18"/>
    <map measureGroup="28" dimension="19"/>
    <map measureGroup="28" dimension="20"/>
    <map measureGroup="28" dimension="21"/>
    <map measureGroup="28" dimension="22"/>
    <map measureGroup="28" dimension="23"/>
    <map measureGroup="28" dimension="24"/>
    <map measureGroup="28" dimension="25"/>
    <map measureGroup="28" dimension="27"/>
    <map measureGroup="28" dimension="28"/>
    <map measureGroup="28" dimension="34"/>
    <map measureGroup="29" dimension="29"/>
    <map measureGroup="31" dimension="31"/>
    <map measureGroup="32" dimension="26"/>
    <map measureGroup="32" dimension="32"/>
    <map measureGroup="33" dimension="33"/>
    <map measureGroup="34" dimension="3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5.591392013892" backgroundQuery="1" createdVersion="8" refreshedVersion="8" minRefreshableVersion="3" recordCount="0" supportSubquery="1" supportAdvancedDrill="1" xr:uid="{739BA088-2D27-4219-A594-B83A121AC69E}">
  <cacheSource type="external" connectionId="2"/>
  <cacheFields count="13">
    <cacheField name="[BI metrics].[Fin_Period].[Fin_Period]" caption="Fin_Period" numFmtId="0" hierarchy="44" level="1">
      <sharedItems count="208">
        <s v="[BI metrics].[Fin_Period].&amp;[202401]" c="202401"/>
        <s v="[BI metrics].[Fin_Period].&amp;[202402]" c="202402"/>
        <s v="[BI metrics].[Fin_Period].&amp;[202403]" c="202403"/>
        <s v="[BI metrics].[Fin_Period].&amp;[202404]" c="202404"/>
        <s v="[BI metrics].[Fin_Period].&amp;[202405]" c="202405"/>
        <s v="[BI metrics].[Fin_Period].&amp;[202406]" c="202406"/>
        <s v="[BI metrics].[Fin_Period].&amp;[202407]" c="202407"/>
        <s v="[BI metrics].[Fin_Period].&amp;[202408]" c="202408"/>
        <s v="[BI metrics].[Fin_Period].&amp;[202409]" c="202409"/>
        <s v="[BI metrics].[Fin_Period].&amp;[202410]" c="202410"/>
        <s v="[BI metrics].[Fin_Period].&amp;[202411]" c="202411"/>
        <s v="[BI metrics].[Fin_Period].&amp;[202412]" c="202412"/>
        <s v="[BI metrics].[Fin_Period].&amp;[202413]" c="202413"/>
        <s v="[BI metrics].[Fin_Period].&amp;[202414]" c="202414"/>
        <s v="[BI metrics].[Fin_Period].&amp;[202415]" c="202415"/>
        <s v="[BI metrics].[Fin_Period].&amp;[202416]" c="202416"/>
        <s v="[BI metrics].[Fin_Period].&amp;[202417]" c="202417"/>
        <s v="[BI metrics].[Fin_Period].&amp;[202418]" c="202418"/>
        <s v="[BI metrics].[Fin_Period].&amp;[202419]" c="202419"/>
        <s v="[BI metrics].[Fin_Period].&amp;[202420]" c="202420"/>
        <s v="[BI metrics].[Fin_Period].&amp;[202421]" c="202421"/>
        <s v="[BI metrics].[Fin_Period].&amp;[202422]" c="202422"/>
        <s v="[BI metrics].[Fin_Period].&amp;[202423]" c="202423"/>
        <s v="[BI metrics].[Fin_Period].&amp;[202424]" c="202424"/>
        <s v="[BI metrics].[Fin_Period].&amp;[202425]" c="202425"/>
        <s v="[BI metrics].[Fin_Period].&amp;[202426]" c="202426"/>
        <s v="[BI metrics].[Fin_Period].&amp;[202427]" c="202427"/>
        <s v="[BI metrics].[Fin_Period].&amp;[202428]" c="202428"/>
        <s v="[BI metrics].[Fin_Period].&amp;[202429]" c="202429"/>
        <s v="[BI metrics].[Fin_Period].&amp;[202430]" c="202430"/>
        <s v="[BI metrics].[Fin_Period].&amp;[202431]" c="202431"/>
        <s v="[BI metrics].[Fin_Period].&amp;[202432]" c="202432"/>
        <s v="[BI metrics].[Fin_Period].&amp;[202433]" c="202433"/>
        <s v="[BI metrics].[Fin_Period].&amp;[202434]" c="202434"/>
        <s v="[BI metrics].[Fin_Period].&amp;[202435]" c="202435"/>
        <s v="[BI metrics].[Fin_Period].&amp;[202436]" c="202436"/>
        <s v="[BI metrics].[Fin_Period].&amp;[202437]" c="202437"/>
        <s v="[BI metrics].[Fin_Period].&amp;[202438]" c="202438"/>
        <s v="[BI metrics].[Fin_Period].&amp;[202439]" c="202439"/>
        <s v="[BI metrics].[Fin_Period].&amp;[202440]" c="202440"/>
        <s v="[BI metrics].[Fin_Period].&amp;[202441]" c="202441"/>
        <s v="[BI metrics].[Fin_Period].&amp;[202442]" c="202442"/>
        <s v="[BI metrics].[Fin_Period].&amp;[202443]" c="202443"/>
        <s v="[BI metrics].[Fin_Period].&amp;[202444]" c="202444"/>
        <s v="[BI metrics].[Fin_Period].&amp;[202445]" c="202445"/>
        <s v="[BI metrics].[Fin_Period].&amp;[202446]" c="202446"/>
        <s v="[BI metrics].[Fin_Period].&amp;[202447]" c="202447"/>
        <s v="[BI metrics].[Fin_Period].&amp;[202448]" c="202448"/>
        <s v="[BI metrics].[Fin_Period].&amp;[202449]" c="202449"/>
        <s v="[BI metrics].[Fin_Period].&amp;[202450]" c="202450"/>
        <s v="[BI metrics].[Fin_Period].&amp;[202451]" c="202451"/>
        <s v="[BI metrics].[Fin_Period].&amp;[202452]" c="202452"/>
        <s v="[BI metrics].[Fin_Period].&amp;[202501]" c="202501"/>
        <s v="[BI metrics].[Fin_Period].&amp;[202502]" c="202502"/>
        <s v="[BI metrics].[Fin_Period].&amp;[202503]" c="202503"/>
        <s v="[BI metrics].[Fin_Period].&amp;[202504]" c="202504"/>
        <s v="[BI metrics].[Fin_Period].&amp;[202505]" c="202505"/>
        <s v="[BI metrics].[Fin_Period].&amp;[202506]" c="202506"/>
        <s v="[BI metrics].[Fin_Period].&amp;[202507]" c="202507"/>
        <s v="[BI metrics].[Fin_Period].&amp;[202508]" c="202508"/>
        <s v="[BI metrics].[Fin_Period].&amp;[202509]" c="202509"/>
        <s v="[BI metrics].[Fin_Period].&amp;[202510]" c="202510"/>
        <s v="[BI metrics].[Fin_Period].&amp;[202511]" c="202511"/>
        <s v="[BI metrics].[Fin_Period].&amp;[202512]" c="202512"/>
        <s v="[BI metrics].[Fin_Period].&amp;[202513]" c="202513"/>
        <s v="[BI metrics].[Fin_Period].&amp;[202514]" c="202514"/>
        <s v="[BI metrics].[Fin_Period].&amp;[202515]" c="202515"/>
        <s v="[BI metrics].[Fin_Period].&amp;[202516]" c="202516"/>
        <s v="[BI metrics].[Fin_Period].&amp;[202517]" c="202517"/>
        <s v="[BI metrics].[Fin_Period].&amp;[202518]" c="202518"/>
        <s v="[BI metrics].[Fin_Period].&amp;[202519]" c="202519"/>
        <s v="[BI metrics].[Fin_Period].&amp;[202520]" c="202520"/>
        <s v="[BI metrics].[Fin_Period].&amp;[202521]" c="202521"/>
        <s v="[BI metrics].[Fin_Period].&amp;[202522]" c="202522"/>
        <s v="[BI metrics].[Fin_Period].&amp;[202523]" c="202523"/>
        <s v="[BI metrics].[Fin_Period].&amp;[202524]" c="202524"/>
        <s v="[BI metrics].[Fin_Period].&amp;[202525]" c="202525"/>
        <s v="[BI metrics].[Fin_Period].&amp;[202526]" c="202526"/>
        <s v="[BI metrics].[Fin_Period].&amp;[202527]" c="202527"/>
        <s v="[BI metrics].[Fin_Period].&amp;[202528]" c="202528"/>
        <s v="[BI metrics].[Fin_Period].&amp;[202529]" c="202529"/>
        <s v="[BI metrics].[Fin_Period].&amp;[202530]" c="202530"/>
        <s v="[BI metrics].[Fin_Period].&amp;[202531]" c="202531"/>
        <s v="[BI metrics].[Fin_Period].&amp;[202532]" c="202532"/>
        <s v="[BI metrics].[Fin_Period].&amp;[202533]" c="202533"/>
        <s v="[BI metrics].[Fin_Period].&amp;[202534]" c="202534"/>
        <s v="[BI metrics].[Fin_Period].&amp;[202535]" c="202535"/>
        <s v="[BI metrics].[Fin_Period].&amp;[202536]" c="202536"/>
        <s v="[BI metrics].[Fin_Period].&amp;[202537]" c="202537"/>
        <s v="[BI metrics].[Fin_Period].&amp;[202538]" c="202538"/>
        <s v="[BI metrics].[Fin_Period].&amp;[202539]" c="202539"/>
        <s v="[BI metrics].[Fin_Period].&amp;[202540]" c="202540"/>
        <s v="[BI metrics].[Fin_Period].&amp;[202541]" c="202541"/>
        <s v="[BI metrics].[Fin_Period].&amp;[202542]" c="202542"/>
        <s v="[BI metrics].[Fin_Period].&amp;[202543]" c="202543"/>
        <s v="[BI metrics].[Fin_Period].&amp;[202544]" c="202544"/>
        <s v="[BI metrics].[Fin_Period].&amp;[202545]" c="202545"/>
        <s v="[BI metrics].[Fin_Period].&amp;[202546]" c="202546"/>
        <s v="[BI metrics].[Fin_Period].&amp;[202547]" c="202547"/>
        <s v="[BI metrics].[Fin_Period].&amp;[202548]" c="202548"/>
        <s v="[BI metrics].[Fin_Period].&amp;[202549]" c="202549"/>
        <s v="[BI metrics].[Fin_Period].&amp;[202550]" c="202550"/>
        <s v="[BI metrics].[Fin_Period].&amp;[202551]" c="202551"/>
        <s v="[BI metrics].[Fin_Period].&amp;[202552]" c="202552"/>
        <s v="[BI metrics].[Fin_Period].&amp;[202601]" c="202601"/>
        <s v="[BI metrics].[Fin_Period].&amp;[202602]" c="202602"/>
        <s v="[BI metrics].[Fin_Period].&amp;[202603]" c="202603"/>
        <s v="[BI metrics].[Fin_Period].&amp;[202604]" c="202604"/>
        <s v="[BI metrics].[Fin_Period].&amp;[202605]" c="202605"/>
        <s v="[BI metrics].[Fin_Period].&amp;[202606]" c="202606"/>
        <s v="[BI metrics].[Fin_Period].&amp;[202607]" c="202607"/>
        <s v="[BI metrics].[Fin_Period].&amp;[202608]" c="202608"/>
        <s v="[BI metrics].[Fin_Period].&amp;[202609]" c="202609"/>
        <s v="[BI metrics].[Fin_Period].&amp;[202610]" c="202610"/>
        <s v="[BI metrics].[Fin_Period].&amp;[202611]" c="202611"/>
        <s v="[BI metrics].[Fin_Period].&amp;[202612]" c="202612"/>
        <s v="[BI metrics].[Fin_Period].&amp;[202613]" c="202613"/>
        <s v="[BI metrics].[Fin_Period].&amp;[202614]" c="202614"/>
        <s v="[BI metrics].[Fin_Period].&amp;[202615]" c="202615"/>
        <s v="[BI metrics].[Fin_Period].&amp;[202616]" c="202616"/>
        <s v="[BI metrics].[Fin_Period].&amp;[202617]" c="202617"/>
        <s v="[BI metrics].[Fin_Period].&amp;[202618]" c="202618"/>
        <s v="[BI metrics].[Fin_Period].&amp;[202619]" c="202619"/>
        <s v="[BI metrics].[Fin_Period].&amp;[202620]" c="202620"/>
        <s v="[BI metrics].[Fin_Period].&amp;[202621]" c="202621"/>
        <s v="[BI metrics].[Fin_Period].&amp;[202622]" c="202622"/>
        <s v="[BI metrics].[Fin_Period].&amp;[202623]" c="202623"/>
        <s v="[BI metrics].[Fin_Period].&amp;[202624]" c="202624"/>
        <s v="[BI metrics].[Fin_Period].&amp;[202625]" c="202625"/>
        <s v="[BI metrics].[Fin_Period].&amp;[202626]" c="202626"/>
        <s v="[BI metrics].[Fin_Period].&amp;[202627]" c="202627"/>
        <s v="[BI metrics].[Fin_Period].&amp;[202628]" c="202628"/>
        <s v="[BI metrics].[Fin_Period].&amp;[202629]" c="202629"/>
        <s v="[BI metrics].[Fin_Period].&amp;[202630]" c="202630"/>
        <s v="[BI metrics].[Fin_Period].&amp;[202631]" c="202631"/>
        <s v="[BI metrics].[Fin_Period].&amp;[202632]" c="202632"/>
        <s v="[BI metrics].[Fin_Period].&amp;[202633]" c="202633"/>
        <s v="[BI metrics].[Fin_Period].&amp;[202634]" c="202634"/>
        <s v="[BI metrics].[Fin_Period].&amp;[202635]" c="202635"/>
        <s v="[BI metrics].[Fin_Period].&amp;[202636]" c="202636"/>
        <s v="[BI metrics].[Fin_Period].&amp;[202637]" c="202637"/>
        <s v="[BI metrics].[Fin_Period].&amp;[202638]" c="202638"/>
        <s v="[BI metrics].[Fin_Period].&amp;[202639]" c="202639"/>
        <s v="[BI metrics].[Fin_Period].&amp;[202640]" c="202640"/>
        <s v="[BI metrics].[Fin_Period].&amp;[202641]" c="202641"/>
        <s v="[BI metrics].[Fin_Period].&amp;[202642]" c="202642"/>
        <s v="[BI metrics].[Fin_Period].&amp;[202643]" c="202643"/>
        <s v="[BI metrics].[Fin_Period].&amp;[202644]" c="202644"/>
        <s v="[BI metrics].[Fin_Period].&amp;[202645]" c="202645"/>
        <s v="[BI metrics].[Fin_Period].&amp;[202646]" c="202646"/>
        <s v="[BI metrics].[Fin_Period].&amp;[202647]" c="202647"/>
        <s v="[BI metrics].[Fin_Period].&amp;[202648]" c="202648"/>
        <s v="[BI metrics].[Fin_Period].&amp;[202649]" c="202649"/>
        <s v="[BI metrics].[Fin_Period].&amp;[202650]" c="202650"/>
        <s v="[BI metrics].[Fin_Period].&amp;[202651]" c="202651"/>
        <s v="[BI metrics].[Fin_Period].&amp;[202652]" c="202652"/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  <s v="[BI metrics].[Fin_Period].&amp;[202708]" c="202708"/>
        <s v="[BI metrics].[Fin_Period].&amp;[202709]" c="202709"/>
        <s v="[BI metrics].[Fin_Period].&amp;[202710]" c="202710"/>
        <s v="[BI metrics].[Fin_Period].&amp;[202711]" c="202711"/>
        <s v="[BI metrics].[Fin_Period].&amp;[202712]" c="202712"/>
        <s v="[BI metrics].[Fin_Period].&amp;[202713]" c="202713"/>
        <s v="[BI metrics].[Fin_Period].&amp;[202714]" c="202714"/>
        <s v="[BI metrics].[Fin_Period].&amp;[202715]" c="202715"/>
        <s v="[BI metrics].[Fin_Period].&amp;[202716]" c="202716"/>
        <s v="[BI metrics].[Fin_Period].&amp;[202717]" c="202717"/>
        <s v="[BI metrics].[Fin_Period].&amp;[202718]" c="202718"/>
        <s v="[BI metrics].[Fin_Period].&amp;[202719]" c="202719"/>
        <s v="[BI metrics].[Fin_Period].&amp;[202720]" c="202720"/>
        <s v="[BI metrics].[Fin_Period].&amp;[202721]" c="202721"/>
        <s v="[BI metrics].[Fin_Period].&amp;[202722]" c="202722"/>
        <s v="[BI metrics].[Fin_Period].&amp;[202723]" c="202723"/>
        <s v="[BI metrics].[Fin_Period].&amp;[202724]" c="202724"/>
        <s v="[BI metrics].[Fin_Period].&amp;[202725]" c="202725"/>
        <s v="[BI metrics].[Fin_Period].&amp;[202726]" c="202726"/>
        <s v="[BI metrics].[Fin_Period].&amp;[202727]" c="202727"/>
        <s v="[BI metrics].[Fin_Period].&amp;[202728]" c="202728"/>
        <s v="[BI metrics].[Fin_Period].&amp;[202729]" c="202729"/>
        <s v="[BI metrics].[Fin_Period].&amp;[202730]" c="202730"/>
        <s v="[BI metrics].[Fin_Period].&amp;[202731]" c="202731"/>
        <s v="[BI metrics].[Fin_Period].&amp;[202732]" c="202732"/>
        <s v="[BI metrics].[Fin_Period].&amp;[202733]" c="202733"/>
        <s v="[BI metrics].[Fin_Period].&amp;[202734]" c="202734"/>
        <s v="[BI metrics].[Fin_Period].&amp;[202735]" c="202735"/>
        <s v="[BI metrics].[Fin_Period].&amp;[202736]" c="202736"/>
        <s v="[BI metrics].[Fin_Period].&amp;[202737]" c="202737"/>
        <s v="[BI metrics].[Fin_Period].&amp;[202738]" c="202738"/>
        <s v="[BI metrics].[Fin_Period].&amp;[202739]" c="202739"/>
        <s v="[BI metrics].[Fin_Period].&amp;[202740]" c="202740"/>
        <s v="[BI metrics].[Fin_Period].&amp;[202741]" c="202741"/>
        <s v="[BI metrics].[Fin_Period].&amp;[202742]" c="202742"/>
        <s v="[BI metrics].[Fin_Period].&amp;[202743]" c="202743"/>
        <s v="[BI metrics].[Fin_Period].&amp;[202744]" c="202744"/>
        <s v="[BI metrics].[Fin_Period].&amp;[202745]" c="202745"/>
        <s v="[BI metrics].[Fin_Period].&amp;[202746]" c="202746"/>
        <s v="[BI metrics].[Fin_Period].&amp;[202747]" c="202747"/>
        <s v="[BI metrics].[Fin_Period].&amp;[202748]" c="202748"/>
        <s v="[BI metrics].[Fin_Period].&amp;[202749]" c="202749"/>
        <s v="[BI metrics].[Fin_Period].&amp;[202750]" c="202750"/>
        <s v="[BI metrics].[Fin_Period].&amp;[202751]" c="202751"/>
        <s v="[BI metrics].[Fin_Period].&amp;[202752]" c="202752"/>
      </sharedItems>
    </cacheField>
    <cacheField name="[BI metrics].[TimePeriod].[TimePeriod]" caption="TimePeriod" numFmtId="0" hierarchy="60" level="1">
      <sharedItems containsSemiMixedTypes="0" containsString="0"/>
    </cacheField>
    <cacheField name="[BI Item].[Item_Country].[Item_Country]" caption="Item_Country" numFmtId="0" hierarchy="22" level="1">
      <sharedItems containsSemiMixedTypes="0" containsString="0"/>
    </cacheField>
    <cacheField name="[BI Item].[Division].[Division]" caption="Division" numFmtId="0" hierarchy="17" level="1">
      <sharedItems containsSemiMixedTypes="0" containsString="0"/>
    </cacheField>
    <cacheField name="[BI Store].[Branch_Type].[Branch_Type]" caption="Branch_Type" numFmtId="0" hierarchy="69" level="1">
      <sharedItems containsSemiMixedTypes="0" containsString="0"/>
    </cacheField>
    <cacheField name="[BI Store].[Store_Country].[Store_Country]" caption="Store_Country" numFmtId="0" hierarchy="75" level="1">
      <sharedItems containsSemiMixedTypes="0" containsString="0"/>
    </cacheField>
    <cacheField name="[BI vw_BudgetByItemCategory].[Country].[Country]" caption="Country" numFmtId="0" hierarchy="92" level="1">
      <sharedItems containsSemiMixedTypes="0" containsString="0"/>
    </cacheField>
    <cacheField name="[TimePeriodSort].[TimePeriod].[TimePeriod]" caption="TimePeriod" numFmtId="0" hierarchy="284" level="1">
      <sharedItems containsSemiMixedTypes="0" containsString="0"/>
    </cacheField>
    <cacheField name="[BI vw_WeeklyWrittenSalesMetrics].[Branch_Type].[Branch_Type]" caption="Branch_Type" numFmtId="0" hierarchy="199" level="1">
      <sharedItems containsSemiMixedTypes="0" containsString="0"/>
    </cacheField>
    <cacheField name="[BI vw_WeeklyWrittenSalesMetrics].[Division].[Division]" caption="Division" numFmtId="0" hierarchy="209" level="1">
      <sharedItems count="2">
        <s v="[BI vw_WeeklyWrittenSalesMetrics].[Division].&amp;[Furniture]" c="Furniture"/>
        <s v="[BI vw_WeeklyWrittenSalesMetrics].[Division].&amp;[Homewares]" c="Homewares"/>
      </sharedItems>
    </cacheField>
    <cacheField name="[BI vw_WeeklyWrittenSalesMetrics].[Country].[Country]" caption="Country" numFmtId="0" hierarchy="207" level="1">
      <sharedItems containsSemiMixedTypes="0" containsString="0"/>
    </cacheField>
    <cacheField name="[Measures].[R-Sales TY $]" caption="R-Sales TY $" numFmtId="0" hierarchy="350" level="32767"/>
    <cacheField name="[BI vw_WeeklyWrittenSalesMetrics].[Channel].[Channel]" caption="Channel" numFmtId="0" hierarchy="205" level="1">
      <sharedItems count="4">
        <s v="[BI vw_WeeklyWrittenSalesMetrics].[Channel].&amp;" c=""/>
        <s v="[BI vw_WeeklyWrittenSalesMetrics].[Channel].&amp;[Dropship]" c="Dropship"/>
        <s v="[BI vw_WeeklyWrittenSalesMetrics].[Channel].&amp;[In Store]" c="In Store"/>
        <s v="[BI vw_WeeklyWrittenSalesMetrics].[Channel].&amp;[Online]" c="Online"/>
      </sharedItems>
    </cacheField>
  </cacheFields>
  <cacheHierarchies count="579">
    <cacheHierarchy uniqueName="[BI ForecastClass].[BranchType]" caption="BranchType" attribute="1" defaultMemberUniqueName="[BI ForecastClass].[BranchType].[All]" allUniqueName="[BI ForecastClass].[BranchType].[All]" dimensionUniqueName="[BI ForecastClass]" displayFolder="" count="0" memberValueDatatype="130" unbalanced="0"/>
    <cacheHierarchy uniqueName="[BI ForecastClass].[Channel]" caption="Channel" attribute="1" defaultMemberUniqueName="[BI ForecastClass].[Channel].[All]" allUniqueName="[BI ForecastClass].[Channel].[All]" dimensionUniqueName="[BI ForecastClass]" displayFolder="" count="0" memberValueDatatype="130" unbalanced="0"/>
    <cacheHierarchy uniqueName="[BI ForecastClass].[Class]" caption="Class" attribute="1" defaultMemberUniqueName="[BI ForecastClass].[Class].[All]" allUniqueName="[BI ForecastClass].[Class].[All]" dimensionUniqueName="[BI ForecastClass]" displayFolder="" count="0" memberValueDatatype="130" unbalanced="0"/>
    <cacheHierarchy uniqueName="[BI ForecastClass].[Country]" caption="Country" attribute="1" defaultMemberUniqueName="[BI ForecastClass].[Country].[All]" allUniqueName="[BI ForecastClass].[Country].[All]" dimensionUniqueName="[BI ForecastClass]" displayFolder="" count="0" memberValueDatatype="130" unbalanced="0"/>
    <cacheHierarchy uniqueName="[BI ForecastClass].[DepartmentDesc]" caption="DepartmentDesc" attribute="1" defaultMemberUniqueName="[BI ForecastClass].[DepartmentDesc].[All]" allUniqueName="[BI ForecastClass].[DepartmentDesc].[All]" dimensionUniqueName="[BI ForecastClass]" displayFolder="" count="0" memberValueDatatype="130" unbalanced="0"/>
    <cacheHierarchy uniqueName="[BI ForecastClass].[Division]" caption="Division" attribute="1" defaultMemberUniqueName="[BI ForecastClass].[Division].[All]" allUniqueName="[BI ForecastClass].[Division].[All]" dimensionUniqueName="[BI ForecastClass]" displayFolder="" count="0" memberValueDatatype="130" unbalanced="0"/>
    <cacheHierarchy uniqueName="[BI ForecastClass].[Period]" caption="Period" attribute="1" defaultMemberUniqueName="[BI ForecastClass].[Period].[All]" allUniqueName="[BI ForecastClass].[Period].[All]" dimensionUniqueName="[BI ForecastClass]" displayFolder="" count="0" memberValueDatatype="20" unbalanced="0"/>
    <cacheHierarchy uniqueName="[BI ForecastClass].[Storekey]" caption="Storekey" attribute="1" defaultMemberUniqueName="[BI ForecastClass].[Storekey].[All]" allUniqueName="[BI ForecastClass].[Storekey].[All]" dimensionUniqueName="[BI ForecastClass]" displayFolder="" count="0" memberValueDatatype="20" unbalanced="0"/>
    <cacheHierarchy uniqueName="[BI ForecastClass].[SubDepartmentDesc]" caption="SubDepartmentDesc" attribute="1" defaultMemberUniqueName="[BI ForecastClass].[SubDepartmentDesc].[All]" allUniqueName="[BI ForecastClass].[SubDepartmentDesc].[All]" dimensionUniqueName="[BI ForecastClass]" displayFolder="" count="0" memberValueDatatype="130" unbalanced="0"/>
    <cacheHierarchy uniqueName="[BI Item].[AddedDate]" caption="AddedDate" attribute="1" time="1" defaultMemberUniqueName="[BI Item].[AddedDate].[All]" allUniqueName="[BI Item].[AddedDate].[All]" dimensionUniqueName="[BI Item]" displayFolder="" count="0" memberValueDatatype="7" unbalanced="0"/>
    <cacheHierarchy uniqueName="[BI Item].[AUtoNZWholesale]" caption="AUtoNZWholesale" attribute="1" defaultMemberUniqueName="[BI Item].[AUtoNZWholesale].[All]" allUniqueName="[BI Item].[AUtoNZWholesale].[All]" dimensionUniqueName="[BI Item]" displayFolder="" count="0" memberValueDatatype="5" unbalanced="0"/>
    <cacheHierarchy uniqueName="[BI Item].[Base_SKU]" caption="Base_SKU" attribute="1" defaultMemberUniqueName="[BI Item].[Base_SKU].[All]" allUniqueName="[BI Item].[Base_SKU].[All]" dimensionUniqueName="[BI Item]" displayFolder="" count="0" memberValueDatatype="130" unbalanced="0"/>
    <cacheHierarchy uniqueName="[BI Item].[Class]" caption="Class" attribute="1" defaultMemberUniqueName="[BI Item].[Class].[All]" allUniqueName="[BI Item].[Class].[All]" dimensionUniqueName="[BI Item]" displayFolder="" count="0" memberValueDatatype="20" unbalanced="0"/>
    <cacheHierarchy uniqueName="[BI Item].[Cost]" caption="Cost" attribute="1" defaultMemberUniqueName="[BI Item].[Cost].[All]" allUniqueName="[BI Item].[Cost].[All]" dimensionUniqueName="[BI Item]" displayFolder="" count="0" memberValueDatatype="6" unbalanced="0"/>
    <cacheHierarchy uniqueName="[BI Item].[CostAveage]" caption="CostAveage" attribute="1" defaultMemberUniqueName="[BI Item].[CostAveage].[All]" allUniqueName="[BI Item].[CostAveage].[All]" dimensionUniqueName="[BI Item]" displayFolder="" count="0" memberValueDatatype="6" unbalanced="0"/>
    <cacheHierarchy uniqueName="[BI Item].[DepartmentDesc]" caption="DepartmentDesc" attribute="1" defaultMemberUniqueName="[BI Item].[DepartmentDesc].[All]" allUniqueName="[BI Item].[DepartmentDesc].[All]" dimensionUniqueName="[BI Item]" displayFolder="" count="0" memberValueDatatype="130" unbalanced="0"/>
    <cacheHierarchy uniqueName="[BI Item].[Description]" caption="Description" attribute="1" defaultMemberUniqueName="[BI Item].[Description].[All]" allUniqueName="[BI Item].[Description].[All]" dimensionUniqueName="[BI Item]" displayFolder="" count="0" memberValueDatatype="130" unbalanced="0"/>
    <cacheHierarchy uniqueName="[BI Item].[Division]" caption="Division" attribute="1" defaultMemberUniqueName="[BI Item].[Division].[All]" allUniqueName="[BI Item].[Division].[All]" dimensionUniqueName="[BI Item]" displayFolder="" count="2" memberValueDatatype="130" unbalanced="0">
      <fieldsUsage count="2">
        <fieldUsage x="-1"/>
        <fieldUsage x="3"/>
      </fieldsUsage>
    </cacheHierarchy>
    <cacheHierarchy uniqueName="[BI Item].[InActive]" caption="InActive" attribute="1" defaultMemberUniqueName="[BI Item].[InActive].[All]" allUniqueName="[BI Item].[InActive].[All]" dimensionUniqueName="[BI Item]" displayFolder="" count="0" memberValueDatatype="11" unbalanced="0"/>
    <cacheHierarchy uniqueName="[BI Item].[Infinity_UPC]" caption="Infinity_UPC" attribute="1" defaultMemberUniqueName="[BI Item].[Infinity_UPC].[All]" allUniqueName="[BI Item].[Infinity_UPC].[All]" dimensionUniqueName="[BI Item]" displayFolder="" count="0" memberValueDatatype="130" unbalanced="0"/>
    <cacheHierarchy uniqueName="[BI Item].[IsChanged]" caption="IsChanged" attribute="1" defaultMemberUniqueName="[BI Item].[IsChanged].[All]" allUniqueName="[BI Item].[IsChanged].[All]" dimensionUniqueName="[BI Item]" displayFolder="" count="0" memberValueDatatype="11" unbalanced="0"/>
    <cacheHierarchy uniqueName="[BI Item].[Item_Class_Desc]" caption="Item_Class_Desc" attribute="1" defaultMemberUniqueName="[BI Item].[Item_Class_Desc].[All]" allUniqueName="[BI Item].[Item_Class_Desc].[All]" dimensionUniqueName="[BI Item]" displayFolder="" count="0" memberValueDatatype="130" unbalanced="0"/>
    <cacheHierarchy uniqueName="[BI Item].[Item_Country]" caption="Item_Country" attribute="1" defaultMemberUniqueName="[BI Item].[Item_Country].[All]" allUniqueName="[BI Item].[Item_Country].[All]" dimensionUniqueName="[BI Item]" displayFolder="" count="2" memberValueDatatype="130" unbalanced="0">
      <fieldsUsage count="2">
        <fieldUsage x="-1"/>
        <fieldUsage x="2"/>
      </fieldsUsage>
    </cacheHierarchy>
    <cacheHierarchy uniqueName="[BI Item].[Item_Type]" caption="Item_Type" attribute="1" defaultMemberUniqueName="[BI Item].[Item_Type].[All]" allUniqueName="[BI Item].[Item_Type].[All]" dimensionUniqueName="[BI Item]" displayFolder="" count="0" memberValueDatatype="130" unbalanced="0"/>
    <cacheHierarchy uniqueName="[BI Item].[ItemKey]" caption="ItemKey" attribute="1" defaultMemberUniqueName="[BI Item].[ItemKey].[All]" allUniqueName="[BI Item].[ItemKey].[All]" dimensionUniqueName="[BI Item]" displayFolder="" count="0" memberValueDatatype="20" unbalanced="0"/>
    <cacheHierarchy uniqueName="[BI Item].[NonStock]" caption="NonStock" attribute="1" defaultMemberUniqueName="[BI Item].[NonStock].[All]" allUniqueName="[BI Item].[NonStock].[All]" dimensionUniqueName="[BI Item]" displayFolder="" count="0" memberValueDatatype="11" unbalanced="0"/>
    <cacheHierarchy uniqueName="[BI Item].[Price]" caption="Price" attribute="1" defaultMemberUniqueName="[BI Item].[Price].[All]" allUniqueName="[BI Item].[Price].[All]" dimensionUniqueName="[BI Item]" displayFolder="" count="0" memberValueDatatype="6" unbalanced="0"/>
    <cacheHierarchy uniqueName="[BI Item].[Product_Cate_Key]" caption="Product_Cate_Key" attribute="1" defaultMemberUniqueName="[BI Item].[Product_Cate_Key].[All]" allUniqueName="[BI Item].[Product_Cate_Key].[All]" dimensionUniqueName="[BI Item]" displayFolder="" count="0" memberValueDatatype="20" unbalanced="0"/>
    <cacheHierarchy uniqueName="[BI Item].[Product_Status]" caption="Product_Status" attribute="1" defaultMemberUniqueName="[BI Item].[Product_Status].[All]" allUniqueName="[BI Item].[Product_Status].[All]" dimensionUniqueName="[BI Item]" displayFolder="" count="0" memberValueDatatype="130" unbalanced="0"/>
    <cacheHierarchy uniqueName="[BI Item].[Product_Sub_Cate_Key]" caption="Product_Sub_Cate_Key" attribute="1" defaultMemberUniqueName="[BI Item].[Product_Sub_Cate_Key].[All]" allUniqueName="[BI Item].[Product_Sub_Cate_Key].[All]" dimensionUniqueName="[BI Item]" displayFolder="" count="0" memberValueDatatype="20" unbalanced="0"/>
    <cacheHierarchy uniqueName="[BI Item].[PurchaseCost]" caption="PurchaseCost" attribute="1" defaultMemberUniqueName="[BI Item].[PurchaseCost].[All]" allUniqueName="[BI Item].[PurchaseCost].[All]" dimensionUniqueName="[BI Item]" displayFolder="" count="0" memberValueDatatype="6" unbalanced="0"/>
    <cacheHierarchy uniqueName="[BI Item].[PurchaseQty]" caption="PurchaseQty" attribute="1" defaultMemberUniqueName="[BI Item].[PurchaseQty].[All]" allUniqueName="[BI Item].[PurchaseQty].[All]" dimensionUniqueName="[BI Item]" displayFolder="" count="0" memberValueDatatype="5" unbalanced="0"/>
    <cacheHierarchy uniqueName="[BI Item].[Range]" caption="Range" attribute="1" defaultMemberUniqueName="[BI Item].[Range].[All]" allUniqueName="[BI Item].[Range].[All]" dimensionUniqueName="[BI Item]" displayFolder="" count="0" memberValueDatatype="130" unbalanced="0"/>
    <cacheHierarchy uniqueName="[BI Item].[Season]" caption="Season" attribute="1" defaultMemberUniqueName="[BI Item].[Season].[All]" allUniqueName="[BI Item].[Season].[All]" dimensionUniqueName="[BI Item]" displayFolder="" count="0" memberValueDatatype="130" unbalanced="0"/>
    <cacheHierarchy uniqueName="[BI Item].[SellingQty]" caption="SellingQty" attribute="1" defaultMemberUniqueName="[BI Item].[SellingQty].[All]" allUniqueName="[BI Item].[SellingQty].[All]" dimensionUniqueName="[BI Item]" displayFolder="" count="0" memberValueDatatype="5" unbalanced="0"/>
    <cacheHierarchy uniqueName="[BI Item].[StockType]" caption="StockType" attribute="1" defaultMemberUniqueName="[BI Item].[StockType].[All]" allUniqueName="[BI Item].[StockType].[All]" dimensionUniqueName="[BI Item]" displayFolder="" count="0" memberValueDatatype="130" unbalanced="0"/>
    <cacheHierarchy uniqueName="[BI Item].[SubDepartmentDesc]" caption="SubDepartmentDesc" attribute="1" defaultMemberUniqueName="[BI Item].[SubDepartmentDesc].[All]" allUniqueName="[BI Item].[SubDepartmentDesc].[All]" dimensionUniqueName="[BI Item]" displayFolder="" count="0" memberValueDatatype="130" unbalanced="0"/>
    <cacheHierarchy uniqueName="[BI Item].[Supplier_Code]" caption="Supplier_Code" attribute="1" defaultMemberUniqueName="[BI Item].[Supplier_Code].[All]" allUniqueName="[BI Item].[Supplier_Code].[All]" dimensionUniqueName="[BI Item]" displayFolder="" count="0" memberValueDatatype="130" unbalanced="0"/>
    <cacheHierarchy uniqueName="[BI Item].[TaxType]" caption="TaxType" attribute="1" defaultMemberUniqueName="[BI Item].[TaxType].[All]" allUniqueName="[BI Item].[TaxType].[All]" dimensionUniqueName="[BI Item]" displayFolder="" count="0" memberValueDatatype="130" unbalanced="0"/>
    <cacheHierarchy uniqueName="[BI Item].[Unit]" caption="Unit" attribute="1" defaultMemberUniqueName="[BI Item].[Unit].[All]" allUniqueName="[BI Item].[Unit].[All]" dimensionUniqueName="[BI Item]" displayFolder="" count="0" memberValueDatatype="130" unbalanced="0"/>
    <cacheHierarchy uniqueName="[BI Item].[UpdatedDate]" caption="UpdatedDate" attribute="1" time="1" defaultMemberUniqueName="[BI Item].[UpdatedDate].[All]" allUniqueName="[BI Item].[UpdatedDate].[All]" dimensionUniqueName="[BI Item]" displayFolder="" count="0" memberValueDatatype="7" unbalanced="0"/>
    <cacheHierarchy uniqueName="[BI Item].[Wholesale]" caption="Wholesale" attribute="1" defaultMemberUniqueName="[BI Item].[Wholesale].[All]" allUniqueName="[BI Item].[Wholesale].[All]" dimensionUniqueName="[BI Item]" displayFolder="" count="0" memberValueDatatype="5" unbalanced="0"/>
    <cacheHierarchy uniqueName="[BI metrics].[Current Date]" caption="Current Date" attribute="1" time="1" defaultMemberUniqueName="[BI metrics].[Current Date].[All]" allUniqueName="[BI metrics].[Current Date].[All]" dimensionUniqueName="[BI metrics]" displayFolder="" count="0" memberValueDatatype="7" unbalanced="0"/>
    <cacheHierarchy uniqueName="[BI metrics].[Date]" caption="Date" attribute="1" time="1" defaultMemberUniqueName="[BI metrics].[Date].[All]" allUniqueName="[BI metrics].[Date].[All]" dimensionUniqueName="[BI metrics]" displayFolder="" count="0" memberValueDatatype="7" unbalanced="0"/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0"/>
      </fieldsUsage>
    </cacheHierarchy>
    <cacheHierarchy uniqueName="[BI metrics].[finPeriod_Before]" caption="finPeriod_Before" attribute="1" defaultMemberUniqueName="[BI metrics].[finPeriod_Before].[All]" allUniqueName="[BI metrics].[finPeriod_Before].[All]" dimensionUniqueName="[BI metrics]" displayFolder="" count="0" memberValueDatatype="130" unbalanced="0"/>
    <cacheHierarchy uniqueName="[BI metrics].[finPeriod_Before_Trend]" caption="finPeriod_Before_Trend" attribute="1" defaultMemberUniqueName="[BI metrics].[finPeriod_Before_Trend].[All]" allUniqueName="[BI metrics].[finPeriod_Before_Trend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2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20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20" unbalanced="0"/>
    <cacheHierarchy uniqueName="[BI metrics].[Min_Year]" caption="Min_Year" attribute="1" time="1" defaultMemberUniqueName="[BI metrics].[Min_Year].[All]" allUniqueName="[BI metrics].[Min_Year].[All]" dimensionUniqueName="[BI metrics]" displayFolder="" count="0" memberValueDatatype="7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1"/>
      </fieldsUsage>
    </cacheHierarchy>
    <cacheHierarchy uniqueName="[BI metrics].[TimePeriodSort]" caption="TimePeriodSort" attribute="1" defaultMemberUniqueName="[BI metrics].[TimePeriodSort].[All]" allUniqueName="[BI metrics].[TimePeriodSort].[All]" dimensionUniqueName="[BI metrics]" displayFolder="" count="0" memberValueDatatype="20" unbalanced="0"/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 Int]" caption="Year Int" attribute="1" defaultMemberUniqueName="[BI metrics].[Year Int].[All]" allUniqueName="[BI metrics].[Year Int].[All]" dimensionUniqueName="[BI metrics]" displayFolder="" count="0" memberValueDatatype="2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metrics].[Year_New]" caption="Year_New" attribute="1" defaultMemberUniqueName="[BI metrics].[Year_New].[All]" allUniqueName="[BI metrics].[Year_New].[All]" dimensionUniqueName="[BI metrics]" displayFolder="" count="0" memberValueDatatype="20" unbalanced="0"/>
    <cacheHierarchy uniqueName="[BI Store].[Area_Leader]" caption="Area_Leader" attribute="1" defaultMemberUniqueName="[BI Store].[Area_Leader].[All]" allUniqueName="[BI Store].[Area_Leader].[All]" dimensionUniqueName="[BI Store]" displayFolder="" count="0" memberValueDatatype="130" unbalanced="0"/>
    <cacheHierarchy uniqueName="[BI Store].[Area_Leader_New]" caption="Area_Leader_New" attribute="1" defaultMemberUniqueName="[BI Store].[Area_Leader_New].[All]" allUniqueName="[BI Store].[Area_Leader_New].[All]" dimensionUniqueName="[BI Store]" displayFolder="" count="0" memberValueDatatype="130" unbalanced="0"/>
    <cacheHierarchy uniqueName="[BI Store].[Branch_Type]" caption="Branch_Type" attribute="1" defaultMemberUniqueName="[BI Store].[Branch_Type].[All]" allUniqueName="[BI Store].[Branch_Type].[All]" dimensionUniqueName="[BI Store]" displayFolder="" count="2" memberValueDatatype="130" unbalanced="0">
      <fieldsUsage count="2">
        <fieldUsage x="-1"/>
        <fieldUsage x="4"/>
      </fieldsUsage>
    </cacheHierarchy>
    <cacheHierarchy uniqueName="[BI Store].[FreedomArea]" caption="FreedomArea" attribute="1" defaultMemberUniqueName="[BI Store].[FreedomArea].[All]" allUniqueName="[BI Store].[FreedomArea].[All]" dimensionUniqueName="[BI Store]" displayFolder="" count="0" memberValueDatatype="5" unbalanced="0"/>
    <cacheHierarchy uniqueName="[BI Store].[IsDC]" caption="IsDC" attribute="1" defaultMemberUniqueName="[BI Store].[IsDC].[All]" allUniqueName="[BI Store].[IsDC].[All]" dimensionUniqueName="[BI Store]" displayFolder="" count="0" memberValueDatatype="11" unbalanced="0"/>
    <cacheHierarchy uniqueName="[BI Store].[IsHO]" caption="IsHO" attribute="1" defaultMemberUniqueName="[BI Store].[IsHO].[All]" allUniqueName="[BI Store].[IsHO].[All]" dimensionUniqueName="[BI Store]" displayFolder="" count="0" memberValueDatatype="11" unbalanced="0"/>
    <cacheHierarchy uniqueName="[BI Store].[Store State Sort]" caption="Store State Sort" attribute="1" defaultMemberUniqueName="[BI Store].[Store State Sort].[All]" allUniqueName="[BI Store].[Store State Sort].[All]" dimensionUniqueName="[BI Store]" displayFolder="" count="0" memberValueDatatype="20" unbalanced="0"/>
    <cacheHierarchy uniqueName="[BI Store].[Store_Code]" caption="Store_Code" attribute="1" defaultMemberUniqueName="[BI Store].[Store_Code].[All]" allUniqueName="[BI Store].[Store_Code].[All]" dimensionUniqueName="[BI Store]" displayFolder="" count="0" memberValueDatatype="130" unbalanced="0"/>
    <cacheHierarchy uniqueName="[BI Store].[Store_Country]" caption="Store_Country" attribute="1" defaultMemberUniqueName="[BI Store].[Store_Country].[All]" allUniqueName="[BI Store].[Store_Country].[All]" dimensionUniqueName="[BI Store]" displayFolder="" count="2" memberValueDatatype="130" unbalanced="0">
      <fieldsUsage count="2">
        <fieldUsage x="-1"/>
        <fieldUsage x="5"/>
      </fieldsUsage>
    </cacheHierarchy>
    <cacheHierarchy uniqueName="[BI Store].[Store_Name]" caption="Store_Name" attribute="1" defaultMemberUniqueName="[BI Store].[Store_Name].[All]" allUniqueName="[BI Store].[Store_Name].[All]" dimensionUniqueName="[BI Store]" displayFolder="" count="0" memberValueDatatype="130" unbalanced="0"/>
    <cacheHierarchy uniqueName="[BI Store].[Store_State]" caption="Store_State" attribute="1" defaultMemberUniqueName="[BI Store].[Store_State].[All]" allUniqueName="[BI Store].[Store_State].[All]" dimensionUniqueName="[BI Store]" displayFolder="" count="0" memberValueDatatype="130" unbalanced="0"/>
    <cacheHierarchy uniqueName="[BI Store].[Store_Type]" caption="Store_Type" attribute="1" defaultMemberUniqueName="[BI Store].[Store_Type].[All]" allUniqueName="[BI Store].[Store_Type].[All]" dimensionUniqueName="[BI Store]" displayFolder="" count="0" memberValueDatatype="130" unbalanced="0"/>
    <cacheHierarchy uniqueName="[BI Store].[StoreKey]" caption="StoreKey" attribute="1" defaultMemberUniqueName="[BI Store].[StoreKey].[All]" allUniqueName="[BI Store].[StoreKey].[All]" dimensionUniqueName="[BI Store]" displayFolder="" count="0" memberValueDatatype="130" unbalanced="0"/>
    <cacheHierarchy uniqueName="[BI Store].[SubLeasedArea]" caption="SubLeasedArea" attribute="1" defaultMemberUniqueName="[BI Store].[SubLeasedArea].[All]" allUniqueName="[BI Store].[SubLeasedArea].[All]" dimensionUniqueName="[BI Store]" displayFolder="" count="0" memberValueDatatype="5" unbalanced="0"/>
    <cacheHierarchy uniqueName="[BI Store].[SubLeasedCompany]" caption="SubLeasedCompany" attribute="1" defaultMemberUniqueName="[BI Store].[SubLeasedCompany].[All]" allUniqueName="[BI Store].[SubLeasedCompany].[All]" dimensionUniqueName="[BI Store]" displayFolder="" count="0" memberValueDatatype="130" unbalanced="0"/>
    <cacheHierarchy uniqueName="[BI Store].[TotalArea]" caption="TotalArea" attribute="1" defaultMemberUniqueName="[BI Store].[TotalArea].[All]" allUniqueName="[BI Store].[TotalArea].[All]" dimensionUniqueName="[BI Store]" displayFolder="" count="0" memberValueDatatype="5" unbalanced="0"/>
    <cacheHierarchy uniqueName="[BI Store State Sort].[Sort No]" caption="Sort No" attribute="1" defaultMemberUniqueName="[BI Store State Sort].[Sort No].[All]" allUniqueName="[BI Store State Sort].[Sort No].[All]" dimensionUniqueName="[BI Store State Sort]" displayFolder="" count="0" memberValueDatatype="20" unbalanced="0"/>
    <cacheHierarchy uniqueName="[BI Store State Sort].[State Name]" caption="State Name" attribute="1" defaultMemberUniqueName="[BI Store State Sort].[State Name].[All]" allUniqueName="[BI Store State Sort].[State Name].[All]" dimensionUniqueName="[BI Store State Sort]" displayFolder="" count="0" memberValueDatatype="130" unbalanced="0"/>
    <cacheHierarchy uniqueName="[BI vw_BudgetByItemCategory].[BudgetDollar]" caption="BudgetDollar" attribute="1" defaultMemberUniqueName="[BI vw_BudgetByItemCategory].[BudgetDollar].[All]" allUniqueName="[BI vw_BudgetByItemCategory].[BudgetDollar].[All]" dimensionUniqueName="[BI vw_BudgetByItemCategory]" displayFolder="" count="0" memberValueDatatype="20" unbalanced="0"/>
    <cacheHierarchy uniqueName="[BI vw_BudgetByItemCategory].[BudgetGMDollar]" caption="BudgetGMDollar" attribute="1" defaultMemberUniqueName="[BI vw_BudgetByItemCategory].[BudgetGMDollar].[All]" allUniqueName="[BI vw_BudgetByItemCategory].[BudgetGMDollar].[All]" dimensionUniqueName="[BI vw_BudgetByItemCategory]" displayFolder="" count="0" memberValueDatatype="20" unbalanced="0"/>
    <cacheHierarchy uniqueName="[BI vw_BudgetByItemCategory].[BudgetMarkDown]" caption="BudgetMarkDown" attribute="1" defaultMemberUniqueName="[BI vw_BudgetByItemCategory].[BudgetMarkDown].[All]" allUniqueName="[BI vw_BudgetByItemCategory].[BudgetMarkDown].[All]" dimensionUniqueName="[BI vw_BudgetByItemCategory]" displayFolder="" count="0" memberValueDatatype="20" unbalanced="0"/>
    <cacheHierarchy uniqueName="[BI vw_BudgetByItemCategory].[BudgetPeriod]" caption="BudgetPeriod" attribute="1" defaultMemberUniqueName="[BI vw_BudgetByItemCategory].[BudgetPeriod].[All]" allUniqueName="[BI vw_BudgetByItemCategory].[BudgetPeriod].[All]" dimensionUniqueName="[BI vw_BudgetByItemCategory]" displayFolder="" count="0" memberValueDatatype="20" unbalanced="0"/>
    <cacheHierarchy uniqueName="[BI vw_BudgetByItemCategory].[BudgetWeek]" caption="BudgetWeek" attribute="1" defaultMemberUniqueName="[BI vw_BudgetByItemCategory].[BudgetWeek].[All]" allUniqueName="[BI vw_BudgetByItemCategory].[BudgetWeek].[All]" dimensionUniqueName="[BI vw_BudgetByItemCategory]" displayFolder="" count="0" memberValueDatatype="20" unbalanced="0"/>
    <cacheHierarchy uniqueName="[BI vw_BudgetByItemCategory].[BudgetYear]" caption="BudgetYear" attribute="1" defaultMemberUniqueName="[BI vw_BudgetByItemCategory].[BudgetYear].[All]" allUniqueName="[BI vw_BudgetByItemCategory].[BudgetYear].[All]" dimensionUniqueName="[BI vw_BudgetByItemCategory]" displayFolder="" count="0" memberValueDatatype="20" unbalanced="0"/>
    <cacheHierarchy uniqueName="[BI vw_BudgetByItemCategory].[Channel]" caption="Channel" attribute="1" defaultMemberUniqueName="[BI vw_BudgetByItemCategory].[Channel].[All]" allUniqueName="[BI vw_BudgetByItemCategory].[Channel].[All]" dimensionUniqueName="[BI vw_BudgetByItemCategory]" displayFolder="" count="0" memberValueDatatype="130" unbalanced="0"/>
    <cacheHierarchy uniqueName="[BI vw_BudgetByItemCategory].[Country]" caption="Country" attribute="1" defaultMemberUniqueName="[BI vw_BudgetByItemCategory].[Country].[All]" allUniqueName="[BI vw_BudgetByItemCategory].[Country].[All]" dimensionUniqueName="[BI vw_BudgetByItemCategory]" displayFolder="" count="2" memberValueDatatype="130" unbalanced="0">
      <fieldsUsage count="2">
        <fieldUsage x="-1"/>
        <fieldUsage x="6"/>
      </fieldsUsage>
    </cacheHierarchy>
    <cacheHierarchy uniqueName="[BI vw_BudgetByItemCategory].[DepartmentDesc]" caption="DepartmentDesc" attribute="1" defaultMemberUniqueName="[BI vw_BudgetByItemCategory].[DepartmentDesc].[All]" allUniqueName="[BI vw_BudgetByItemCategory].[DepartmentDesc].[All]" dimensionUniqueName="[BI vw_BudgetByItemCategory]" displayFolder="" count="0" memberValueDatatype="130" unbalanced="0"/>
    <cacheHierarchy uniqueName="[BI vw_BudgetByItemCategory].[Division]" caption="Division" attribute="1" defaultMemberUniqueName="[BI vw_BudgetByItemCategory].[Division].[All]" allUniqueName="[BI vw_BudgetByItemCategory].[Division].[All]" dimensionUniqueName="[BI vw_BudgetByItemCategory]" displayFolder="" count="0" memberValueDatatype="130" unbalanced="0"/>
    <cacheHierarchy uniqueName="[BI vw_BudgetByItemCategory].[JoinKey]" caption="JoinKey" attribute="1" defaultMemberUniqueName="[BI vw_BudgetByItemCategory].[JoinKey].[All]" allUniqueName="[BI vw_BudgetByItemCategory].[JoinKey].[All]" dimensionUniqueName="[BI vw_BudgetByItemCategory]" displayFolder="" count="0" memberValueDatatype="130" unbalanced="0"/>
    <cacheHierarchy uniqueName="[BI vw_BudgetByItemCategory].[Sale$ Pure]" caption="Sale$ Pure" attribute="1" defaultMemberUniqueName="[BI vw_BudgetByItemCategory].[Sale$ Pure].[All]" allUniqueName="[BI vw_BudgetByItemCategory].[Sale$ Pure].[All]" dimensionUniqueName="[BI vw_BudgetByItemCategory]" displayFolder="" count="0" memberValueDatatype="20" unbalanced="0"/>
    <cacheHierarchy uniqueName="[BI vw_BudgetByItemCategory].[Sales GM%]" caption="Sales GM%" attribute="1" defaultMemberUniqueName="[BI vw_BudgetByItemCategory].[Sales GM%].[All]" allUniqueName="[BI vw_BudgetByItemCategory].[Sales GM%].[All]" dimensionUniqueName="[BI vw_BudgetByItemCategory]" displayFolder="" count="0" memberValueDatatype="20" unbalanced="0"/>
    <cacheHierarchy uniqueName="[BI vw_BudgetByItemCategory].[Sales GM% Pure]" caption="Sales GM% Pure" attribute="1" defaultMemberUniqueName="[BI vw_BudgetByItemCategory].[Sales GM% Pure].[All]" allUniqueName="[BI vw_BudgetByItemCategory].[Sales GM% Pure].[All]" dimensionUniqueName="[BI vw_BudgetByItemCategory]" displayFolder="" count="0" memberValueDatatype="20" unbalanced="0"/>
    <cacheHierarchy uniqueName="[BI vw_BudgetByItemCategory].[StoreType]" caption="StoreType" attribute="1" defaultMemberUniqueName="[BI vw_BudgetByItemCategory].[StoreType].[All]" allUniqueName="[BI vw_BudgetByItemCategory].[StoreType].[All]" dimensionUniqueName="[BI vw_BudgetByItemCategory]" displayFolder="" count="0" memberValueDatatype="130" unbalanced="0"/>
    <cacheHierarchy uniqueName="[BI vw_BudgetByItemCategory].[SubDepartmentDesc]" caption="SubDepartmentDesc" attribute="1" defaultMemberUniqueName="[BI vw_BudgetByItemCategory].[SubDepartmentDesc].[All]" allUniqueName="[BI vw_BudgetByItemCategory].[SubDepartmentDesc].[All]" dimensionUniqueName="[BI vw_BudgetByItemCategory]" displayFolder="" count="0" memberValueDatatype="130" unbalanced="0"/>
    <cacheHierarchy uniqueName="[BI vw_BudgetByStore].[BudgetDollar]" caption="BudgetDollar" attribute="1" defaultMemberUniqueName="[BI vw_BudgetByStore].[BudgetDollar].[All]" allUniqueName="[BI vw_BudgetByStore].[BudgetDollar].[All]" dimensionUniqueName="[BI vw_BudgetByStore]" displayFolder="" count="0" memberValueDatatype="5" unbalanced="0"/>
    <cacheHierarchy uniqueName="[BI vw_BudgetByStore].[BudgetPeriod]" caption="BudgetPeriod" attribute="1" defaultMemberUniqueName="[BI vw_BudgetByStore].[BudgetPeriod].[All]" allUniqueName="[BI vw_BudgetByStore].[BudgetPeriod].[All]" dimensionUniqueName="[BI vw_BudgetByStore]" displayFolder="" count="0" memberValueDatatype="20" unbalanced="0"/>
    <cacheHierarchy uniqueName="[BI vw_BudgetByStore].[BudgetWeek]" caption="BudgetWeek" attribute="1" defaultMemberUniqueName="[BI vw_BudgetByStore].[BudgetWeek].[All]" allUniqueName="[BI vw_BudgetByStore].[BudgetWeek].[All]" dimensionUniqueName="[BI vw_BudgetByStore]" displayFolder="" count="0" memberValueDatatype="20" unbalanced="0"/>
    <cacheHierarchy uniqueName="[BI vw_BudgetByStore].[BudgetYear]" caption="BudgetYear" attribute="1" defaultMemberUniqueName="[BI vw_BudgetByStore].[BudgetYear].[All]" allUniqueName="[BI vw_BudgetByStore].[BudgetYear].[All]" dimensionUniqueName="[BI vw_BudgetByStore]" displayFolder="" count="0" memberValueDatatype="20" unbalanced="0"/>
    <cacheHierarchy uniqueName="[BI vw_BudgetByStore].[Channel]" caption="Channel" attribute="1" defaultMemberUniqueName="[BI vw_BudgetByStore].[Channel].[All]" allUniqueName="[BI vw_BudgetByStore].[Channel].[All]" dimensionUniqueName="[BI vw_BudgetByStore]" displayFolder="" count="0" memberValueDatatype="130" unbalanced="0"/>
    <cacheHierarchy uniqueName="[BI vw_BudgetByStore].[Country]" caption="Country" attribute="1" defaultMemberUniqueName="[BI vw_BudgetByStore].[Country].[All]" allUniqueName="[BI vw_BudgetByStore].[Country].[All]" dimensionUniqueName="[BI vw_BudgetByStore]" displayFolder="" count="0" memberValueDatatype="130" unbalanced="0"/>
    <cacheHierarchy uniqueName="[BI vw_BudgetByStore].[Division]" caption="Division" attribute="1" defaultMemberUniqueName="[BI vw_BudgetByStore].[Division].[All]" allUniqueName="[BI vw_BudgetByStore].[Division].[All]" dimensionUniqueName="[BI vw_BudgetByStore]" displayFolder="" count="0" memberValueDatatype="130" unbalanced="0"/>
    <cacheHierarchy uniqueName="[BI vw_BudgetByStore].[JoinKey]" caption="JoinKey" attribute="1" defaultMemberUniqueName="[BI vw_BudgetByStore].[JoinKey].[All]" allUniqueName="[BI vw_BudgetByStore].[JoinKey].[All]" dimensionUniqueName="[BI vw_BudgetByStore]" displayFolder="" count="0" memberValueDatatype="130" unbalanced="0"/>
    <cacheHierarchy uniqueName="[BI vw_BudgetByStore].[Store]" caption="Store" attribute="1" defaultMemberUniqueName="[BI vw_BudgetByStore].[Store].[All]" allUniqueName="[BI vw_BudgetByStore].[Store].[All]" dimensionUniqueName="[BI vw_BudgetByStore]" displayFolder="" count="0" memberValueDatatype="130" unbalanced="0"/>
    <cacheHierarchy uniqueName="[BI vw_BudgetByStore].[StoreKey]" caption="StoreKey" attribute="1" defaultMemberUniqueName="[BI vw_BudgetByStore].[StoreKey].[All]" allUniqueName="[BI vw_BudgetByStore].[StoreKey].[All]" dimensionUniqueName="[BI vw_BudgetByStore]" displayFolder="" count="0" memberValueDatatype="130" unbalanced="0"/>
    <cacheHierarchy uniqueName="[BI vw_BudgetByWeek].[BudgetPeriod]" caption="BudgetPeriod" attribute="1" defaultMemberUniqueName="[BI vw_BudgetByWeek].[BudgetPeriod].[All]" allUniqueName="[BI vw_BudgetByWeek].[BudgetPeriod].[All]" dimensionUniqueName="[BI vw_BudgetByWeek]" displayFolder="" count="0" memberValueDatatype="20" unbalanced="0"/>
    <cacheHierarchy uniqueName="[BI vw_BudgetByWeek].[BudgetWeek]" caption="BudgetWeek" attribute="1" defaultMemberUniqueName="[BI vw_BudgetByWeek].[BudgetWeek].[All]" allUniqueName="[BI vw_BudgetByWeek].[BudgetWeek].[All]" dimensionUniqueName="[BI vw_BudgetByWeek]" displayFolder="" count="0" memberValueDatatype="20" unbalanced="0"/>
    <cacheHierarchy uniqueName="[BI vw_BudgetByWeek].[BudgetYear]" caption="BudgetYear" attribute="1" defaultMemberUniqueName="[BI vw_BudgetByWeek].[BudgetYear].[All]" allUniqueName="[BI vw_BudgetByWeek].[BudgetYear].[All]" dimensionUniqueName="[BI vw_BudgetByWeek]" displayFolder="" count="0" memberValueDatatype="20" unbalanced="0"/>
    <cacheHierarchy uniqueName="[BI vw_BudgetByWeek].[Channel]" caption="Channel" attribute="1" defaultMemberUniqueName="[BI vw_BudgetByWeek].[Channel].[All]" allUniqueName="[BI vw_BudgetByWeek].[Channel].[All]" dimensionUniqueName="[BI vw_BudgetByWeek]" displayFolder="" count="0" memberValueDatatype="130" unbalanced="0"/>
    <cacheHierarchy uniqueName="[BI vw_BudgetByWeek].[Country]" caption="Country" attribute="1" defaultMemberUniqueName="[BI vw_BudgetByWeek].[Country].[All]" allUniqueName="[BI vw_BudgetByWeek].[Country].[All]" dimensionUniqueName="[BI vw_BudgetByWeek]" displayFolder="" count="0" memberValueDatatype="130" unbalanced="0"/>
    <cacheHierarchy uniqueName="[BI vw_BudgetByWeek].[FootTrafficBudget]" caption="FootTrafficBudget" attribute="1" defaultMemberUniqueName="[BI vw_BudgetByWeek].[FootTrafficBudget].[All]" allUniqueName="[BI vw_BudgetByWeek].[FootTrafficBudget].[All]" dimensionUniqueName="[BI vw_BudgetByWeek]" displayFolder="" count="0" memberValueDatatype="5" unbalanced="0"/>
    <cacheHierarchy uniqueName="[BI vw_BudgetByWeek].[ID]" caption="ID" attribute="1" defaultMemberUniqueName="[BI vw_BudgetByWeek].[ID].[All]" allUniqueName="[BI vw_BudgetByWeek].[ID].[All]" dimensionUniqueName="[BI vw_BudgetByWeek]" displayFolder="" count="0" memberValueDatatype="20" unbalanced="0"/>
    <cacheHierarchy uniqueName="[BI vw_BudgetByWeek].[joinKey]" caption="joinKey" attribute="1" defaultMemberUniqueName="[BI vw_BudgetByWeek].[joinKey].[All]" allUniqueName="[BI vw_BudgetByWeek].[joinKey].[All]" dimensionUniqueName="[BI vw_BudgetByWeek]" displayFolder="" count="0" memberValueDatatype="130" unbalanced="0"/>
    <cacheHierarchy uniqueName="[BI vw_BudgetByWeek].[NumberOfTransactionBudget]" caption="NumberOfTransactionBudget" attribute="1" defaultMemberUniqueName="[BI vw_BudgetByWeek].[NumberOfTransactionBudget].[All]" allUniqueName="[BI vw_BudgetByWeek].[NumberOfTransactionBudget].[All]" dimensionUniqueName="[BI vw_BudgetByWeek]" displayFolder="" count="0" memberValueDatatype="5" unbalanced="0"/>
    <cacheHierarchy uniqueName="[BI vw_BudgetByWeek].[Store]" caption="Store" attribute="1" defaultMemberUniqueName="[BI vw_BudgetByWeek].[Store].[All]" allUniqueName="[BI vw_BudgetByWeek].[Store].[All]" dimensionUniqueName="[BI vw_BudgetByWeek]" displayFolder="" count="0" memberValueDatatype="130" unbalanced="0"/>
    <cacheHierarchy uniqueName="[BI vw_BudgetDigital].[1P Sales]" caption="1P Sales" attribute="1" defaultMemberUniqueName="[BI vw_BudgetDigital].[1P Sales].[All]" allUniqueName="[BI vw_BudgetDigital].[1P Sales].[All]" dimensionUniqueName="[BI vw_BudgetDigital]" displayFolder="" count="0" memberValueDatatype="5" unbalanced="0"/>
    <cacheHierarchy uniqueName="[BI vw_BudgetDigital].[3P Sales]" caption="3P Sales" attribute="1" defaultMemberUniqueName="[BI vw_BudgetDigital].[3P Sales].[All]" allUniqueName="[BI vw_BudgetDigital].[3P Sales].[All]" dimensionUniqueName="[BI vw_BudgetDigital]" displayFolder="" count="0" memberValueDatatype="5" unbalanced="0"/>
    <cacheHierarchy uniqueName="[BI vw_BudgetDigital].[BudgetPeriod]" caption="BudgetPeriod" attribute="1" defaultMemberUniqueName="[BI vw_BudgetDigital].[BudgetPeriod].[All]" allUniqueName="[BI vw_BudgetDigital].[BudgetPeriod].[All]" dimensionUniqueName="[BI vw_BudgetDigital]" displayFolder="" count="0" memberValueDatatype="20" unbalanced="0"/>
    <cacheHierarchy uniqueName="[BI vw_BudgetDigital].[BudgetWeek]" caption="BudgetWeek" attribute="1" defaultMemberUniqueName="[BI vw_BudgetDigital].[BudgetWeek].[All]" allUniqueName="[BI vw_BudgetDigital].[BudgetWeek].[All]" dimensionUniqueName="[BI vw_BudgetDigital]" displayFolder="" count="0" memberValueDatatype="20" unbalanced="0"/>
    <cacheHierarchy uniqueName="[BI vw_BudgetDigital].[BudgetYear]" caption="BudgetYear" attribute="1" defaultMemberUniqueName="[BI vw_BudgetDigital].[BudgetYear].[All]" allUniqueName="[BI vw_BudgetDigital].[BudgetYear].[All]" dimensionUniqueName="[BI vw_BudgetDigital]" displayFolder="" count="0" memberValueDatatype="20" unbalanced="0"/>
    <cacheHierarchy uniqueName="[BI vw_BudgetDigital].[Country]" caption="Country" attribute="1" defaultMemberUniqueName="[BI vw_BudgetDigital].[Country].[All]" allUniqueName="[BI vw_BudgetDigital].[Country].[All]" dimensionUniqueName="[BI vw_BudgetDigital]" displayFolder="" count="0" memberValueDatatype="130" unbalanced="0"/>
    <cacheHierarchy uniqueName="[BI vw_BudgetDigital].[ID]" caption="ID" attribute="1" defaultMemberUniqueName="[BI vw_BudgetDigital].[ID].[All]" allUniqueName="[BI vw_BudgetDigital].[ID].[All]" dimensionUniqueName="[BI vw_BudgetDigital]" displayFolder="" count="0" memberValueDatatype="20" unbalanced="0"/>
    <cacheHierarchy uniqueName="[BI vw_BudgetDigital].[Key]" caption="Key" attribute="1" defaultMemberUniqueName="[BI vw_BudgetDigital].[Key].[All]" allUniqueName="[BI vw_BudgetDigital].[Key].[All]" dimensionUniqueName="[BI vw_BudgetDigital]" displayFolder="" count="0" memberValueDatatype="130" unbalanced="0"/>
    <cacheHierarchy uniqueName="[BI vw_BudgetDigital].[Online ATV]" caption="Online ATV" attribute="1" defaultMemberUniqueName="[BI vw_BudgetDigital].[Online ATV].[All]" allUniqueName="[BI vw_BudgetDigital].[Online ATV].[All]" dimensionUniqueName="[BI vw_BudgetDigital]" displayFolder="" count="0" memberValueDatatype="5" unbalanced="0"/>
    <cacheHierarchy uniqueName="[BI vw_BudgetDigital].[Online CR]" caption="Online CR" attribute="1" defaultMemberUniqueName="[BI vw_BudgetDigital].[Online CR].[All]" allUniqueName="[BI vw_BudgetDigital].[Online CR].[All]" dimensionUniqueName="[BI vw_BudgetDigital]" displayFolder="" count="0" memberValueDatatype="5" unbalanced="0"/>
    <cacheHierarchy uniqueName="[BI vw_BudgetDigital].[Online Traffic]" caption="Online Traffic" attribute="1" defaultMemberUniqueName="[BI vw_BudgetDigital].[Online Traffic].[All]" allUniqueName="[BI vw_BudgetDigital].[Online Traffic].[All]" dimensionUniqueName="[BI vw_BudgetDigital]" displayFolder="" count="0" memberValueDatatype="5" unbalanced="0"/>
    <cacheHierarchy uniqueName="[BI vw_BudgetDigital].[Total Sales]" caption="Total Sales" attribute="1" defaultMemberUniqueName="[BI vw_BudgetDigital].[Total Sales].[All]" allUniqueName="[BI vw_BudgetDigital].[Total Sales].[All]" dimensionUniqueName="[BI vw_BudgetDigital]" displayFolder="" count="0" memberValueDatatype="5" unbalanced="0"/>
    <cacheHierarchy uniqueName="[BI vw_BudgetDigital].[Trans Nbr]" caption="Trans Nbr" attribute="1" defaultMemberUniqueName="[BI vw_BudgetDigital].[Trans Nbr].[All]" allUniqueName="[BI vw_BudgetDigital].[Trans Nbr].[All]" dimensionUniqueName="[BI vw_BudgetDigital]" displayFolder="" count="0" memberValueDatatype="5" unbalanced="0"/>
    <cacheHierarchy uniqueName="[BI vw_BudgetOnlineByStore].[BudgetPeriod]" caption="BudgetPeriod" attribute="1" defaultMemberUniqueName="[BI vw_BudgetOnlineByStore].[BudgetPeriod].[All]" allUniqueName="[BI vw_BudgetOnlineByStore].[BudgetPeriod].[All]" dimensionUniqueName="[BI vw_BudgetOnlineByStore]" displayFolder="" count="0" memberValueDatatype="20" unbalanced="0"/>
    <cacheHierarchy uniqueName="[BI vw_BudgetOnlineByStore].[BudgetWeek]" caption="BudgetWeek" attribute="1" defaultMemberUniqueName="[BI vw_BudgetOnlineByStore].[BudgetWeek].[All]" allUniqueName="[BI vw_BudgetOnlineByStore].[BudgetWeek].[All]" dimensionUniqueName="[BI vw_BudgetOnlineByStore]" displayFolder="" count="0" memberValueDatatype="20" unbalanced="0"/>
    <cacheHierarchy uniqueName="[BI vw_BudgetOnlineByStore].[BudgetYear]" caption="BudgetYear" attribute="1" defaultMemberUniqueName="[BI vw_BudgetOnlineByStore].[BudgetYear].[All]" allUniqueName="[BI vw_BudgetOnlineByStore].[BudgetYear].[All]" dimensionUniqueName="[BI vw_BudgetOnlineByStore]" displayFolder="" count="0" memberValueDatatype="20" unbalanced="0"/>
    <cacheHierarchy uniqueName="[BI vw_BudgetOnlineByStore].[DropshipBudget]" caption="DropshipBudget" attribute="1" defaultMemberUniqueName="[BI vw_BudgetOnlineByStore].[DropshipBudget].[All]" allUniqueName="[BI vw_BudgetOnlineByStore].[DropshipBudget].[All]" dimensionUniqueName="[BI vw_BudgetOnlineByStore]" displayFolder="" count="0" memberValueDatatype="6" unbalanced="0"/>
    <cacheHierarchy uniqueName="[BI vw_BudgetOnlineByStore].[JoinKey]" caption="JoinKey" attribute="1" defaultMemberUniqueName="[BI vw_BudgetOnlineByStore].[JoinKey].[All]" allUniqueName="[BI vw_BudgetOnlineByStore].[JoinKey].[All]" dimensionUniqueName="[BI vw_BudgetOnlineByStore]" displayFolder="" count="0" memberValueDatatype="130" unbalanced="0"/>
    <cacheHierarchy uniqueName="[BI vw_BudgetOnlineByStore].[NOT_Budget]" caption="NOT_Budget" attribute="1" defaultMemberUniqueName="[BI vw_BudgetOnlineByStore].[NOT_Budget].[All]" allUniqueName="[BI vw_BudgetOnlineByStore].[NOT_Budget].[All]" dimensionUniqueName="[BI vw_BudgetOnlineByStore]" displayFolder="" count="0" memberValueDatatype="5" unbalanced="0"/>
    <cacheHierarchy uniqueName="[BI vw_BudgetOnlineByStore].[SalesClassification]" caption="SalesClassification" attribute="1" defaultMemberUniqueName="[BI vw_BudgetOnlineByStore].[SalesClassification].[All]" allUniqueName="[BI vw_BudgetOnlineByStore].[SalesClassification].[All]" dimensionUniqueName="[BI vw_BudgetOnlineByStore]" displayFolder="" count="0" memberValueDatatype="130" unbalanced="0"/>
    <cacheHierarchy uniqueName="[BI vw_BudgetOnlineByStore].[Store]" caption="Store" attribute="1" defaultMemberUniqueName="[BI vw_BudgetOnlineByStore].[Store].[All]" allUniqueName="[BI vw_BudgetOnlineByStore].[Store].[All]" dimensionUniqueName="[BI vw_BudgetOnlineByStore]" displayFolder="" count="0" memberValueDatatype="130" unbalanced="0"/>
    <cacheHierarchy uniqueName="[BI vw_BudgetOnlineByStore].[TotalOnlineBudget]" caption="TotalOnlineBudget" attribute="1" defaultMemberUniqueName="[BI vw_BudgetOnlineByStore].[TotalOnlineBudget].[All]" allUniqueName="[BI vw_BudgetOnlineByStore].[TotalOnlineBudget].[All]" dimensionUniqueName="[BI vw_BudgetOnlineByStore]" displayFolder="" count="0" memberValueDatatype="6" unbalanced="0"/>
    <cacheHierarchy uniqueName="[BI vw_DropshipBudget].[BudgetDollar]" caption="BudgetDollar" attribute="1" defaultMemberUniqueName="[BI vw_DropshipBudget].[BudgetDollar].[All]" allUniqueName="[BI vw_DropshipBudget].[BudgetDollar].[All]" dimensionUniqueName="[BI vw_DropshipBudget]" displayFolder="" count="0" memberValueDatatype="5" unbalanced="0"/>
    <cacheHierarchy uniqueName="[BI vw_DropshipBudget].[BudgetPeriod]" caption="BudgetPeriod" attribute="1" defaultMemberUniqueName="[BI vw_DropshipBudget].[BudgetPeriod].[All]" allUniqueName="[BI vw_DropshipBudget].[BudgetPeriod].[All]" dimensionUniqueName="[BI vw_DropshipBudget]" displayFolder="" count="0" memberValueDatatype="20" unbalanced="0"/>
    <cacheHierarchy uniqueName="[BI vw_DropshipBudget].[Department]" caption="Department" attribute="1" defaultMemberUniqueName="[BI vw_DropshipBudget].[Department].[All]" allUniqueName="[BI vw_DropshipBudget].[Department].[All]" dimensionUniqueName="[BI vw_DropshipBudget]" displayFolder="" count="0" memberValueDatatype="20" unbalanced="0"/>
    <cacheHierarchy uniqueName="[BI vw_DropshipBudget].[DepartmentDesc]" caption="DepartmentDesc" attribute="1" defaultMemberUniqueName="[BI vw_DropshipBudget].[DepartmentDesc].[All]" allUniqueName="[BI vw_DropshipBudget].[DepartmentDesc].[All]" dimensionUniqueName="[BI vw_DropshipBudget]" displayFolder="" count="0" memberValueDatatype="130" unbalanced="0"/>
    <cacheHierarchy uniqueName="[BI vw_DropshipBudget].[Division]" caption="Division" attribute="1" defaultMemberUniqueName="[BI vw_DropshipBudget].[Division].[All]" allUniqueName="[BI vw_DropshipBudget].[Division].[All]" dimensionUniqueName="[BI vw_DropshipBudget]" displayFolder="" count="0" memberValueDatatype="130" unbalanced="0"/>
    <cacheHierarchy uniqueName="[BI vw_DropshipBudget].[JoinKey]" caption="JoinKey" attribute="1" defaultMemberUniqueName="[BI vw_DropshipBudget].[JoinKey].[All]" allUniqueName="[BI vw_DropshipBudget].[JoinKey].[All]" dimensionUniqueName="[BI vw_DropshipBudget]" displayFolder="" count="0" memberValueDatatype="130" unbalanced="0"/>
    <cacheHierarchy uniqueName="[BI vw_Items].[Class]" caption="Class" attribute="1" defaultMemberUniqueName="[BI vw_Items].[Class].[All]" allUniqueName="[BI vw_Items].[Class].[All]" dimensionUniqueName="[BI vw_Items]" displayFolder="" count="0" memberValueDatatype="20" unbalanced="0"/>
    <cacheHierarchy uniqueName="[BI vw_Items].[ClassDesc]" caption="ClassDesc" attribute="1" defaultMemberUniqueName="[BI vw_Items].[ClassDesc].[All]" allUniqueName="[BI vw_Items].[ClassDesc].[All]" dimensionUniqueName="[BI vw_Items]" displayFolder="" count="0" memberValueDatatype="130" unbalanced="0"/>
    <cacheHierarchy uniqueName="[BI vw_Items].[department]" caption="department" attribute="1" defaultMemberUniqueName="[BI vw_Items].[department].[All]" allUniqueName="[BI vw_Items].[department].[All]" dimensionUniqueName="[BI vw_Items]" displayFolder="" count="0" memberValueDatatype="20" unbalanced="0"/>
    <cacheHierarchy uniqueName="[BI vw_Items].[DepartmentDesc]" caption="DepartmentDesc" attribute="1" defaultMemberUniqueName="[BI vw_Items].[DepartmentDesc].[All]" allUniqueName="[BI vw_Items].[DepartmentDesc].[All]" dimensionUniqueName="[BI vw_Items]" displayFolder="" count="0" memberValueDatatype="130" unbalanced="0"/>
    <cacheHierarchy uniqueName="[BI vw_Items].[Division]" caption="Division" attribute="1" defaultMemberUniqueName="[BI vw_Items].[Division].[All]" allUniqueName="[BI vw_Items].[Division].[All]" dimensionUniqueName="[BI vw_Items]" displayFolder="" count="0" memberValueDatatype="130" unbalanced="0"/>
    <cacheHierarchy uniqueName="[BI vw_Items].[FOB Port]" caption="FOB Port" attribute="1" defaultMemberUniqueName="[BI vw_Items].[FOB Port].[All]" allUniqueName="[BI vw_Items].[FOB Port].[All]" dimensionUniqueName="[BI vw_Items]" displayFolder="" count="0" memberValueDatatype="130" unbalanced="0"/>
    <cacheHierarchy uniqueName="[BI vw_Items].[Forecast Birth Date AU]" caption="Forecast Birth Date AU" attribute="1" defaultMemberUniqueName="[BI vw_Items].[Forecast Birth Date AU].[All]" allUniqueName="[BI vw_Items].[Forecast Birth Date AU].[All]" dimensionUniqueName="[BI vw_Items]" displayFolder="" count="0" memberValueDatatype="130" unbalanced="0"/>
    <cacheHierarchy uniqueName="[BI vw_Items].[Forecast Birth Date NZ]" caption="Forecast Birth Date NZ" attribute="1" defaultMemberUniqueName="[BI vw_Items].[Forecast Birth Date NZ].[All]" allUniqueName="[BI vw_Items].[Forecast Birth Date NZ].[All]" dimensionUniqueName="[BI vw_Items]" displayFolder="" count="0" memberValueDatatype="130" unbalanced="0"/>
    <cacheHierarchy uniqueName="[BI vw_Items].[IsComponent]" caption="IsComponent" attribute="1" defaultMemberUniqueName="[BI vw_Items].[IsComponent].[All]" allUniqueName="[BI vw_Items].[IsComponent].[All]" dimensionUniqueName="[BI vw_Items]" displayFolder="" count="0" memberValueDatatype="130" unbalanced="0"/>
    <cacheHierarchy uniqueName="[BI vw_Items].[ItemDescription]" caption="ItemDescription" attribute="1" defaultMemberUniqueName="[BI vw_Items].[ItemDescription].[All]" allUniqueName="[BI vw_Items].[ItemDescription].[All]" dimensionUniqueName="[BI vw_Items]" displayFolder="" count="0" memberValueDatatype="130" unbalanced="0"/>
    <cacheHierarchy uniqueName="[BI vw_Items].[ProductStatus]" caption="ProductStatus" attribute="1" defaultMemberUniqueName="[BI vw_Items].[ProductStatus].[All]" allUniqueName="[BI vw_Items].[ProductStatus].[All]" dimensionUniqueName="[BI vw_Items]" displayFolder="" count="0" memberValueDatatype="130" unbalanced="0"/>
    <cacheHierarchy uniqueName="[BI vw_Items].[ProductStatusNZ]" caption="ProductStatusNZ" attribute="1" defaultMemberUniqueName="[BI vw_Items].[ProductStatusNZ].[All]" allUniqueName="[BI vw_Items].[ProductStatusNZ].[All]" dimensionUniqueName="[BI vw_Items]" displayFolder="" count="0" memberValueDatatype="130" unbalanced="0"/>
    <cacheHierarchy uniqueName="[BI vw_Items].[PurchaseQTY]" caption="PurchaseQTY" attribute="1" defaultMemberUniqueName="[BI vw_Items].[PurchaseQTY].[All]" allUniqueName="[BI vw_Items].[PurchaseQTY].[All]" dimensionUniqueName="[BI vw_Items]" displayFolder="" count="0" memberValueDatatype="6" unbalanced="0"/>
    <cacheHierarchy uniqueName="[BI vw_Items].[Range]" caption="Range" attribute="1" defaultMemberUniqueName="[BI vw_Items].[Range].[All]" allUniqueName="[BI vw_Items].[Range].[All]" dimensionUniqueName="[BI vw_Items]" displayFolder="" count="0" memberValueDatatype="130" unbalanced="0"/>
    <cacheHierarchy uniqueName="[BI vw_Items].[Season_AUS]" caption="Season_AUS" attribute="1" defaultMemberUniqueName="[BI vw_Items].[Season_AUS].[All]" allUniqueName="[BI vw_Items].[Season_AUS].[All]" dimensionUniqueName="[BI vw_Items]" displayFolder="" count="0" memberValueDatatype="130" unbalanced="0"/>
    <cacheHierarchy uniqueName="[BI vw_Items].[Season_NZ]" caption="Season_NZ" attribute="1" defaultMemberUniqueName="[BI vw_Items].[Season_NZ].[All]" allUniqueName="[BI vw_Items].[Season_NZ].[All]" dimensionUniqueName="[BI vw_Items]" displayFolder="" count="0" memberValueDatatype="130" unbalanced="0"/>
    <cacheHierarchy uniqueName="[BI vw_Items].[SKU]" caption="SKU" attribute="1" defaultMemberUniqueName="[BI vw_Items].[SKU].[All]" allUniqueName="[BI vw_Items].[SKU].[All]" dimensionUniqueName="[BI vw_Items]" displayFolder="" count="0" memberValueDatatype="20" unbalanced="0"/>
    <cacheHierarchy uniqueName="[BI vw_Items].[Stock Type_AUS]" caption="Stock Type_AUS" attribute="1" defaultMemberUniqueName="[BI vw_Items].[Stock Type_AUS].[All]" allUniqueName="[BI vw_Items].[Stock Type_AUS].[All]" dimensionUniqueName="[BI vw_Items]" displayFolder="" count="0" memberValueDatatype="130" unbalanced="0"/>
    <cacheHierarchy uniqueName="[BI vw_Items].[SubDepartment]" caption="SubDepartment" attribute="1" defaultMemberUniqueName="[BI vw_Items].[SubDepartment].[All]" allUniqueName="[BI vw_Items].[SubDepartment].[All]" dimensionUniqueName="[BI vw_Items]" displayFolder="" count="0" memberValueDatatype="20" unbalanced="0"/>
    <cacheHierarchy uniqueName="[BI vw_Items].[SubDepartmentDesc]" caption="SubDepartmentDesc" attribute="1" defaultMemberUniqueName="[BI vw_Items].[SubDepartmentDesc].[All]" allUniqueName="[BI vw_Items].[SubDepartmentDesc].[All]" dimensionUniqueName="[BI vw_Items]" displayFolder="" count="0" memberValueDatatype="130" unbalanced="0"/>
    <cacheHierarchy uniqueName="[BI vw_Items].[Supplier Cost]" caption="Supplier Cost" attribute="1" defaultMemberUniqueName="[BI vw_Items].[Supplier Cost].[All]" allUniqueName="[BI vw_Items].[Supplier Cost].[All]" dimensionUniqueName="[BI vw_Items]" displayFolder="" count="0" memberValueDatatype="130" unbalanced="0"/>
    <cacheHierarchy uniqueName="[BI vw_Items].[supplier_code]" caption="supplier_code" attribute="1" defaultMemberUniqueName="[BI vw_Items].[supplier_code].[All]" allUniqueName="[BI vw_Items].[supplier_code].[All]" dimensionUniqueName="[BI vw_Items]" displayFolder="" count="0" memberValueDatatype="130" unbalanced="0"/>
    <cacheHierarchy uniqueName="[BI vw_WeeklyItemSales].[Country]" caption="Country" attribute="1" defaultMemberUniqueName="[BI vw_WeeklyItemSales].[Country].[All]" allUniqueName="[BI vw_WeeklyItemSales].[Country].[All]" dimensionUniqueName="[BI vw_WeeklyItemSales]" displayFolder="" count="0" memberValueDatatype="130" unbalanced="0"/>
    <cacheHierarchy uniqueName="[BI vw_WeeklyItemSales].[finPeriod]" caption="finPeriod" attribute="1" defaultMemberUniqueName="[BI vw_WeeklyItemSales].[finPeriod].[All]" allUniqueName="[BI vw_WeeklyItemSales].[finPeriod].[All]" dimensionUniqueName="[BI vw_WeeklyItemSales]" displayFolder="" count="0" memberValueDatatype="130" unbalanced="0"/>
    <cacheHierarchy uniqueName="[BI vw_WeeklyItemSales].[FirstWeek-Year]" caption="FirstWeek-Year" attribute="1" defaultMemberUniqueName="[BI vw_WeeklyItemSales].[FirstWeek-Year].[All]" allUniqueName="[BI vw_WeeklyItemSales].[FirstWeek-Year].[All]" dimensionUniqueName="[BI vw_WeeklyItemSales]" displayFolder="" count="0" memberValueDatatype="130" unbalanced="0"/>
    <cacheHierarchy uniqueName="[BI vw_WeeklyItemSales].[ItemKey]" caption="ItemKey" attribute="1" defaultMemberUniqueName="[BI vw_WeeklyItemSales].[ItemKey].[All]" allUniqueName="[BI vw_WeeklyItemSales].[ItemKey].[All]" dimensionUniqueName="[BI vw_WeeklyItemSales]" displayFolder="" count="0" memberValueDatatype="20" unbalanced="0"/>
    <cacheHierarchy uniqueName="[BI vw_WeeklyItemSales].[JoinKey]" caption="JoinKey" attribute="1" defaultMemberUniqueName="[BI vw_WeeklyItemSales].[JoinKey].[All]" allUniqueName="[BI vw_WeeklyItemSales].[JoinKey].[All]" dimensionUniqueName="[BI vw_WeeklyItemSales]" displayFolder="" count="0" memberValueDatatype="130" unbalanced="0"/>
    <cacheHierarchy uniqueName="[BI vw_WeeklyItemSales].[Quantity]" caption="Quantity" attribute="1" defaultMemberUniqueName="[BI vw_WeeklyItemSales].[Quantity].[All]" allUniqueName="[BI vw_WeeklyItemSales].[Quantity].[All]" dimensionUniqueName="[BI vw_WeeklyItemSales]" displayFolder="" count="0" memberValueDatatype="6" unbalanced="0"/>
    <cacheHierarchy uniqueName="[BI vw_WeeklyItemSales].[SalesClassification]" caption="SalesClassification" attribute="1" defaultMemberUniqueName="[BI vw_WeeklyItemSales].[SalesClassification].[All]" allUniqueName="[BI vw_WeeklyItemSales].[SalesClassification].[All]" dimensionUniqueName="[BI vw_WeeklyItemSales]" displayFolder="" count="0" memberValueDatatype="130" unbalanced="0"/>
    <cacheHierarchy uniqueName="[BI vw_WeeklyItemSales].[SalesCost]" caption="SalesCost" attribute="1" defaultMemberUniqueName="[BI vw_WeeklyItemSales].[SalesCost].[All]" allUniqueName="[BI vw_WeeklyItemSales].[SalesCost].[All]" dimensionUniqueName="[BI vw_WeeklyItemSales]" displayFolder="" count="0" memberValueDatatype="5" unbalanced="0"/>
    <cacheHierarchy uniqueName="[BI vw_WeeklyItemSales].[SalesRetail]" caption="SalesRetail" attribute="1" defaultMemberUniqueName="[BI vw_WeeklyItemSales].[SalesRetail].[All]" allUniqueName="[BI vw_WeeklyItemSales].[SalesRetail].[All]" dimensionUniqueName="[BI vw_WeeklyItemSales]" displayFolder="" count="0" memberValueDatatype="5" unbalanced="0"/>
    <cacheHierarchy uniqueName="[BI vw_WeeklyItemSales].[StoreKey]" caption="StoreKey" attribute="1" defaultMemberUniqueName="[BI vw_WeeklyItemSales].[StoreKey].[All]" allUniqueName="[BI vw_WeeklyItemSales].[StoreKey].[All]" dimensionUniqueName="[BI vw_WeeklyItemSales]" displayFolder="" count="0" memberValueDatatype="130" unbalanced="0"/>
    <cacheHierarchy uniqueName="[BI vw_WeeklyStoreATV].[division]" caption="division" attribute="1" defaultMemberUniqueName="[BI vw_WeeklyStoreATV].[division].[All]" allUniqueName="[BI vw_WeeklyStoreATV].[division].[All]" dimensionUniqueName="[BI vw_WeeklyStoreATV]" displayFolder="" count="0" memberValueDatatype="130" unbalanced="0"/>
    <cacheHierarchy uniqueName="[BI vw_WeeklyStoreATV].[FinOrderNumber]" caption="FinOrderNumber" attribute="1" defaultMemberUniqueName="[BI vw_WeeklyStoreATV].[FinOrderNumber].[All]" allUniqueName="[BI vw_WeeklyStoreATV].[FinOrderNumber].[All]" dimensionUniqueName="[BI vw_WeeklyStoreATV]" displayFolder="" count="0" memberValueDatatype="130" unbalanced="0"/>
    <cacheHierarchy uniqueName="[BI vw_WeeklyStoreATV].[FinPeriod]" caption="FinPeriod" attribute="1" defaultMemberUniqueName="[BI vw_WeeklyStoreATV].[FinPeriod].[All]" allUniqueName="[BI vw_WeeklyStoreATV].[FinPeriod].[All]" dimensionUniqueName="[BI vw_WeeklyStoreATV]" displayFolder="" count="0" memberValueDatatype="20" unbalanced="0"/>
    <cacheHierarchy uniqueName="[BI vw_WeeklyStoreATV].[JoinKey]" caption="JoinKey" attribute="1" defaultMemberUniqueName="[BI vw_WeeklyStoreATV].[JoinKey].[All]" allUniqueName="[BI vw_WeeklyStoreATV].[JoinKey].[All]" dimensionUniqueName="[BI vw_WeeklyStoreATV]" displayFolder="" count="0" memberValueDatatype="130" unbalanced="0"/>
    <cacheHierarchy uniqueName="[BI vw_WeeklyStoreATV].[NumTrans]" caption="NumTrans" attribute="1" defaultMemberUniqueName="[BI vw_WeeklyStoreATV].[NumTrans].[All]" allUniqueName="[BI vw_WeeklyStoreATV].[NumTrans].[All]" dimensionUniqueName="[BI vw_WeeklyStoreATV]" displayFolder="" count="0" memberValueDatatype="20" unbalanced="0"/>
    <cacheHierarchy uniqueName="[BI vw_WeeklyStoreATV].[NumTrans2]" caption="NumTrans2" attribute="1" defaultMemberUniqueName="[BI vw_WeeklyStoreATV].[NumTrans2].[All]" allUniqueName="[BI vw_WeeklyStoreATV].[NumTrans2].[All]" dimensionUniqueName="[BI vw_WeeklyStoreATV]" displayFolder="" count="0" memberValueDatatype="130" unbalanced="0"/>
    <cacheHierarchy uniqueName="[BI vw_WeeklyStoreATV].[OrderNumber]" caption="OrderNumber" attribute="1" defaultMemberUniqueName="[BI vw_WeeklyStoreATV].[OrderNumber].[All]" allUniqueName="[BI vw_WeeklyStoreATV].[OrderNumber].[All]" dimensionUniqueName="[BI vw_WeeklyStoreATV]" displayFolder="" count="0" memberValueDatatype="130" unbalanced="0"/>
    <cacheHierarchy uniqueName="[BI vw_WeeklyStoreATV].[SalesClassification]" caption="SalesClassification" attribute="1" defaultMemberUniqueName="[BI vw_WeeklyStoreATV].[SalesClassification].[All]" allUniqueName="[BI vw_WeeklyStoreATV].[SalesClassification].[All]" dimensionUniqueName="[BI vw_WeeklyStoreATV]" displayFolder="" count="0" memberValueDatatype="130" unbalanced="0"/>
    <cacheHierarchy uniqueName="[BI vw_WeeklyStoreATV].[SalesRetail]" caption="SalesRetail" attribute="1" defaultMemberUniqueName="[BI vw_WeeklyStoreATV].[SalesRetail].[All]" allUniqueName="[BI vw_WeeklyStoreATV].[SalesRetail].[All]" dimensionUniqueName="[BI vw_WeeklyStoreATV]" displayFolder="" count="0" memberValueDatatype="20" unbalanced="0"/>
    <cacheHierarchy uniqueName="[BI vw_WeeklyStoreATV].[Store_Country]" caption="Store_Country" attribute="1" defaultMemberUniqueName="[BI vw_WeeklyStoreATV].[Store_Country].[All]" allUniqueName="[BI vw_WeeklyStoreATV].[Store_Country].[All]" dimensionUniqueName="[BI vw_WeeklyStoreATV]" displayFolder="" count="0" memberValueDatatype="130" unbalanced="0"/>
    <cacheHierarchy uniqueName="[BI vw_WeeklyStoreATV].[StoreKey]" caption="StoreKey" attribute="1" defaultMemberUniqueName="[BI vw_WeeklyStoreATV].[StoreKey].[All]" allUniqueName="[BI vw_WeeklyStoreATV].[StoreKey].[All]" dimensionUniqueName="[BI vw_WeeklyStoreATV]" displayFolder="" count="0" memberValueDatatype="130" unbalanced="0"/>
    <cacheHierarchy uniqueName="[BI vw_WeeklyStoreTraffic].[Country]" caption="Country" attribute="1" defaultMemberUniqueName="[BI vw_WeeklyStoreTraffic].[Country].[All]" allUniqueName="[BI vw_WeeklyStoreTraffic].[Country].[All]" dimensionUniqueName="[BI vw_WeeklyStoreTraffic]" displayFolder="" count="0" memberValueDatatype="130" unbalanced="0"/>
    <cacheHierarchy uniqueName="[BI vw_WeeklyStoreTraffic].[finPeriod]" caption="finPeriod" attribute="1" defaultMemberUniqueName="[BI vw_WeeklyStoreTraffic].[finPeriod].[All]" allUniqueName="[BI vw_WeeklyStoreTraffic].[finPeriod].[All]" dimensionUniqueName="[BI vw_WeeklyStoreTraffic]" displayFolder="" count="0" memberValueDatatype="130" unbalanced="0"/>
    <cacheHierarchy uniqueName="[BI vw_WeeklyStoreTraffic].[JoinKey]" caption="JoinKey" attribute="1" defaultMemberUniqueName="[BI vw_WeeklyStoreTraffic].[JoinKey].[All]" allUniqueName="[BI vw_WeeklyStoreTraffic].[JoinKey].[All]" dimensionUniqueName="[BI vw_WeeklyStoreTraffic]" displayFolder="" count="0" memberValueDatatype="130" unbalanced="0"/>
    <cacheHierarchy uniqueName="[BI vw_WeeklyStoreTraffic].[Store]" caption="Store" attribute="1" defaultMemberUniqueName="[BI vw_WeeklyStoreTraffic].[Store].[All]" allUniqueName="[BI vw_WeeklyStoreTraffic].[Store].[All]" dimensionUniqueName="[BI vw_WeeklyStoreTraffic]" displayFolder="" count="0" memberValueDatatype="130" unbalanced="0"/>
    <cacheHierarchy uniqueName="[BI vw_WeeklyStoreTraffic].[storekey]" caption="storekey" attribute="1" defaultMemberUniqueName="[BI vw_WeeklyStoreTraffic].[storekey].[All]" allUniqueName="[BI vw_WeeklyStoreTraffic].[storekey].[All]" dimensionUniqueName="[BI vw_WeeklyStoreTraffic]" displayFolder="" count="0" memberValueDatatype="130" unbalanced="0"/>
    <cacheHierarchy uniqueName="[BI vw_WeeklyStoreTraffic].[Traffic]" caption="Traffic" attribute="1" defaultMemberUniqueName="[BI vw_WeeklyStoreTraffic].[Traffic].[All]" allUniqueName="[BI vw_WeeklyStoreTraffic].[Traffic].[All]" dimensionUniqueName="[BI vw_WeeklyStoreTraffic]" displayFolder="" count="0" memberValueDatatype="20" unbalanced="0"/>
    <cacheHierarchy uniqueName="[BI vw_WeeklyWrittenSalesMetrics].[ATV_JoinKey]" caption="ATV_JoinKey" attribute="1" defaultMemberUniqueName="[BI vw_WeeklyWrittenSalesMetrics].[ATV_JoinKey].[All]" allUniqueName="[BI vw_WeeklyWrittenSalesMetrics].[ATV_JoinKey].[All]" dimensionUniqueName="[BI vw_WeeklyWrittenSalesMetrics]" displayFolder="" count="0" memberValueDatatype="130" unbalanced="0"/>
    <cacheHierarchy uniqueName="[BI vw_WeeklyWrittenSalesMetrics].[Branch_Type]" caption="Branch_Type" attribute="1" defaultMemberUniqueName="[BI vw_WeeklyWrittenSalesMetrics].[Branch_Type].[All]" allUniqueName="[BI vw_WeeklyWrittenSalesMetrics].[Branch_Type].[All]" dimensionUniqueName="[BI vw_WeeklyWrittenSalesMetrics]" displayFolder="" count="2" memberValueDatatype="130" unbalanced="0">
      <fieldsUsage count="2">
        <fieldUsage x="-1"/>
        <fieldUsage x="8"/>
      </fieldsUsage>
    </cacheHierarchy>
    <cacheHierarchy uniqueName="[BI vw_WeeklyWrittenSalesMetrics].[BudgetByItem_JoinKey]" caption="BudgetByItem_JoinKey" attribute="1" defaultMemberUniqueName="[BI vw_WeeklyWrittenSalesMetrics].[BudgetByItem_JoinKey].[All]" allUniqueName="[BI vw_WeeklyWrittenSalesMetrics].[BudgetByItem_JoinKey].[All]" dimensionUniqueName="[BI vw_WeeklyWrittenSalesMetrics]" displayFolder="" count="0" memberValueDatatype="130" unbalanced="0"/>
    <cacheHierarchy uniqueName="[BI vw_WeeklyWrittenSalesMetrics].[BudgetByStore_JoinKey]" caption="BudgetByStore_JoinKey" attribute="1" defaultMemberUniqueName="[BI vw_WeeklyWrittenSalesMetrics].[BudgetByStore_JoinKey].[All]" allUniqueName="[BI vw_WeeklyWrittenSalesMetrics].[BudgetByStore_JoinKey].[All]" dimensionUniqueName="[BI vw_WeeklyWrittenSalesMetrics]" displayFolder="" count="0" memberValueDatatype="130" unbalanced="0"/>
    <cacheHierarchy uniqueName="[BI vw_WeeklyWrittenSalesMetrics].[BudgetByWeek_JoinKey]" caption="BudgetByWeek_JoinKey" attribute="1" defaultMemberUniqueName="[BI vw_WeeklyWrittenSalesMetrics].[BudgetByWeek_JoinKey].[All]" allUniqueName="[BI vw_WeeklyWrittenSalesMetrics].[BudgetByWeek_JoinKey].[All]" dimensionUniqueName="[BI vw_WeeklyWrittenSalesMetrics]" displayFolder="" count="0" memberValueDatatype="130" unbalanced="0"/>
    <cacheHierarchy uniqueName="[BI vw_WeeklyWrittenSalesMetrics].[BudgetDigital_JoinKey]" caption="BudgetDigital_JoinKey" attribute="1" defaultMemberUniqueName="[BI vw_WeeklyWrittenSalesMetrics].[BudgetDigital_JoinKey].[All]" allUniqueName="[BI vw_WeeklyWrittenSalesMetrics].[BudgetDigital_JoinKey].[All]" dimensionUniqueName="[BI vw_WeeklyWrittenSalesMetrics]" displayFolder="" count="0" memberValueDatatype="130" unbalanced="0"/>
    <cacheHierarchy uniqueName="[BI vw_WeeklyWrittenSalesMetrics].[BudgetOnlineByStore_JoinKey]" caption="BudgetOnlineByStore_JoinKey" attribute="1" defaultMemberUniqueName="[BI vw_WeeklyWrittenSalesMetrics].[BudgetOnlineByStore_JoinKey].[All]" allUniqueName="[BI vw_WeeklyWrittenSalesMetrics].[BudgetOnlineByStore_JoinKey].[All]" dimensionUniqueName="[BI vw_WeeklyWrittenSalesMetrics]" displayFolder="" count="0" memberValueDatatype="130" unbalanced="0"/>
    <cacheHierarchy uniqueName="[BI vw_WeeklyWrittenSalesMetrics].[Channel]" caption="Channel" attribute="1" defaultMemberUniqueName="[BI vw_WeeklyWrittenSalesMetrics].[Channel].[All]" allUniqueName="[BI vw_WeeklyWrittenSalesMetrics].[Channel].[All]" dimensionUniqueName="[BI vw_WeeklyWrittenSalesMetrics]" displayFolder="" count="2" memberValueDatatype="130" unbalanced="0">
      <fieldsUsage count="2">
        <fieldUsage x="-1"/>
        <fieldUsage x="12"/>
      </fieldsUsage>
    </cacheHierarchy>
    <cacheHierarchy uniqueName="[BI vw_WeeklyWrittenSalesMetrics].[ClassDesc]" caption="ClassDesc" attribute="1" defaultMemberUniqueName="[BI vw_WeeklyWrittenSalesMetrics].[ClassDesc].[All]" allUniqueName="[BI vw_WeeklyWrittenSalesMetrics].[ClassDesc].[All]" dimensionUniqueName="[BI vw_WeeklyWrittenSalesMetrics]" displayFolder="" count="0" memberValueDatatype="130" unbalanced="0"/>
    <cacheHierarchy uniqueName="[BI vw_WeeklyWrittenSalesMetrics].[Country]" caption="Country" attribute="1" defaultMemberUniqueName="[BI vw_WeeklyWrittenSalesMetrics].[Country].[All]" allUniqueName="[BI vw_WeeklyWrittenSalesMetrics].[Country].[All]" dimensionUniqueName="[BI vw_WeeklyWrittenSalesMetrics]" displayFolder="" count="2" memberValueDatatype="130" unbalanced="0">
      <fieldsUsage count="2">
        <fieldUsage x="-1"/>
        <fieldUsage x="10"/>
      </fieldsUsage>
    </cacheHierarchy>
    <cacheHierarchy uniqueName="[BI vw_WeeklyWrittenSalesMetrics].[DepartmentDesc]" caption="DepartmentDesc" attribute="1" defaultMemberUniqueName="[BI vw_WeeklyWrittenSalesMetrics].[DepartmentDesc].[All]" allUniqueName="[BI vw_WeeklyWrittenSalesMetrics].[DepartmentDesc].[All]" dimensionUniqueName="[BI vw_WeeklyWrittenSalesMetrics]" displayFolder="" count="0" memberValueDatatype="130" unbalanced="0"/>
    <cacheHierarchy uniqueName="[BI vw_WeeklyWrittenSalesMetrics].[Division]" caption="Division" attribute="1" defaultMemberUniqueName="[BI vw_WeeklyWrittenSalesMetrics].[Division].[All]" allUniqueName="[BI vw_WeeklyWrittenSalesMetrics].[Division].[All]" dimensionUniqueName="[BI vw_WeeklyWrittenSalesMetrics]" displayFolder="" count="2" memberValueDatatype="130" unbalanced="0">
      <fieldsUsage count="2">
        <fieldUsage x="-1"/>
        <fieldUsage x="9"/>
      </fieldsUsage>
    </cacheHierarchy>
    <cacheHierarchy uniqueName="[BI vw_WeeklyWrittenSalesMetrics].[Dropship]" caption="Dropship" attribute="1" defaultMemberUniqueName="[BI vw_WeeklyWrittenSalesMetrics].[Dropship].[All]" allUniqueName="[BI vw_WeeklyWrittenSalesMetrics].[Dropship].[All]" dimensionUniqueName="[BI vw_WeeklyWrittenSalesMetrics]" displayFolder="" count="0" memberValueDatatype="130" unbalanced="0"/>
    <cacheHierarchy uniqueName="[BI vw_WeeklyWrittenSalesMetrics].[DropshipBudget_JoinKey]" caption="DropshipBudget_JoinKey" attribute="1" defaultMemberUniqueName="[BI vw_WeeklyWrittenSalesMetrics].[DropshipBudget_JoinKey].[All]" allUniqueName="[BI vw_WeeklyWrittenSalesMetrics].[DropshipBudget_JoinKey].[All]" dimensionUniqueName="[BI vw_WeeklyWrittenSalesMetrics]" displayFolder="" count="0" memberValueDatatype="130" unbalanced="0"/>
    <cacheHierarchy uniqueName="[BI vw_WeeklyWrittenSalesMetrics].[FinPeriod]" caption="FinPeriod" attribute="1" defaultMemberUniqueName="[BI vw_WeeklyWrittenSalesMetrics].[FinPeriod].[All]" allUniqueName="[BI vw_WeeklyWrittenSalesMetrics].[FinPeriod].[All]" dimensionUniqueName="[BI vw_WeeklyWrittenSalesMetrics]" displayFolder="" count="0" memberValueDatatype="20" unbalanced="0"/>
    <cacheHierarchy uniqueName="[BI vw_WeeklyWrittenSalesMetrics].[FinPeriod_2025]" caption="FinPeriod_2025" attribute="1" defaultMemberUniqueName="[BI vw_WeeklyWrittenSalesMetrics].[FinPeriod_2025].[All]" allUniqueName="[BI vw_WeeklyWrittenSalesMetrics].[FinPeriod_2025].[All]" dimensionUniqueName="[BI vw_WeeklyWrittenSalesMetrics]" displayFolder="" count="0" memberValueDatatype="130" unbalanced="0"/>
    <cacheHierarchy uniqueName="[BI vw_WeeklyWrittenSalesMetrics].[FinPeriod_LY]" caption="FinPeriod_LY" attribute="1" defaultMemberUniqueName="[BI vw_WeeklyWrittenSalesMetrics].[FinPeriod_LY].[All]" allUniqueName="[BI vw_WeeklyWrittenSalesMetrics].[FinPeriod_LY].[All]" dimensionUniqueName="[BI vw_WeeklyWrittenSalesMetrics]" displayFolder="" count="0" memberValueDatatype="20" unbalanced="0"/>
    <cacheHierarchy uniqueName="[BI vw_WeeklyWrittenSalesMetrics].[FirstWeek-Month]" caption="FirstWeek-Month" attribute="1" defaultMemberUniqueName="[BI vw_WeeklyWrittenSalesMetrics].[FirstWeek-Month].[All]" allUniqueName="[BI vw_WeeklyWrittenSalesMetrics].[FirstWeek-Month].[All]" dimensionUniqueName="[BI vw_WeeklyWrittenSalesMetrics]" displayFolder="" count="0" memberValueDatatype="20" unbalanced="0"/>
    <cacheHierarchy uniqueName="[BI vw_WeeklyWrittenSalesMetrics].[FirstWeek-QTD]" caption="FirstWeek-QTD" attribute="1" defaultMemberUniqueName="[BI vw_WeeklyWrittenSalesMetrics].[FirstWeek-QTD].[All]" allUniqueName="[BI vw_WeeklyWrittenSalesMetrics].[FirstWeek-QTD].[All]" dimensionUniqueName="[BI vw_WeeklyWrittenSalesMetrics]" displayFolder="" count="0" memberValueDatatype="20" unbalanced="0"/>
    <cacheHierarchy uniqueName="[BI vw_WeeklyWrittenSalesMetrics].[FirstWeek-Year]" caption="FirstWeek-Year" attribute="1" defaultMemberUniqueName="[BI vw_WeeklyWrittenSalesMetrics].[FirstWeek-Year].[All]" allUniqueName="[BI vw_WeeklyWrittenSalesMetrics].[FirstWeek-Year].[All]" dimensionUniqueName="[BI vw_WeeklyWrittenSalesMetrics]" displayFolder="" count="0" memberValueDatatype="20" unbalanced="0"/>
    <cacheHierarchy uniqueName="[BI vw_WeeklyWrittenSalesMetrics].[Forcast_JoinKey]" caption="Forcast_JoinKey" attribute="1" defaultMemberUniqueName="[BI vw_WeeklyWrittenSalesMetrics].[Forcast_JoinKey].[All]" allUniqueName="[BI vw_WeeklyWrittenSalesMetrics].[Forcast_JoinKey].[All]" dimensionUniqueName="[BI vw_WeeklyWrittenSalesMetrics]" displayFolder="" count="0" memberValueDatatype="130" unbalanced="0"/>
    <cacheHierarchy uniqueName="[BI vw_WeeklyWrittenSalesMetrics].[ForcastByClass_JoinKey]" caption="ForcastByClass_JoinKey" attribute="1" defaultMemberUniqueName="[BI vw_WeeklyWrittenSalesMetrics].[ForcastByClass_JoinKey].[All]" allUniqueName="[BI vw_WeeklyWrittenSalesMetrics].[ForcastByClass_JoinKey].[All]" dimensionUniqueName="[BI vw_WeeklyWrittenSalesMetrics]" displayFolder="" count="0" memberValueDatatype="130" unbalanced="0"/>
    <cacheHierarchy uniqueName="[BI vw_WeeklyWrittenSalesMetrics].[SalesatFullRet]" caption="SalesatFullRet" attribute="1" defaultMemberUniqueName="[BI vw_WeeklyWrittenSalesMetrics].[SalesatFullRet].[All]" allUniqueName="[BI vw_WeeklyWrittenSalesMetrics].[SalesatFullRet].[All]" dimensionUniqueName="[BI vw_WeeklyWrittenSalesMetrics]" displayFolder="" count="0" memberValueDatatype="5" unbalanced="0"/>
    <cacheHierarchy uniqueName="[BI vw_WeeklyWrittenSalesMetrics].[SalesClassification]" caption="SalesClassification" attribute="1" defaultMemberUniqueName="[BI vw_WeeklyWrittenSalesMetrics].[SalesClassification].[All]" allUniqueName="[BI vw_WeeklyWrittenSalesMetrics].[SalesClassification].[All]" dimensionUniqueName="[BI vw_WeeklyWrittenSalesMetrics]" displayFolder="" count="0" memberValueDatatype="130" unbalanced="0"/>
    <cacheHierarchy uniqueName="[BI vw_WeeklyWrittenSalesMetrics].[SalesCost]" caption="SalesCost" attribute="1" defaultMemberUniqueName="[BI vw_WeeklyWrittenSalesMetrics].[SalesCost].[All]" allUniqueName="[BI vw_WeeklyWrittenSalesMetrics].[SalesCost].[All]" dimensionUniqueName="[BI vw_WeeklyWrittenSalesMetrics]" displayFolder="" count="0" memberValueDatatype="5" unbalanced="0"/>
    <cacheHierarchy uniqueName="[BI vw_WeeklyWrittenSalesMetrics].[SalesGM]" caption="SalesGM" attribute="1" defaultMemberUniqueName="[BI vw_WeeklyWrittenSalesMetrics].[SalesGM].[All]" allUniqueName="[BI vw_WeeklyWrittenSalesMetrics].[SalesGM].[All]" dimensionUniqueName="[BI vw_WeeklyWrittenSalesMetrics]" displayFolder="" count="0" memberValueDatatype="5" unbalanced="0"/>
    <cacheHierarchy uniqueName="[BI vw_WeeklyWrittenSalesMetrics].[SalesRetail]" caption="SalesRetail" attribute="1" defaultMemberUniqueName="[BI vw_WeeklyWrittenSalesMetrics].[SalesRetail].[All]" allUniqueName="[BI vw_WeeklyWrittenSalesMetrics].[SalesRetail].[All]" dimensionUniqueName="[BI vw_WeeklyWrittenSalesMetrics]" displayFolder="" count="0" memberValueDatatype="5" unbalanced="0"/>
    <cacheHierarchy uniqueName="[BI vw_WeeklyWrittenSalesMetrics].[SalesType]" caption="SalesType" attribute="1" defaultMemberUniqueName="[BI vw_WeeklyWrittenSalesMetrics].[SalesType].[All]" allUniqueName="[BI vw_WeeklyWrittenSalesMetrics].[SalesType].[All]" dimensionUniqueName="[BI vw_WeeklyWrittenSalesMetrics]" displayFolder="" count="0" memberValueDatatype="130" unbalanced="0"/>
    <cacheHierarchy uniqueName="[BI vw_WeeklyWrittenSalesMetrics].[SalesUnits]" caption="SalesUnits" attribute="1" defaultMemberUniqueName="[BI vw_WeeklyWrittenSalesMetrics].[SalesUnits].[All]" allUniqueName="[BI vw_WeeklyWrittenSalesMetrics].[SalesUnits].[All]" dimensionUniqueName="[BI vw_WeeklyWrittenSalesMetrics]" displayFolder="" count="0" memberValueDatatype="5" unbalanced="0"/>
    <cacheHierarchy uniqueName="[BI vw_WeeklyWrittenSalesMetrics].[Store]" caption="Store" attribute="1" defaultMemberUniqueName="[BI vw_WeeklyWrittenSalesMetrics].[Store].[All]" allUniqueName="[BI vw_WeeklyWrittenSalesMetrics].[Store].[All]" dimensionUniqueName="[BI vw_WeeklyWrittenSalesMetrics]" displayFolder="" count="0" memberValueDatatype="130" unbalanced="0"/>
    <cacheHierarchy uniqueName="[BI vw_WeeklyWrittenSalesMetrics].[StoreKey]" caption="StoreKey" attribute="1" defaultMemberUniqueName="[BI vw_WeeklyWrittenSalesMetrics].[StoreKey].[All]" allUniqueName="[BI vw_WeeklyWrittenSalesMetrics].[StoreKey].[All]" dimensionUniqueName="[BI vw_WeeklyWrittenSalesMetrics]" displayFolder="" count="0" memberValueDatatype="20" unbalanced="0"/>
    <cacheHierarchy uniqueName="[BI vw_WeeklyWrittenSalesMetrics].[SubDepartmentDesc]" caption="SubDepartmentDesc" attribute="1" defaultMemberUniqueName="[BI vw_WeeklyWrittenSalesMetrics].[SubDepartmentDesc].[All]" allUniqueName="[BI vw_WeeklyWrittenSalesMetrics].[SubDepartmentDesc].[All]" dimensionUniqueName="[BI vw_WeeklyWrittenSalesMetrics]" displayFolder="" count="0" memberValueDatatype="130" unbalanced="0"/>
    <cacheHierarchy uniqueName="[BI vw_WeeklyWrittenSalesMetrics].[TOTRETMD]" caption="TOTRETMD" attribute="1" defaultMemberUniqueName="[BI vw_WeeklyWrittenSalesMetrics].[TOTRETMD].[All]" allUniqueName="[BI vw_WeeklyWrittenSalesMetrics].[TOTRETMD].[All]" dimensionUniqueName="[BI vw_WeeklyWrittenSalesMetrics]" displayFolder="" count="0" memberValueDatatype="5" unbalanced="0"/>
    <cacheHierarchy uniqueName="[BI vw_WeeklyWrittenSalesMetrics].[Traffic_JoinKey]" caption="Traffic_JoinKey" attribute="1" defaultMemberUniqueName="[BI vw_WeeklyWrittenSalesMetrics].[Traffic_JoinKey].[All]" allUniqueName="[BI vw_WeeklyWrittenSalesMetrics].[Traffic_JoinKey].[All]" dimensionUniqueName="[BI vw_WeeklyWrittenSalesMetrics]" displayFolder="" count="0" memberValueDatatype="130" unbalanced="0"/>
    <cacheHierarchy uniqueName="[BI vw_WeeklyWrittenSalesMetrics].[WeeklyItemSaleKey]" caption="WeeklyItemSaleKey" attribute="1" defaultMemberUniqueName="[BI vw_WeeklyWrittenSalesMetrics].[WeeklyItemSaleKey].[All]" allUniqueName="[BI vw_WeeklyWrittenSalesMetrics].[WeeklyItemSaleKey].[All]" dimensionUniqueName="[BI vw_WeeklyWrittenSalesMetrics]" displayFolder="" count="0" memberValueDatatype="130" unbalanced="0"/>
    <cacheHierarchy uniqueName="[Dim_Category].[Column_Name]" caption="Column_Name" attribute="1" defaultMemberUniqueName="[Dim_Category].[Column_Name].[All]" allUniqueName="[Dim_Category].[Column_Name].[All]" dimensionUniqueName="[Dim_Category]" displayFolder="" count="0" memberValueDatatype="130" unbalanced="0"/>
    <cacheHierarchy uniqueName="[Dim_Category].[Sort N]" caption="Sort N" attribute="1" defaultMemberUniqueName="[Dim_Category].[Sort N].[All]" allUniqueName="[Dim_Category].[Sort N].[All]" dimensionUniqueName="[Dim_Category]" displayFolder="" count="0" memberValueDatatype="20" unbalanced="0"/>
    <cacheHierarchy uniqueName="[dim_period].[Current Date]" caption="Current Date" attribute="1" time="1" defaultMemberUniqueName="[dim_period].[Current Date].[All]" allUniqueName="[dim_period].[Current Date].[All]" dimensionUniqueName="[dim_period]" displayFolder="" count="0" memberValueDatatype="7" unbalanced="0"/>
    <cacheHierarchy uniqueName="[dim_period].[Date]" caption="Date" attribute="1" time="1" defaultMemberUniqueName="[dim_period].[Date].[All]" allUniqueName="[dim_period].[Date].[All]" dimensionUniqueName="[dim_period]" displayFolder="" count="0" memberValueDatatype="7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inPeriod_BeforeToday]" caption="finPeriod_BeforeToday" attribute="1" defaultMemberUniqueName="[dim_period].[finPeriod_BeforeToday].[All]" allUniqueName="[dim_period].[finPeriod_BeforeToday].[All]" dimensionUniqueName="[dim_period]" displayFolder="" count="0" memberValueDatatype="13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Month_NumberY]" caption="Month_NumberY" attribute="1" defaultMemberUniqueName="[dim_period].[Month_NumberY].[All]" allUniqueName="[dim_period].[Month_NumberY].[All]" dimensionUniqueName="[dim_period]" displayFolder="" count="0" memberValueDatatype="2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dim_period].[Year_New]" caption="Year_New" attribute="1" defaultMemberUniqueName="[dim_period].[Year_New].[All]" allUniqueName="[dim_period].[Year_New].[All]" dimensionUniqueName="[dim_period]" displayFolder="" count="0" memberValueDatatype="20" unbalanced="0"/>
    <cacheHierarchy uniqueName="[ForcastByClass].[Branch Type]" caption="Branch Type" attribute="1" defaultMemberUniqueName="[ForcastByClass].[Branch Type].[All]" allUniqueName="[ForcastByClass].[Branch Type].[All]" dimensionUniqueName="[ForcastByClass]" displayFolder="" count="0" memberValueDatatype="130" unbalanced="0"/>
    <cacheHierarchy uniqueName="[ForcastByClass].[Class]" caption="Class" attribute="1" defaultMemberUniqueName="[ForcastByClass].[Class].[All]" allUniqueName="[ForcastByClass].[Class].[All]" dimensionUniqueName="[ForcastByClass]" displayFolder="" count="0" memberValueDatatype="130" unbalanced="0"/>
    <cacheHierarchy uniqueName="[ForcastByClass].[Country]" caption="Country" attribute="1" defaultMemberUniqueName="[ForcastByClass].[Country].[All]" allUniqueName="[ForcastByClass].[Country].[All]" dimensionUniqueName="[ForcastByClass]" displayFolder="" count="0" memberValueDatatype="130" unbalanced="0"/>
    <cacheHierarchy uniqueName="[ForcastByClass].[CountryN]" caption="CountryN" attribute="1" defaultMemberUniqueName="[ForcastByClass].[CountryN].[All]" allUniqueName="[ForcastByClass].[CountryN].[All]" dimensionUniqueName="[ForcastByClass]" displayFolder="" count="0" memberValueDatatype="130" unbalanced="0"/>
    <cacheHierarchy uniqueName="[ForcastByClass].[FClassKey]" caption="FClassKey" attribute="1" defaultMemberUniqueName="[ForcastByClass].[FClassKey].[All]" allUniqueName="[ForcastByClass].[FClassKey].[All]" dimensionUniqueName="[ForcastByClass]" displayFolder="" count="0" memberValueDatatype="130" unbalanced="0"/>
    <cacheHierarchy uniqueName="[ForcastByClass].[FinPeriod]" caption="FinPeriod" attribute="1" defaultMemberUniqueName="[ForcastByClass].[FinPeriod].[All]" allUniqueName="[ForcastByClass].[FinPeriod].[All]" dimensionUniqueName="[ForcastByClass]" displayFolder="" count="0" memberValueDatatype="130" unbalanced="0"/>
    <cacheHierarchy uniqueName="[ForcastByClass].[FinWeek]" caption="FinWeek" attribute="1" defaultMemberUniqueName="[ForcastByClass].[FinWeek].[All]" allUniqueName="[ForcastByClass].[FinWeek].[All]" dimensionUniqueName="[ForcastByClass]" displayFolder="" count="0" memberValueDatatype="20" unbalanced="0"/>
    <cacheHierarchy uniqueName="[ForcastByClass].[FinYear]" caption="FinYear" attribute="1" defaultMemberUniqueName="[ForcastByClass].[FinYear].[All]" allUniqueName="[ForcastByClass].[FinYear].[All]" dimensionUniqueName="[ForcastByClass]" displayFolder="" count="0" memberValueDatatype="130" unbalanced="0"/>
    <cacheHierarchy uniqueName="[ForcastByClass].[ForcastDollars]" caption="ForcastDollars" attribute="1" defaultMemberUniqueName="[ForcastByClass].[ForcastDollars].[All]" allUniqueName="[ForcastByClass].[ForcastDollars].[All]" dimensionUniqueName="[ForcastByClass]" displayFolder="" count="0" memberValueDatatype="5" unbalanced="0"/>
    <cacheHierarchy uniqueName="[ForcastByClass].[StoreType]" caption="StoreType" attribute="1" defaultMemberUniqueName="[ForcastByClass].[StoreType].[All]" allUniqueName="[ForcastByClass].[StoreType].[All]" dimensionUniqueName="[ForcastByClass]" displayFolder="" count="0" memberValueDatatype="130" unbalanced="0"/>
    <cacheHierarchy uniqueName="[Forecast].[Branch Type]" caption="Branch Type" attribute="1" defaultMemberUniqueName="[Forecast].[Branch Type].[All]" allUniqueName="[Forecast].[Branch Type].[All]" dimensionUniqueName="[Forecast]" displayFolder="" count="0" memberValueDatatype="130" unbalanced="0"/>
    <cacheHierarchy uniqueName="[Forecast].[Channel]" caption="Channel" attribute="1" defaultMemberUniqueName="[Forecast].[Channel].[All]" allUniqueName="[Forecast].[Channel].[All]" dimensionUniqueName="[Forecast]" displayFolder="" count="0" memberValueDatatype="130" unbalanced="0"/>
    <cacheHierarchy uniqueName="[Forecast].[Class]" caption="Class" attribute="1" defaultMemberUniqueName="[Forecast].[Class].[All]" allUniqueName="[Forecast].[Class].[All]" dimensionUniqueName="[Forecast]" displayFolder="" count="0" memberValueDatatype="130" unbalanced="0"/>
    <cacheHierarchy uniqueName="[Forecast].[Class-1]" caption="Class-1" attribute="1" defaultMemberUniqueName="[Forecast].[Class-1].[All]" allUniqueName="[Forecast].[Class-1].[All]" dimensionUniqueName="[Forecast]" displayFolder="" count="0" memberValueDatatype="130" unbalanced="0"/>
    <cacheHierarchy uniqueName="[Forecast].[Column3 - Copy]" caption="Column3 - Copy" attribute="1" defaultMemberUniqueName="[Forecast].[Column3 - Copy].[All]" allUniqueName="[Forecast].[Column3 - Copy].[All]" dimensionUniqueName="[Forecast]" displayFolder="" count="0" memberValueDatatype="130" unbalanced="0"/>
    <cacheHierarchy uniqueName="[Forecast].[Country]" caption="Country" attribute="1" defaultMemberUniqueName="[Forecast].[Country].[All]" allUniqueName="[Forecast].[Country].[All]" dimensionUniqueName="[Forecast]" displayFolder="" count="0" memberValueDatatype="130" unbalanced="0"/>
    <cacheHierarchy uniqueName="[Forecast].[CountryN]" caption="CountryN" attribute="1" defaultMemberUniqueName="[Forecast].[CountryN].[All]" allUniqueName="[Forecast].[CountryN].[All]" dimensionUniqueName="[Forecast]" displayFolder="" count="0" memberValueDatatype="130" unbalanced="0"/>
    <cacheHierarchy uniqueName="[Forecast].[FClassKey]" caption="FClassKey" attribute="1" defaultMemberUniqueName="[Forecast].[FClassKey].[All]" allUniqueName="[Forecast].[FClassKey].[All]" dimensionUniqueName="[Forecast]" displayFolder="" count="0" memberValueDatatype="130" unbalanced="0"/>
    <cacheHierarchy uniqueName="[Forecast].[Fin_Period]" caption="Fin_Period" attribute="1" defaultMemberUniqueName="[Forecast].[Fin_Period].[All]" allUniqueName="[Forecast].[Fin_Period].[All]" dimensionUniqueName="[Forecast]" displayFolder="" count="0" memberValueDatatype="20" unbalanced="0"/>
    <cacheHierarchy uniqueName="[Forecast].[FinWeek]" caption="FinWeek" attribute="1" defaultMemberUniqueName="[Forecast].[FinWeek].[All]" allUniqueName="[Forecast].[FinWeek].[All]" dimensionUniqueName="[Forecast]" displayFolder="" count="0" memberValueDatatype="20" unbalanced="0"/>
    <cacheHierarchy uniqueName="[Forecast].[ForcastDollars]" caption="ForcastDollars" attribute="1" defaultMemberUniqueName="[Forecast].[ForcastDollars].[All]" allUniqueName="[Forecast].[ForcastDollars].[All]" dimensionUniqueName="[Forecast]" displayFolder="" count="0" memberValueDatatype="5" unbalanced="0"/>
    <cacheHierarchy uniqueName="[Forecast].[GM$]" caption="GM$" attribute="1" defaultMemberUniqueName="[Forecast].[GM$].[All]" allUniqueName="[Forecast].[GM$].[All]" dimensionUniqueName="[Forecast]" displayFolder="" count="0" memberValueDatatype="5" unbalanced="0"/>
    <cacheHierarchy uniqueName="[Forecast].[GM%]" caption="GM%" attribute="1" defaultMemberUniqueName="[Forecast].[GM%].[All]" allUniqueName="[Forecast].[GM%].[All]" dimensionUniqueName="[Forecast]" displayFolder="" count="0" memberValueDatatype="5" unbalanced="0"/>
    <cacheHierarchy uniqueName="[Forecast].[Period]" caption="Period" attribute="1" defaultMemberUniqueName="[Forecast].[Period].[All]" allUniqueName="[Forecast].[Period].[All]" dimensionUniqueName="[Forecast]" displayFolder="" count="0" memberValueDatatype="130" unbalanced="0"/>
    <cacheHierarchy uniqueName="[Forecast].[StoreType]" caption="StoreType" attribute="1" defaultMemberUniqueName="[Forecast].[StoreType].[All]" allUniqueName="[Forecast].[StoreType].[All]" dimensionUniqueName="[Forecast]" displayFolder="" count="0" memberValueDatatype="130" unbalanced="0"/>
    <cacheHierarchy uniqueName="[Measure].[StoreKey]" caption="StoreKey" attribute="1" defaultMemberUniqueName="[Measure].[StoreKey].[All]" allUniqueName="[Measure].[StoreKey].[All]" dimensionUniqueName="[Measure]" displayFolder="" count="0" memberValueDatatype="130" unbalanced="0"/>
    <cacheHierarchy uniqueName="[Measure Categories].[Cat Sort]" caption="Cat Sort" attribute="1" defaultMemberUniqueName="[Measure Categories].[Cat Sort].[All]" allUniqueName="[Measure Categories].[Cat Sort].[All]" dimensionUniqueName="[Measure Categories]" displayFolder="" count="0" memberValueDatatype="20" unbalanced="0"/>
    <cacheHierarchy uniqueName="[Measure Categories].[Measure Categories]" caption="Measure Categories" attribute="1" defaultMemberUniqueName="[Measure Categories].[Measure Categories].[All]" allUniqueName="[Measure Categories].[Measure Categories].[All]" dimensionUniqueName="[Measure Categories]" displayFolder="" count="0" memberValueDatatype="130" unbalanced="0"/>
    <cacheHierarchy uniqueName="[Product Parameter].[Product Parameter]" caption="Product Parameter" attribute="1" defaultMemberUniqueName="[Product Parameter].[Product Parameter].[All]" allUniqueName="[Product Parameter].[Product Parameter].[All]" dimensionUniqueName="[Product Parameter]" displayFolder="" count="0" memberValueDatatype="130" unbalanced="0"/>
    <cacheHierarchy uniqueName="[Query1].[Column1]" caption="Column1" attribute="1" time="1" defaultMemberUniqueName="[Query1].[Column1].[All]" allUniqueName="[Query1].[Column1].[All]" dimensionUniqueName="[Query1]" displayFolder="" count="0" memberValueDatatype="7" unbalanced="0"/>
    <cacheHierarchy uniqueName="[Query2].[Column1]" caption="Column1" attribute="1" defaultMemberUniqueName="[Query2].[Column1].[All]" allUniqueName="[Query2].[Column1].[All]" dimensionUniqueName="[Query2]" displayFolder="" count="0" memberValueDatatype="13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2" memberValueDatatype="130" unbalanced="0">
      <fieldsUsage count="2">
        <fieldUsage x="-1"/>
        <fieldUsage x="7"/>
      </fieldsUsage>
    </cacheHierarchy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LocalDateTable_0d9eeced-3257-4609-8cfb-234f1d7c24d7].[Date]" caption="Date" attribute="1" time="1" defaultMemberUniqueName="[LocalDateTable_0d9eeced-3257-4609-8cfb-234f1d7c24d7].[Date].[All]" allUniqueName="[LocalDateTable_0d9eeced-3257-4609-8cfb-234f1d7c24d7].[Date].[All]" dimensionUniqueName="[LocalDateTable_0d9eeced-3257-4609-8cfb-234f1d7c24d7]" displayFolder="" count="0" memberValueDatatype="7" unbalanced="0" hidden="1"/>
    <cacheHierarchy uniqueName="[LocalDateTable_0d9eeced-3257-4609-8cfb-234f1d7c24d7].[Day]" caption="Day" attribute="1" defaultMemberUniqueName="[LocalDateTable_0d9eeced-3257-4609-8cfb-234f1d7c24d7].[Day].[All]" allUniqueName="[LocalDateTable_0d9eeced-3257-4609-8cfb-234f1d7c24d7].[Day].[All]" dimensionUniqueName="[LocalDateTable_0d9eeced-3257-4609-8cfb-234f1d7c24d7]" displayFolder="" count="0" memberValueDatatype="20" unbalanced="0" hidden="1"/>
    <cacheHierarchy uniqueName="[LocalDateTable_0d9eeced-3257-4609-8cfb-234f1d7c24d7].[Month]" caption="Month" attribute="1" defaultMemberUniqueName="[LocalDateTable_0d9eeced-3257-4609-8cfb-234f1d7c24d7].[Month].[All]" allUniqueName="[LocalDateTable_0d9eeced-3257-4609-8cfb-234f1d7c24d7].[Month].[All]" dimensionUniqueName="[LocalDateTable_0d9eeced-3257-4609-8cfb-234f1d7c24d7]" displayFolder="" count="0" memberValueDatatype="130" unbalanced="0" hidden="1"/>
    <cacheHierarchy uniqueName="[LocalDateTable_0d9eeced-3257-4609-8cfb-234f1d7c24d7].[MonthNo]" caption="MonthNo" attribute="1" defaultMemberUniqueName="[LocalDateTable_0d9eeced-3257-4609-8cfb-234f1d7c24d7].[MonthNo].[All]" allUniqueName="[LocalDateTable_0d9eeced-3257-4609-8cfb-234f1d7c24d7].[MonthNo].[All]" dimensionUniqueName="[LocalDateTable_0d9eeced-3257-4609-8cfb-234f1d7c24d7]" displayFolder="" count="0" memberValueDatatype="20" unbalanced="0" hidden="1"/>
    <cacheHierarchy uniqueName="[LocalDateTable_0d9eeced-3257-4609-8cfb-234f1d7c24d7].[Quarter]" caption="Quarter" attribute="1" defaultMemberUniqueName="[LocalDateTable_0d9eeced-3257-4609-8cfb-234f1d7c24d7].[Quarter].[All]" allUniqueName="[LocalDateTable_0d9eeced-3257-4609-8cfb-234f1d7c24d7].[Quarter].[All]" dimensionUniqueName="[LocalDateTable_0d9eeced-3257-4609-8cfb-234f1d7c24d7]" displayFolder="" count="0" memberValueDatatype="130" unbalanced="0" hidden="1"/>
    <cacheHierarchy uniqueName="[LocalDateTable_0d9eeced-3257-4609-8cfb-234f1d7c24d7].[QuarterNo]" caption="QuarterNo" attribute="1" defaultMemberUniqueName="[LocalDateTable_0d9eeced-3257-4609-8cfb-234f1d7c24d7].[QuarterNo].[All]" allUniqueName="[LocalDateTable_0d9eeced-3257-4609-8cfb-234f1d7c24d7].[QuarterNo].[All]" dimensionUniqueName="[LocalDateTable_0d9eeced-3257-4609-8cfb-234f1d7c24d7]" displayFolder="" count="0" memberValueDatatype="20" unbalanced="0" hidden="1"/>
    <cacheHierarchy uniqueName="[LocalDateTable_0d9eeced-3257-4609-8cfb-234f1d7c24d7].[Year]" caption="Year" attribute="1" defaultMemberUniqueName="[LocalDateTable_0d9eeced-3257-4609-8cfb-234f1d7c24d7].[Year].[All]" allUniqueName="[LocalDateTable_0d9eeced-3257-4609-8cfb-234f1d7c24d7].[Year].[All]" dimensionUniqueName="[LocalDateTable_0d9eeced-3257-4609-8cfb-234f1d7c24d7]" displayFolder="" count="0" memberValueDatatype="20" unbalanced="0" hidden="1"/>
    <cacheHierarchy uniqueName="[LocalDateTable_3a17192d-ec7c-4dba-ac0e-bcf6b3a6a0ff].[Date]" caption="Date" attribute="1" time="1" defaultMemberUniqueName="[LocalDateTable_3a17192d-ec7c-4dba-ac0e-bcf6b3a6a0ff].[Date].[All]" allUniqueName="[LocalDateTable_3a17192d-ec7c-4dba-ac0e-bcf6b3a6a0ff].[Date].[All]" dimensionUniqueName="[LocalDateTable_3a17192d-ec7c-4dba-ac0e-bcf6b3a6a0ff]" displayFolder="" count="0" memberValueDatatype="7" unbalanced="0" hidden="1"/>
    <cacheHierarchy uniqueName="[LocalDateTable_3a17192d-ec7c-4dba-ac0e-bcf6b3a6a0ff].[Day]" caption="Day" attribute="1" defaultMemberUniqueName="[LocalDateTable_3a17192d-ec7c-4dba-ac0e-bcf6b3a6a0ff].[Day].[All]" allUniqueName="[LocalDateTable_3a17192d-ec7c-4dba-ac0e-bcf6b3a6a0ff].[Day].[All]" dimensionUniqueName="[LocalDateTable_3a17192d-ec7c-4dba-ac0e-bcf6b3a6a0ff]" displayFolder="" count="0" memberValueDatatype="20" unbalanced="0" hidden="1"/>
    <cacheHierarchy uniqueName="[LocalDateTable_3a17192d-ec7c-4dba-ac0e-bcf6b3a6a0ff].[Month]" caption="Month" attribute="1" defaultMemberUniqueName="[LocalDateTable_3a17192d-ec7c-4dba-ac0e-bcf6b3a6a0ff].[Month].[All]" allUniqueName="[LocalDateTable_3a17192d-ec7c-4dba-ac0e-bcf6b3a6a0ff].[Month].[All]" dimensionUniqueName="[LocalDateTable_3a17192d-ec7c-4dba-ac0e-bcf6b3a6a0ff]" displayFolder="" count="0" memberValueDatatype="130" unbalanced="0" hidden="1"/>
    <cacheHierarchy uniqueName="[LocalDateTable_3a17192d-ec7c-4dba-ac0e-bcf6b3a6a0ff].[MonthNo]" caption="MonthNo" attribute="1" defaultMemberUniqueName="[LocalDateTable_3a17192d-ec7c-4dba-ac0e-bcf6b3a6a0ff].[MonthNo].[All]" allUniqueName="[LocalDateTable_3a17192d-ec7c-4dba-ac0e-bcf6b3a6a0ff].[MonthNo].[All]" dimensionUniqueName="[LocalDateTable_3a17192d-ec7c-4dba-ac0e-bcf6b3a6a0ff]" displayFolder="" count="0" memberValueDatatype="20" unbalanced="0" hidden="1"/>
    <cacheHierarchy uniqueName="[LocalDateTable_3a17192d-ec7c-4dba-ac0e-bcf6b3a6a0ff].[Quarter]" caption="Quarter" attribute="1" defaultMemberUniqueName="[LocalDateTable_3a17192d-ec7c-4dba-ac0e-bcf6b3a6a0ff].[Quarter].[All]" allUniqueName="[LocalDateTable_3a17192d-ec7c-4dba-ac0e-bcf6b3a6a0ff].[Quarter].[All]" dimensionUniqueName="[LocalDateTable_3a17192d-ec7c-4dba-ac0e-bcf6b3a6a0ff]" displayFolder="" count="0" memberValueDatatype="130" unbalanced="0" hidden="1"/>
    <cacheHierarchy uniqueName="[LocalDateTable_3a17192d-ec7c-4dba-ac0e-bcf6b3a6a0ff].[QuarterNo]" caption="QuarterNo" attribute="1" defaultMemberUniqueName="[LocalDateTable_3a17192d-ec7c-4dba-ac0e-bcf6b3a6a0ff].[QuarterNo].[All]" allUniqueName="[LocalDateTable_3a17192d-ec7c-4dba-ac0e-bcf6b3a6a0ff].[QuarterNo].[All]" dimensionUniqueName="[LocalDateTable_3a17192d-ec7c-4dba-ac0e-bcf6b3a6a0ff]" displayFolder="" count="0" memberValueDatatype="20" unbalanced="0" hidden="1"/>
    <cacheHierarchy uniqueName="[LocalDateTable_3a17192d-ec7c-4dba-ac0e-bcf6b3a6a0ff].[Year]" caption="Year" attribute="1" defaultMemberUniqueName="[LocalDateTable_3a17192d-ec7c-4dba-ac0e-bcf6b3a6a0ff].[Year].[All]" allUniqueName="[LocalDateTable_3a17192d-ec7c-4dba-ac0e-bcf6b3a6a0ff].[Year].[All]" dimensionUniqueName="[LocalDateTable_3a17192d-ec7c-4dba-ac0e-bcf6b3a6a0ff]" displayFolder="" count="0" memberValueDatatype="20" unbalanced="0" hidden="1"/>
    <cacheHierarchy uniqueName="[LocalDateTable_3f117c71-2c04-4fa5-8c23-2b2c1ab14338].[Date]" caption="Date" attribute="1" time="1" defaultMemberUniqueName="[LocalDateTable_3f117c71-2c04-4fa5-8c23-2b2c1ab14338].[Date].[All]" allUniqueName="[LocalDateTable_3f117c71-2c04-4fa5-8c23-2b2c1ab14338].[Date].[All]" dimensionUniqueName="[LocalDateTable_3f117c71-2c04-4fa5-8c23-2b2c1ab14338]" displayFolder="" count="0" memberValueDatatype="7" unbalanced="0" hidden="1"/>
    <cacheHierarchy uniqueName="[LocalDateTable_3f117c71-2c04-4fa5-8c23-2b2c1ab14338].[Day]" caption="Day" attribute="1" defaultMemberUniqueName="[LocalDateTable_3f117c71-2c04-4fa5-8c23-2b2c1ab14338].[Day].[All]" allUniqueName="[LocalDateTable_3f117c71-2c04-4fa5-8c23-2b2c1ab14338].[Day].[All]" dimensionUniqueName="[LocalDateTable_3f117c71-2c04-4fa5-8c23-2b2c1ab14338]" displayFolder="" count="0" memberValueDatatype="20" unbalanced="0" hidden="1"/>
    <cacheHierarchy uniqueName="[LocalDateTable_3f117c71-2c04-4fa5-8c23-2b2c1ab14338].[Month]" caption="Month" attribute="1" defaultMemberUniqueName="[LocalDateTable_3f117c71-2c04-4fa5-8c23-2b2c1ab14338].[Month].[All]" allUniqueName="[LocalDateTable_3f117c71-2c04-4fa5-8c23-2b2c1ab14338].[Month].[All]" dimensionUniqueName="[LocalDateTable_3f117c71-2c04-4fa5-8c23-2b2c1ab14338]" displayFolder="" count="0" memberValueDatatype="130" unbalanced="0" hidden="1"/>
    <cacheHierarchy uniqueName="[LocalDateTable_3f117c71-2c04-4fa5-8c23-2b2c1ab14338].[MonthNo]" caption="MonthNo" attribute="1" defaultMemberUniqueName="[LocalDateTable_3f117c71-2c04-4fa5-8c23-2b2c1ab14338].[MonthNo].[All]" allUniqueName="[LocalDateTable_3f117c71-2c04-4fa5-8c23-2b2c1ab14338].[MonthNo].[All]" dimensionUniqueName="[LocalDateTable_3f117c71-2c04-4fa5-8c23-2b2c1ab14338]" displayFolder="" count="0" memberValueDatatype="20" unbalanced="0" hidden="1"/>
    <cacheHierarchy uniqueName="[LocalDateTable_3f117c71-2c04-4fa5-8c23-2b2c1ab14338].[Quarter]" caption="Quarter" attribute="1" defaultMemberUniqueName="[LocalDateTable_3f117c71-2c04-4fa5-8c23-2b2c1ab14338].[Quarter].[All]" allUniqueName="[LocalDateTable_3f117c71-2c04-4fa5-8c23-2b2c1ab14338].[Quarter].[All]" dimensionUniqueName="[LocalDateTable_3f117c71-2c04-4fa5-8c23-2b2c1ab14338]" displayFolder="" count="0" memberValueDatatype="130" unbalanced="0" hidden="1"/>
    <cacheHierarchy uniqueName="[LocalDateTable_3f117c71-2c04-4fa5-8c23-2b2c1ab14338].[QuarterNo]" caption="QuarterNo" attribute="1" defaultMemberUniqueName="[LocalDateTable_3f117c71-2c04-4fa5-8c23-2b2c1ab14338].[QuarterNo].[All]" allUniqueName="[LocalDateTable_3f117c71-2c04-4fa5-8c23-2b2c1ab14338].[QuarterNo].[All]" dimensionUniqueName="[LocalDateTable_3f117c71-2c04-4fa5-8c23-2b2c1ab14338]" displayFolder="" count="0" memberValueDatatype="20" unbalanced="0" hidden="1"/>
    <cacheHierarchy uniqueName="[LocalDateTable_3f117c71-2c04-4fa5-8c23-2b2c1ab14338].[Year]" caption="Year" attribute="1" defaultMemberUniqueName="[LocalDateTable_3f117c71-2c04-4fa5-8c23-2b2c1ab14338].[Year].[All]" allUniqueName="[LocalDateTable_3f117c71-2c04-4fa5-8c23-2b2c1ab14338].[Year].[All]" dimensionUniqueName="[LocalDateTable_3f117c71-2c04-4fa5-8c23-2b2c1ab14338]" displayFolder="" count="0" memberValueDatatype="20" unbalanced="0" hidden="1"/>
    <cacheHierarchy uniqueName="[LocalDateTable_66f09a5d-f864-46bc-a2f5-c0014bc05155].[Date]" caption="Date" attribute="1" time="1" defaultMemberUniqueName="[LocalDateTable_66f09a5d-f864-46bc-a2f5-c0014bc05155].[Date].[All]" allUniqueName="[LocalDateTable_66f09a5d-f864-46bc-a2f5-c0014bc05155].[Date].[All]" dimensionUniqueName="[LocalDateTable_66f09a5d-f864-46bc-a2f5-c0014bc05155]" displayFolder="" count="0" memberValueDatatype="7" unbalanced="0" hidden="1"/>
    <cacheHierarchy uniqueName="[LocalDateTable_66f09a5d-f864-46bc-a2f5-c0014bc05155].[Day]" caption="Day" attribute="1" defaultMemberUniqueName="[LocalDateTable_66f09a5d-f864-46bc-a2f5-c0014bc05155].[Day].[All]" allUniqueName="[LocalDateTable_66f09a5d-f864-46bc-a2f5-c0014bc05155].[Day].[All]" dimensionUniqueName="[LocalDateTable_66f09a5d-f864-46bc-a2f5-c0014bc05155]" displayFolder="" count="0" memberValueDatatype="20" unbalanced="0" hidden="1"/>
    <cacheHierarchy uniqueName="[LocalDateTable_66f09a5d-f864-46bc-a2f5-c0014bc05155].[Month]" caption="Month" attribute="1" defaultMemberUniqueName="[LocalDateTable_66f09a5d-f864-46bc-a2f5-c0014bc05155].[Month].[All]" allUniqueName="[LocalDateTable_66f09a5d-f864-46bc-a2f5-c0014bc05155].[Month].[All]" dimensionUniqueName="[LocalDateTable_66f09a5d-f864-46bc-a2f5-c0014bc05155]" displayFolder="" count="0" memberValueDatatype="130" unbalanced="0" hidden="1"/>
    <cacheHierarchy uniqueName="[LocalDateTable_66f09a5d-f864-46bc-a2f5-c0014bc05155].[MonthNo]" caption="MonthNo" attribute="1" defaultMemberUniqueName="[LocalDateTable_66f09a5d-f864-46bc-a2f5-c0014bc05155].[MonthNo].[All]" allUniqueName="[LocalDateTable_66f09a5d-f864-46bc-a2f5-c0014bc05155].[MonthNo].[All]" dimensionUniqueName="[LocalDateTable_66f09a5d-f864-46bc-a2f5-c0014bc05155]" displayFolder="" count="0" memberValueDatatype="20" unbalanced="0" hidden="1"/>
    <cacheHierarchy uniqueName="[LocalDateTable_66f09a5d-f864-46bc-a2f5-c0014bc05155].[Quarter]" caption="Quarter" attribute="1" defaultMemberUniqueName="[LocalDateTable_66f09a5d-f864-46bc-a2f5-c0014bc05155].[Quarter].[All]" allUniqueName="[LocalDateTable_66f09a5d-f864-46bc-a2f5-c0014bc05155].[Quarter].[All]" dimensionUniqueName="[LocalDateTable_66f09a5d-f864-46bc-a2f5-c0014bc05155]" displayFolder="" count="0" memberValueDatatype="130" unbalanced="0" hidden="1"/>
    <cacheHierarchy uniqueName="[LocalDateTable_66f09a5d-f864-46bc-a2f5-c0014bc05155].[QuarterNo]" caption="QuarterNo" attribute="1" defaultMemberUniqueName="[LocalDateTable_66f09a5d-f864-46bc-a2f5-c0014bc05155].[QuarterNo].[All]" allUniqueName="[LocalDateTable_66f09a5d-f864-46bc-a2f5-c0014bc05155].[QuarterNo].[All]" dimensionUniqueName="[LocalDateTable_66f09a5d-f864-46bc-a2f5-c0014bc05155]" displayFolder="" count="0" memberValueDatatype="20" unbalanced="0" hidden="1"/>
    <cacheHierarchy uniqueName="[LocalDateTable_66f09a5d-f864-46bc-a2f5-c0014bc05155].[Year]" caption="Year" attribute="1" defaultMemberUniqueName="[LocalDateTable_66f09a5d-f864-46bc-a2f5-c0014bc05155].[Year].[All]" allUniqueName="[LocalDateTable_66f09a5d-f864-46bc-a2f5-c0014bc05155].[Year].[All]" dimensionUniqueName="[LocalDateTable_66f09a5d-f864-46bc-a2f5-c0014bc05155]" displayFolder="" count="0" memberValueDatatype="20" unbalanced="0" hidden="1"/>
    <cacheHierarchy uniqueName="[LocalDateTable_754a5606-f042-4514-8c57-59f8f32672fc].[Date]" caption="Date" attribute="1" time="1" defaultMemberUniqueName="[LocalDateTable_754a5606-f042-4514-8c57-59f8f32672fc].[Date].[All]" allUniqueName="[LocalDateTable_754a5606-f042-4514-8c57-59f8f32672fc].[Date].[All]" dimensionUniqueName="[LocalDateTable_754a5606-f042-4514-8c57-59f8f32672fc]" displayFolder="" count="0" memberValueDatatype="7" unbalanced="0" hidden="1"/>
    <cacheHierarchy uniqueName="[LocalDateTable_754a5606-f042-4514-8c57-59f8f32672fc].[Day]" caption="Day" attribute="1" defaultMemberUniqueName="[LocalDateTable_754a5606-f042-4514-8c57-59f8f32672fc].[Day].[All]" allUniqueName="[LocalDateTable_754a5606-f042-4514-8c57-59f8f32672fc].[Day].[All]" dimensionUniqueName="[LocalDateTable_754a5606-f042-4514-8c57-59f8f32672fc]" displayFolder="" count="0" memberValueDatatype="20" unbalanced="0" hidden="1"/>
    <cacheHierarchy uniqueName="[LocalDateTable_754a5606-f042-4514-8c57-59f8f32672fc].[Month]" caption="Month" attribute="1" defaultMemberUniqueName="[LocalDateTable_754a5606-f042-4514-8c57-59f8f32672fc].[Month].[All]" allUniqueName="[LocalDateTable_754a5606-f042-4514-8c57-59f8f32672fc].[Month].[All]" dimensionUniqueName="[LocalDateTable_754a5606-f042-4514-8c57-59f8f32672fc]" displayFolder="" count="0" memberValueDatatype="130" unbalanced="0" hidden="1"/>
    <cacheHierarchy uniqueName="[LocalDateTable_754a5606-f042-4514-8c57-59f8f32672fc].[MonthNo]" caption="MonthNo" attribute="1" defaultMemberUniqueName="[LocalDateTable_754a5606-f042-4514-8c57-59f8f32672fc].[MonthNo].[All]" allUniqueName="[LocalDateTable_754a5606-f042-4514-8c57-59f8f32672fc].[MonthNo].[All]" dimensionUniqueName="[LocalDateTable_754a5606-f042-4514-8c57-59f8f32672fc]" displayFolder="" count="0" memberValueDatatype="20" unbalanced="0" hidden="1"/>
    <cacheHierarchy uniqueName="[LocalDateTable_754a5606-f042-4514-8c57-59f8f32672fc].[Quarter]" caption="Quarter" attribute="1" defaultMemberUniqueName="[LocalDateTable_754a5606-f042-4514-8c57-59f8f32672fc].[Quarter].[All]" allUniqueName="[LocalDateTable_754a5606-f042-4514-8c57-59f8f32672fc].[Quarter].[All]" dimensionUniqueName="[LocalDateTable_754a5606-f042-4514-8c57-59f8f32672fc]" displayFolder="" count="0" memberValueDatatype="130" unbalanced="0" hidden="1"/>
    <cacheHierarchy uniqueName="[LocalDateTable_754a5606-f042-4514-8c57-59f8f32672fc].[QuarterNo]" caption="QuarterNo" attribute="1" defaultMemberUniqueName="[LocalDateTable_754a5606-f042-4514-8c57-59f8f32672fc].[QuarterNo].[All]" allUniqueName="[LocalDateTable_754a5606-f042-4514-8c57-59f8f32672fc].[QuarterNo].[All]" dimensionUniqueName="[LocalDateTable_754a5606-f042-4514-8c57-59f8f32672fc]" displayFolder="" count="0" memberValueDatatype="20" unbalanced="0" hidden="1"/>
    <cacheHierarchy uniqueName="[LocalDateTable_754a5606-f042-4514-8c57-59f8f32672fc].[Year]" caption="Year" attribute="1" defaultMemberUniqueName="[LocalDateTable_754a5606-f042-4514-8c57-59f8f32672fc].[Year].[All]" allUniqueName="[LocalDateTable_754a5606-f042-4514-8c57-59f8f32672fc].[Year].[All]" dimensionUniqueName="[LocalDateTable_754a5606-f042-4514-8c57-59f8f32672fc]" displayFolder="" count="0" memberValueDatatype="20" unbalanced="0" hidden="1"/>
    <cacheHierarchy uniqueName="[LocalDateTable_9b9a9699-5b52-40e9-b4a0-c11cb55a9d61].[Date]" caption="Date" attribute="1" time="1" defaultMemberUniqueName="[LocalDateTable_9b9a9699-5b52-40e9-b4a0-c11cb55a9d61].[Date].[All]" allUniqueName="[LocalDateTable_9b9a9699-5b52-40e9-b4a0-c11cb55a9d61].[Date].[All]" dimensionUniqueName="[LocalDateTable_9b9a9699-5b52-40e9-b4a0-c11cb55a9d61]" displayFolder="" count="0" memberValueDatatype="7" unbalanced="0" hidden="1"/>
    <cacheHierarchy uniqueName="[LocalDateTable_9b9a9699-5b52-40e9-b4a0-c11cb55a9d61].[Day]" caption="Day" attribute="1" defaultMemberUniqueName="[LocalDateTable_9b9a9699-5b52-40e9-b4a0-c11cb55a9d61].[Day].[All]" allUniqueName="[LocalDateTable_9b9a9699-5b52-40e9-b4a0-c11cb55a9d61].[Day].[All]" dimensionUniqueName="[LocalDateTable_9b9a9699-5b52-40e9-b4a0-c11cb55a9d61]" displayFolder="" count="0" memberValueDatatype="20" unbalanced="0" hidden="1"/>
    <cacheHierarchy uniqueName="[LocalDateTable_9b9a9699-5b52-40e9-b4a0-c11cb55a9d61].[Month]" caption="Month" attribute="1" defaultMemberUniqueName="[LocalDateTable_9b9a9699-5b52-40e9-b4a0-c11cb55a9d61].[Month].[All]" allUniqueName="[LocalDateTable_9b9a9699-5b52-40e9-b4a0-c11cb55a9d61].[Month].[All]" dimensionUniqueName="[LocalDateTable_9b9a9699-5b52-40e9-b4a0-c11cb55a9d61]" displayFolder="" count="0" memberValueDatatype="130" unbalanced="0" hidden="1"/>
    <cacheHierarchy uniqueName="[LocalDateTable_9b9a9699-5b52-40e9-b4a0-c11cb55a9d61].[MonthNo]" caption="MonthNo" attribute="1" defaultMemberUniqueName="[LocalDateTable_9b9a9699-5b52-40e9-b4a0-c11cb55a9d61].[MonthNo].[All]" allUniqueName="[LocalDateTable_9b9a9699-5b52-40e9-b4a0-c11cb55a9d61].[MonthNo].[All]" dimensionUniqueName="[LocalDateTable_9b9a9699-5b52-40e9-b4a0-c11cb55a9d61]" displayFolder="" count="0" memberValueDatatype="20" unbalanced="0" hidden="1"/>
    <cacheHierarchy uniqueName="[LocalDateTable_9b9a9699-5b52-40e9-b4a0-c11cb55a9d61].[Quarter]" caption="Quarter" attribute="1" defaultMemberUniqueName="[LocalDateTable_9b9a9699-5b52-40e9-b4a0-c11cb55a9d61].[Quarter].[All]" allUniqueName="[LocalDateTable_9b9a9699-5b52-40e9-b4a0-c11cb55a9d61].[Quarter].[All]" dimensionUniqueName="[LocalDateTable_9b9a9699-5b52-40e9-b4a0-c11cb55a9d61]" displayFolder="" count="0" memberValueDatatype="130" unbalanced="0" hidden="1"/>
    <cacheHierarchy uniqueName="[LocalDateTable_9b9a9699-5b52-40e9-b4a0-c11cb55a9d61].[QuarterNo]" caption="QuarterNo" attribute="1" defaultMemberUniqueName="[LocalDateTable_9b9a9699-5b52-40e9-b4a0-c11cb55a9d61].[QuarterNo].[All]" allUniqueName="[LocalDateTable_9b9a9699-5b52-40e9-b4a0-c11cb55a9d61].[QuarterNo].[All]" dimensionUniqueName="[LocalDateTable_9b9a9699-5b52-40e9-b4a0-c11cb55a9d61]" displayFolder="" count="0" memberValueDatatype="20" unbalanced="0" hidden="1"/>
    <cacheHierarchy uniqueName="[LocalDateTable_9b9a9699-5b52-40e9-b4a0-c11cb55a9d61].[Year]" caption="Year" attribute="1" defaultMemberUniqueName="[LocalDateTable_9b9a9699-5b52-40e9-b4a0-c11cb55a9d61].[Year].[All]" allUniqueName="[LocalDateTable_9b9a9699-5b52-40e9-b4a0-c11cb55a9d61].[Year].[All]" dimensionUniqueName="[LocalDateTable_9b9a9699-5b52-40e9-b4a0-c11cb55a9d61]" displayFolder="" count="0" memberValueDatatype="20" unbalanced="0" hidden="1"/>
    <cacheHierarchy uniqueName="[LocalDateTable_a29de990-df00-42e6-9e8c-814d0b4b9a86].[Date]" caption="Date" attribute="1" time="1" defaultMemberUniqueName="[LocalDateTable_a29de990-df00-42e6-9e8c-814d0b4b9a86].[Date].[All]" allUniqueName="[LocalDateTable_a29de990-df00-42e6-9e8c-814d0b4b9a86].[Date].[All]" dimensionUniqueName="[LocalDateTable_a29de990-df00-42e6-9e8c-814d0b4b9a86]" displayFolder="" count="0" memberValueDatatype="7" unbalanced="0" hidden="1"/>
    <cacheHierarchy uniqueName="[LocalDateTable_a29de990-df00-42e6-9e8c-814d0b4b9a86].[Day]" caption="Day" attribute="1" defaultMemberUniqueName="[LocalDateTable_a29de990-df00-42e6-9e8c-814d0b4b9a86].[Day].[All]" allUniqueName="[LocalDateTable_a29de990-df00-42e6-9e8c-814d0b4b9a86].[Day].[All]" dimensionUniqueName="[LocalDateTable_a29de990-df00-42e6-9e8c-814d0b4b9a86]" displayFolder="" count="0" memberValueDatatype="20" unbalanced="0" hidden="1"/>
    <cacheHierarchy uniqueName="[LocalDateTable_a29de990-df00-42e6-9e8c-814d0b4b9a86].[Month]" caption="Month" attribute="1" defaultMemberUniqueName="[LocalDateTable_a29de990-df00-42e6-9e8c-814d0b4b9a86].[Month].[All]" allUniqueName="[LocalDateTable_a29de990-df00-42e6-9e8c-814d0b4b9a86].[Month].[All]" dimensionUniqueName="[LocalDateTable_a29de990-df00-42e6-9e8c-814d0b4b9a86]" displayFolder="" count="0" memberValueDatatype="130" unbalanced="0" hidden="1"/>
    <cacheHierarchy uniqueName="[LocalDateTable_a29de990-df00-42e6-9e8c-814d0b4b9a86].[MonthNo]" caption="MonthNo" attribute="1" defaultMemberUniqueName="[LocalDateTable_a29de990-df00-42e6-9e8c-814d0b4b9a86].[MonthNo].[All]" allUniqueName="[LocalDateTable_a29de990-df00-42e6-9e8c-814d0b4b9a86].[MonthNo].[All]" dimensionUniqueName="[LocalDateTable_a29de990-df00-42e6-9e8c-814d0b4b9a86]" displayFolder="" count="0" memberValueDatatype="20" unbalanced="0" hidden="1"/>
    <cacheHierarchy uniqueName="[LocalDateTable_a29de990-df00-42e6-9e8c-814d0b4b9a86].[Quarter]" caption="Quarter" attribute="1" defaultMemberUniqueName="[LocalDateTable_a29de990-df00-42e6-9e8c-814d0b4b9a86].[Quarter].[All]" allUniqueName="[LocalDateTable_a29de990-df00-42e6-9e8c-814d0b4b9a86].[Quarter].[All]" dimensionUniqueName="[LocalDateTable_a29de990-df00-42e6-9e8c-814d0b4b9a86]" displayFolder="" count="0" memberValueDatatype="130" unbalanced="0" hidden="1"/>
    <cacheHierarchy uniqueName="[LocalDateTable_a29de990-df00-42e6-9e8c-814d0b4b9a86].[QuarterNo]" caption="QuarterNo" attribute="1" defaultMemberUniqueName="[LocalDateTable_a29de990-df00-42e6-9e8c-814d0b4b9a86].[QuarterNo].[All]" allUniqueName="[LocalDateTable_a29de990-df00-42e6-9e8c-814d0b4b9a86].[QuarterNo].[All]" dimensionUniqueName="[LocalDateTable_a29de990-df00-42e6-9e8c-814d0b4b9a86]" displayFolder="" count="0" memberValueDatatype="20" unbalanced="0" hidden="1"/>
    <cacheHierarchy uniqueName="[LocalDateTable_a29de990-df00-42e6-9e8c-814d0b4b9a86].[Year]" caption="Year" attribute="1" defaultMemberUniqueName="[LocalDateTable_a29de990-df00-42e6-9e8c-814d0b4b9a86].[Year].[All]" allUniqueName="[LocalDateTable_a29de990-df00-42e6-9e8c-814d0b4b9a86].[Year].[All]" dimensionUniqueName="[LocalDateTable_a29de990-df00-42e6-9e8c-814d0b4b9a86]" displayFolder="" count="0" memberValueDatatype="20" unbalanced="0" hidden="1"/>
    <cacheHierarchy uniqueName="[LocalDateTable_e1d748f9-bc77-4c73-ba8d-fcf5ec29dd71].[Date]" caption="Date" attribute="1" time="1" defaultMemberUniqueName="[LocalDateTable_e1d748f9-bc77-4c73-ba8d-fcf5ec29dd71].[Date].[All]" allUniqueName="[LocalDateTable_e1d748f9-bc77-4c73-ba8d-fcf5ec29dd71].[Date].[All]" dimensionUniqueName="[LocalDateTable_e1d748f9-bc77-4c73-ba8d-fcf5ec29dd71]" displayFolder="" count="0" memberValueDatatype="7" unbalanced="0" hidden="1"/>
    <cacheHierarchy uniqueName="[LocalDateTable_e1d748f9-bc77-4c73-ba8d-fcf5ec29dd71].[Day]" caption="Day" attribute="1" defaultMemberUniqueName="[LocalDateTable_e1d748f9-bc77-4c73-ba8d-fcf5ec29dd71].[Day].[All]" allUniqueName="[LocalDateTable_e1d748f9-bc77-4c73-ba8d-fcf5ec29dd71].[Day].[All]" dimensionUniqueName="[LocalDateTable_e1d748f9-bc77-4c73-ba8d-fcf5ec29dd71]" displayFolder="" count="0" memberValueDatatype="20" unbalanced="0" hidden="1"/>
    <cacheHierarchy uniqueName="[LocalDateTable_e1d748f9-bc77-4c73-ba8d-fcf5ec29dd71].[Month]" caption="Month" attribute="1" defaultMemberUniqueName="[LocalDateTable_e1d748f9-bc77-4c73-ba8d-fcf5ec29dd71].[Month].[All]" allUniqueName="[LocalDateTable_e1d748f9-bc77-4c73-ba8d-fcf5ec29dd71].[Month].[All]" dimensionUniqueName="[LocalDateTable_e1d748f9-bc77-4c73-ba8d-fcf5ec29dd71]" displayFolder="" count="0" memberValueDatatype="130" unbalanced="0" hidden="1"/>
    <cacheHierarchy uniqueName="[LocalDateTable_e1d748f9-bc77-4c73-ba8d-fcf5ec29dd71].[MonthNo]" caption="MonthNo" attribute="1" defaultMemberUniqueName="[LocalDateTable_e1d748f9-bc77-4c73-ba8d-fcf5ec29dd71].[MonthNo].[All]" allUniqueName="[LocalDateTable_e1d748f9-bc77-4c73-ba8d-fcf5ec29dd71].[MonthNo].[All]" dimensionUniqueName="[LocalDateTable_e1d748f9-bc77-4c73-ba8d-fcf5ec29dd71]" displayFolder="" count="0" memberValueDatatype="20" unbalanced="0" hidden="1"/>
    <cacheHierarchy uniqueName="[LocalDateTable_e1d748f9-bc77-4c73-ba8d-fcf5ec29dd71].[Quarter]" caption="Quarter" attribute="1" defaultMemberUniqueName="[LocalDateTable_e1d748f9-bc77-4c73-ba8d-fcf5ec29dd71].[Quarter].[All]" allUniqueName="[LocalDateTable_e1d748f9-bc77-4c73-ba8d-fcf5ec29dd71].[Quarter].[All]" dimensionUniqueName="[LocalDateTable_e1d748f9-bc77-4c73-ba8d-fcf5ec29dd71]" displayFolder="" count="0" memberValueDatatype="130" unbalanced="0" hidden="1"/>
    <cacheHierarchy uniqueName="[LocalDateTable_e1d748f9-bc77-4c73-ba8d-fcf5ec29dd71].[QuarterNo]" caption="QuarterNo" attribute="1" defaultMemberUniqueName="[LocalDateTable_e1d748f9-bc77-4c73-ba8d-fcf5ec29dd71].[QuarterNo].[All]" allUniqueName="[LocalDateTable_e1d748f9-bc77-4c73-ba8d-fcf5ec29dd71].[QuarterNo].[All]" dimensionUniqueName="[LocalDateTable_e1d748f9-bc77-4c73-ba8d-fcf5ec29dd71]" displayFolder="" count="0" memberValueDatatype="20" unbalanced="0" hidden="1"/>
    <cacheHierarchy uniqueName="[LocalDateTable_e1d748f9-bc77-4c73-ba8d-fcf5ec29dd71].[Year]" caption="Year" attribute="1" defaultMemberUniqueName="[LocalDateTable_e1d748f9-bc77-4c73-ba8d-fcf5ec29dd71].[Year].[All]" allUniqueName="[LocalDateTable_e1d748f9-bc77-4c73-ba8d-fcf5ec29dd71].[Year].[All]" dimensionUniqueName="[LocalDateTable_e1d748f9-bc77-4c73-ba8d-fcf5ec29dd71]" displayFolder="" count="0" memberValueDatatype="20" unbalanced="0" hidden="1"/>
    <cacheHierarchy uniqueName="[Product Parameter].[Product Parameter Fields]" caption="Product Parameter Fields" attribute="1" defaultMemberUniqueName="[Product Parameter].[Product Parameter Fields].[All]" allUniqueName="[Product Parameter].[Product Parameter Fields].[All]" dimensionUniqueName="[Product Parameter]" displayFolder="" count="0" memberValueDatatype="130" unbalanced="0" hidden="1"/>
    <cacheHierarchy uniqueName="[Product Parameter].[Product Parameter Order]" caption="Product Parameter Order" attribute="1" defaultMemberUniqueName="[Product Parameter].[Product Parameter Order].[All]" allUniqueName="[Product Parameter].[Product Parameter Order].[All]" dimensionUniqueName="[Product Parameter]" displayFolder="" count="0" memberValueDatatype="20" unbalanced="0" hidden="1"/>
    <cacheHierarchy uniqueName="[Measures].[Total Retail Sales]" caption="Total Retail Sales" measure="1" displayFolder="" measureGroup="BI vw_WeeklyWrittenSalesMetrics" count="0"/>
    <cacheHierarchy uniqueName="[Measures].[Cancelled]" caption="Cancelled" measure="1" displayFolder="" measureGroup="BI vw_WeeklyWrittenSalesMetrics" count="0"/>
    <cacheHierarchy uniqueName="[Measures].[Return]" caption="Return" measure="1" displayFolder="" measureGroup="BI vw_WeeklyWrittenSalesMetrics" count="0"/>
    <cacheHierarchy uniqueName="[Measures].[R-SalesCost]" caption="R-SalesCost" measure="1" displayFolder="" measureGroup="BI metrics" count="0"/>
    <cacheHierarchy uniqueName="[Measures].[R-SalesatFullRet]" caption="R-SalesatFullRet" measure="1" displayFolder="" measureGroup="BI metrics" count="0"/>
    <cacheHierarchy uniqueName="[Measures].[R-GM$ TY]" caption="R-GM$ TY" measure="1" displayFolder="" measureGroup="BI metrics" count="0"/>
    <cacheHierarchy uniqueName="[Measures].[R-Sales TY $]" caption="R-Sales TY $" measure="1" displayFolder="" measureGroup="BI metrics" count="0" oneField="1">
      <fieldsUsage count="1">
        <fieldUsage x="11"/>
      </fieldsUsage>
    </cacheHierarchy>
    <cacheHierarchy uniqueName="[Measures].[R-Units TY]" caption="R-Units TY" measure="1" displayFolder="" measureGroup="BI metrics" count="0"/>
    <cacheHierarchy uniqueName="[Measures].[R-M/D$ TY]" caption="R-M/D$ TY" measure="1" displayFolder="" measureGroup="BI metrics" count="0"/>
    <cacheHierarchy uniqueName="[Measures].[R-Budget$-ItemDept]" caption="R-Budget$-ItemDept" measure="1" displayFolder="" measureGroup="BI metrics" count="0"/>
    <cacheHierarchy uniqueName="[Measures].[R-BudgetGM$-ItemDept]" caption="R-BudgetGM$-ItemDept" measure="1" displayFolder="" measureGroup="BI metrics" count="0"/>
    <cacheHierarchy uniqueName="[Measures].[R-Budget$-Store]" caption="R-Budget$-Store" measure="1" displayFolder="" measureGroup="BI metrics" count="0"/>
    <cacheHierarchy uniqueName="[Measures].[R-Units LY]" caption="R-Units LY" measure="1" displayFolder="" measureGroup="BI metrics" count="0"/>
    <cacheHierarchy uniqueName="[Measures].[R-Sales LY $]" caption="R-Sales LY $" measure="1" displayFolder="" measureGroup="BI metrics" count="0"/>
    <cacheHierarchy uniqueName="[Measures].[R-GM$ LY]" caption="R-GM$ LY" measure="1" displayFolder="" measureGroup="BI metrics" count="0"/>
    <cacheHierarchy uniqueName="[Measures].[R-Sales YoY]" caption="R-Sales YoY" measure="1" displayFolder="" measureGroup="BI metrics" count="0"/>
    <cacheHierarchy uniqueName="[Measures].[R-GM$ YoY]" caption="R-GM$ YoY" measure="1" displayFolder="" measureGroup="BI metrics" count="0"/>
    <cacheHierarchy uniqueName="[Measures].[R-Sales vs Budget]" caption="R-Sales vs Budget" measure="1" displayFolder="" measureGroup="BI metrics" count="0"/>
    <cacheHierarchy uniqueName="[Measures].[R-M/D$ LY]" caption="R-M/D$ LY" measure="1" displayFolder="" measureGroup="BI metrics" count="0"/>
    <cacheHierarchy uniqueName="[Measures].[period_test]" caption="period_test" measure="1" displayFolder="" measureGroup="BI metrics" count="0"/>
    <cacheHierarchy uniqueName="[Measures].[R-Traffic TY]" caption="R-Traffic TY" measure="1" displayFolder="" measureGroup="BI metrics" count="0"/>
    <cacheHierarchy uniqueName="[Measures].[R-ATV TY]" caption="R-ATV TY" measure="1" displayFolder="" measureGroup="BI metrics" count="0"/>
    <cacheHierarchy uniqueName="[Measures].[R Sales YoY]" caption="R Sales YoY" measure="1" displayFolder="" measureGroup="BI metrics" count="0"/>
    <cacheHierarchy uniqueName="[Measures].[R-GM$ budget TY]" caption="R-GM$ budget TY" measure="1" displayFolder="" measureGroup="BI metrics" count="0"/>
    <cacheHierarchy uniqueName="[Measures].[R-GM$ Budget LY]" caption="R-GM$ Budget LY" measure="1" displayFolder="" measureGroup="BI metrics" count="0"/>
    <cacheHierarchy uniqueName="[Measures].[R-GM vs Budget]" caption="R-GM vs Budget" measure="1" displayFolder="" measureGroup="BI metrics" count="0"/>
    <cacheHierarchy uniqueName="[Measures].[R-GM % TY]" caption="R-GM % TY" measure="1" displayFolder="" measureGroup="BI metrics" count="0"/>
    <cacheHierarchy uniqueName="[Measures].[R-GM % LY]" caption="R-GM % LY" measure="1" displayFolder="" measureGroup="BI metrics" count="0"/>
    <cacheHierarchy uniqueName="[Measures].[R-GM% Budget TY]" caption="R-GM% Budget TY" measure="1" displayFolder="" measureGroup="BI metrics" count="0"/>
    <cacheHierarchy uniqueName="[Measures].[R-M/D % TY]" caption="R-M/D % TY" measure="1" displayFolder="" measureGroup="BI metrics" count="0"/>
    <cacheHierarchy uniqueName="[Measures].[R-M/D % LY]" caption="R-M/D % LY" measure="1" displayFolder="" measureGroup="BI metrics" count="0"/>
    <cacheHierarchy uniqueName="[Measures].[R-ATV LY]" caption="R-ATV LY" measure="1" displayFolder="" measureGroup="BI metrics" count="0"/>
    <cacheHierarchy uniqueName="[Measures].[R-Traffic LY]" caption="R-Traffic LY" measure="1" displayFolder="" measureGroup="BI metrics" count="0"/>
    <cacheHierarchy uniqueName="[Measures].[R-Traffic YoY]" caption="R-Traffic YoY" measure="1" displayFolder="" measureGroup="BI metrics" count="0"/>
    <cacheHierarchy uniqueName="[Measures].[R-Store Trans LY]" caption="R-Store Trans LY" measure="1" displayFolder="" measureGroup="BI metrics" count="0"/>
    <cacheHierarchy uniqueName="[Measures].[R-Store Trans TY]" caption="R-Store Trans TY" measure="1" displayFolder="" measureGroup="BI metrics" count="0"/>
    <cacheHierarchy uniqueName="[Measures].[R-Conv TY]" caption="R-Conv TY" measure="1" displayFolder="" measureGroup="BI metrics" count="0"/>
    <cacheHierarchy uniqueName="[Measures].[R-Conv LY]" caption="R-Conv LY" measure="1" displayFolder="" measureGroup="BI metrics" count="0"/>
    <cacheHierarchy uniqueName="[Measures].[R-IPT TY]" caption="R-IPT TY" measure="1" displayFolder="" measureGroup="BI metrics" count="0"/>
    <cacheHierarchy uniqueName="[Measures].[R-GM% Budget LY]" caption="R-GM% Budget LY" measure="1" displayFolder="" measureGroup="BI metrics" count="0"/>
    <cacheHierarchy uniqueName="[Measures].[R-Store Trans YoY]" caption="R-Store Trans YoY" measure="1" displayFolder="" measureGroup="BI metrics" count="0"/>
    <cacheHierarchy uniqueName="[Measures].[R-Conv YoY]" caption="R-Conv YoY" measure="1" displayFolder="" measureGroup="BI metrics" count="0"/>
    <cacheHierarchy uniqueName="[Measures].[R-Sales vs Budget - ItemDept]" caption="R-Sales vs Budget - ItemDept" measure="1" displayFolder="" measureGroup="BI metrics" count="0"/>
    <cacheHierarchy uniqueName="[Measures].[R-ATV YoY]" caption="R-ATV YoY" measure="1" displayFolder="" measureGroup="BI metrics" count="0"/>
    <cacheHierarchy uniqueName="[Measures].[R-M/D$ Budget-ItemDept]" caption="R-M/D$ Budget-ItemDept" measure="1" displayFolder="" measureGroup="BI metrics" count="0"/>
    <cacheHierarchy uniqueName="[Measures].[R-M/D% Budget TY]" caption="R-M/D% Budget TY" measure="1" displayFolder="" measureGroup="BI metrics" count="0"/>
    <cacheHierarchy uniqueName="[Measures].[R-Dropship$ budget TY]" caption="R-Dropship$ budget TY" measure="1" displayFolder="" measureGroup="BI metrics" count="0"/>
    <cacheHierarchy uniqueName="[Measures].[R-GM$ Revenue budget TY]" caption="R-GM$ Revenue budget TY" measure="1" displayFolder="" measureGroup="BI metrics" count="0"/>
    <cacheHierarchy uniqueName="[Measures].[GM$ Revenue Budget TY]" caption="GM$ Revenue Budget TY" measure="1" displayFolder="" measureGroup="BI metrics" count="0"/>
    <cacheHierarchy uniqueName="[Measures].[R-Sales vs Plan]" caption="R-Sales vs Plan" measure="1" displayFolder="" measureGroup="BI metrics" count="0"/>
    <cacheHierarchy uniqueName="[Measures].[R-Cancellation TY $]" caption="R-Cancellation TY $" measure="1" displayFolder="" measureGroup="BI metrics" count="0"/>
    <cacheHierarchy uniqueName="[Measures].[R-Return TY $]" caption="R-Return TY $" measure="1" displayFolder="" measureGroup="BI metrics" count="0"/>
    <cacheHierarchy uniqueName="[Measures].[R-Sales TY $1]" caption="R-Sales TY $1" measure="1" displayFolder="" measureGroup="BI metrics" count="0"/>
    <cacheHierarchy uniqueName="[Measures].[R-Budget ATV Online]" caption="R-Budget ATV Online" measure="1" displayFolder="" measureGroup="BI metrics" count="0"/>
    <cacheHierarchy uniqueName="[Measures].[R-Budget Traffic Online]" caption="R-Budget Traffic Online" measure="1" displayFolder="" measureGroup="BI metrics" count="0"/>
    <cacheHierarchy uniqueName="[Measures].[R-Budget Store Trans Online]" caption="R-Budget Store Trans Online" measure="1" displayFolder="" measureGroup="BI metrics" count="0"/>
    <cacheHierarchy uniqueName="[Measures].[R-Budget Conv Online]" caption="R-Budget Conv Online" measure="1" displayFolder="" measureGroup="BI metrics" count="0"/>
    <cacheHierarchy uniqueName="[Measures].[R-M/D$ YoY]" caption="R-M/D$ YoY" measure="1" displayFolder="" measureGroup="BI metrics" count="0"/>
    <cacheHierarchy uniqueName="[Measures].[R-M/D vs Budget]" caption="R-M/D vs Budget" measure="1" displayFolder="" measureGroup="BI metrics" count="0"/>
    <cacheHierarchy uniqueName="[Measures].[R-Traffic Budget Online]" caption="R-Traffic Budget Online" measure="1" displayFolder="" measureGroup="BI metrics" count="0"/>
    <cacheHierarchy uniqueName="[Measures].[R-Traffic vs Budget]" caption="R-Traffic vs Budget" measure="1" displayFolder="" measureGroup="BI metrics" count="0"/>
    <cacheHierarchy uniqueName="[Measures].[R-Store Trans Budget Online]" caption="R-Store Trans Budget Online" measure="1" displayFolder="" measureGroup="BI metrics" count="0"/>
    <cacheHierarchy uniqueName="[Measures].[R-Store Trans vs Budget]" caption="R-Store Trans vs Budget" measure="1" displayFolder="" measureGroup="BI metrics" count="0"/>
    <cacheHierarchy uniqueName="[Measures].[R-Conv Budget Online]" caption="R-Conv Budget Online" measure="1" displayFolder="" measureGroup="BI metrics" count="0"/>
    <cacheHierarchy uniqueName="[Measures].[R-Conv vs Budget]" caption="R-Conv vs Budget" measure="1" displayFolder="" measureGroup="BI metrics" count="0"/>
    <cacheHierarchy uniqueName="[Measures].[R-ATV Budget Online]" caption="R-ATV Budget Online" measure="1" displayFolder="" measureGroup="BI metrics" count="0"/>
    <cacheHierarchy uniqueName="[Measures].[R-ATV vs Budget]" caption="R-ATV vs Budget" measure="1" displayFolder="" measureGroup="BI metrics" count="0"/>
    <cacheHierarchy uniqueName="[Measures].[R-Conv LY1]" caption="R-Conv LY1" measure="1" displayFolder="" measureGroup="BI metrics" count="0"/>
    <cacheHierarchy uniqueName="[Measures].[R-Conv TY1]" caption="R-Conv TY1" measure="1" displayFolder="" measureGroup="BI metrics" count="0"/>
    <cacheHierarchy uniqueName="[Measures].[R-ASP TY]" caption="R-ASP TY" measure="1" displayFolder="" measureGroup="BI metrics" count="0"/>
    <cacheHierarchy uniqueName="[Measures].[ASP LY]" caption="ASP LY" measure="1" displayFolder="" measureGroup="BI metrics" count="0"/>
    <cacheHierarchy uniqueName="[Measures].[R-ASP LY]" caption="R-ASP LY" measure="1" displayFolder="" measureGroup="BI metrics" count="0"/>
    <cacheHierarchy uniqueName="[Measures].[R-Sales TY In Store$]" caption="R-Sales TY In Store$" measure="1" displayFolder="aa_New Measures" measureGroup="BI metrics" count="0"/>
    <cacheHierarchy uniqueName="[Measures].[R-Sales TY Dropship$]" caption="R-Sales TY Dropship$" measure="1" displayFolder="aa_New Measures" measureGroup="BI metrics" count="0"/>
    <cacheHierarchy uniqueName="[Measures].[R-Sales TY Online$]" caption="R-Sales TY Online$" measure="1" displayFolder="aa_New Measures" measureGroup="BI metrics" count="0"/>
    <cacheHierarchy uniqueName="[Measures].[R-Sales TY Dropship Budget$]" caption="R-Sales TY Dropship Budget$" measure="1" displayFolder="aa_New Measures" measureGroup="BI metrics" count="0"/>
    <cacheHierarchy uniqueName="[Measures].[R-Sales TY In Store Budget$]" caption="R-Sales TY In Store Budget$" measure="1" displayFolder="aa_New Measures" measureGroup="BI metrics" count="0"/>
    <cacheHierarchy uniqueName="[Measures].[R-Sales TY Online Budget$]" caption="R-Sales TY Online Budget$" measure="1" displayFolder="aa_New Measures" measureGroup="BI metrics" count="0"/>
    <cacheHierarchy uniqueName="[Measures].[Delta Dropship]" caption="Delta Dropship" measure="1" displayFolder="aa_New Measures" measureGroup="BI metrics" count="0"/>
    <cacheHierarchy uniqueName="[Measures].[Delta Total]" caption="Delta Total" measure="1" displayFolder="aa_New Measures" measureGroup="BI metrics" count="0"/>
    <cacheHierarchy uniqueName="[Measures].[Delta In Store + Online]" caption="Delta In Store + Online" measure="1" displayFolder="aa_New Measures" measureGroup="BI metrics" count="0"/>
    <cacheHierarchy uniqueName="[Measures].[Delta Online]" caption="Delta Online" measure="1" displayFolder="aa_New Measures" measureGroup="BI metrics" count="0"/>
    <cacheHierarchy uniqueName="[Measures].[%Var Total]" caption="%Var Total" measure="1" displayFolder="aa_New Measures" measureGroup="BI metrics" count="0"/>
    <cacheHierarchy uniqueName="[Measures].[%Var In Store + Online]" caption="%Var In Store + Online" measure="1" displayFolder="aa_New Measures" measureGroup="BI metrics" count="0"/>
    <cacheHierarchy uniqueName="[Measures].[%Var Online]" caption="%Var Online" measure="1" displayFolder="aa_New Measures" measureGroup="BI metrics" count="0"/>
    <cacheHierarchy uniqueName="[Measures].[%Var Dropship]" caption="%Var Dropship" measure="1" displayFolder="aa_New Measures" measureGroup="BI metrics" count="0"/>
    <cacheHierarchy uniqueName="[Measures].[R-Sales TY In Store + Online$]" caption="R-Sales TY In Store + Online$" measure="1" displayFolder="aa_New Measures" measureGroup="BI metrics" count="0"/>
    <cacheHierarchy uniqueName="[Measures].[R-Sales TY In Store + Online Budget$]" caption="R-Sales TY In Store + Online Budget$" measure="1" displayFolder="aa_New Measures" measureGroup="BI metrics" count="0"/>
    <cacheHierarchy uniqueName="[Measures].[Delta In Store]" caption="Delta In Store" measure="1" displayFolder="aa_New Measures" measureGroup="BI metrics" count="0"/>
    <cacheHierarchy uniqueName="[Measures].[%Var In Store]" caption="%Var In Store" measure="1" displayFolder="aa_New Measures" measureGroup="BI metrics" count="0"/>
    <cacheHierarchy uniqueName="[Measures].[Sales TY In Store$]" caption="Sales TY In Store$" measure="1" displayFolder="aa_New Measures" measureGroup="BI metrics" count="0"/>
    <cacheHierarchy uniqueName="[Measures].[Sales TY Total$]" caption="Sales TY Total$" measure="1" displayFolder="aa_New Measures" measureGroup="BI metrics" count="0"/>
    <cacheHierarchy uniqueName="[Measures].[Sales TY Instore + Online$]" caption="Sales TY Instore + Online$" measure="1" displayFolder="aa_New Measures" measureGroup="BI metrics" count="0"/>
    <cacheHierarchy uniqueName="[Measures].[Sales TY Dropship$]" caption="Sales TY Dropship$" measure="1" displayFolder="aa_New Measures" measureGroup="BI metrics" count="0"/>
    <cacheHierarchy uniqueName="[Measures].[Budget TY Total$]" caption="Budget TY Total$" measure="1" displayFolder="aa_New Measures" measureGroup="BI metrics" count="0"/>
    <cacheHierarchy uniqueName="[Measures].[Budget TY In Store$]" caption="Budget TY In Store$" measure="1" displayFolder="aa_New Measures" measureGroup="BI metrics" count="0"/>
    <cacheHierarchy uniqueName="[Measures].[Budget TY Dropship$]" caption="Budget TY Dropship$" measure="1" displayFolder="aa_New Measures" measureGroup="BI metrics" count="0"/>
    <cacheHierarchy uniqueName="[Measures].[Budget TY Instore + Online$]" caption="Budget TY Instore + Online$" measure="1" displayFolder="aa_New Measures" measureGroup="BI metrics" count="0"/>
    <cacheHierarchy uniqueName="[Measures].[Delta1 Total]" caption="Delta1 Total" measure="1" displayFolder="aa_New Measures" measureGroup="BI metrics" count="0"/>
    <cacheHierarchy uniqueName="[Measures].[Delta1 In Store]" caption="Delta1 In Store" measure="1" displayFolder="aa_New Measures" measureGroup="BI metrics" count="0"/>
    <cacheHierarchy uniqueName="[Measures].[Delta1 In Store + Online]" caption="Delta1 In Store + Online" measure="1" displayFolder="aa_New Measures" measureGroup="BI metrics" count="0"/>
    <cacheHierarchy uniqueName="[Measures].[Delta1 In Dropship]" caption="Delta1 In Dropship" measure="1" displayFolder="aa_New Measures" measureGroup="BI metrics" count="0"/>
    <cacheHierarchy uniqueName="[Measures].[%Var1 Total]" caption="%Var1 Total" measure="1" displayFolder="aa_New Measures" measureGroup="BI metrics" count="0"/>
    <cacheHierarchy uniqueName="[Measures].[%Var1 In Store]" caption="%Var1 In Store" measure="1" displayFolder="aa_New Measures" measureGroup="BI metrics" count="0"/>
    <cacheHierarchy uniqueName="[Measures].[%Var1 In Store + Online]" caption="%Var1 In Store + Online" measure="1" displayFolder="aa_New Measures" measureGroup="BI metrics" count="0"/>
    <cacheHierarchy uniqueName="[Measures].[%Var1 Dropship]" caption="%Var1 Dropship" measure="1" displayFolder="aa_New Measures" measureGroup="BI metrics" count="0"/>
    <cacheHierarchy uniqueName="[Measures].[Total Budget]" caption="Total Budget" measure="1" displayFolder="" measureGroup="BI vw_BudgetByStore" count="0"/>
    <cacheHierarchy uniqueName="[Measures].[R-Budget$-Store1]" caption="R-Budget$-Store1" measure="1" displayFolder="" measureGroup="BI vw_BudgetByStore" count="0"/>
    <cacheHierarchy uniqueName="[Measures].[Total Budget1]" caption="Total Budget1" measure="1" displayFolder="" measureGroup="BI vw_BudgetByStore" count="0"/>
    <cacheHierarchy uniqueName="[Measures].[Sales/Budget KPIs]" caption="Sales/Budget KPIs" measure="1" displayFolder="" measureGroup="BI vw_BudgetByStore" count="0"/>
    <cacheHierarchy uniqueName="[Measures].[Sales/Budget Color]" caption="Sales/Budget Color" measure="1" displayFolder="" measureGroup="BI vw_BudgetByStore" count="0"/>
    <cacheHierarchy uniqueName="[Measures].[Sales TY/LY KPIs]" caption="Sales TY/LY KPIs" measure="1" displayFolder="" measureGroup="BI vw_BudgetByStore" count="0"/>
    <cacheHierarchy uniqueName="[Measures].[Sales TY/LY Color]" caption="Sales TY/LY Color" measure="1" displayFolder="" measureGroup="BI vw_BudgetByStore" count="0"/>
    <cacheHierarchy uniqueName="[Measures].[GM KPIs]" caption="GM KPIs" measure="1" displayFolder="" measureGroup="BI vw_BudgetByStore" count="0"/>
    <cacheHierarchy uniqueName="[Measures].[GM TY/LY Color]" caption="GM TY/LY Color" measure="1" displayFolder="" measureGroup="BI vw_BudgetByStore" count="0"/>
    <cacheHierarchy uniqueName="[Measures].[R-Budget-ItemDept Y/N]" caption="R-Budget-ItemDept Y/N" measure="1" displayFolder="" measureGroup="BI vw_BudgetByItemCategory" count="0"/>
    <cacheHierarchy uniqueName="[Measures].[R-Sales vs Budget-ItemDept Y/N]" caption="R-Sales vs Budget-ItemDept Y/N" measure="1" displayFolder="" measureGroup="BI vw_BudgetByItemCategory" count="0"/>
    <cacheHierarchy uniqueName="[Measures].[Rank]" caption="Rank" measure="1" displayFolder="" measureGroup="BI vw_WeeklyItemSales" count="0"/>
    <cacheHierarchy uniqueName="[Measures].[Store Trans]" caption="Store Trans" measure="1" displayFolder="" measureGroup="BI vw_WeeklyStoreATV" count="0"/>
    <cacheHierarchy uniqueName="[Measures].[Sales TY $]" caption="Sales TY $" measure="1" displayFolder="" measureGroup="Measure" count="0"/>
    <cacheHierarchy uniqueName="[Measures].[This Year]" caption="This Year" measure="1" displayFolder="" measureGroup="Measure" count="0"/>
    <cacheHierarchy uniqueName="[Measures].[Sales LY $]" caption="Sales LY $" measure="1" displayFolder="" measureGroup="Measure" count="0"/>
    <cacheHierarchy uniqueName="[Measures].[GM$ TY]" caption="GM$ TY" measure="1" displayFolder="" measureGroup="Measure" count="0"/>
    <cacheHierarchy uniqueName="[Measures].[GM$ LY]" caption="GM$ LY" measure="1" displayFolder="" measureGroup="Measure" count="0"/>
    <cacheHierarchy uniqueName="[Measures].[M/D$ TY]" caption="M/D$ TY" measure="1" displayFolder="" measureGroup="Measure" count="0"/>
    <cacheHierarchy uniqueName="[Measures].[M/D LY $]" caption="M/D LY $" measure="1" displayFolder="" measureGroup="Measure" count="0"/>
    <cacheHierarchy uniqueName="[Measures].[Budget$-Store]" caption="Budget$-Store" measure="1" displayFolder="" measureGroup="Measure" count="0"/>
    <cacheHierarchy uniqueName="[Measures].[ATV TY]" caption="ATV TY" measure="1" displayFolder="" measureGroup="Measure" count="0"/>
    <cacheHierarchy uniqueName="[Measures].[ATV LY $]" caption="ATV LY $" measure="1" displayFolder="" measureGroup="Measure" count="0"/>
    <cacheHierarchy uniqueName="[Measures].[BudgetDollar-ItemDept]" caption="BudgetDollar-ItemDept" measure="1" displayFolder="" measureGroup="Measure" count="0"/>
    <cacheHierarchy uniqueName="[Measures].[BudgetGMDollar-ItemDept]" caption="BudgetGMDollar-ItemDept" measure="1" displayFolder="" measureGroup="Measure" count="0"/>
    <cacheHierarchy uniqueName="[Measures].[GM$ YoY]" caption="GM$ YoY" measure="1" displayFolder="" measureGroup="Measure" count="0"/>
    <cacheHierarchy uniqueName="[Measures].[Sales vs Budget]" caption="Sales vs Budget" measure="1" displayFolder="" measureGroup="Measure" count="0"/>
    <cacheHierarchy uniqueName="[Measures].[Sales YoY]" caption="Sales YoY" measure="1" displayFolder="" measureGroup="Measure" count="0"/>
    <cacheHierarchy uniqueName="[Measures].[SalesatFullRet]" caption="SalesatFullRet" measure="1" displayFolder="" measureGroup="Measure" count="0"/>
    <cacheHierarchy uniqueName="[Measures].[SalesCost]" caption="SalesCost" measure="1" displayFolder="" measureGroup="Measure" count="0"/>
    <cacheHierarchy uniqueName="[Measures].[Traffic TY]" caption="Traffic TY" measure="1" displayFolder="" measureGroup="Measure" count="0"/>
    <cacheHierarchy uniqueName="[Measures].[Units TY]" caption="Units TY" measure="1" displayFolder="" measureGroup="Measure" count="0"/>
    <cacheHierarchy uniqueName="[Measures].[Units LY]" caption="Units LY" measure="1" displayFolder="" measureGroup="Measure" count="0"/>
    <cacheHierarchy uniqueName="[Measures].[Rolling 12 months Sales]" caption="Rolling 12 months Sales" measure="1" displayFolder="" measureGroup="Measure" count="0"/>
    <cacheHierarchy uniqueName="[Measures].[Rolling 12 months GM]" caption="Rolling 12 months GM" measure="1" displayFolder="" measureGroup="Measure" count="0"/>
    <cacheHierarchy uniqueName="[Measures].[Rolling 12 months M/D]" caption="Rolling 12 months M/D" measure="1" displayFolder="" measureGroup="Measure" count="0"/>
    <cacheHierarchy uniqueName="[Measures].[Transaction TY]" caption="Transaction TY" measure="1" displayFolder="" measureGroup="Measure" count="0"/>
    <cacheHierarchy uniqueName="[Measures].[Transactions LY]" caption="Transactions LY" measure="1" displayFolder="" measureGroup="Measure" count="0"/>
    <cacheHierarchy uniqueName="[Measures].[Transaction YOY]" caption="Transaction YOY" measure="1" displayFolder="" measureGroup="Measure" count="0"/>
    <cacheHierarchy uniqueName="[Measures].[GM$ Budget TY]" caption="GM$ Budget TY" measure="1" displayFolder="" measureGroup="Measure" count="0"/>
    <cacheHierarchy uniqueName="[Measures].[GM$ Budget LY]" caption="GM$ Budget LY" measure="1" displayFolder="" measureGroup="Measure" count="0"/>
    <cacheHierarchy uniqueName="[Measures].[GM vs Budget $]" caption="GM vs Budget $" measure="1" displayFolder="" measureGroup="Measure" count="0"/>
    <cacheHierarchy uniqueName="[Measures].[Measure]" caption="Measure" measure="1" displayFolder="" measureGroup="Measure" count="0"/>
    <cacheHierarchy uniqueName="[Measures].[GM % TY]" caption="GM % TY" measure="1" displayFolder="" measureGroup="Measure" count="0"/>
    <cacheHierarchy uniqueName="[Measures].[GM % LY]" caption="GM % LY" measure="1" displayFolder="" measureGroup="Measure" count="0"/>
    <cacheHierarchy uniqueName="[Measures].[GM% Budget]" caption="GM% Budget" measure="1" displayFolder="" measureGroup="Measure" count="0"/>
    <cacheHierarchy uniqueName="[Measures].[Measure 2]" caption="Measure 2" measure="1" displayFolder="" measureGroup="Measure" count="0"/>
    <cacheHierarchy uniqueName="[Measures].[M/D % TY]" caption="M/D % TY" measure="1" displayFolder="" measureGroup="Measure" count="0"/>
    <cacheHierarchy uniqueName="[Measures].[M/D % LY]" caption="M/D % LY" measure="1" displayFolder="" measureGroup="Measure" count="0"/>
    <cacheHierarchy uniqueName="[Measures].[Dropship$ Budget TY]" caption="Dropship$ Budget TY" measure="1" displayFolder="" measureGroup="Measure" count="0"/>
    <cacheHierarchy uniqueName="[Measures].[Rolling 12 months R-Sale $ TY]" caption="Rolling 12 months R-Sale $ TY" measure="1" displayFolder="" measureGroup="Measure" count="0"/>
    <cacheHierarchy uniqueName="[Measures].[Rolling 12 months Traffic YoY]" caption="Rolling 12 months Traffic YoY" measure="1" displayFolder="" measureGroup="Measure" count="0"/>
    <cacheHierarchy uniqueName="[Measures].[Rolling 12 months ATV YoY]" caption="Rolling 12 months ATV YoY" measure="1" displayFolder="" measureGroup="Measure" count="0"/>
    <cacheHierarchy uniqueName="[Measures].[Rolling 12 months Conv YoY]" caption="Rolling 12 months Conv YoY" measure="1" displayFolder="" measureGroup="Measure" count="0"/>
    <cacheHierarchy uniqueName="[Measures].[Rolling 12 months Store Trans YoY]" caption="Rolling 12 months Store Trans YoY" measure="1" displayFolder="" measureGroup="Measure" count="0"/>
    <cacheHierarchy uniqueName="[Measures].[LastRefreshedSydney]" caption="LastRefreshedSydney" measure="1" displayFolder="" measureGroup="Measure" count="0"/>
    <cacheHierarchy uniqueName="[Measures].[R-Sales Forecast TY]" caption="R-Sales Forecast TY" measure="1" displayFolder="" measureGroup="ForcastByClass" count="0"/>
    <cacheHierarchy uniqueName="[Measures].[Actual Select]" caption="Actual Select" measure="1" displayFolder="" measureGroup="Dim_Category" count="0"/>
    <cacheHierarchy uniqueName="[Measures].[Actual select1]" caption="Actual select1" measure="1" displayFolder="" measureGroup="Dim_Category" count="0"/>
    <cacheHierarchy uniqueName="[Measures].[Week Sales]" caption="Week Sales" measure="1" displayFolder="" measureGroup="Dim_Category" count="0"/>
    <cacheHierarchy uniqueName="[Measures].[MTD Sales]" caption="MTD Sales" measure="1" displayFolder="" measureGroup="Dim_Category" count="0"/>
    <cacheHierarchy uniqueName="[Measures].[YTD Sales]" caption="YTD Sales" measure="1" displayFolder="" measureGroup="Dim_Category" count="0"/>
    <cacheHierarchy uniqueName="[Measures].[Week Budget]" caption="Week Budget" measure="1" displayFolder="" measureGroup="Dim_Category" count="0"/>
    <cacheHierarchy uniqueName="[Measures].[MTD Budget]" caption="MTD Budget" measure="1" displayFolder="" measureGroup="Dim_Category" count="0"/>
    <cacheHierarchy uniqueName="[Measures].[YTD Budget]" caption="YTD Budget" measure="1" displayFolder="" measureGroup="Dim_Category" count="0"/>
    <cacheHierarchy uniqueName="[Measures].[SelectorNum]" caption="SelectorNum" measure="1" displayFolder="" measureGroup="Dim_Category" count="0"/>
    <cacheHierarchy uniqueName="[Measures].[Sales Select]" caption="Sales Select" measure="1" displayFolder="" measureGroup="Dim_Category" count="0"/>
    <cacheHierarchy uniqueName="[Measures].[Budget Select]" caption="Budget Select" measure="1" displayFolder="" measureGroup="Dim_Category" count="0"/>
    <cacheHierarchy uniqueName="[Measures].[TodayWeek]" caption="TodayWeek" measure="1" displayFolder="" measureGroup="Dim_Category" count="0"/>
    <cacheHierarchy uniqueName="[Measures].[MTD Sales Filter]" caption="MTD Sales Filter" measure="1" displayFolder="" measureGroup="Dim_Category" count="0"/>
    <cacheHierarchy uniqueName="[Measures].[Week Sales LY]" caption="Week Sales LY" measure="1" displayFolder="" measureGroup="Dim_Category" count="0"/>
    <cacheHierarchy uniqueName="[Measures].[MTD Sales LY]" caption="MTD Sales LY" measure="1" displayFolder="" measureGroup="Dim_Category" count="0"/>
    <cacheHierarchy uniqueName="[Measures].[YTD Sales LY]" caption="YTD Sales LY" measure="1" displayFolder="" measureGroup="Dim_Category" count="0"/>
    <cacheHierarchy uniqueName="[Measures].[Sales LY Select]" caption="Sales LY Select" measure="1" displayFolder="" measureGroup="Dim_Category" count="0"/>
    <cacheHierarchy uniqueName="[Measures].[GM TY Week]" caption="GM TY Week" measure="1" displayFolder="" measureGroup="Dim_Category" count="0"/>
    <cacheHierarchy uniqueName="[Measures].[GM TY MTD]" caption="GM TY MTD" measure="1" displayFolder="" measureGroup="Dim_Category" count="0"/>
    <cacheHierarchy uniqueName="[Measures].[GM TY YTD]" caption="GM TY YTD" measure="1" displayFolder="" measureGroup="Dim_Category" count="0"/>
    <cacheHierarchy uniqueName="[Measures].[GM TY Select]" caption="GM TY Select" measure="1" displayFolder="" measureGroup="Dim_Category" count="0"/>
    <cacheHierarchy uniqueName="[Measures].[Sales Categories]" caption="Sales Categories" measure="1" displayFolder="" measureGroup="Measure Categories" count="0"/>
    <cacheHierarchy uniqueName="[Measures].[Sales Categories 1]" caption="Sales Categories 1" measure="1" displayFolder="" measureGroup="Measure Categories" count="0"/>
    <cacheHierarchy uniqueName="[Measures].[Sales Title]" caption="Sales Title" measure="1" displayFolder="" measureGroup="Measure Categories" count="0"/>
    <cacheHierarchy uniqueName="[Measures].[Traffic KPIs]" caption="Traffic KPIs" measure="1" displayFolder="" measureGroup="Measure Tooltip" count="0"/>
    <cacheHierarchy uniqueName="[Measures].[Traffic TY/LY Color]" caption="Traffic TY/LY Color" measure="1" displayFolder="" measureGroup="Measure Tooltip" count="0"/>
    <cacheHierarchy uniqueName="[Measures].[Store Trans KPIs]" caption="Store Trans KPIs" measure="1" displayFolder="" measureGroup="Measure Tooltip" count="0"/>
    <cacheHierarchy uniqueName="[Measures].[Store Trans TY/LY Color]" caption="Store Trans TY/LY Color" measure="1" displayFolder="" measureGroup="Measure Tooltip" count="0"/>
    <cacheHierarchy uniqueName="[Measures].[Conv KPIs]" caption="Conv KPIs" measure="1" displayFolder="" measureGroup="Measure Tooltip" count="0"/>
    <cacheHierarchy uniqueName="[Measures].[Conv TY/LY Color]" caption="Conv TY/LY Color" measure="1" displayFolder="" measureGroup="Measure Tooltip" count="0"/>
    <cacheHierarchy uniqueName="[Measures].[ATV KPIs]" caption="ATV KPIs" measure="1" displayFolder="" measureGroup="Measure Tooltip" count="0"/>
    <cacheHierarchy uniqueName="[Measures].[ATV TY/LY Color]" caption="ATV TY/LY Color" measure="1" displayFolder="" measureGroup="Measure Tooltip" count="0"/>
    <cacheHierarchy uniqueName="[Measures].[Measure 4]" caption="Measure 4" measure="1" displayFolder="" measureGroup="Measure Tooltip" count="0"/>
    <cacheHierarchy uniqueName="[Measures].[R-M/D$ Budget Color]" caption="R-M/D$ Budget Color" measure="1" displayFolder="" measureGroup="Measure Tooltip" count="0"/>
    <cacheHierarchy uniqueName="[Measures].[R-Sales$ Budget Color]" caption="R-Sales$ Budget Color" measure="1" displayFolder="" measureGroup="Measure Tooltip" count="0"/>
    <cacheHierarchy uniqueName="[Measures].[R-GM TY Color]" caption="R-GM TY Color" measure="1" displayFolder="" measureGroup="Measure Tooltip" count="0"/>
    <cacheHierarchy uniqueName="[Measures].[R-Store Trans Color]" caption="R-Store Trans Color" measure="1" displayFolder="" measureGroup="Measure Tooltip" count="0"/>
    <cacheHierarchy uniqueName="[Measures].[R-Traffic Color]" caption="R-Traffic Color" measure="1" displayFolder="" measureGroup="Measure Tooltip" count="0"/>
    <cacheHierarchy uniqueName="[Measures].[R-COnv Color]" caption="R-COnv Color" measure="1" displayFolder="" measureGroup="Measure Tooltip" count="0"/>
    <cacheHierarchy uniqueName="[Measures].[R-ATV Color]" caption="R-ATV Color" measure="1" displayFolder="" measureGroup="Measure Tooltip" count="0"/>
    <cacheHierarchy uniqueName="[Measures].[R-M/D$% Budget Color]" caption="R-M/D$% Budget Color" measure="1" displayFolder="" measureGroup="Measure Tooltip" count="0"/>
    <cacheHierarchy uniqueName="[Measures].[R-Traffic Budget Color]" caption="R-Traffic Budget Color" measure="1" displayFolder="" measureGroup="Measure Tooltip" count="0"/>
    <cacheHierarchy uniqueName="[Measures].[R-Store Trans Budget Color]" caption="R-Store Trans Budget Color" measure="1" displayFolder="" measureGroup="Measure Tooltip" count="0"/>
    <cacheHierarchy uniqueName="[Measures].[R-Conv Budget Color]" caption="R-Conv Budget Color" measure="1" displayFolder="" measureGroup="Measure Tooltip" count="0"/>
    <cacheHierarchy uniqueName="[Measures].[R-ATV Budget Color]" caption="R-ATV Budget Color" measure="1" displayFolder="" measureGroup="Measure Tooltip" count="0"/>
    <cacheHierarchy uniqueName="[Measures].[R-Sales TY/LY Color]" caption="R-Sales TY/LY Color" measure="1" displayFolder="" measureGroup="Measure Tooltip" count="0"/>
    <cacheHierarchy uniqueName="[Measures].[R-Sales$ Plan Color]" caption="R-Sales$ Plan Color" measure="1" displayFolder="" measureGroup="Measure Tooltip" count="0"/>
    <cacheHierarchy uniqueName="[Measures].[R-GM % TY Color]" caption="R-GM % TY Color" measure="1" displayFolder="" measureGroup="Measure Tooltip" count="0"/>
    <cacheHierarchy uniqueName="[Measures].[R-Budget$-Online-Store]" caption="R-Budget$-Online-Store" measure="1" displayFolder="" measureGroup="BI vw_BudgetOnlineByStore" count="0"/>
    <cacheHierarchy uniqueName="[Measures].[R-Budget-Online Store Y/N]" caption="R-Budget-Online Store Y/N" measure="1" displayFolder="" measureGroup="BI vw_BudgetOnlineByStore" count="0"/>
    <cacheHierarchy uniqueName="[Measures].[R-Budget Y/N]" caption="R-Budget Y/N" measure="1" displayFolder="" measureGroup="BI vw_BudgetOnlineByStore" count="0"/>
    <cacheHierarchy uniqueName="[Measures].[Product Dynamic Title]" caption="Product Dynamic Title" measure="1" displayFolder="" measureGroup="Product Parameter" count="0"/>
    <cacheHierarchy uniqueName="[Measures].[Budget Online]" caption="Budget Online" measure="1" displayFolder="" measureGroup="BI vw_BudgetDigital" count="0"/>
    <cacheHierarchy uniqueName="[Measures].[R-Budget Online TY]" caption="R-Budget Online TY" measure="1" displayFolder="" measureGroup="BI vw_BudgetDigital" count="0"/>
    <cacheHierarchy uniqueName="[Measures].[Store Trans Budget]" caption="Store Trans Budget" measure="1" displayFolder="" measureGroup="BI vw_BudgetByWeek" count="0"/>
    <cacheHierarchy uniqueName="[Measures].[R-Store Trans InStore Budget]" caption="R-Store Trans InStore Budget" measure="1" displayFolder="" measureGroup="BI vw_BudgetByWeek" count="0"/>
    <cacheHierarchy uniqueName="[Measures].[Traffic Budget]" caption="Traffic Budget" measure="1" displayFolder="" measureGroup="BI vw_BudgetByWeek" count="0"/>
    <cacheHierarchy uniqueName="[Measures].[R-Traffic InStore Budget]" caption="R-Traffic InStore Budget" measure="1" displayFolder="" measureGroup="BI vw_BudgetByWeek" count="0"/>
    <cacheHierarchy uniqueName="[Measures].[R-Conv Instore Budget]" caption="R-Conv Instore Budget" measure="1" displayFolder="" measureGroup="BI vw_BudgetByWeek" count="0"/>
    <cacheHierarchy uniqueName="[Measures].[R-Budget InStore]" caption="R-Budget InStore" measure="1" displayFolder="" measureGroup="BI vw_BudgetByWeek" count="0"/>
    <cacheHierarchy uniqueName="[Measures].[R-Traffic Budget Channel]" caption="R-Traffic Budget Channel" measure="1" displayFolder="" measureGroup="BI vw_BudgetByWeek" count="0"/>
    <cacheHierarchy uniqueName="[Measures].[R-Conv Budget Channel]" caption="R-Conv Budget Channel" measure="1" displayFolder="" measureGroup="BI vw_BudgetByWeek" count="0"/>
    <cacheHierarchy uniqueName="[Measures].[R-Store trans Budget Channel]" caption="R-Store trans Budget Channel" measure="1" displayFolder="" measureGroup="BI vw_BudgetByWeek" count="0"/>
    <cacheHierarchy uniqueName="[Measures].[R-ATV InStore Budget Cal]" caption="R-ATV InStore Budget Cal" measure="1" displayFolder="" measureGroup="BI vw_BudgetByWeek" count="0"/>
    <cacheHierarchy uniqueName="[Measures].[R-ATV Budget Channel]" caption="R-ATV Budget Channel" measure="1" displayFolder="" measureGroup="BI vw_BudgetByWeek" count="0"/>
    <cacheHierarchy uniqueName="[Measures].[R-GM Plan TY]" caption="R-GM Plan TY" measure="1" displayFolder="" measureGroup="Forecast" count="0"/>
    <cacheHierarchy uniqueName="[Measures].[R-GM vs Plan]" caption="R-GM vs Plan" measure="1" displayFolder="" measureGroup="Forecast" count="0"/>
    <cacheHierarchy uniqueName="[Measures].[R-GM %]" caption="R-GM %" measure="1" displayFolder="" measureGroup="Forecast" count="0"/>
    <cacheHierarchy uniqueName="[Measures].[R-Sales Plan TY]" caption="R-Sales Plan TY" measure="1" displayFolder="" measureGroup="Forecast" count="0"/>
    <cacheHierarchy uniqueName="[Measures].[R-GM Plan %]" caption="R-GM Plan %" measure="1" displayFolder="" measureGroup="Forecast" count="0"/>
    <cacheHierarchy uniqueName="[Measures].[R-Sales Plan TY-K]" caption="R-Sales Plan TY-K" measure="1" displayFolder="" measureGroup="Forecast" count="0"/>
    <cacheHierarchy uniqueName="[Measures].[__Default measure]" caption="__Default measure" measure="1" displayFolder="" count="0" hidden="1"/>
  </cacheHierarchies>
  <kpis count="0"/>
  <dimensions count="35">
    <dimension name="BI ForecastClass" uniqueName="[BI ForecastClass]" caption="BI ForecastClass"/>
    <dimension name="BI Item" uniqueName="[BI Item]" caption="BI Item"/>
    <dimension name="BI metrics" uniqueName="[BI metrics]" caption="BI metrics"/>
    <dimension name="BI Store" uniqueName="[BI Store]" caption="BI Store"/>
    <dimension name="BI Store State Sort" uniqueName="[BI Store State Sort]" caption="BI Store State Sort"/>
    <dimension name="BI vw_BudgetByItemCategory" uniqueName="[BI vw_BudgetByItemCategory]" caption="BI vw_BudgetByItemCategory"/>
    <dimension name="BI vw_BudgetByStore" uniqueName="[BI vw_BudgetByStore]" caption="BI vw_BudgetByStore"/>
    <dimension name="BI vw_BudgetByWeek" uniqueName="[BI vw_BudgetByWeek]" caption="BI vw_BudgetByWeek"/>
    <dimension name="BI vw_BudgetDigital" uniqueName="[BI vw_BudgetDigital]" caption="BI vw_BudgetDigital"/>
    <dimension name="BI vw_BudgetOnlineByStore" uniqueName="[BI vw_BudgetOnlineByStore]" caption="BI vw_BudgetOnlineByStore"/>
    <dimension name="BI vw_DropshipBudget" uniqueName="[BI vw_DropshipBudget]" caption="BI vw_DropshipBudget"/>
    <dimension name="BI vw_Items" uniqueName="[BI vw_Items]" caption="BI vw_Items"/>
    <dimension name="BI vw_WeeklyItemSales" uniqueName="[BI vw_WeeklyItemSales]" caption="BI vw_WeeklyItemSales"/>
    <dimension name="BI vw_WeeklyStoreATV" uniqueName="[BI vw_WeeklyStoreATV]" caption="BI vw_WeeklyStoreATV"/>
    <dimension name="BI vw_WeeklyStoreTraffic" uniqueName="[BI vw_WeeklyStoreTraffic]" caption="BI vw_WeeklyStoreTraffic"/>
    <dimension name="BI vw_WeeklyWrittenSalesMetrics" uniqueName="[BI vw_WeeklyWrittenSalesMetrics]" caption="BI vw_WeeklyWrittenSalesMetrics"/>
    <dimension name="Dim_Category" uniqueName="[Dim_Category]" caption="Dim_Category"/>
    <dimension name="dim_period" uniqueName="[dim_period]" caption="dim_period"/>
    <dimension name="ForcastByClass" uniqueName="[ForcastByClass]" caption="ForcastByClass"/>
    <dimension name="Forecast" uniqueName="[Forecast]" caption="Forecast"/>
    <dimension name="LocalDateTable_0d9eeced-3257-4609-8cfb-234f1d7c24d7" uniqueName="[LocalDateTable_0d9eeced-3257-4609-8cfb-234f1d7c24d7]" caption="LocalDateTable_0d9eeced-3257-4609-8cfb-234f1d7c24d7"/>
    <dimension name="LocalDateTable_3a17192d-ec7c-4dba-ac0e-bcf6b3a6a0ff" uniqueName="[LocalDateTable_3a17192d-ec7c-4dba-ac0e-bcf6b3a6a0ff]" caption="LocalDateTable_3a17192d-ec7c-4dba-ac0e-bcf6b3a6a0ff"/>
    <dimension name="LocalDateTable_3f117c71-2c04-4fa5-8c23-2b2c1ab14338" uniqueName="[LocalDateTable_3f117c71-2c04-4fa5-8c23-2b2c1ab14338]" caption="LocalDateTable_3f117c71-2c04-4fa5-8c23-2b2c1ab14338"/>
    <dimension name="LocalDateTable_66f09a5d-f864-46bc-a2f5-c0014bc05155" uniqueName="[LocalDateTable_66f09a5d-f864-46bc-a2f5-c0014bc05155]" caption="LocalDateTable_66f09a5d-f864-46bc-a2f5-c0014bc05155"/>
    <dimension name="LocalDateTable_754a5606-f042-4514-8c57-59f8f32672fc" uniqueName="[LocalDateTable_754a5606-f042-4514-8c57-59f8f32672fc]" caption="LocalDateTable_754a5606-f042-4514-8c57-59f8f32672fc"/>
    <dimension name="LocalDateTable_9b9a9699-5b52-40e9-b4a0-c11cb55a9d61" uniqueName="[LocalDateTable_9b9a9699-5b52-40e9-b4a0-c11cb55a9d61]" caption="LocalDateTable_9b9a9699-5b52-40e9-b4a0-c11cb55a9d61"/>
    <dimension name="LocalDateTable_a29de990-df00-42e6-9e8c-814d0b4b9a86" uniqueName="[LocalDateTable_a29de990-df00-42e6-9e8c-814d0b4b9a86]" caption="LocalDateTable_a29de990-df00-42e6-9e8c-814d0b4b9a86"/>
    <dimension name="LocalDateTable_e1d748f9-bc77-4c73-ba8d-fcf5ec29dd71" uniqueName="[LocalDateTable_e1d748f9-bc77-4c73-ba8d-fcf5ec29dd71]" caption="LocalDateTable_e1d748f9-bc77-4c73-ba8d-fcf5ec29dd71"/>
    <dimension name="Measure" uniqueName="[Measure]" caption="Measure"/>
    <dimension name="Measure Categories" uniqueName="[Measure Categories]" caption="Measure Categories"/>
    <dimension measure="1" name="Measures" uniqueName="[Measures]" caption="Measures"/>
    <dimension name="Product Parameter" uniqueName="[Product Parameter]" caption="Product Parameter"/>
    <dimension name="Query1" uniqueName="[Query1]" caption="Query1"/>
    <dimension name="Query2" uniqueName="[Query2]" caption="Query2"/>
    <dimension name="TimePeriodSort" uniqueName="[TimePeriodSort]" caption="TimePeriodSort"/>
  </dimensions>
  <measureGroups count="35">
    <measureGroup name="BI ForecastClass" caption="BI ForecastClass"/>
    <measureGroup name="BI Item" caption="BI Item"/>
    <measureGroup name="BI metrics" caption="BI metrics"/>
    <measureGroup name="BI Store" caption="BI Store"/>
    <measureGroup name="BI Store State Sort" caption="BI Store State Sort"/>
    <measureGroup name="BI vw_BudgetByItemCategory" caption="BI vw_BudgetByItemCategory"/>
    <measureGroup name="BI vw_BudgetByStore" caption="BI vw_BudgetByStore"/>
    <measureGroup name="BI vw_BudgetByWeek" caption="BI vw_BudgetByWeek"/>
    <measureGroup name="BI vw_BudgetDigital" caption="BI vw_BudgetDigital"/>
    <measureGroup name="BI vw_BudgetOnlineByStore" caption="BI vw_BudgetOnlineByStore"/>
    <measureGroup name="BI vw_DropshipBudget" caption="BI vw_DropshipBudget"/>
    <measureGroup name="BI vw_Items" caption="BI vw_Items"/>
    <measureGroup name="BI vw_WeeklyItemSales" caption="BI vw_WeeklyItemSales"/>
    <measureGroup name="BI vw_WeeklyStoreATV" caption="BI vw_WeeklyStoreATV"/>
    <measureGroup name="BI vw_WeeklyStoreTraffic" caption="BI vw_WeeklyStoreTraffic"/>
    <measureGroup name="BI vw_WeeklyWrittenSalesMetrics" caption="BI vw_WeeklyWrittenSalesMetrics"/>
    <measureGroup name="Dim_Category" caption="Dim_Category"/>
    <measureGroup name="dim_period" caption="dim_period"/>
    <measureGroup name="ForcastByClass" caption="ForcastByClass"/>
    <measureGroup name="Forecast" caption="Forecast"/>
    <measureGroup name="LocalDateTable_0d9eeced-3257-4609-8cfb-234f1d7c24d7" caption="LocalDateTable_0d9eeced-3257-4609-8cfb-234f1d7c24d7"/>
    <measureGroup name="LocalDateTable_3a17192d-ec7c-4dba-ac0e-bcf6b3a6a0ff" caption="LocalDateTable_3a17192d-ec7c-4dba-ac0e-bcf6b3a6a0ff"/>
    <measureGroup name="LocalDateTable_3f117c71-2c04-4fa5-8c23-2b2c1ab14338" caption="LocalDateTable_3f117c71-2c04-4fa5-8c23-2b2c1ab14338"/>
    <measureGroup name="LocalDateTable_66f09a5d-f864-46bc-a2f5-c0014bc05155" caption="LocalDateTable_66f09a5d-f864-46bc-a2f5-c0014bc05155"/>
    <measureGroup name="LocalDateTable_754a5606-f042-4514-8c57-59f8f32672fc" caption="LocalDateTable_754a5606-f042-4514-8c57-59f8f32672fc"/>
    <measureGroup name="LocalDateTable_9b9a9699-5b52-40e9-b4a0-c11cb55a9d61" caption="LocalDateTable_9b9a9699-5b52-40e9-b4a0-c11cb55a9d61"/>
    <measureGroup name="LocalDateTable_a29de990-df00-42e6-9e8c-814d0b4b9a86" caption="LocalDateTable_a29de990-df00-42e6-9e8c-814d0b4b9a86"/>
    <measureGroup name="LocalDateTable_e1d748f9-bc77-4c73-ba8d-fcf5ec29dd71" caption="LocalDateTable_e1d748f9-bc77-4c73-ba8d-fcf5ec29dd71"/>
    <measureGroup name="Measure" caption="Measure"/>
    <measureGroup name="Measure Categories" caption="Measure Categories"/>
    <measureGroup name="Measure Tooltip" caption="Measure Tooltip"/>
    <measureGroup name="Product Parameter" caption="Product Parameter"/>
    <measureGroup name="Query1" caption="Query1"/>
    <measureGroup name="Query2" caption="Query2"/>
    <measureGroup name="TimePeriodSort" caption="TimePeriodSort"/>
  </measureGroups>
  <maps count="41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2"/>
    <map measureGroup="0" dimension="13"/>
    <map measureGroup="0" dimension="14"/>
    <map measureGroup="0" dimension="15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34"/>
    <map measureGroup="1" dimension="1"/>
    <map measureGroup="1" dimension="23"/>
    <map measureGroup="1" dimension="25"/>
    <map measureGroup="2" dimension="2"/>
    <map measureGroup="2" dimension="20"/>
    <map measureGroup="2" dimension="24"/>
    <map measureGroup="2" dimension="27"/>
    <map measureGroup="2" dimension="34"/>
    <map measureGroup="3" dimension="0"/>
    <map measureGroup="3" dimension="1"/>
    <map measureGroup="3" dimension="2"/>
    <map measureGroup="3" dimension="3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2"/>
    <map measureGroup="3" dimension="13"/>
    <map measureGroup="3" dimension="14"/>
    <map measureGroup="3" dimension="15"/>
    <map measureGroup="3" dimension="17"/>
    <map measureGroup="3" dimension="18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8"/>
    <map measureGroup="3" dimension="34"/>
    <map measureGroup="4" dimension="4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2"/>
    <map measureGroup="5" dimension="13"/>
    <map measureGroup="5" dimension="14"/>
    <map measureGroup="5" dimension="15"/>
    <map measureGroup="5" dimension="17"/>
    <map measureGroup="5" dimension="18"/>
    <map measureGroup="5" dimension="19"/>
    <map measureGroup="5" dimension="20"/>
    <map measureGroup="5" dimension="21"/>
    <map measureGroup="5" dimension="22"/>
    <map measureGroup="5" dimension="23"/>
    <map measureGroup="5" dimension="24"/>
    <map measureGroup="5" dimension="25"/>
    <map measureGroup="5" dimension="27"/>
    <map measureGroup="5" dimension="28"/>
    <map measureGroup="5" dimension="34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  <map measureGroup="6" dimension="8"/>
    <map measureGroup="6" dimension="9"/>
    <map measureGroup="6" dimension="10"/>
    <map measureGroup="6" dimension="12"/>
    <map measureGroup="6" dimension="13"/>
    <map measureGroup="6" dimension="14"/>
    <map measureGroup="6" dimension="15"/>
    <map measureGroup="6" dimension="17"/>
    <map measureGroup="6" dimension="18"/>
    <map measureGroup="6" dimension="19"/>
    <map measureGroup="6" dimension="20"/>
    <map measureGroup="6" dimension="21"/>
    <map measureGroup="6" dimension="22"/>
    <map measureGroup="6" dimension="23"/>
    <map measureGroup="6" dimension="24"/>
    <map measureGroup="6" dimension="25"/>
    <map measureGroup="6" dimension="27"/>
    <map measureGroup="6" dimension="28"/>
    <map measureGroup="6" dimension="34"/>
    <map measureGroup="7" dimension="0"/>
    <map measureGroup="7" dimension="1"/>
    <map measureGroup="7" dimension="2"/>
    <map measureGroup="7" dimension="3"/>
    <map measureGroup="7" dimension="5"/>
    <map measureGroup="7" dimension="6"/>
    <map measureGroup="7" dimension="7"/>
    <map measureGroup="7" dimension="8"/>
    <map measureGroup="7" dimension="9"/>
    <map measureGroup="7" dimension="10"/>
    <map measureGroup="7" dimension="12"/>
    <map measureGroup="7" dimension="13"/>
    <map measureGroup="7" dimension="14"/>
    <map measureGroup="7" dimension="15"/>
    <map measureGroup="7" dimension="17"/>
    <map measureGroup="7" dimension="18"/>
    <map measureGroup="7" dimension="19"/>
    <map measureGroup="7" dimension="20"/>
    <map measureGroup="7" dimension="21"/>
    <map measureGroup="7" dimension="22"/>
    <map measureGroup="7" dimension="23"/>
    <map measureGroup="7" dimension="24"/>
    <map measureGroup="7" dimension="25"/>
    <map measureGroup="7" dimension="27"/>
    <map measureGroup="7" dimension="28"/>
    <map measureGroup="7" dimension="34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8" dimension="12"/>
    <map measureGroup="8" dimension="13"/>
    <map measureGroup="8" dimension="14"/>
    <map measureGroup="8" dimension="15"/>
    <map measureGroup="8" dimension="17"/>
    <map measureGroup="8" dimension="18"/>
    <map measureGroup="8" dimension="19"/>
    <map measureGroup="8" dimension="20"/>
    <map measureGroup="8" dimension="21"/>
    <map measureGroup="8" dimension="22"/>
    <map measureGroup="8" dimension="23"/>
    <map measureGroup="8" dimension="24"/>
    <map measureGroup="8" dimension="25"/>
    <map measureGroup="8" dimension="27"/>
    <map measureGroup="8" dimension="28"/>
    <map measureGroup="8" dimension="34"/>
    <map measureGroup="9" dimension="0"/>
    <map measureGroup="9" dimension="1"/>
    <map measureGroup="9" dimension="2"/>
    <map measureGroup="9" dimension="3"/>
    <map measureGroup="9" dimension="5"/>
    <map measureGroup="9" dimension="6"/>
    <map measureGroup="9" dimension="7"/>
    <map measureGroup="9" dimension="8"/>
    <map measureGroup="9" dimension="9"/>
    <map measureGroup="9" dimension="10"/>
    <map measureGroup="9" dimension="12"/>
    <map measureGroup="9" dimension="13"/>
    <map measureGroup="9" dimension="14"/>
    <map measureGroup="9" dimension="15"/>
    <map measureGroup="9" dimension="17"/>
    <map measureGroup="9" dimension="18"/>
    <map measureGroup="9" dimension="19"/>
    <map measureGroup="9" dimension="20"/>
    <map measureGroup="9" dimension="21"/>
    <map measureGroup="9" dimension="22"/>
    <map measureGroup="9" dimension="23"/>
    <map measureGroup="9" dimension="24"/>
    <map measureGroup="9" dimension="25"/>
    <map measureGroup="9" dimension="27"/>
    <map measureGroup="9" dimension="28"/>
    <map measureGroup="9" dimension="34"/>
    <map measureGroup="10" dimension="0"/>
    <map measureGroup="10" dimension="1"/>
    <map measureGroup="10" dimension="2"/>
    <map measureGroup="10" dimension="3"/>
    <map measureGroup="10" dimension="5"/>
    <map measureGroup="10" dimension="6"/>
    <map measureGroup="10" dimension="7"/>
    <map measureGroup="10" dimension="8"/>
    <map measureGroup="10" dimension="9"/>
    <map measureGroup="10" dimension="10"/>
    <map measureGroup="10" dimension="12"/>
    <map measureGroup="10" dimension="13"/>
    <map measureGroup="10" dimension="14"/>
    <map measureGroup="10" dimension="15"/>
    <map measureGroup="10" dimension="17"/>
    <map measureGroup="10" dimension="18"/>
    <map measureGroup="10" dimension="19"/>
    <map measureGroup="10" dimension="20"/>
    <map measureGroup="10" dimension="21"/>
    <map measureGroup="10" dimension="22"/>
    <map measureGroup="10" dimension="23"/>
    <map measureGroup="10" dimension="24"/>
    <map measureGroup="10" dimension="25"/>
    <map measureGroup="10" dimension="27"/>
    <map measureGroup="10" dimension="28"/>
    <map measureGroup="10" dimension="34"/>
    <map measureGroup="11" dimension="11"/>
    <map measureGroup="12" dimension="0"/>
    <map measureGroup="12" dimension="1"/>
    <map measureGroup="12" dimension="2"/>
    <map measureGroup="12" dimension="3"/>
    <map measureGroup="12" dimension="5"/>
    <map measureGroup="12" dimension="6"/>
    <map measureGroup="12" dimension="7"/>
    <map measureGroup="12" dimension="8"/>
    <map measureGroup="12" dimension="9"/>
    <map measureGroup="12" dimension="10"/>
    <map measureGroup="12" dimension="12"/>
    <map measureGroup="12" dimension="13"/>
    <map measureGroup="12" dimension="14"/>
    <map measureGroup="12" dimension="15"/>
    <map measureGroup="12" dimension="17"/>
    <map measureGroup="12" dimension="18"/>
    <map measureGroup="12" dimension="19"/>
    <map measureGroup="12" dimension="20"/>
    <map measureGroup="12" dimension="21"/>
    <map measureGroup="12" dimension="22"/>
    <map measureGroup="12" dimension="23"/>
    <map measureGroup="12" dimension="24"/>
    <map measureGroup="12" dimension="25"/>
    <map measureGroup="12" dimension="27"/>
    <map measureGroup="12" dimension="28"/>
    <map measureGroup="12" dimension="34"/>
    <map measureGroup="13" dimension="0"/>
    <map measureGroup="13" dimension="1"/>
    <map measureGroup="13" dimension="2"/>
    <map measureGroup="13" dimension="3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2"/>
    <map measureGroup="13" dimension="13"/>
    <map measureGroup="13" dimension="14"/>
    <map measureGroup="13" dimension="15"/>
    <map measureGroup="13" dimension="17"/>
    <map measureGroup="13" dimension="18"/>
    <map measureGroup="13" dimension="19"/>
    <map measureGroup="13" dimension="20"/>
    <map measureGroup="13" dimension="21"/>
    <map measureGroup="13" dimension="22"/>
    <map measureGroup="13" dimension="23"/>
    <map measureGroup="13" dimension="24"/>
    <map measureGroup="13" dimension="25"/>
    <map measureGroup="13" dimension="27"/>
    <map measureGroup="13" dimension="28"/>
    <map measureGroup="13" dimension="34"/>
    <map measureGroup="14" dimension="0"/>
    <map measureGroup="14" dimension="1"/>
    <map measureGroup="14" dimension="2"/>
    <map measureGroup="14" dimension="3"/>
    <map measureGroup="14" dimension="5"/>
    <map measureGroup="14" dimension="6"/>
    <map measureGroup="14" dimension="7"/>
    <map measureGroup="14" dimension="8"/>
    <map measureGroup="14" dimension="9"/>
    <map measureGroup="14" dimension="10"/>
    <map measureGroup="14" dimension="12"/>
    <map measureGroup="14" dimension="13"/>
    <map measureGroup="14" dimension="14"/>
    <map measureGroup="14" dimension="15"/>
    <map measureGroup="14" dimension="17"/>
    <map measureGroup="14" dimension="18"/>
    <map measureGroup="14" dimension="19"/>
    <map measureGroup="14" dimension="20"/>
    <map measureGroup="14" dimension="21"/>
    <map measureGroup="14" dimension="22"/>
    <map measureGroup="14" dimension="23"/>
    <map measureGroup="14" dimension="24"/>
    <map measureGroup="14" dimension="25"/>
    <map measureGroup="14" dimension="27"/>
    <map measureGroup="14" dimension="28"/>
    <map measureGroup="14" dimension="34"/>
    <map measureGroup="15" dimension="0"/>
    <map measureGroup="15" dimension="1"/>
    <map measureGroup="15" dimension="2"/>
    <map measureGroup="15" dimension="3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2"/>
    <map measureGroup="15" dimension="13"/>
    <map measureGroup="15" dimension="14"/>
    <map measureGroup="15" dimension="15"/>
    <map measureGroup="15" dimension="17"/>
    <map measureGroup="15" dimension="18"/>
    <map measureGroup="15" dimension="19"/>
    <map measureGroup="15" dimension="20"/>
    <map measureGroup="15" dimension="21"/>
    <map measureGroup="15" dimension="22"/>
    <map measureGroup="15" dimension="23"/>
    <map measureGroup="15" dimension="24"/>
    <map measureGroup="15" dimension="25"/>
    <map measureGroup="15" dimension="27"/>
    <map measureGroup="15" dimension="28"/>
    <map measureGroup="15" dimension="34"/>
    <map measureGroup="16" dimension="16"/>
    <map measureGroup="17" dimension="17"/>
    <map measureGroup="17" dimension="21"/>
    <map measureGroup="17" dimension="22"/>
    <map measureGroup="18" dimension="0"/>
    <map measureGroup="18" dimension="1"/>
    <map measureGroup="18" dimension="2"/>
    <map measureGroup="18" dimension="3"/>
    <map measureGroup="18" dimension="5"/>
    <map measureGroup="18" dimension="6"/>
    <map measureGroup="18" dimension="7"/>
    <map measureGroup="18" dimension="8"/>
    <map measureGroup="18" dimension="9"/>
    <map measureGroup="18" dimension="10"/>
    <map measureGroup="18" dimension="12"/>
    <map measureGroup="18" dimension="13"/>
    <map measureGroup="18" dimension="14"/>
    <map measureGroup="18" dimension="15"/>
    <map measureGroup="18" dimension="17"/>
    <map measureGroup="18" dimension="18"/>
    <map measureGroup="18" dimension="19"/>
    <map measureGroup="18" dimension="20"/>
    <map measureGroup="18" dimension="21"/>
    <map measureGroup="18" dimension="22"/>
    <map measureGroup="18" dimension="23"/>
    <map measureGroup="18" dimension="24"/>
    <map measureGroup="18" dimension="25"/>
    <map measureGroup="18" dimension="27"/>
    <map measureGroup="18" dimension="28"/>
    <map measureGroup="18" dimension="34"/>
    <map measureGroup="19" dimension="0"/>
    <map measureGroup="19" dimension="1"/>
    <map measureGroup="19" dimension="2"/>
    <map measureGroup="19" dimension="3"/>
    <map measureGroup="19" dimension="5"/>
    <map measureGroup="19" dimension="6"/>
    <map measureGroup="19" dimension="7"/>
    <map measureGroup="19" dimension="8"/>
    <map measureGroup="19" dimension="9"/>
    <map measureGroup="19" dimension="10"/>
    <map measureGroup="19" dimension="12"/>
    <map measureGroup="19" dimension="13"/>
    <map measureGroup="19" dimension="14"/>
    <map measureGroup="19" dimension="15"/>
    <map measureGroup="19" dimension="17"/>
    <map measureGroup="19" dimension="18"/>
    <map measureGroup="19" dimension="19"/>
    <map measureGroup="19" dimension="20"/>
    <map measureGroup="19" dimension="21"/>
    <map measureGroup="19" dimension="22"/>
    <map measureGroup="19" dimension="23"/>
    <map measureGroup="19" dimension="24"/>
    <map measureGroup="19" dimension="25"/>
    <map measureGroup="19" dimension="27"/>
    <map measureGroup="19" dimension="28"/>
    <map measureGroup="19" dimension="34"/>
    <map measureGroup="20" dimension="20"/>
    <map measureGroup="21" dimension="21"/>
    <map measureGroup="22" dimension="22"/>
    <map measureGroup="23" dimension="23"/>
    <map measureGroup="24" dimension="24"/>
    <map measureGroup="25" dimension="25"/>
    <map measureGroup="26" dimension="26"/>
    <map measureGroup="27" dimension="27"/>
    <map measureGroup="28" dimension="0"/>
    <map measureGroup="28" dimension="1"/>
    <map measureGroup="28" dimension="2"/>
    <map measureGroup="28" dimension="3"/>
    <map measureGroup="28" dimension="5"/>
    <map measureGroup="28" dimension="6"/>
    <map measureGroup="28" dimension="7"/>
    <map measureGroup="28" dimension="8"/>
    <map measureGroup="28" dimension="9"/>
    <map measureGroup="28" dimension="10"/>
    <map measureGroup="28" dimension="12"/>
    <map measureGroup="28" dimension="13"/>
    <map measureGroup="28" dimension="14"/>
    <map measureGroup="28" dimension="15"/>
    <map measureGroup="28" dimension="17"/>
    <map measureGroup="28" dimension="18"/>
    <map measureGroup="28" dimension="19"/>
    <map measureGroup="28" dimension="20"/>
    <map measureGroup="28" dimension="21"/>
    <map measureGroup="28" dimension="22"/>
    <map measureGroup="28" dimension="23"/>
    <map measureGroup="28" dimension="24"/>
    <map measureGroup="28" dimension="25"/>
    <map measureGroup="28" dimension="27"/>
    <map measureGroup="28" dimension="28"/>
    <map measureGroup="28" dimension="34"/>
    <map measureGroup="29" dimension="29"/>
    <map measureGroup="31" dimension="31"/>
    <map measureGroup="32" dimension="26"/>
    <map measureGroup="32" dimension="32"/>
    <map measureGroup="33" dimension="33"/>
    <map measureGroup="34" dimension="3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5.591451736109" backgroundQuery="1" createdVersion="8" refreshedVersion="8" minRefreshableVersion="3" recordCount="0" supportSubquery="1" supportAdvancedDrill="1" xr:uid="{FC08096B-37F6-4D40-B0D8-C24DA4926718}">
  <cacheSource type="external" connectionId="2"/>
  <cacheFields count="14">
    <cacheField name="[BI metrics].[Fin_Period].[Fin_Period]" caption="Fin_Period" numFmtId="0" hierarchy="44" level="1">
      <sharedItems count="208">
        <s v="[BI metrics].[Fin_Period].&amp;[202401]" c="202401"/>
        <s v="[BI metrics].[Fin_Period].&amp;[202402]" c="202402"/>
        <s v="[BI metrics].[Fin_Period].&amp;[202403]" c="202403"/>
        <s v="[BI metrics].[Fin_Period].&amp;[202404]" c="202404"/>
        <s v="[BI metrics].[Fin_Period].&amp;[202405]" c="202405"/>
        <s v="[BI metrics].[Fin_Period].&amp;[202406]" c="202406"/>
        <s v="[BI metrics].[Fin_Period].&amp;[202407]" c="202407"/>
        <s v="[BI metrics].[Fin_Period].&amp;[202408]" c="202408"/>
        <s v="[BI metrics].[Fin_Period].&amp;[202409]" c="202409"/>
        <s v="[BI metrics].[Fin_Period].&amp;[202410]" c="202410"/>
        <s v="[BI metrics].[Fin_Period].&amp;[202411]" c="202411"/>
        <s v="[BI metrics].[Fin_Period].&amp;[202412]" c="202412"/>
        <s v="[BI metrics].[Fin_Period].&amp;[202413]" c="202413"/>
        <s v="[BI metrics].[Fin_Period].&amp;[202414]" c="202414"/>
        <s v="[BI metrics].[Fin_Period].&amp;[202415]" c="202415"/>
        <s v="[BI metrics].[Fin_Period].&amp;[202416]" c="202416"/>
        <s v="[BI metrics].[Fin_Period].&amp;[202417]" c="202417"/>
        <s v="[BI metrics].[Fin_Period].&amp;[202418]" c="202418"/>
        <s v="[BI metrics].[Fin_Period].&amp;[202419]" c="202419"/>
        <s v="[BI metrics].[Fin_Period].&amp;[202420]" c="202420"/>
        <s v="[BI metrics].[Fin_Period].&amp;[202421]" c="202421"/>
        <s v="[BI metrics].[Fin_Period].&amp;[202422]" c="202422"/>
        <s v="[BI metrics].[Fin_Period].&amp;[202423]" c="202423"/>
        <s v="[BI metrics].[Fin_Period].&amp;[202424]" c="202424"/>
        <s v="[BI metrics].[Fin_Period].&amp;[202425]" c="202425"/>
        <s v="[BI metrics].[Fin_Period].&amp;[202426]" c="202426"/>
        <s v="[BI metrics].[Fin_Period].&amp;[202427]" c="202427"/>
        <s v="[BI metrics].[Fin_Period].&amp;[202428]" c="202428"/>
        <s v="[BI metrics].[Fin_Period].&amp;[202429]" c="202429"/>
        <s v="[BI metrics].[Fin_Period].&amp;[202430]" c="202430"/>
        <s v="[BI metrics].[Fin_Period].&amp;[202431]" c="202431"/>
        <s v="[BI metrics].[Fin_Period].&amp;[202432]" c="202432"/>
        <s v="[BI metrics].[Fin_Period].&amp;[202433]" c="202433"/>
        <s v="[BI metrics].[Fin_Period].&amp;[202434]" c="202434"/>
        <s v="[BI metrics].[Fin_Period].&amp;[202435]" c="202435"/>
        <s v="[BI metrics].[Fin_Period].&amp;[202436]" c="202436"/>
        <s v="[BI metrics].[Fin_Period].&amp;[202437]" c="202437"/>
        <s v="[BI metrics].[Fin_Period].&amp;[202438]" c="202438"/>
        <s v="[BI metrics].[Fin_Period].&amp;[202439]" c="202439"/>
        <s v="[BI metrics].[Fin_Period].&amp;[202440]" c="202440"/>
        <s v="[BI metrics].[Fin_Period].&amp;[202441]" c="202441"/>
        <s v="[BI metrics].[Fin_Period].&amp;[202442]" c="202442"/>
        <s v="[BI metrics].[Fin_Period].&amp;[202443]" c="202443"/>
        <s v="[BI metrics].[Fin_Period].&amp;[202444]" c="202444"/>
        <s v="[BI metrics].[Fin_Period].&amp;[202445]" c="202445"/>
        <s v="[BI metrics].[Fin_Period].&amp;[202446]" c="202446"/>
        <s v="[BI metrics].[Fin_Period].&amp;[202447]" c="202447"/>
        <s v="[BI metrics].[Fin_Period].&amp;[202448]" c="202448"/>
        <s v="[BI metrics].[Fin_Period].&amp;[202449]" c="202449"/>
        <s v="[BI metrics].[Fin_Period].&amp;[202450]" c="202450"/>
        <s v="[BI metrics].[Fin_Period].&amp;[202451]" c="202451"/>
        <s v="[BI metrics].[Fin_Period].&amp;[202452]" c="202452"/>
        <s v="[BI metrics].[Fin_Period].&amp;[202501]" c="202501"/>
        <s v="[BI metrics].[Fin_Period].&amp;[202502]" c="202502"/>
        <s v="[BI metrics].[Fin_Period].&amp;[202503]" c="202503"/>
        <s v="[BI metrics].[Fin_Period].&amp;[202504]" c="202504"/>
        <s v="[BI metrics].[Fin_Period].&amp;[202505]" c="202505"/>
        <s v="[BI metrics].[Fin_Period].&amp;[202506]" c="202506"/>
        <s v="[BI metrics].[Fin_Period].&amp;[202507]" c="202507"/>
        <s v="[BI metrics].[Fin_Period].&amp;[202508]" c="202508"/>
        <s v="[BI metrics].[Fin_Period].&amp;[202509]" c="202509"/>
        <s v="[BI metrics].[Fin_Period].&amp;[202510]" c="202510"/>
        <s v="[BI metrics].[Fin_Period].&amp;[202511]" c="202511"/>
        <s v="[BI metrics].[Fin_Period].&amp;[202512]" c="202512"/>
        <s v="[BI metrics].[Fin_Period].&amp;[202513]" c="202513"/>
        <s v="[BI metrics].[Fin_Period].&amp;[202514]" c="202514"/>
        <s v="[BI metrics].[Fin_Period].&amp;[202515]" c="202515"/>
        <s v="[BI metrics].[Fin_Period].&amp;[202516]" c="202516"/>
        <s v="[BI metrics].[Fin_Period].&amp;[202517]" c="202517"/>
        <s v="[BI metrics].[Fin_Period].&amp;[202518]" c="202518"/>
        <s v="[BI metrics].[Fin_Period].&amp;[202519]" c="202519"/>
        <s v="[BI metrics].[Fin_Period].&amp;[202520]" c="202520"/>
        <s v="[BI metrics].[Fin_Period].&amp;[202521]" c="202521"/>
        <s v="[BI metrics].[Fin_Period].&amp;[202522]" c="202522"/>
        <s v="[BI metrics].[Fin_Period].&amp;[202523]" c="202523"/>
        <s v="[BI metrics].[Fin_Period].&amp;[202524]" c="202524"/>
        <s v="[BI metrics].[Fin_Period].&amp;[202525]" c="202525"/>
        <s v="[BI metrics].[Fin_Period].&amp;[202526]" c="202526"/>
        <s v="[BI metrics].[Fin_Period].&amp;[202527]" c="202527"/>
        <s v="[BI metrics].[Fin_Period].&amp;[202528]" c="202528"/>
        <s v="[BI metrics].[Fin_Period].&amp;[202529]" c="202529"/>
        <s v="[BI metrics].[Fin_Period].&amp;[202530]" c="202530"/>
        <s v="[BI metrics].[Fin_Period].&amp;[202531]" c="202531"/>
        <s v="[BI metrics].[Fin_Period].&amp;[202532]" c="202532"/>
        <s v="[BI metrics].[Fin_Period].&amp;[202533]" c="202533"/>
        <s v="[BI metrics].[Fin_Period].&amp;[202534]" c="202534"/>
        <s v="[BI metrics].[Fin_Period].&amp;[202535]" c="202535"/>
        <s v="[BI metrics].[Fin_Period].&amp;[202536]" c="202536"/>
        <s v="[BI metrics].[Fin_Period].&amp;[202537]" c="202537"/>
        <s v="[BI metrics].[Fin_Period].&amp;[202538]" c="202538"/>
        <s v="[BI metrics].[Fin_Period].&amp;[202539]" c="202539"/>
        <s v="[BI metrics].[Fin_Period].&amp;[202540]" c="202540"/>
        <s v="[BI metrics].[Fin_Period].&amp;[202541]" c="202541"/>
        <s v="[BI metrics].[Fin_Period].&amp;[202542]" c="202542"/>
        <s v="[BI metrics].[Fin_Period].&amp;[202543]" c="202543"/>
        <s v="[BI metrics].[Fin_Period].&amp;[202544]" c="202544"/>
        <s v="[BI metrics].[Fin_Period].&amp;[202545]" c="202545"/>
        <s v="[BI metrics].[Fin_Period].&amp;[202546]" c="202546"/>
        <s v="[BI metrics].[Fin_Period].&amp;[202547]" c="202547"/>
        <s v="[BI metrics].[Fin_Period].&amp;[202548]" c="202548"/>
        <s v="[BI metrics].[Fin_Period].&amp;[202549]" c="202549"/>
        <s v="[BI metrics].[Fin_Period].&amp;[202550]" c="202550"/>
        <s v="[BI metrics].[Fin_Period].&amp;[202551]" c="202551"/>
        <s v="[BI metrics].[Fin_Period].&amp;[202552]" c="202552"/>
        <s v="[BI metrics].[Fin_Period].&amp;[202601]" c="202601"/>
        <s v="[BI metrics].[Fin_Period].&amp;[202602]" c="202602"/>
        <s v="[BI metrics].[Fin_Period].&amp;[202603]" c="202603"/>
        <s v="[BI metrics].[Fin_Period].&amp;[202604]" c="202604"/>
        <s v="[BI metrics].[Fin_Period].&amp;[202605]" c="202605"/>
        <s v="[BI metrics].[Fin_Period].&amp;[202606]" c="202606"/>
        <s v="[BI metrics].[Fin_Period].&amp;[202607]" c="202607"/>
        <s v="[BI metrics].[Fin_Period].&amp;[202608]" c="202608"/>
        <s v="[BI metrics].[Fin_Period].&amp;[202609]" c="202609"/>
        <s v="[BI metrics].[Fin_Period].&amp;[202610]" c="202610"/>
        <s v="[BI metrics].[Fin_Period].&amp;[202611]" c="202611"/>
        <s v="[BI metrics].[Fin_Period].&amp;[202612]" c="202612"/>
        <s v="[BI metrics].[Fin_Period].&amp;[202613]" c="202613"/>
        <s v="[BI metrics].[Fin_Period].&amp;[202614]" c="202614"/>
        <s v="[BI metrics].[Fin_Period].&amp;[202615]" c="202615"/>
        <s v="[BI metrics].[Fin_Period].&amp;[202616]" c="202616"/>
        <s v="[BI metrics].[Fin_Period].&amp;[202617]" c="202617"/>
        <s v="[BI metrics].[Fin_Period].&amp;[202618]" c="202618"/>
        <s v="[BI metrics].[Fin_Period].&amp;[202619]" c="202619"/>
        <s v="[BI metrics].[Fin_Period].&amp;[202620]" c="202620"/>
        <s v="[BI metrics].[Fin_Period].&amp;[202621]" c="202621"/>
        <s v="[BI metrics].[Fin_Period].&amp;[202622]" c="202622"/>
        <s v="[BI metrics].[Fin_Period].&amp;[202623]" c="202623"/>
        <s v="[BI metrics].[Fin_Period].&amp;[202624]" c="202624"/>
        <s v="[BI metrics].[Fin_Period].&amp;[202625]" c="202625"/>
        <s v="[BI metrics].[Fin_Period].&amp;[202626]" c="202626"/>
        <s v="[BI metrics].[Fin_Period].&amp;[202627]" c="202627"/>
        <s v="[BI metrics].[Fin_Period].&amp;[202628]" c="202628"/>
        <s v="[BI metrics].[Fin_Period].&amp;[202629]" c="202629"/>
        <s v="[BI metrics].[Fin_Period].&amp;[202630]" c="202630"/>
        <s v="[BI metrics].[Fin_Period].&amp;[202631]" c="202631"/>
        <s v="[BI metrics].[Fin_Period].&amp;[202632]" c="202632"/>
        <s v="[BI metrics].[Fin_Period].&amp;[202633]" c="202633"/>
        <s v="[BI metrics].[Fin_Period].&amp;[202634]" c="202634"/>
        <s v="[BI metrics].[Fin_Period].&amp;[202635]" c="202635"/>
        <s v="[BI metrics].[Fin_Period].&amp;[202636]" c="202636"/>
        <s v="[BI metrics].[Fin_Period].&amp;[202637]" c="202637"/>
        <s v="[BI metrics].[Fin_Period].&amp;[202638]" c="202638"/>
        <s v="[BI metrics].[Fin_Period].&amp;[202639]" c="202639"/>
        <s v="[BI metrics].[Fin_Period].&amp;[202640]" c="202640"/>
        <s v="[BI metrics].[Fin_Period].&amp;[202641]" c="202641"/>
        <s v="[BI metrics].[Fin_Period].&amp;[202642]" c="202642"/>
        <s v="[BI metrics].[Fin_Period].&amp;[202643]" c="202643"/>
        <s v="[BI metrics].[Fin_Period].&amp;[202644]" c="202644"/>
        <s v="[BI metrics].[Fin_Period].&amp;[202645]" c="202645"/>
        <s v="[BI metrics].[Fin_Period].&amp;[202646]" c="202646"/>
        <s v="[BI metrics].[Fin_Period].&amp;[202647]" c="202647"/>
        <s v="[BI metrics].[Fin_Period].&amp;[202648]" c="202648"/>
        <s v="[BI metrics].[Fin_Period].&amp;[202649]" c="202649"/>
        <s v="[BI metrics].[Fin_Period].&amp;[202650]" c="202650"/>
        <s v="[BI metrics].[Fin_Period].&amp;[202651]" c="202651"/>
        <s v="[BI metrics].[Fin_Period].&amp;[202652]" c="202652"/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  <s v="[BI metrics].[Fin_Period].&amp;[202708]" c="202708"/>
        <s v="[BI metrics].[Fin_Period].&amp;[202709]" c="202709"/>
        <s v="[BI metrics].[Fin_Period].&amp;[202710]" c="202710"/>
        <s v="[BI metrics].[Fin_Period].&amp;[202711]" c="202711"/>
        <s v="[BI metrics].[Fin_Period].&amp;[202712]" c="202712"/>
        <s v="[BI metrics].[Fin_Period].&amp;[202713]" c="202713"/>
        <s v="[BI metrics].[Fin_Period].&amp;[202714]" c="202714"/>
        <s v="[BI metrics].[Fin_Period].&amp;[202715]" c="202715"/>
        <s v="[BI metrics].[Fin_Period].&amp;[202716]" c="202716"/>
        <s v="[BI metrics].[Fin_Period].&amp;[202717]" c="202717"/>
        <s v="[BI metrics].[Fin_Period].&amp;[202718]" c="202718"/>
        <s v="[BI metrics].[Fin_Period].&amp;[202719]" c="202719"/>
        <s v="[BI metrics].[Fin_Period].&amp;[202720]" c="202720"/>
        <s v="[BI metrics].[Fin_Period].&amp;[202721]" c="202721"/>
        <s v="[BI metrics].[Fin_Period].&amp;[202722]" c="202722"/>
        <s v="[BI metrics].[Fin_Period].&amp;[202723]" c="202723"/>
        <s v="[BI metrics].[Fin_Period].&amp;[202724]" c="202724"/>
        <s v="[BI metrics].[Fin_Period].&amp;[202725]" c="202725"/>
        <s v="[BI metrics].[Fin_Period].&amp;[202726]" c="202726"/>
        <s v="[BI metrics].[Fin_Period].&amp;[202727]" c="202727"/>
        <s v="[BI metrics].[Fin_Period].&amp;[202728]" c="202728"/>
        <s v="[BI metrics].[Fin_Period].&amp;[202729]" c="202729"/>
        <s v="[BI metrics].[Fin_Period].&amp;[202730]" c="202730"/>
        <s v="[BI metrics].[Fin_Period].&amp;[202731]" c="202731"/>
        <s v="[BI metrics].[Fin_Period].&amp;[202732]" c="202732"/>
        <s v="[BI metrics].[Fin_Period].&amp;[202733]" c="202733"/>
        <s v="[BI metrics].[Fin_Period].&amp;[202734]" c="202734"/>
        <s v="[BI metrics].[Fin_Period].&amp;[202735]" c="202735"/>
        <s v="[BI metrics].[Fin_Period].&amp;[202736]" c="202736"/>
        <s v="[BI metrics].[Fin_Period].&amp;[202737]" c="202737"/>
        <s v="[BI metrics].[Fin_Period].&amp;[202738]" c="202738"/>
        <s v="[BI metrics].[Fin_Period].&amp;[202739]" c="202739"/>
        <s v="[BI metrics].[Fin_Period].&amp;[202740]" c="202740"/>
        <s v="[BI metrics].[Fin_Period].&amp;[202741]" c="202741"/>
        <s v="[BI metrics].[Fin_Period].&amp;[202742]" c="202742"/>
        <s v="[BI metrics].[Fin_Period].&amp;[202743]" c="202743"/>
        <s v="[BI metrics].[Fin_Period].&amp;[202744]" c="202744"/>
        <s v="[BI metrics].[Fin_Period].&amp;[202745]" c="202745"/>
        <s v="[BI metrics].[Fin_Period].&amp;[202746]" c="202746"/>
        <s v="[BI metrics].[Fin_Period].&amp;[202747]" c="202747"/>
        <s v="[BI metrics].[Fin_Period].&amp;[202748]" c="202748"/>
        <s v="[BI metrics].[Fin_Period].&amp;[202749]" c="202749"/>
        <s v="[BI metrics].[Fin_Period].&amp;[202750]" c="202750"/>
        <s v="[BI metrics].[Fin_Period].&amp;[202751]" c="202751"/>
        <s v="[BI metrics].[Fin_Period].&amp;[202752]" c="202752"/>
      </sharedItems>
    </cacheField>
    <cacheField name="[BI metrics].[TimePeriod].[TimePeriod]" caption="TimePeriod" numFmtId="0" hierarchy="60" level="1">
      <sharedItems containsSemiMixedTypes="0" containsString="0"/>
    </cacheField>
    <cacheField name="[BI Item].[Item_Country].[Item_Country]" caption="Item_Country" numFmtId="0" hierarchy="22" level="1">
      <sharedItems containsSemiMixedTypes="0" containsString="0"/>
    </cacheField>
    <cacheField name="[BI Item].[Division].[Division]" caption="Division" numFmtId="0" hierarchy="17" level="1">
      <sharedItems containsSemiMixedTypes="0" containsString="0"/>
    </cacheField>
    <cacheField name="[BI Store].[Branch_Type].[Branch_Type]" caption="Branch_Type" numFmtId="0" hierarchy="69" level="1">
      <sharedItems containsSemiMixedTypes="0" containsString="0"/>
    </cacheField>
    <cacheField name="[BI Store].[Store_Country].[Store_Country]" caption="Store_Country" numFmtId="0" hierarchy="75" level="1">
      <sharedItems containsSemiMixedTypes="0" containsString="0"/>
    </cacheField>
    <cacheField name="[BI vw_BudgetByItemCategory].[Country].[Country]" caption="Country" numFmtId="0" hierarchy="92" level="1">
      <sharedItems containsSemiMixedTypes="0" containsString="0"/>
    </cacheField>
    <cacheField name="[TimePeriodSort].[TimePeriod].[TimePeriod]" caption="TimePeriod" numFmtId="0" hierarchy="284" level="1">
      <sharedItems containsSemiMixedTypes="0" containsString="0"/>
    </cacheField>
    <cacheField name="[BI vw_WeeklyWrittenSalesMetrics].[Branch_Type].[Branch_Type]" caption="Branch_Type" numFmtId="0" hierarchy="199" level="1">
      <sharedItems containsSemiMixedTypes="0" containsString="0"/>
    </cacheField>
    <cacheField name="[BI vw_WeeklyWrittenSalesMetrics].[Division].[Division]" caption="Division" numFmtId="0" hierarchy="209" level="1">
      <sharedItems count="2">
        <s v="[BI vw_WeeklyWrittenSalesMetrics].[Division].&amp;[Furniture]" c="Furniture"/>
        <s v="[BI vw_WeeklyWrittenSalesMetrics].[Division].&amp;[Homewares]" c="Homewares"/>
      </sharedItems>
    </cacheField>
    <cacheField name="[BI vw_WeeklyWrittenSalesMetrics].[Country].[Country]" caption="Country" numFmtId="0" hierarchy="207" level="1">
      <sharedItems count="2">
        <s v="[BI vw_WeeklyWrittenSalesMetrics].[Country].&amp;[AU]" c="AU"/>
        <s v="[BI vw_WeeklyWrittenSalesMetrics].[Country].&amp;[NZ]" c="NZ"/>
      </sharedItems>
    </cacheField>
    <cacheField name="[Measures].[R-Sales TY $]" caption="R-Sales TY $" numFmtId="0" hierarchy="350" level="32767"/>
    <cacheField name="[BI vw_WeeklyWrittenSalesMetrics].[Channel].[Channel]" caption="Channel" numFmtId="0" hierarchy="205" level="1">
      <sharedItems count="3">
        <s v="[BI vw_WeeklyWrittenSalesMetrics].[Channel].&amp;[Dropship]" c="Dropship"/>
        <s v="[BI vw_WeeklyWrittenSalesMetrics].[Channel].&amp;[In Store]" c="In Store"/>
        <s v="[BI vw_WeeklyWrittenSalesMetrics].[Channel].&amp;[Online]" c="Online"/>
      </sharedItems>
    </cacheField>
    <cacheField name="[BI Store].[Store_Name].[Store_Name]" caption="Store_Name" numFmtId="0" hierarchy="76" level="1">
      <sharedItems count="41">
        <s v="[BI Store].[Store_Name].&amp;[ACT Fyshwick]" c="ACT Fyshwick"/>
        <s v="[BI Store].[Store_Name].&amp;[NSW Albury]" c="NSW Albury"/>
        <s v="[BI Store].[Store_Name].&amp;[NSW Alexandria]" c="NSW Alexandria"/>
        <s v="[BI Store].[Store_Name].&amp;[NSW Artarmon]" c="NSW Artarmon"/>
        <s v="[BI Store].[Store_Name].&amp;[NSW Auburn]" c="NSW Auburn"/>
        <s v="[BI Store].[Store_Name].&amp;[NSW Balgowlah]" c="NSW Balgowlah"/>
        <s v="[BI Store].[Store_Name].&amp;[NSW Belrose]" c="NSW Belrose"/>
        <s v="[BI Store].[Store_Name].&amp;[NSW Caringbah]" c="NSW Caringbah"/>
        <s v="[BI Store].[Store_Name].&amp;[NSW Castle Hill]" c="NSW Castle Hill"/>
        <s v="[BI Store].[Store_Name].&amp;[NSW Kotara]" c="NSW Kotara"/>
        <s v="[BI Store].[Store_Name].&amp;[NSW Moore Park]" c="NSW Moore Park"/>
        <s v="[BI Store].[Store_Name].&amp;[NSW Penrith]" c="NSW Penrith"/>
        <s v="[BI Store].[Store_Name].&amp;[QLD Aspley]" c="QLD Aspley"/>
        <s v="[BI Store].[Store_Name].&amp;[QLD Cairns]" c="QLD Cairns"/>
        <s v="[BI Store].[Store_Name].&amp;[QLD Capalaba]" c="QLD Capalaba"/>
        <s v="[BI Store].[Store_Name].&amp;[QLD Jindalee]" c="QLD Jindalee"/>
        <s v="[BI Store].[Store_Name].&amp;[QLD Logan]" c="QLD Logan"/>
        <s v="[BI Store].[Store_Name].&amp;[QLD Southport]" c="QLD Southport"/>
        <s v="[BI Store].[Store_Name].&amp;[QLD Sunshine Coast (C)]" c="QLD Sunshine Coast (C)"/>
        <s v="[BI Store].[Store_Name].&amp;[QLD Windsor]" c="QLD Windsor"/>
        <s v="[BI Store].[Store_Name].&amp;[SA Glynde]" c="SA Glynde"/>
        <s v="[BI Store].[Store_Name].&amp;[SA Marion]" c="SA Marion"/>
        <s v="[BI Store].[Store_Name].&amp;[SA Mile End]" c="SA Mile End"/>
        <s v="[BI Store].[Store_Name].&amp;[TAS Hobart]" c="TAS Hobart"/>
        <s v="[BI Store].[Store_Name].&amp;[VIC Ballarat]" c="VIC Ballarat"/>
        <s v="[BI Store].[Store_Name].&amp;[VIC Craigieburn]" c="VIC Craigieburn"/>
        <s v="[BI Store].[Store_Name].&amp;[VIC Essendon]" c="VIC Essendon"/>
        <s v="[BI Store].[Store_Name].&amp;[VIC Fountain Gate]" c="VIC Fountain Gate"/>
        <s v="[BI Store].[Store_Name].&amp;[VIC Frankston]" c="VIC Frankston"/>
        <s v="[BI Store].[Store_Name].&amp;[VIC Geelong]" c="VIC Geelong"/>
        <s v="[BI Store].[Store_Name].&amp;[VIC Moorabbin]" c="VIC Moorabbin"/>
        <s v="[BI Store].[Store_Name].&amp;[VIC Nunawading]" c="VIC Nunawading"/>
        <s v="[BI Store].[Store_Name].&amp;[VIC Preston]" c="VIC Preston"/>
        <s v="[BI Store].[Store_Name].&amp;[VIC Richmond]" c="VIC Richmond"/>
        <s v="[BI Store].[Store_Name].&amp;[VIC South Wharf]" c="VIC South Wharf"/>
        <s v="[BI Store].[Store_Name].&amp;[WA Cannington]" c="WA Cannington"/>
        <s v="[BI Store].[Store_Name].&amp;[WA Cockburn]" c="WA Cockburn"/>
        <s v="[BI Store].[Store_Name].&amp;[WA Joondalup]" c="WA Joondalup"/>
        <s v="[BI Store].[Store_Name].&amp;[WA Mandurah]" c="WA Mandurah"/>
        <s v="[BI Store].[Store_Name].&amp;[WA Myaree]" c="WA Myaree"/>
        <s v="[BI Store].[Store_Name].&amp;[WA Osborne Park]" c="WA Osborne Park"/>
      </sharedItems>
    </cacheField>
  </cacheFields>
  <cacheHierarchies count="579">
    <cacheHierarchy uniqueName="[BI ForecastClass].[BranchType]" caption="BranchType" attribute="1" defaultMemberUniqueName="[BI ForecastClass].[BranchType].[All]" allUniqueName="[BI ForecastClass].[BranchType].[All]" dimensionUniqueName="[BI ForecastClass]" displayFolder="" count="0" memberValueDatatype="130" unbalanced="0"/>
    <cacheHierarchy uniqueName="[BI ForecastClass].[Channel]" caption="Channel" attribute="1" defaultMemberUniqueName="[BI ForecastClass].[Channel].[All]" allUniqueName="[BI ForecastClass].[Channel].[All]" dimensionUniqueName="[BI ForecastClass]" displayFolder="" count="0" memberValueDatatype="130" unbalanced="0"/>
    <cacheHierarchy uniqueName="[BI ForecastClass].[Class]" caption="Class" attribute="1" defaultMemberUniqueName="[BI ForecastClass].[Class].[All]" allUniqueName="[BI ForecastClass].[Class].[All]" dimensionUniqueName="[BI ForecastClass]" displayFolder="" count="0" memberValueDatatype="130" unbalanced="0"/>
    <cacheHierarchy uniqueName="[BI ForecastClass].[Country]" caption="Country" attribute="1" defaultMemberUniqueName="[BI ForecastClass].[Country].[All]" allUniqueName="[BI ForecastClass].[Country].[All]" dimensionUniqueName="[BI ForecastClass]" displayFolder="" count="0" memberValueDatatype="130" unbalanced="0"/>
    <cacheHierarchy uniqueName="[BI ForecastClass].[DepartmentDesc]" caption="DepartmentDesc" attribute="1" defaultMemberUniqueName="[BI ForecastClass].[DepartmentDesc].[All]" allUniqueName="[BI ForecastClass].[DepartmentDesc].[All]" dimensionUniqueName="[BI ForecastClass]" displayFolder="" count="0" memberValueDatatype="130" unbalanced="0"/>
    <cacheHierarchy uniqueName="[BI ForecastClass].[Division]" caption="Division" attribute="1" defaultMemberUniqueName="[BI ForecastClass].[Division].[All]" allUniqueName="[BI ForecastClass].[Division].[All]" dimensionUniqueName="[BI ForecastClass]" displayFolder="" count="0" memberValueDatatype="130" unbalanced="0"/>
    <cacheHierarchy uniqueName="[BI ForecastClass].[Period]" caption="Period" attribute="1" defaultMemberUniqueName="[BI ForecastClass].[Period].[All]" allUniqueName="[BI ForecastClass].[Period].[All]" dimensionUniqueName="[BI ForecastClass]" displayFolder="" count="0" memberValueDatatype="20" unbalanced="0"/>
    <cacheHierarchy uniqueName="[BI ForecastClass].[Storekey]" caption="Storekey" attribute="1" defaultMemberUniqueName="[BI ForecastClass].[Storekey].[All]" allUniqueName="[BI ForecastClass].[Storekey].[All]" dimensionUniqueName="[BI ForecastClass]" displayFolder="" count="0" memberValueDatatype="20" unbalanced="0"/>
    <cacheHierarchy uniqueName="[BI ForecastClass].[SubDepartmentDesc]" caption="SubDepartmentDesc" attribute="1" defaultMemberUniqueName="[BI ForecastClass].[SubDepartmentDesc].[All]" allUniqueName="[BI ForecastClass].[SubDepartmentDesc].[All]" dimensionUniqueName="[BI ForecastClass]" displayFolder="" count="0" memberValueDatatype="130" unbalanced="0"/>
    <cacheHierarchy uniqueName="[BI Item].[AddedDate]" caption="AddedDate" attribute="1" time="1" defaultMemberUniqueName="[BI Item].[AddedDate].[All]" allUniqueName="[BI Item].[AddedDate].[All]" dimensionUniqueName="[BI Item]" displayFolder="" count="0" memberValueDatatype="7" unbalanced="0"/>
    <cacheHierarchy uniqueName="[BI Item].[AUtoNZWholesale]" caption="AUtoNZWholesale" attribute="1" defaultMemberUniqueName="[BI Item].[AUtoNZWholesale].[All]" allUniqueName="[BI Item].[AUtoNZWholesale].[All]" dimensionUniqueName="[BI Item]" displayFolder="" count="0" memberValueDatatype="5" unbalanced="0"/>
    <cacheHierarchy uniqueName="[BI Item].[Base_SKU]" caption="Base_SKU" attribute="1" defaultMemberUniqueName="[BI Item].[Base_SKU].[All]" allUniqueName="[BI Item].[Base_SKU].[All]" dimensionUniqueName="[BI Item]" displayFolder="" count="0" memberValueDatatype="130" unbalanced="0"/>
    <cacheHierarchy uniqueName="[BI Item].[Class]" caption="Class" attribute="1" defaultMemberUniqueName="[BI Item].[Class].[All]" allUniqueName="[BI Item].[Class].[All]" dimensionUniqueName="[BI Item]" displayFolder="" count="0" memberValueDatatype="20" unbalanced="0"/>
    <cacheHierarchy uniqueName="[BI Item].[Cost]" caption="Cost" attribute="1" defaultMemberUniqueName="[BI Item].[Cost].[All]" allUniqueName="[BI Item].[Cost].[All]" dimensionUniqueName="[BI Item]" displayFolder="" count="0" memberValueDatatype="6" unbalanced="0"/>
    <cacheHierarchy uniqueName="[BI Item].[CostAveage]" caption="CostAveage" attribute="1" defaultMemberUniqueName="[BI Item].[CostAveage].[All]" allUniqueName="[BI Item].[CostAveage].[All]" dimensionUniqueName="[BI Item]" displayFolder="" count="0" memberValueDatatype="6" unbalanced="0"/>
    <cacheHierarchy uniqueName="[BI Item].[DepartmentDesc]" caption="DepartmentDesc" attribute="1" defaultMemberUniqueName="[BI Item].[DepartmentDesc].[All]" allUniqueName="[BI Item].[DepartmentDesc].[All]" dimensionUniqueName="[BI Item]" displayFolder="" count="0" memberValueDatatype="130" unbalanced="0"/>
    <cacheHierarchy uniqueName="[BI Item].[Description]" caption="Description" attribute="1" defaultMemberUniqueName="[BI Item].[Description].[All]" allUniqueName="[BI Item].[Description].[All]" dimensionUniqueName="[BI Item]" displayFolder="" count="0" memberValueDatatype="130" unbalanced="0"/>
    <cacheHierarchy uniqueName="[BI Item].[Division]" caption="Division" attribute="1" defaultMemberUniqueName="[BI Item].[Division].[All]" allUniqueName="[BI Item].[Division].[All]" dimensionUniqueName="[BI Item]" displayFolder="" count="2" memberValueDatatype="130" unbalanced="0">
      <fieldsUsage count="2">
        <fieldUsage x="-1"/>
        <fieldUsage x="3"/>
      </fieldsUsage>
    </cacheHierarchy>
    <cacheHierarchy uniqueName="[BI Item].[InActive]" caption="InActive" attribute="1" defaultMemberUniqueName="[BI Item].[InActive].[All]" allUniqueName="[BI Item].[InActive].[All]" dimensionUniqueName="[BI Item]" displayFolder="" count="0" memberValueDatatype="11" unbalanced="0"/>
    <cacheHierarchy uniqueName="[BI Item].[Infinity_UPC]" caption="Infinity_UPC" attribute="1" defaultMemberUniqueName="[BI Item].[Infinity_UPC].[All]" allUniqueName="[BI Item].[Infinity_UPC].[All]" dimensionUniqueName="[BI Item]" displayFolder="" count="0" memberValueDatatype="130" unbalanced="0"/>
    <cacheHierarchy uniqueName="[BI Item].[IsChanged]" caption="IsChanged" attribute="1" defaultMemberUniqueName="[BI Item].[IsChanged].[All]" allUniqueName="[BI Item].[IsChanged].[All]" dimensionUniqueName="[BI Item]" displayFolder="" count="0" memberValueDatatype="11" unbalanced="0"/>
    <cacheHierarchy uniqueName="[BI Item].[Item_Class_Desc]" caption="Item_Class_Desc" attribute="1" defaultMemberUniqueName="[BI Item].[Item_Class_Desc].[All]" allUniqueName="[BI Item].[Item_Class_Desc].[All]" dimensionUniqueName="[BI Item]" displayFolder="" count="0" memberValueDatatype="130" unbalanced="0"/>
    <cacheHierarchy uniqueName="[BI Item].[Item_Country]" caption="Item_Country" attribute="1" defaultMemberUniqueName="[BI Item].[Item_Country].[All]" allUniqueName="[BI Item].[Item_Country].[All]" dimensionUniqueName="[BI Item]" displayFolder="" count="2" memberValueDatatype="130" unbalanced="0">
      <fieldsUsage count="2">
        <fieldUsage x="-1"/>
        <fieldUsage x="2"/>
      </fieldsUsage>
    </cacheHierarchy>
    <cacheHierarchy uniqueName="[BI Item].[Item_Type]" caption="Item_Type" attribute="1" defaultMemberUniqueName="[BI Item].[Item_Type].[All]" allUniqueName="[BI Item].[Item_Type].[All]" dimensionUniqueName="[BI Item]" displayFolder="" count="0" memberValueDatatype="130" unbalanced="0"/>
    <cacheHierarchy uniqueName="[BI Item].[ItemKey]" caption="ItemKey" attribute="1" defaultMemberUniqueName="[BI Item].[ItemKey].[All]" allUniqueName="[BI Item].[ItemKey].[All]" dimensionUniqueName="[BI Item]" displayFolder="" count="0" memberValueDatatype="20" unbalanced="0"/>
    <cacheHierarchy uniqueName="[BI Item].[NonStock]" caption="NonStock" attribute="1" defaultMemberUniqueName="[BI Item].[NonStock].[All]" allUniqueName="[BI Item].[NonStock].[All]" dimensionUniqueName="[BI Item]" displayFolder="" count="0" memberValueDatatype="11" unbalanced="0"/>
    <cacheHierarchy uniqueName="[BI Item].[Price]" caption="Price" attribute="1" defaultMemberUniqueName="[BI Item].[Price].[All]" allUniqueName="[BI Item].[Price].[All]" dimensionUniqueName="[BI Item]" displayFolder="" count="0" memberValueDatatype="6" unbalanced="0"/>
    <cacheHierarchy uniqueName="[BI Item].[Product_Cate_Key]" caption="Product_Cate_Key" attribute="1" defaultMemberUniqueName="[BI Item].[Product_Cate_Key].[All]" allUniqueName="[BI Item].[Product_Cate_Key].[All]" dimensionUniqueName="[BI Item]" displayFolder="" count="0" memberValueDatatype="20" unbalanced="0"/>
    <cacheHierarchy uniqueName="[BI Item].[Product_Status]" caption="Product_Status" attribute="1" defaultMemberUniqueName="[BI Item].[Product_Status].[All]" allUniqueName="[BI Item].[Product_Status].[All]" dimensionUniqueName="[BI Item]" displayFolder="" count="0" memberValueDatatype="130" unbalanced="0"/>
    <cacheHierarchy uniqueName="[BI Item].[Product_Sub_Cate_Key]" caption="Product_Sub_Cate_Key" attribute="1" defaultMemberUniqueName="[BI Item].[Product_Sub_Cate_Key].[All]" allUniqueName="[BI Item].[Product_Sub_Cate_Key].[All]" dimensionUniqueName="[BI Item]" displayFolder="" count="0" memberValueDatatype="20" unbalanced="0"/>
    <cacheHierarchy uniqueName="[BI Item].[PurchaseCost]" caption="PurchaseCost" attribute="1" defaultMemberUniqueName="[BI Item].[PurchaseCost].[All]" allUniqueName="[BI Item].[PurchaseCost].[All]" dimensionUniqueName="[BI Item]" displayFolder="" count="0" memberValueDatatype="6" unbalanced="0"/>
    <cacheHierarchy uniqueName="[BI Item].[PurchaseQty]" caption="PurchaseQty" attribute="1" defaultMemberUniqueName="[BI Item].[PurchaseQty].[All]" allUniqueName="[BI Item].[PurchaseQty].[All]" dimensionUniqueName="[BI Item]" displayFolder="" count="0" memberValueDatatype="5" unbalanced="0"/>
    <cacheHierarchy uniqueName="[BI Item].[Range]" caption="Range" attribute="1" defaultMemberUniqueName="[BI Item].[Range].[All]" allUniqueName="[BI Item].[Range].[All]" dimensionUniqueName="[BI Item]" displayFolder="" count="0" memberValueDatatype="130" unbalanced="0"/>
    <cacheHierarchy uniqueName="[BI Item].[Season]" caption="Season" attribute="1" defaultMemberUniqueName="[BI Item].[Season].[All]" allUniqueName="[BI Item].[Season].[All]" dimensionUniqueName="[BI Item]" displayFolder="" count="0" memberValueDatatype="130" unbalanced="0"/>
    <cacheHierarchy uniqueName="[BI Item].[SellingQty]" caption="SellingQty" attribute="1" defaultMemberUniqueName="[BI Item].[SellingQty].[All]" allUniqueName="[BI Item].[SellingQty].[All]" dimensionUniqueName="[BI Item]" displayFolder="" count="0" memberValueDatatype="5" unbalanced="0"/>
    <cacheHierarchy uniqueName="[BI Item].[StockType]" caption="StockType" attribute="1" defaultMemberUniqueName="[BI Item].[StockType].[All]" allUniqueName="[BI Item].[StockType].[All]" dimensionUniqueName="[BI Item]" displayFolder="" count="0" memberValueDatatype="130" unbalanced="0"/>
    <cacheHierarchy uniqueName="[BI Item].[SubDepartmentDesc]" caption="SubDepartmentDesc" attribute="1" defaultMemberUniqueName="[BI Item].[SubDepartmentDesc].[All]" allUniqueName="[BI Item].[SubDepartmentDesc].[All]" dimensionUniqueName="[BI Item]" displayFolder="" count="0" memberValueDatatype="130" unbalanced="0"/>
    <cacheHierarchy uniqueName="[BI Item].[Supplier_Code]" caption="Supplier_Code" attribute="1" defaultMemberUniqueName="[BI Item].[Supplier_Code].[All]" allUniqueName="[BI Item].[Supplier_Code].[All]" dimensionUniqueName="[BI Item]" displayFolder="" count="0" memberValueDatatype="130" unbalanced="0"/>
    <cacheHierarchy uniqueName="[BI Item].[TaxType]" caption="TaxType" attribute="1" defaultMemberUniqueName="[BI Item].[TaxType].[All]" allUniqueName="[BI Item].[TaxType].[All]" dimensionUniqueName="[BI Item]" displayFolder="" count="0" memberValueDatatype="130" unbalanced="0"/>
    <cacheHierarchy uniqueName="[BI Item].[Unit]" caption="Unit" attribute="1" defaultMemberUniqueName="[BI Item].[Unit].[All]" allUniqueName="[BI Item].[Unit].[All]" dimensionUniqueName="[BI Item]" displayFolder="" count="0" memberValueDatatype="130" unbalanced="0"/>
    <cacheHierarchy uniqueName="[BI Item].[UpdatedDate]" caption="UpdatedDate" attribute="1" time="1" defaultMemberUniqueName="[BI Item].[UpdatedDate].[All]" allUniqueName="[BI Item].[UpdatedDate].[All]" dimensionUniqueName="[BI Item]" displayFolder="" count="0" memberValueDatatype="7" unbalanced="0"/>
    <cacheHierarchy uniqueName="[BI Item].[Wholesale]" caption="Wholesale" attribute="1" defaultMemberUniqueName="[BI Item].[Wholesale].[All]" allUniqueName="[BI Item].[Wholesale].[All]" dimensionUniqueName="[BI Item]" displayFolder="" count="0" memberValueDatatype="5" unbalanced="0"/>
    <cacheHierarchy uniqueName="[BI metrics].[Current Date]" caption="Current Date" attribute="1" time="1" defaultMemberUniqueName="[BI metrics].[Current Date].[All]" allUniqueName="[BI metrics].[Current Date].[All]" dimensionUniqueName="[BI metrics]" displayFolder="" count="0" memberValueDatatype="7" unbalanced="0"/>
    <cacheHierarchy uniqueName="[BI metrics].[Date]" caption="Date" attribute="1" time="1" defaultMemberUniqueName="[BI metrics].[Date].[All]" allUniqueName="[BI metrics].[Date].[All]" dimensionUniqueName="[BI metrics]" displayFolder="" count="0" memberValueDatatype="7" unbalanced="0"/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0"/>
      </fieldsUsage>
    </cacheHierarchy>
    <cacheHierarchy uniqueName="[BI metrics].[finPeriod_Before]" caption="finPeriod_Before" attribute="1" defaultMemberUniqueName="[BI metrics].[finPeriod_Before].[All]" allUniqueName="[BI metrics].[finPeriod_Before].[All]" dimensionUniqueName="[BI metrics]" displayFolder="" count="0" memberValueDatatype="130" unbalanced="0"/>
    <cacheHierarchy uniqueName="[BI metrics].[finPeriod_Before_Trend]" caption="finPeriod_Before_Trend" attribute="1" defaultMemberUniqueName="[BI metrics].[finPeriod_Before_Trend].[All]" allUniqueName="[BI metrics].[finPeriod_Before_Trend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2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20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20" unbalanced="0"/>
    <cacheHierarchy uniqueName="[BI metrics].[Min_Year]" caption="Min_Year" attribute="1" time="1" defaultMemberUniqueName="[BI metrics].[Min_Year].[All]" allUniqueName="[BI metrics].[Min_Year].[All]" dimensionUniqueName="[BI metrics]" displayFolder="" count="0" memberValueDatatype="7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1"/>
      </fieldsUsage>
    </cacheHierarchy>
    <cacheHierarchy uniqueName="[BI metrics].[TimePeriodSort]" caption="TimePeriodSort" attribute="1" defaultMemberUniqueName="[BI metrics].[TimePeriodSort].[All]" allUniqueName="[BI metrics].[TimePeriodSort].[All]" dimensionUniqueName="[BI metrics]" displayFolder="" count="0" memberValueDatatype="20" unbalanced="0"/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 Int]" caption="Year Int" attribute="1" defaultMemberUniqueName="[BI metrics].[Year Int].[All]" allUniqueName="[BI metrics].[Year Int].[All]" dimensionUniqueName="[BI metrics]" displayFolder="" count="0" memberValueDatatype="2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metrics].[Year_New]" caption="Year_New" attribute="1" defaultMemberUniqueName="[BI metrics].[Year_New].[All]" allUniqueName="[BI metrics].[Year_New].[All]" dimensionUniqueName="[BI metrics]" displayFolder="" count="0" memberValueDatatype="20" unbalanced="0"/>
    <cacheHierarchy uniqueName="[BI Store].[Area_Leader]" caption="Area_Leader" attribute="1" defaultMemberUniqueName="[BI Store].[Area_Leader].[All]" allUniqueName="[BI Store].[Area_Leader].[All]" dimensionUniqueName="[BI Store]" displayFolder="" count="0" memberValueDatatype="130" unbalanced="0"/>
    <cacheHierarchy uniqueName="[BI Store].[Area_Leader_New]" caption="Area_Leader_New" attribute="1" defaultMemberUniqueName="[BI Store].[Area_Leader_New].[All]" allUniqueName="[BI Store].[Area_Leader_New].[All]" dimensionUniqueName="[BI Store]" displayFolder="" count="0" memberValueDatatype="130" unbalanced="0"/>
    <cacheHierarchy uniqueName="[BI Store].[Branch_Type]" caption="Branch_Type" attribute="1" defaultMemberUniqueName="[BI Store].[Branch_Type].[All]" allUniqueName="[BI Store].[Branch_Type].[All]" dimensionUniqueName="[BI Store]" displayFolder="" count="2" memberValueDatatype="130" unbalanced="0">
      <fieldsUsage count="2">
        <fieldUsage x="-1"/>
        <fieldUsage x="4"/>
      </fieldsUsage>
    </cacheHierarchy>
    <cacheHierarchy uniqueName="[BI Store].[FreedomArea]" caption="FreedomArea" attribute="1" defaultMemberUniqueName="[BI Store].[FreedomArea].[All]" allUniqueName="[BI Store].[FreedomArea].[All]" dimensionUniqueName="[BI Store]" displayFolder="" count="0" memberValueDatatype="5" unbalanced="0"/>
    <cacheHierarchy uniqueName="[BI Store].[IsDC]" caption="IsDC" attribute="1" defaultMemberUniqueName="[BI Store].[IsDC].[All]" allUniqueName="[BI Store].[IsDC].[All]" dimensionUniqueName="[BI Store]" displayFolder="" count="0" memberValueDatatype="11" unbalanced="0"/>
    <cacheHierarchy uniqueName="[BI Store].[IsHO]" caption="IsHO" attribute="1" defaultMemberUniqueName="[BI Store].[IsHO].[All]" allUniqueName="[BI Store].[IsHO].[All]" dimensionUniqueName="[BI Store]" displayFolder="" count="0" memberValueDatatype="11" unbalanced="0"/>
    <cacheHierarchy uniqueName="[BI Store].[Store State Sort]" caption="Store State Sort" attribute="1" defaultMemberUniqueName="[BI Store].[Store State Sort].[All]" allUniqueName="[BI Store].[Store State Sort].[All]" dimensionUniqueName="[BI Store]" displayFolder="" count="0" memberValueDatatype="20" unbalanced="0"/>
    <cacheHierarchy uniqueName="[BI Store].[Store_Code]" caption="Store_Code" attribute="1" defaultMemberUniqueName="[BI Store].[Store_Code].[All]" allUniqueName="[BI Store].[Store_Code].[All]" dimensionUniqueName="[BI Store]" displayFolder="" count="0" memberValueDatatype="130" unbalanced="0"/>
    <cacheHierarchy uniqueName="[BI Store].[Store_Country]" caption="Store_Country" attribute="1" defaultMemberUniqueName="[BI Store].[Store_Country].[All]" allUniqueName="[BI Store].[Store_Country].[All]" dimensionUniqueName="[BI Store]" displayFolder="" count="2" memberValueDatatype="130" unbalanced="0">
      <fieldsUsage count="2">
        <fieldUsage x="-1"/>
        <fieldUsage x="5"/>
      </fieldsUsage>
    </cacheHierarchy>
    <cacheHierarchy uniqueName="[BI Store].[Store_Name]" caption="Store_Name" attribute="1" defaultMemberUniqueName="[BI Store].[Store_Name].[All]" allUniqueName="[BI Store].[Store_Name].[All]" dimensionUniqueName="[BI Store]" displayFolder="" count="2" memberValueDatatype="130" unbalanced="0">
      <fieldsUsage count="2">
        <fieldUsage x="-1"/>
        <fieldUsage x="13"/>
      </fieldsUsage>
    </cacheHierarchy>
    <cacheHierarchy uniqueName="[BI Store].[Store_State]" caption="Store_State" attribute="1" defaultMemberUniqueName="[BI Store].[Store_State].[All]" allUniqueName="[BI Store].[Store_State].[All]" dimensionUniqueName="[BI Store]" displayFolder="" count="0" memberValueDatatype="130" unbalanced="0"/>
    <cacheHierarchy uniqueName="[BI Store].[Store_Type]" caption="Store_Type" attribute="1" defaultMemberUniqueName="[BI Store].[Store_Type].[All]" allUniqueName="[BI Store].[Store_Type].[All]" dimensionUniqueName="[BI Store]" displayFolder="" count="0" memberValueDatatype="130" unbalanced="0"/>
    <cacheHierarchy uniqueName="[BI Store].[StoreKey]" caption="StoreKey" attribute="1" defaultMemberUniqueName="[BI Store].[StoreKey].[All]" allUniqueName="[BI Store].[StoreKey].[All]" dimensionUniqueName="[BI Store]" displayFolder="" count="0" memberValueDatatype="130" unbalanced="0"/>
    <cacheHierarchy uniqueName="[BI Store].[SubLeasedArea]" caption="SubLeasedArea" attribute="1" defaultMemberUniqueName="[BI Store].[SubLeasedArea].[All]" allUniqueName="[BI Store].[SubLeasedArea].[All]" dimensionUniqueName="[BI Store]" displayFolder="" count="0" memberValueDatatype="5" unbalanced="0"/>
    <cacheHierarchy uniqueName="[BI Store].[SubLeasedCompany]" caption="SubLeasedCompany" attribute="1" defaultMemberUniqueName="[BI Store].[SubLeasedCompany].[All]" allUniqueName="[BI Store].[SubLeasedCompany].[All]" dimensionUniqueName="[BI Store]" displayFolder="" count="0" memberValueDatatype="130" unbalanced="0"/>
    <cacheHierarchy uniqueName="[BI Store].[TotalArea]" caption="TotalArea" attribute="1" defaultMemberUniqueName="[BI Store].[TotalArea].[All]" allUniqueName="[BI Store].[TotalArea].[All]" dimensionUniqueName="[BI Store]" displayFolder="" count="0" memberValueDatatype="5" unbalanced="0"/>
    <cacheHierarchy uniqueName="[BI Store State Sort].[Sort No]" caption="Sort No" attribute="1" defaultMemberUniqueName="[BI Store State Sort].[Sort No].[All]" allUniqueName="[BI Store State Sort].[Sort No].[All]" dimensionUniqueName="[BI Store State Sort]" displayFolder="" count="0" memberValueDatatype="20" unbalanced="0"/>
    <cacheHierarchy uniqueName="[BI Store State Sort].[State Name]" caption="State Name" attribute="1" defaultMemberUniqueName="[BI Store State Sort].[State Name].[All]" allUniqueName="[BI Store State Sort].[State Name].[All]" dimensionUniqueName="[BI Store State Sort]" displayFolder="" count="0" memberValueDatatype="130" unbalanced="0"/>
    <cacheHierarchy uniqueName="[BI vw_BudgetByItemCategory].[BudgetDollar]" caption="BudgetDollar" attribute="1" defaultMemberUniqueName="[BI vw_BudgetByItemCategory].[BudgetDollar].[All]" allUniqueName="[BI vw_BudgetByItemCategory].[BudgetDollar].[All]" dimensionUniqueName="[BI vw_BudgetByItemCategory]" displayFolder="" count="0" memberValueDatatype="20" unbalanced="0"/>
    <cacheHierarchy uniqueName="[BI vw_BudgetByItemCategory].[BudgetGMDollar]" caption="BudgetGMDollar" attribute="1" defaultMemberUniqueName="[BI vw_BudgetByItemCategory].[BudgetGMDollar].[All]" allUniqueName="[BI vw_BudgetByItemCategory].[BudgetGMDollar].[All]" dimensionUniqueName="[BI vw_BudgetByItemCategory]" displayFolder="" count="0" memberValueDatatype="20" unbalanced="0"/>
    <cacheHierarchy uniqueName="[BI vw_BudgetByItemCategory].[BudgetMarkDown]" caption="BudgetMarkDown" attribute="1" defaultMemberUniqueName="[BI vw_BudgetByItemCategory].[BudgetMarkDown].[All]" allUniqueName="[BI vw_BudgetByItemCategory].[BudgetMarkDown].[All]" dimensionUniqueName="[BI vw_BudgetByItemCategory]" displayFolder="" count="0" memberValueDatatype="20" unbalanced="0"/>
    <cacheHierarchy uniqueName="[BI vw_BudgetByItemCategory].[BudgetPeriod]" caption="BudgetPeriod" attribute="1" defaultMemberUniqueName="[BI vw_BudgetByItemCategory].[BudgetPeriod].[All]" allUniqueName="[BI vw_BudgetByItemCategory].[BudgetPeriod].[All]" dimensionUniqueName="[BI vw_BudgetByItemCategory]" displayFolder="" count="0" memberValueDatatype="20" unbalanced="0"/>
    <cacheHierarchy uniqueName="[BI vw_BudgetByItemCategory].[BudgetWeek]" caption="BudgetWeek" attribute="1" defaultMemberUniqueName="[BI vw_BudgetByItemCategory].[BudgetWeek].[All]" allUniqueName="[BI vw_BudgetByItemCategory].[BudgetWeek].[All]" dimensionUniqueName="[BI vw_BudgetByItemCategory]" displayFolder="" count="0" memberValueDatatype="20" unbalanced="0"/>
    <cacheHierarchy uniqueName="[BI vw_BudgetByItemCategory].[BudgetYear]" caption="BudgetYear" attribute="1" defaultMemberUniqueName="[BI vw_BudgetByItemCategory].[BudgetYear].[All]" allUniqueName="[BI vw_BudgetByItemCategory].[BudgetYear].[All]" dimensionUniqueName="[BI vw_BudgetByItemCategory]" displayFolder="" count="0" memberValueDatatype="20" unbalanced="0"/>
    <cacheHierarchy uniqueName="[BI vw_BudgetByItemCategory].[Channel]" caption="Channel" attribute="1" defaultMemberUniqueName="[BI vw_BudgetByItemCategory].[Channel].[All]" allUniqueName="[BI vw_BudgetByItemCategory].[Channel].[All]" dimensionUniqueName="[BI vw_BudgetByItemCategory]" displayFolder="" count="0" memberValueDatatype="130" unbalanced="0"/>
    <cacheHierarchy uniqueName="[BI vw_BudgetByItemCategory].[Country]" caption="Country" attribute="1" defaultMemberUniqueName="[BI vw_BudgetByItemCategory].[Country].[All]" allUniqueName="[BI vw_BudgetByItemCategory].[Country].[All]" dimensionUniqueName="[BI vw_BudgetByItemCategory]" displayFolder="" count="2" memberValueDatatype="130" unbalanced="0">
      <fieldsUsage count="2">
        <fieldUsage x="-1"/>
        <fieldUsage x="6"/>
      </fieldsUsage>
    </cacheHierarchy>
    <cacheHierarchy uniqueName="[BI vw_BudgetByItemCategory].[DepartmentDesc]" caption="DepartmentDesc" attribute="1" defaultMemberUniqueName="[BI vw_BudgetByItemCategory].[DepartmentDesc].[All]" allUniqueName="[BI vw_BudgetByItemCategory].[DepartmentDesc].[All]" dimensionUniqueName="[BI vw_BudgetByItemCategory]" displayFolder="" count="0" memberValueDatatype="130" unbalanced="0"/>
    <cacheHierarchy uniqueName="[BI vw_BudgetByItemCategory].[Division]" caption="Division" attribute="1" defaultMemberUniqueName="[BI vw_BudgetByItemCategory].[Division].[All]" allUniqueName="[BI vw_BudgetByItemCategory].[Division].[All]" dimensionUniqueName="[BI vw_BudgetByItemCategory]" displayFolder="" count="0" memberValueDatatype="130" unbalanced="0"/>
    <cacheHierarchy uniqueName="[BI vw_BudgetByItemCategory].[JoinKey]" caption="JoinKey" attribute="1" defaultMemberUniqueName="[BI vw_BudgetByItemCategory].[JoinKey].[All]" allUniqueName="[BI vw_BudgetByItemCategory].[JoinKey].[All]" dimensionUniqueName="[BI vw_BudgetByItemCategory]" displayFolder="" count="0" memberValueDatatype="130" unbalanced="0"/>
    <cacheHierarchy uniqueName="[BI vw_BudgetByItemCategory].[Sale$ Pure]" caption="Sale$ Pure" attribute="1" defaultMemberUniqueName="[BI vw_BudgetByItemCategory].[Sale$ Pure].[All]" allUniqueName="[BI vw_BudgetByItemCategory].[Sale$ Pure].[All]" dimensionUniqueName="[BI vw_BudgetByItemCategory]" displayFolder="" count="0" memberValueDatatype="20" unbalanced="0"/>
    <cacheHierarchy uniqueName="[BI vw_BudgetByItemCategory].[Sales GM%]" caption="Sales GM%" attribute="1" defaultMemberUniqueName="[BI vw_BudgetByItemCategory].[Sales GM%].[All]" allUniqueName="[BI vw_BudgetByItemCategory].[Sales GM%].[All]" dimensionUniqueName="[BI vw_BudgetByItemCategory]" displayFolder="" count="0" memberValueDatatype="20" unbalanced="0"/>
    <cacheHierarchy uniqueName="[BI vw_BudgetByItemCategory].[Sales GM% Pure]" caption="Sales GM% Pure" attribute="1" defaultMemberUniqueName="[BI vw_BudgetByItemCategory].[Sales GM% Pure].[All]" allUniqueName="[BI vw_BudgetByItemCategory].[Sales GM% Pure].[All]" dimensionUniqueName="[BI vw_BudgetByItemCategory]" displayFolder="" count="0" memberValueDatatype="20" unbalanced="0"/>
    <cacheHierarchy uniqueName="[BI vw_BudgetByItemCategory].[StoreType]" caption="StoreType" attribute="1" defaultMemberUniqueName="[BI vw_BudgetByItemCategory].[StoreType].[All]" allUniqueName="[BI vw_BudgetByItemCategory].[StoreType].[All]" dimensionUniqueName="[BI vw_BudgetByItemCategory]" displayFolder="" count="0" memberValueDatatype="130" unbalanced="0"/>
    <cacheHierarchy uniqueName="[BI vw_BudgetByItemCategory].[SubDepartmentDesc]" caption="SubDepartmentDesc" attribute="1" defaultMemberUniqueName="[BI vw_BudgetByItemCategory].[SubDepartmentDesc].[All]" allUniqueName="[BI vw_BudgetByItemCategory].[SubDepartmentDesc].[All]" dimensionUniqueName="[BI vw_BudgetByItemCategory]" displayFolder="" count="0" memberValueDatatype="130" unbalanced="0"/>
    <cacheHierarchy uniqueName="[BI vw_BudgetByStore].[BudgetDollar]" caption="BudgetDollar" attribute="1" defaultMemberUniqueName="[BI vw_BudgetByStore].[BudgetDollar].[All]" allUniqueName="[BI vw_BudgetByStore].[BudgetDollar].[All]" dimensionUniqueName="[BI vw_BudgetByStore]" displayFolder="" count="0" memberValueDatatype="5" unbalanced="0"/>
    <cacheHierarchy uniqueName="[BI vw_BudgetByStore].[BudgetPeriod]" caption="BudgetPeriod" attribute="1" defaultMemberUniqueName="[BI vw_BudgetByStore].[BudgetPeriod].[All]" allUniqueName="[BI vw_BudgetByStore].[BudgetPeriod].[All]" dimensionUniqueName="[BI vw_BudgetByStore]" displayFolder="" count="0" memberValueDatatype="20" unbalanced="0"/>
    <cacheHierarchy uniqueName="[BI vw_BudgetByStore].[BudgetWeek]" caption="BudgetWeek" attribute="1" defaultMemberUniqueName="[BI vw_BudgetByStore].[BudgetWeek].[All]" allUniqueName="[BI vw_BudgetByStore].[BudgetWeek].[All]" dimensionUniqueName="[BI vw_BudgetByStore]" displayFolder="" count="0" memberValueDatatype="20" unbalanced="0"/>
    <cacheHierarchy uniqueName="[BI vw_BudgetByStore].[BudgetYear]" caption="BudgetYear" attribute="1" defaultMemberUniqueName="[BI vw_BudgetByStore].[BudgetYear].[All]" allUniqueName="[BI vw_BudgetByStore].[BudgetYear].[All]" dimensionUniqueName="[BI vw_BudgetByStore]" displayFolder="" count="0" memberValueDatatype="20" unbalanced="0"/>
    <cacheHierarchy uniqueName="[BI vw_BudgetByStore].[Channel]" caption="Channel" attribute="1" defaultMemberUniqueName="[BI vw_BudgetByStore].[Channel].[All]" allUniqueName="[BI vw_BudgetByStore].[Channel].[All]" dimensionUniqueName="[BI vw_BudgetByStore]" displayFolder="" count="0" memberValueDatatype="130" unbalanced="0"/>
    <cacheHierarchy uniqueName="[BI vw_BudgetByStore].[Country]" caption="Country" attribute="1" defaultMemberUniqueName="[BI vw_BudgetByStore].[Country].[All]" allUniqueName="[BI vw_BudgetByStore].[Country].[All]" dimensionUniqueName="[BI vw_BudgetByStore]" displayFolder="" count="0" memberValueDatatype="130" unbalanced="0"/>
    <cacheHierarchy uniqueName="[BI vw_BudgetByStore].[Division]" caption="Division" attribute="1" defaultMemberUniqueName="[BI vw_BudgetByStore].[Division].[All]" allUniqueName="[BI vw_BudgetByStore].[Division].[All]" dimensionUniqueName="[BI vw_BudgetByStore]" displayFolder="" count="0" memberValueDatatype="130" unbalanced="0"/>
    <cacheHierarchy uniqueName="[BI vw_BudgetByStore].[JoinKey]" caption="JoinKey" attribute="1" defaultMemberUniqueName="[BI vw_BudgetByStore].[JoinKey].[All]" allUniqueName="[BI vw_BudgetByStore].[JoinKey].[All]" dimensionUniqueName="[BI vw_BudgetByStore]" displayFolder="" count="0" memberValueDatatype="130" unbalanced="0"/>
    <cacheHierarchy uniqueName="[BI vw_BudgetByStore].[Store]" caption="Store" attribute="1" defaultMemberUniqueName="[BI vw_BudgetByStore].[Store].[All]" allUniqueName="[BI vw_BudgetByStore].[Store].[All]" dimensionUniqueName="[BI vw_BudgetByStore]" displayFolder="" count="0" memberValueDatatype="130" unbalanced="0"/>
    <cacheHierarchy uniqueName="[BI vw_BudgetByStore].[StoreKey]" caption="StoreKey" attribute="1" defaultMemberUniqueName="[BI vw_BudgetByStore].[StoreKey].[All]" allUniqueName="[BI vw_BudgetByStore].[StoreKey].[All]" dimensionUniqueName="[BI vw_BudgetByStore]" displayFolder="" count="0" memberValueDatatype="130" unbalanced="0"/>
    <cacheHierarchy uniqueName="[BI vw_BudgetByWeek].[BudgetPeriod]" caption="BudgetPeriod" attribute="1" defaultMemberUniqueName="[BI vw_BudgetByWeek].[BudgetPeriod].[All]" allUniqueName="[BI vw_BudgetByWeek].[BudgetPeriod].[All]" dimensionUniqueName="[BI vw_BudgetByWeek]" displayFolder="" count="0" memberValueDatatype="20" unbalanced="0"/>
    <cacheHierarchy uniqueName="[BI vw_BudgetByWeek].[BudgetWeek]" caption="BudgetWeek" attribute="1" defaultMemberUniqueName="[BI vw_BudgetByWeek].[BudgetWeek].[All]" allUniqueName="[BI vw_BudgetByWeek].[BudgetWeek].[All]" dimensionUniqueName="[BI vw_BudgetByWeek]" displayFolder="" count="0" memberValueDatatype="20" unbalanced="0"/>
    <cacheHierarchy uniqueName="[BI vw_BudgetByWeek].[BudgetYear]" caption="BudgetYear" attribute="1" defaultMemberUniqueName="[BI vw_BudgetByWeek].[BudgetYear].[All]" allUniqueName="[BI vw_BudgetByWeek].[BudgetYear].[All]" dimensionUniqueName="[BI vw_BudgetByWeek]" displayFolder="" count="0" memberValueDatatype="20" unbalanced="0"/>
    <cacheHierarchy uniqueName="[BI vw_BudgetByWeek].[Channel]" caption="Channel" attribute="1" defaultMemberUniqueName="[BI vw_BudgetByWeek].[Channel].[All]" allUniqueName="[BI vw_BudgetByWeek].[Channel].[All]" dimensionUniqueName="[BI vw_BudgetByWeek]" displayFolder="" count="0" memberValueDatatype="130" unbalanced="0"/>
    <cacheHierarchy uniqueName="[BI vw_BudgetByWeek].[Country]" caption="Country" attribute="1" defaultMemberUniqueName="[BI vw_BudgetByWeek].[Country].[All]" allUniqueName="[BI vw_BudgetByWeek].[Country].[All]" dimensionUniqueName="[BI vw_BudgetByWeek]" displayFolder="" count="0" memberValueDatatype="130" unbalanced="0"/>
    <cacheHierarchy uniqueName="[BI vw_BudgetByWeek].[FootTrafficBudget]" caption="FootTrafficBudget" attribute="1" defaultMemberUniqueName="[BI vw_BudgetByWeek].[FootTrafficBudget].[All]" allUniqueName="[BI vw_BudgetByWeek].[FootTrafficBudget].[All]" dimensionUniqueName="[BI vw_BudgetByWeek]" displayFolder="" count="0" memberValueDatatype="5" unbalanced="0"/>
    <cacheHierarchy uniqueName="[BI vw_BudgetByWeek].[ID]" caption="ID" attribute="1" defaultMemberUniqueName="[BI vw_BudgetByWeek].[ID].[All]" allUniqueName="[BI vw_BudgetByWeek].[ID].[All]" dimensionUniqueName="[BI vw_BudgetByWeek]" displayFolder="" count="0" memberValueDatatype="20" unbalanced="0"/>
    <cacheHierarchy uniqueName="[BI vw_BudgetByWeek].[joinKey]" caption="joinKey" attribute="1" defaultMemberUniqueName="[BI vw_BudgetByWeek].[joinKey].[All]" allUniqueName="[BI vw_BudgetByWeek].[joinKey].[All]" dimensionUniqueName="[BI vw_BudgetByWeek]" displayFolder="" count="0" memberValueDatatype="130" unbalanced="0"/>
    <cacheHierarchy uniqueName="[BI vw_BudgetByWeek].[NumberOfTransactionBudget]" caption="NumberOfTransactionBudget" attribute="1" defaultMemberUniqueName="[BI vw_BudgetByWeek].[NumberOfTransactionBudget].[All]" allUniqueName="[BI vw_BudgetByWeek].[NumberOfTransactionBudget].[All]" dimensionUniqueName="[BI vw_BudgetByWeek]" displayFolder="" count="0" memberValueDatatype="5" unbalanced="0"/>
    <cacheHierarchy uniqueName="[BI vw_BudgetByWeek].[Store]" caption="Store" attribute="1" defaultMemberUniqueName="[BI vw_BudgetByWeek].[Store].[All]" allUniqueName="[BI vw_BudgetByWeek].[Store].[All]" dimensionUniqueName="[BI vw_BudgetByWeek]" displayFolder="" count="0" memberValueDatatype="130" unbalanced="0"/>
    <cacheHierarchy uniqueName="[BI vw_BudgetDigital].[1P Sales]" caption="1P Sales" attribute="1" defaultMemberUniqueName="[BI vw_BudgetDigital].[1P Sales].[All]" allUniqueName="[BI vw_BudgetDigital].[1P Sales].[All]" dimensionUniqueName="[BI vw_BudgetDigital]" displayFolder="" count="0" memberValueDatatype="5" unbalanced="0"/>
    <cacheHierarchy uniqueName="[BI vw_BudgetDigital].[3P Sales]" caption="3P Sales" attribute="1" defaultMemberUniqueName="[BI vw_BudgetDigital].[3P Sales].[All]" allUniqueName="[BI vw_BudgetDigital].[3P Sales].[All]" dimensionUniqueName="[BI vw_BudgetDigital]" displayFolder="" count="0" memberValueDatatype="5" unbalanced="0"/>
    <cacheHierarchy uniqueName="[BI vw_BudgetDigital].[BudgetPeriod]" caption="BudgetPeriod" attribute="1" defaultMemberUniqueName="[BI vw_BudgetDigital].[BudgetPeriod].[All]" allUniqueName="[BI vw_BudgetDigital].[BudgetPeriod].[All]" dimensionUniqueName="[BI vw_BudgetDigital]" displayFolder="" count="0" memberValueDatatype="20" unbalanced="0"/>
    <cacheHierarchy uniqueName="[BI vw_BudgetDigital].[BudgetWeek]" caption="BudgetWeek" attribute="1" defaultMemberUniqueName="[BI vw_BudgetDigital].[BudgetWeek].[All]" allUniqueName="[BI vw_BudgetDigital].[BudgetWeek].[All]" dimensionUniqueName="[BI vw_BudgetDigital]" displayFolder="" count="0" memberValueDatatype="20" unbalanced="0"/>
    <cacheHierarchy uniqueName="[BI vw_BudgetDigital].[BudgetYear]" caption="BudgetYear" attribute="1" defaultMemberUniqueName="[BI vw_BudgetDigital].[BudgetYear].[All]" allUniqueName="[BI vw_BudgetDigital].[BudgetYear].[All]" dimensionUniqueName="[BI vw_BudgetDigital]" displayFolder="" count="0" memberValueDatatype="20" unbalanced="0"/>
    <cacheHierarchy uniqueName="[BI vw_BudgetDigital].[Country]" caption="Country" attribute="1" defaultMemberUniqueName="[BI vw_BudgetDigital].[Country].[All]" allUniqueName="[BI vw_BudgetDigital].[Country].[All]" dimensionUniqueName="[BI vw_BudgetDigital]" displayFolder="" count="0" memberValueDatatype="130" unbalanced="0"/>
    <cacheHierarchy uniqueName="[BI vw_BudgetDigital].[ID]" caption="ID" attribute="1" defaultMemberUniqueName="[BI vw_BudgetDigital].[ID].[All]" allUniqueName="[BI vw_BudgetDigital].[ID].[All]" dimensionUniqueName="[BI vw_BudgetDigital]" displayFolder="" count="0" memberValueDatatype="20" unbalanced="0"/>
    <cacheHierarchy uniqueName="[BI vw_BudgetDigital].[Key]" caption="Key" attribute="1" defaultMemberUniqueName="[BI vw_BudgetDigital].[Key].[All]" allUniqueName="[BI vw_BudgetDigital].[Key].[All]" dimensionUniqueName="[BI vw_BudgetDigital]" displayFolder="" count="0" memberValueDatatype="130" unbalanced="0"/>
    <cacheHierarchy uniqueName="[BI vw_BudgetDigital].[Online ATV]" caption="Online ATV" attribute="1" defaultMemberUniqueName="[BI vw_BudgetDigital].[Online ATV].[All]" allUniqueName="[BI vw_BudgetDigital].[Online ATV].[All]" dimensionUniqueName="[BI vw_BudgetDigital]" displayFolder="" count="0" memberValueDatatype="5" unbalanced="0"/>
    <cacheHierarchy uniqueName="[BI vw_BudgetDigital].[Online CR]" caption="Online CR" attribute="1" defaultMemberUniqueName="[BI vw_BudgetDigital].[Online CR].[All]" allUniqueName="[BI vw_BudgetDigital].[Online CR].[All]" dimensionUniqueName="[BI vw_BudgetDigital]" displayFolder="" count="0" memberValueDatatype="5" unbalanced="0"/>
    <cacheHierarchy uniqueName="[BI vw_BudgetDigital].[Online Traffic]" caption="Online Traffic" attribute="1" defaultMemberUniqueName="[BI vw_BudgetDigital].[Online Traffic].[All]" allUniqueName="[BI vw_BudgetDigital].[Online Traffic].[All]" dimensionUniqueName="[BI vw_BudgetDigital]" displayFolder="" count="0" memberValueDatatype="5" unbalanced="0"/>
    <cacheHierarchy uniqueName="[BI vw_BudgetDigital].[Total Sales]" caption="Total Sales" attribute="1" defaultMemberUniqueName="[BI vw_BudgetDigital].[Total Sales].[All]" allUniqueName="[BI vw_BudgetDigital].[Total Sales].[All]" dimensionUniqueName="[BI vw_BudgetDigital]" displayFolder="" count="0" memberValueDatatype="5" unbalanced="0"/>
    <cacheHierarchy uniqueName="[BI vw_BudgetDigital].[Trans Nbr]" caption="Trans Nbr" attribute="1" defaultMemberUniqueName="[BI vw_BudgetDigital].[Trans Nbr].[All]" allUniqueName="[BI vw_BudgetDigital].[Trans Nbr].[All]" dimensionUniqueName="[BI vw_BudgetDigital]" displayFolder="" count="0" memberValueDatatype="5" unbalanced="0"/>
    <cacheHierarchy uniqueName="[BI vw_BudgetOnlineByStore].[BudgetPeriod]" caption="BudgetPeriod" attribute="1" defaultMemberUniqueName="[BI vw_BudgetOnlineByStore].[BudgetPeriod].[All]" allUniqueName="[BI vw_BudgetOnlineByStore].[BudgetPeriod].[All]" dimensionUniqueName="[BI vw_BudgetOnlineByStore]" displayFolder="" count="0" memberValueDatatype="20" unbalanced="0"/>
    <cacheHierarchy uniqueName="[BI vw_BudgetOnlineByStore].[BudgetWeek]" caption="BudgetWeek" attribute="1" defaultMemberUniqueName="[BI vw_BudgetOnlineByStore].[BudgetWeek].[All]" allUniqueName="[BI vw_BudgetOnlineByStore].[BudgetWeek].[All]" dimensionUniqueName="[BI vw_BudgetOnlineByStore]" displayFolder="" count="0" memberValueDatatype="20" unbalanced="0"/>
    <cacheHierarchy uniqueName="[BI vw_BudgetOnlineByStore].[BudgetYear]" caption="BudgetYear" attribute="1" defaultMemberUniqueName="[BI vw_BudgetOnlineByStore].[BudgetYear].[All]" allUniqueName="[BI vw_BudgetOnlineByStore].[BudgetYear].[All]" dimensionUniqueName="[BI vw_BudgetOnlineByStore]" displayFolder="" count="0" memberValueDatatype="20" unbalanced="0"/>
    <cacheHierarchy uniqueName="[BI vw_BudgetOnlineByStore].[DropshipBudget]" caption="DropshipBudget" attribute="1" defaultMemberUniqueName="[BI vw_BudgetOnlineByStore].[DropshipBudget].[All]" allUniqueName="[BI vw_BudgetOnlineByStore].[DropshipBudget].[All]" dimensionUniqueName="[BI vw_BudgetOnlineByStore]" displayFolder="" count="0" memberValueDatatype="6" unbalanced="0"/>
    <cacheHierarchy uniqueName="[BI vw_BudgetOnlineByStore].[JoinKey]" caption="JoinKey" attribute="1" defaultMemberUniqueName="[BI vw_BudgetOnlineByStore].[JoinKey].[All]" allUniqueName="[BI vw_BudgetOnlineByStore].[JoinKey].[All]" dimensionUniqueName="[BI vw_BudgetOnlineByStore]" displayFolder="" count="0" memberValueDatatype="130" unbalanced="0"/>
    <cacheHierarchy uniqueName="[BI vw_BudgetOnlineByStore].[NOT_Budget]" caption="NOT_Budget" attribute="1" defaultMemberUniqueName="[BI vw_BudgetOnlineByStore].[NOT_Budget].[All]" allUniqueName="[BI vw_BudgetOnlineByStore].[NOT_Budget].[All]" dimensionUniqueName="[BI vw_BudgetOnlineByStore]" displayFolder="" count="0" memberValueDatatype="5" unbalanced="0"/>
    <cacheHierarchy uniqueName="[BI vw_BudgetOnlineByStore].[SalesClassification]" caption="SalesClassification" attribute="1" defaultMemberUniqueName="[BI vw_BudgetOnlineByStore].[SalesClassification].[All]" allUniqueName="[BI vw_BudgetOnlineByStore].[SalesClassification].[All]" dimensionUniqueName="[BI vw_BudgetOnlineByStore]" displayFolder="" count="0" memberValueDatatype="130" unbalanced="0"/>
    <cacheHierarchy uniqueName="[BI vw_BudgetOnlineByStore].[Store]" caption="Store" attribute="1" defaultMemberUniqueName="[BI vw_BudgetOnlineByStore].[Store].[All]" allUniqueName="[BI vw_BudgetOnlineByStore].[Store].[All]" dimensionUniqueName="[BI vw_BudgetOnlineByStore]" displayFolder="" count="0" memberValueDatatype="130" unbalanced="0"/>
    <cacheHierarchy uniqueName="[BI vw_BudgetOnlineByStore].[TotalOnlineBudget]" caption="TotalOnlineBudget" attribute="1" defaultMemberUniqueName="[BI vw_BudgetOnlineByStore].[TotalOnlineBudget].[All]" allUniqueName="[BI vw_BudgetOnlineByStore].[TotalOnlineBudget].[All]" dimensionUniqueName="[BI vw_BudgetOnlineByStore]" displayFolder="" count="0" memberValueDatatype="6" unbalanced="0"/>
    <cacheHierarchy uniqueName="[BI vw_DropshipBudget].[BudgetDollar]" caption="BudgetDollar" attribute="1" defaultMemberUniqueName="[BI vw_DropshipBudget].[BudgetDollar].[All]" allUniqueName="[BI vw_DropshipBudget].[BudgetDollar].[All]" dimensionUniqueName="[BI vw_DropshipBudget]" displayFolder="" count="0" memberValueDatatype="5" unbalanced="0"/>
    <cacheHierarchy uniqueName="[BI vw_DropshipBudget].[BudgetPeriod]" caption="BudgetPeriod" attribute="1" defaultMemberUniqueName="[BI vw_DropshipBudget].[BudgetPeriod].[All]" allUniqueName="[BI vw_DropshipBudget].[BudgetPeriod].[All]" dimensionUniqueName="[BI vw_DropshipBudget]" displayFolder="" count="0" memberValueDatatype="20" unbalanced="0"/>
    <cacheHierarchy uniqueName="[BI vw_DropshipBudget].[Department]" caption="Department" attribute="1" defaultMemberUniqueName="[BI vw_DropshipBudget].[Department].[All]" allUniqueName="[BI vw_DropshipBudget].[Department].[All]" dimensionUniqueName="[BI vw_DropshipBudget]" displayFolder="" count="0" memberValueDatatype="20" unbalanced="0"/>
    <cacheHierarchy uniqueName="[BI vw_DropshipBudget].[DepartmentDesc]" caption="DepartmentDesc" attribute="1" defaultMemberUniqueName="[BI vw_DropshipBudget].[DepartmentDesc].[All]" allUniqueName="[BI vw_DropshipBudget].[DepartmentDesc].[All]" dimensionUniqueName="[BI vw_DropshipBudget]" displayFolder="" count="0" memberValueDatatype="130" unbalanced="0"/>
    <cacheHierarchy uniqueName="[BI vw_DropshipBudget].[Division]" caption="Division" attribute="1" defaultMemberUniqueName="[BI vw_DropshipBudget].[Division].[All]" allUniqueName="[BI vw_DropshipBudget].[Division].[All]" dimensionUniqueName="[BI vw_DropshipBudget]" displayFolder="" count="0" memberValueDatatype="130" unbalanced="0"/>
    <cacheHierarchy uniqueName="[BI vw_DropshipBudget].[JoinKey]" caption="JoinKey" attribute="1" defaultMemberUniqueName="[BI vw_DropshipBudget].[JoinKey].[All]" allUniqueName="[BI vw_DropshipBudget].[JoinKey].[All]" dimensionUniqueName="[BI vw_DropshipBudget]" displayFolder="" count="0" memberValueDatatype="130" unbalanced="0"/>
    <cacheHierarchy uniqueName="[BI vw_Items].[Class]" caption="Class" attribute="1" defaultMemberUniqueName="[BI vw_Items].[Class].[All]" allUniqueName="[BI vw_Items].[Class].[All]" dimensionUniqueName="[BI vw_Items]" displayFolder="" count="0" memberValueDatatype="20" unbalanced="0"/>
    <cacheHierarchy uniqueName="[BI vw_Items].[ClassDesc]" caption="ClassDesc" attribute="1" defaultMemberUniqueName="[BI vw_Items].[ClassDesc].[All]" allUniqueName="[BI vw_Items].[ClassDesc].[All]" dimensionUniqueName="[BI vw_Items]" displayFolder="" count="0" memberValueDatatype="130" unbalanced="0"/>
    <cacheHierarchy uniqueName="[BI vw_Items].[department]" caption="department" attribute="1" defaultMemberUniqueName="[BI vw_Items].[department].[All]" allUniqueName="[BI vw_Items].[department].[All]" dimensionUniqueName="[BI vw_Items]" displayFolder="" count="0" memberValueDatatype="20" unbalanced="0"/>
    <cacheHierarchy uniqueName="[BI vw_Items].[DepartmentDesc]" caption="DepartmentDesc" attribute="1" defaultMemberUniqueName="[BI vw_Items].[DepartmentDesc].[All]" allUniqueName="[BI vw_Items].[DepartmentDesc].[All]" dimensionUniqueName="[BI vw_Items]" displayFolder="" count="0" memberValueDatatype="130" unbalanced="0"/>
    <cacheHierarchy uniqueName="[BI vw_Items].[Division]" caption="Division" attribute="1" defaultMemberUniqueName="[BI vw_Items].[Division].[All]" allUniqueName="[BI vw_Items].[Division].[All]" dimensionUniqueName="[BI vw_Items]" displayFolder="" count="0" memberValueDatatype="130" unbalanced="0"/>
    <cacheHierarchy uniqueName="[BI vw_Items].[FOB Port]" caption="FOB Port" attribute="1" defaultMemberUniqueName="[BI vw_Items].[FOB Port].[All]" allUniqueName="[BI vw_Items].[FOB Port].[All]" dimensionUniqueName="[BI vw_Items]" displayFolder="" count="0" memberValueDatatype="130" unbalanced="0"/>
    <cacheHierarchy uniqueName="[BI vw_Items].[Forecast Birth Date AU]" caption="Forecast Birth Date AU" attribute="1" defaultMemberUniqueName="[BI vw_Items].[Forecast Birth Date AU].[All]" allUniqueName="[BI vw_Items].[Forecast Birth Date AU].[All]" dimensionUniqueName="[BI vw_Items]" displayFolder="" count="0" memberValueDatatype="130" unbalanced="0"/>
    <cacheHierarchy uniqueName="[BI vw_Items].[Forecast Birth Date NZ]" caption="Forecast Birth Date NZ" attribute="1" defaultMemberUniqueName="[BI vw_Items].[Forecast Birth Date NZ].[All]" allUniqueName="[BI vw_Items].[Forecast Birth Date NZ].[All]" dimensionUniqueName="[BI vw_Items]" displayFolder="" count="0" memberValueDatatype="130" unbalanced="0"/>
    <cacheHierarchy uniqueName="[BI vw_Items].[IsComponent]" caption="IsComponent" attribute="1" defaultMemberUniqueName="[BI vw_Items].[IsComponent].[All]" allUniqueName="[BI vw_Items].[IsComponent].[All]" dimensionUniqueName="[BI vw_Items]" displayFolder="" count="0" memberValueDatatype="130" unbalanced="0"/>
    <cacheHierarchy uniqueName="[BI vw_Items].[ItemDescription]" caption="ItemDescription" attribute="1" defaultMemberUniqueName="[BI vw_Items].[ItemDescription].[All]" allUniqueName="[BI vw_Items].[ItemDescription].[All]" dimensionUniqueName="[BI vw_Items]" displayFolder="" count="0" memberValueDatatype="130" unbalanced="0"/>
    <cacheHierarchy uniqueName="[BI vw_Items].[ProductStatus]" caption="ProductStatus" attribute="1" defaultMemberUniqueName="[BI vw_Items].[ProductStatus].[All]" allUniqueName="[BI vw_Items].[ProductStatus].[All]" dimensionUniqueName="[BI vw_Items]" displayFolder="" count="0" memberValueDatatype="130" unbalanced="0"/>
    <cacheHierarchy uniqueName="[BI vw_Items].[ProductStatusNZ]" caption="ProductStatusNZ" attribute="1" defaultMemberUniqueName="[BI vw_Items].[ProductStatusNZ].[All]" allUniqueName="[BI vw_Items].[ProductStatusNZ].[All]" dimensionUniqueName="[BI vw_Items]" displayFolder="" count="0" memberValueDatatype="130" unbalanced="0"/>
    <cacheHierarchy uniqueName="[BI vw_Items].[PurchaseQTY]" caption="PurchaseQTY" attribute="1" defaultMemberUniqueName="[BI vw_Items].[PurchaseQTY].[All]" allUniqueName="[BI vw_Items].[PurchaseQTY].[All]" dimensionUniqueName="[BI vw_Items]" displayFolder="" count="0" memberValueDatatype="6" unbalanced="0"/>
    <cacheHierarchy uniqueName="[BI vw_Items].[Range]" caption="Range" attribute="1" defaultMemberUniqueName="[BI vw_Items].[Range].[All]" allUniqueName="[BI vw_Items].[Range].[All]" dimensionUniqueName="[BI vw_Items]" displayFolder="" count="0" memberValueDatatype="130" unbalanced="0"/>
    <cacheHierarchy uniqueName="[BI vw_Items].[Season_AUS]" caption="Season_AUS" attribute="1" defaultMemberUniqueName="[BI vw_Items].[Season_AUS].[All]" allUniqueName="[BI vw_Items].[Season_AUS].[All]" dimensionUniqueName="[BI vw_Items]" displayFolder="" count="0" memberValueDatatype="130" unbalanced="0"/>
    <cacheHierarchy uniqueName="[BI vw_Items].[Season_NZ]" caption="Season_NZ" attribute="1" defaultMemberUniqueName="[BI vw_Items].[Season_NZ].[All]" allUniqueName="[BI vw_Items].[Season_NZ].[All]" dimensionUniqueName="[BI vw_Items]" displayFolder="" count="0" memberValueDatatype="130" unbalanced="0"/>
    <cacheHierarchy uniqueName="[BI vw_Items].[SKU]" caption="SKU" attribute="1" defaultMemberUniqueName="[BI vw_Items].[SKU].[All]" allUniqueName="[BI vw_Items].[SKU].[All]" dimensionUniqueName="[BI vw_Items]" displayFolder="" count="0" memberValueDatatype="20" unbalanced="0"/>
    <cacheHierarchy uniqueName="[BI vw_Items].[Stock Type_AUS]" caption="Stock Type_AUS" attribute="1" defaultMemberUniqueName="[BI vw_Items].[Stock Type_AUS].[All]" allUniqueName="[BI vw_Items].[Stock Type_AUS].[All]" dimensionUniqueName="[BI vw_Items]" displayFolder="" count="0" memberValueDatatype="130" unbalanced="0"/>
    <cacheHierarchy uniqueName="[BI vw_Items].[SubDepartment]" caption="SubDepartment" attribute="1" defaultMemberUniqueName="[BI vw_Items].[SubDepartment].[All]" allUniqueName="[BI vw_Items].[SubDepartment].[All]" dimensionUniqueName="[BI vw_Items]" displayFolder="" count="0" memberValueDatatype="20" unbalanced="0"/>
    <cacheHierarchy uniqueName="[BI vw_Items].[SubDepartmentDesc]" caption="SubDepartmentDesc" attribute="1" defaultMemberUniqueName="[BI vw_Items].[SubDepartmentDesc].[All]" allUniqueName="[BI vw_Items].[SubDepartmentDesc].[All]" dimensionUniqueName="[BI vw_Items]" displayFolder="" count="0" memberValueDatatype="130" unbalanced="0"/>
    <cacheHierarchy uniqueName="[BI vw_Items].[Supplier Cost]" caption="Supplier Cost" attribute="1" defaultMemberUniqueName="[BI vw_Items].[Supplier Cost].[All]" allUniqueName="[BI vw_Items].[Supplier Cost].[All]" dimensionUniqueName="[BI vw_Items]" displayFolder="" count="0" memberValueDatatype="130" unbalanced="0"/>
    <cacheHierarchy uniqueName="[BI vw_Items].[supplier_code]" caption="supplier_code" attribute="1" defaultMemberUniqueName="[BI vw_Items].[supplier_code].[All]" allUniqueName="[BI vw_Items].[supplier_code].[All]" dimensionUniqueName="[BI vw_Items]" displayFolder="" count="0" memberValueDatatype="130" unbalanced="0"/>
    <cacheHierarchy uniqueName="[BI vw_WeeklyItemSales].[Country]" caption="Country" attribute="1" defaultMemberUniqueName="[BI vw_WeeklyItemSales].[Country].[All]" allUniqueName="[BI vw_WeeklyItemSales].[Country].[All]" dimensionUniqueName="[BI vw_WeeklyItemSales]" displayFolder="" count="0" memberValueDatatype="130" unbalanced="0"/>
    <cacheHierarchy uniqueName="[BI vw_WeeklyItemSales].[finPeriod]" caption="finPeriod" attribute="1" defaultMemberUniqueName="[BI vw_WeeklyItemSales].[finPeriod].[All]" allUniqueName="[BI vw_WeeklyItemSales].[finPeriod].[All]" dimensionUniqueName="[BI vw_WeeklyItemSales]" displayFolder="" count="0" memberValueDatatype="130" unbalanced="0"/>
    <cacheHierarchy uniqueName="[BI vw_WeeklyItemSales].[FirstWeek-Year]" caption="FirstWeek-Year" attribute="1" defaultMemberUniqueName="[BI vw_WeeklyItemSales].[FirstWeek-Year].[All]" allUniqueName="[BI vw_WeeklyItemSales].[FirstWeek-Year].[All]" dimensionUniqueName="[BI vw_WeeklyItemSales]" displayFolder="" count="0" memberValueDatatype="130" unbalanced="0"/>
    <cacheHierarchy uniqueName="[BI vw_WeeklyItemSales].[ItemKey]" caption="ItemKey" attribute="1" defaultMemberUniqueName="[BI vw_WeeklyItemSales].[ItemKey].[All]" allUniqueName="[BI vw_WeeklyItemSales].[ItemKey].[All]" dimensionUniqueName="[BI vw_WeeklyItemSales]" displayFolder="" count="0" memberValueDatatype="20" unbalanced="0"/>
    <cacheHierarchy uniqueName="[BI vw_WeeklyItemSales].[JoinKey]" caption="JoinKey" attribute="1" defaultMemberUniqueName="[BI vw_WeeklyItemSales].[JoinKey].[All]" allUniqueName="[BI vw_WeeklyItemSales].[JoinKey].[All]" dimensionUniqueName="[BI vw_WeeklyItemSales]" displayFolder="" count="0" memberValueDatatype="130" unbalanced="0"/>
    <cacheHierarchy uniqueName="[BI vw_WeeklyItemSales].[Quantity]" caption="Quantity" attribute="1" defaultMemberUniqueName="[BI vw_WeeklyItemSales].[Quantity].[All]" allUniqueName="[BI vw_WeeklyItemSales].[Quantity].[All]" dimensionUniqueName="[BI vw_WeeklyItemSales]" displayFolder="" count="0" memberValueDatatype="6" unbalanced="0"/>
    <cacheHierarchy uniqueName="[BI vw_WeeklyItemSales].[SalesClassification]" caption="SalesClassification" attribute="1" defaultMemberUniqueName="[BI vw_WeeklyItemSales].[SalesClassification].[All]" allUniqueName="[BI vw_WeeklyItemSales].[SalesClassification].[All]" dimensionUniqueName="[BI vw_WeeklyItemSales]" displayFolder="" count="0" memberValueDatatype="130" unbalanced="0"/>
    <cacheHierarchy uniqueName="[BI vw_WeeklyItemSales].[SalesCost]" caption="SalesCost" attribute="1" defaultMemberUniqueName="[BI vw_WeeklyItemSales].[SalesCost].[All]" allUniqueName="[BI vw_WeeklyItemSales].[SalesCost].[All]" dimensionUniqueName="[BI vw_WeeklyItemSales]" displayFolder="" count="0" memberValueDatatype="5" unbalanced="0"/>
    <cacheHierarchy uniqueName="[BI vw_WeeklyItemSales].[SalesRetail]" caption="SalesRetail" attribute="1" defaultMemberUniqueName="[BI vw_WeeklyItemSales].[SalesRetail].[All]" allUniqueName="[BI vw_WeeklyItemSales].[SalesRetail].[All]" dimensionUniqueName="[BI vw_WeeklyItemSales]" displayFolder="" count="0" memberValueDatatype="5" unbalanced="0"/>
    <cacheHierarchy uniqueName="[BI vw_WeeklyItemSales].[StoreKey]" caption="StoreKey" attribute="1" defaultMemberUniqueName="[BI vw_WeeklyItemSales].[StoreKey].[All]" allUniqueName="[BI vw_WeeklyItemSales].[StoreKey].[All]" dimensionUniqueName="[BI vw_WeeklyItemSales]" displayFolder="" count="0" memberValueDatatype="130" unbalanced="0"/>
    <cacheHierarchy uniqueName="[BI vw_WeeklyStoreATV].[division]" caption="division" attribute="1" defaultMemberUniqueName="[BI vw_WeeklyStoreATV].[division].[All]" allUniqueName="[BI vw_WeeklyStoreATV].[division].[All]" dimensionUniqueName="[BI vw_WeeklyStoreATV]" displayFolder="" count="0" memberValueDatatype="130" unbalanced="0"/>
    <cacheHierarchy uniqueName="[BI vw_WeeklyStoreATV].[FinOrderNumber]" caption="FinOrderNumber" attribute="1" defaultMemberUniqueName="[BI vw_WeeklyStoreATV].[FinOrderNumber].[All]" allUniqueName="[BI vw_WeeklyStoreATV].[FinOrderNumber].[All]" dimensionUniqueName="[BI vw_WeeklyStoreATV]" displayFolder="" count="0" memberValueDatatype="130" unbalanced="0"/>
    <cacheHierarchy uniqueName="[BI vw_WeeklyStoreATV].[FinPeriod]" caption="FinPeriod" attribute="1" defaultMemberUniqueName="[BI vw_WeeklyStoreATV].[FinPeriod].[All]" allUniqueName="[BI vw_WeeklyStoreATV].[FinPeriod].[All]" dimensionUniqueName="[BI vw_WeeklyStoreATV]" displayFolder="" count="0" memberValueDatatype="20" unbalanced="0"/>
    <cacheHierarchy uniqueName="[BI vw_WeeklyStoreATV].[JoinKey]" caption="JoinKey" attribute="1" defaultMemberUniqueName="[BI vw_WeeklyStoreATV].[JoinKey].[All]" allUniqueName="[BI vw_WeeklyStoreATV].[JoinKey].[All]" dimensionUniqueName="[BI vw_WeeklyStoreATV]" displayFolder="" count="0" memberValueDatatype="130" unbalanced="0"/>
    <cacheHierarchy uniqueName="[BI vw_WeeklyStoreATV].[NumTrans]" caption="NumTrans" attribute="1" defaultMemberUniqueName="[BI vw_WeeklyStoreATV].[NumTrans].[All]" allUniqueName="[BI vw_WeeklyStoreATV].[NumTrans].[All]" dimensionUniqueName="[BI vw_WeeklyStoreATV]" displayFolder="" count="0" memberValueDatatype="20" unbalanced="0"/>
    <cacheHierarchy uniqueName="[BI vw_WeeklyStoreATV].[NumTrans2]" caption="NumTrans2" attribute="1" defaultMemberUniqueName="[BI vw_WeeklyStoreATV].[NumTrans2].[All]" allUniqueName="[BI vw_WeeklyStoreATV].[NumTrans2].[All]" dimensionUniqueName="[BI vw_WeeklyStoreATV]" displayFolder="" count="0" memberValueDatatype="130" unbalanced="0"/>
    <cacheHierarchy uniqueName="[BI vw_WeeklyStoreATV].[OrderNumber]" caption="OrderNumber" attribute="1" defaultMemberUniqueName="[BI vw_WeeklyStoreATV].[OrderNumber].[All]" allUniqueName="[BI vw_WeeklyStoreATV].[OrderNumber].[All]" dimensionUniqueName="[BI vw_WeeklyStoreATV]" displayFolder="" count="0" memberValueDatatype="130" unbalanced="0"/>
    <cacheHierarchy uniqueName="[BI vw_WeeklyStoreATV].[SalesClassification]" caption="SalesClassification" attribute="1" defaultMemberUniqueName="[BI vw_WeeklyStoreATV].[SalesClassification].[All]" allUniqueName="[BI vw_WeeklyStoreATV].[SalesClassification].[All]" dimensionUniqueName="[BI vw_WeeklyStoreATV]" displayFolder="" count="0" memberValueDatatype="130" unbalanced="0"/>
    <cacheHierarchy uniqueName="[BI vw_WeeklyStoreATV].[SalesRetail]" caption="SalesRetail" attribute="1" defaultMemberUniqueName="[BI vw_WeeklyStoreATV].[SalesRetail].[All]" allUniqueName="[BI vw_WeeklyStoreATV].[SalesRetail].[All]" dimensionUniqueName="[BI vw_WeeklyStoreATV]" displayFolder="" count="0" memberValueDatatype="20" unbalanced="0"/>
    <cacheHierarchy uniqueName="[BI vw_WeeklyStoreATV].[Store_Country]" caption="Store_Country" attribute="1" defaultMemberUniqueName="[BI vw_WeeklyStoreATV].[Store_Country].[All]" allUniqueName="[BI vw_WeeklyStoreATV].[Store_Country].[All]" dimensionUniqueName="[BI vw_WeeklyStoreATV]" displayFolder="" count="0" memberValueDatatype="130" unbalanced="0"/>
    <cacheHierarchy uniqueName="[BI vw_WeeklyStoreATV].[StoreKey]" caption="StoreKey" attribute="1" defaultMemberUniqueName="[BI vw_WeeklyStoreATV].[StoreKey].[All]" allUniqueName="[BI vw_WeeklyStoreATV].[StoreKey].[All]" dimensionUniqueName="[BI vw_WeeklyStoreATV]" displayFolder="" count="0" memberValueDatatype="130" unbalanced="0"/>
    <cacheHierarchy uniqueName="[BI vw_WeeklyStoreTraffic].[Country]" caption="Country" attribute="1" defaultMemberUniqueName="[BI vw_WeeklyStoreTraffic].[Country].[All]" allUniqueName="[BI vw_WeeklyStoreTraffic].[Country].[All]" dimensionUniqueName="[BI vw_WeeklyStoreTraffic]" displayFolder="" count="0" memberValueDatatype="130" unbalanced="0"/>
    <cacheHierarchy uniqueName="[BI vw_WeeklyStoreTraffic].[finPeriod]" caption="finPeriod" attribute="1" defaultMemberUniqueName="[BI vw_WeeklyStoreTraffic].[finPeriod].[All]" allUniqueName="[BI vw_WeeklyStoreTraffic].[finPeriod].[All]" dimensionUniqueName="[BI vw_WeeklyStoreTraffic]" displayFolder="" count="0" memberValueDatatype="130" unbalanced="0"/>
    <cacheHierarchy uniqueName="[BI vw_WeeklyStoreTraffic].[JoinKey]" caption="JoinKey" attribute="1" defaultMemberUniqueName="[BI vw_WeeklyStoreTraffic].[JoinKey].[All]" allUniqueName="[BI vw_WeeklyStoreTraffic].[JoinKey].[All]" dimensionUniqueName="[BI vw_WeeklyStoreTraffic]" displayFolder="" count="0" memberValueDatatype="130" unbalanced="0"/>
    <cacheHierarchy uniqueName="[BI vw_WeeklyStoreTraffic].[Store]" caption="Store" attribute="1" defaultMemberUniqueName="[BI vw_WeeklyStoreTraffic].[Store].[All]" allUniqueName="[BI vw_WeeklyStoreTraffic].[Store].[All]" dimensionUniqueName="[BI vw_WeeklyStoreTraffic]" displayFolder="" count="0" memberValueDatatype="130" unbalanced="0"/>
    <cacheHierarchy uniqueName="[BI vw_WeeklyStoreTraffic].[storekey]" caption="storekey" attribute="1" defaultMemberUniqueName="[BI vw_WeeklyStoreTraffic].[storekey].[All]" allUniqueName="[BI vw_WeeklyStoreTraffic].[storekey].[All]" dimensionUniqueName="[BI vw_WeeklyStoreTraffic]" displayFolder="" count="0" memberValueDatatype="130" unbalanced="0"/>
    <cacheHierarchy uniqueName="[BI vw_WeeklyStoreTraffic].[Traffic]" caption="Traffic" attribute="1" defaultMemberUniqueName="[BI vw_WeeklyStoreTraffic].[Traffic].[All]" allUniqueName="[BI vw_WeeklyStoreTraffic].[Traffic].[All]" dimensionUniqueName="[BI vw_WeeklyStoreTraffic]" displayFolder="" count="0" memberValueDatatype="20" unbalanced="0"/>
    <cacheHierarchy uniqueName="[BI vw_WeeklyWrittenSalesMetrics].[ATV_JoinKey]" caption="ATV_JoinKey" attribute="1" defaultMemberUniqueName="[BI vw_WeeklyWrittenSalesMetrics].[ATV_JoinKey].[All]" allUniqueName="[BI vw_WeeklyWrittenSalesMetrics].[ATV_JoinKey].[All]" dimensionUniqueName="[BI vw_WeeklyWrittenSalesMetrics]" displayFolder="" count="0" memberValueDatatype="130" unbalanced="0"/>
    <cacheHierarchy uniqueName="[BI vw_WeeklyWrittenSalesMetrics].[Branch_Type]" caption="Branch_Type" attribute="1" defaultMemberUniqueName="[BI vw_WeeklyWrittenSalesMetrics].[Branch_Type].[All]" allUniqueName="[BI vw_WeeklyWrittenSalesMetrics].[Branch_Type].[All]" dimensionUniqueName="[BI vw_WeeklyWrittenSalesMetrics]" displayFolder="" count="2" memberValueDatatype="130" unbalanced="0">
      <fieldsUsage count="2">
        <fieldUsage x="-1"/>
        <fieldUsage x="8"/>
      </fieldsUsage>
    </cacheHierarchy>
    <cacheHierarchy uniqueName="[BI vw_WeeklyWrittenSalesMetrics].[BudgetByItem_JoinKey]" caption="BudgetByItem_JoinKey" attribute="1" defaultMemberUniqueName="[BI vw_WeeklyWrittenSalesMetrics].[BudgetByItem_JoinKey].[All]" allUniqueName="[BI vw_WeeklyWrittenSalesMetrics].[BudgetByItem_JoinKey].[All]" dimensionUniqueName="[BI vw_WeeklyWrittenSalesMetrics]" displayFolder="" count="0" memberValueDatatype="130" unbalanced="0"/>
    <cacheHierarchy uniqueName="[BI vw_WeeklyWrittenSalesMetrics].[BudgetByStore_JoinKey]" caption="BudgetByStore_JoinKey" attribute="1" defaultMemberUniqueName="[BI vw_WeeklyWrittenSalesMetrics].[BudgetByStore_JoinKey].[All]" allUniqueName="[BI vw_WeeklyWrittenSalesMetrics].[BudgetByStore_JoinKey].[All]" dimensionUniqueName="[BI vw_WeeklyWrittenSalesMetrics]" displayFolder="" count="0" memberValueDatatype="130" unbalanced="0"/>
    <cacheHierarchy uniqueName="[BI vw_WeeklyWrittenSalesMetrics].[BudgetByWeek_JoinKey]" caption="BudgetByWeek_JoinKey" attribute="1" defaultMemberUniqueName="[BI vw_WeeklyWrittenSalesMetrics].[BudgetByWeek_JoinKey].[All]" allUniqueName="[BI vw_WeeklyWrittenSalesMetrics].[BudgetByWeek_JoinKey].[All]" dimensionUniqueName="[BI vw_WeeklyWrittenSalesMetrics]" displayFolder="" count="0" memberValueDatatype="130" unbalanced="0"/>
    <cacheHierarchy uniqueName="[BI vw_WeeklyWrittenSalesMetrics].[BudgetDigital_JoinKey]" caption="BudgetDigital_JoinKey" attribute="1" defaultMemberUniqueName="[BI vw_WeeklyWrittenSalesMetrics].[BudgetDigital_JoinKey].[All]" allUniqueName="[BI vw_WeeklyWrittenSalesMetrics].[BudgetDigital_JoinKey].[All]" dimensionUniqueName="[BI vw_WeeklyWrittenSalesMetrics]" displayFolder="" count="0" memberValueDatatype="130" unbalanced="0"/>
    <cacheHierarchy uniqueName="[BI vw_WeeklyWrittenSalesMetrics].[BudgetOnlineByStore_JoinKey]" caption="BudgetOnlineByStore_JoinKey" attribute="1" defaultMemberUniqueName="[BI vw_WeeklyWrittenSalesMetrics].[BudgetOnlineByStore_JoinKey].[All]" allUniqueName="[BI vw_WeeklyWrittenSalesMetrics].[BudgetOnlineByStore_JoinKey].[All]" dimensionUniqueName="[BI vw_WeeklyWrittenSalesMetrics]" displayFolder="" count="0" memberValueDatatype="130" unbalanced="0"/>
    <cacheHierarchy uniqueName="[BI vw_WeeklyWrittenSalesMetrics].[Channel]" caption="Channel" attribute="1" defaultMemberUniqueName="[BI vw_WeeklyWrittenSalesMetrics].[Channel].[All]" allUniqueName="[BI vw_WeeklyWrittenSalesMetrics].[Channel].[All]" dimensionUniqueName="[BI vw_WeeklyWrittenSalesMetrics]" displayFolder="" count="2" memberValueDatatype="130" unbalanced="0">
      <fieldsUsage count="2">
        <fieldUsage x="-1"/>
        <fieldUsage x="12"/>
      </fieldsUsage>
    </cacheHierarchy>
    <cacheHierarchy uniqueName="[BI vw_WeeklyWrittenSalesMetrics].[ClassDesc]" caption="ClassDesc" attribute="1" defaultMemberUniqueName="[BI vw_WeeklyWrittenSalesMetrics].[ClassDesc].[All]" allUniqueName="[BI vw_WeeklyWrittenSalesMetrics].[ClassDesc].[All]" dimensionUniqueName="[BI vw_WeeklyWrittenSalesMetrics]" displayFolder="" count="0" memberValueDatatype="130" unbalanced="0"/>
    <cacheHierarchy uniqueName="[BI vw_WeeklyWrittenSalesMetrics].[Country]" caption="Country" attribute="1" defaultMemberUniqueName="[BI vw_WeeklyWrittenSalesMetrics].[Country].[All]" allUniqueName="[BI vw_WeeklyWrittenSalesMetrics].[Country].[All]" dimensionUniqueName="[BI vw_WeeklyWrittenSalesMetrics]" displayFolder="" count="2" memberValueDatatype="130" unbalanced="0">
      <fieldsUsage count="2">
        <fieldUsage x="-1"/>
        <fieldUsage x="10"/>
      </fieldsUsage>
    </cacheHierarchy>
    <cacheHierarchy uniqueName="[BI vw_WeeklyWrittenSalesMetrics].[DepartmentDesc]" caption="DepartmentDesc" attribute="1" defaultMemberUniqueName="[BI vw_WeeklyWrittenSalesMetrics].[DepartmentDesc].[All]" allUniqueName="[BI vw_WeeklyWrittenSalesMetrics].[DepartmentDesc].[All]" dimensionUniqueName="[BI vw_WeeklyWrittenSalesMetrics]" displayFolder="" count="0" memberValueDatatype="130" unbalanced="0"/>
    <cacheHierarchy uniqueName="[BI vw_WeeklyWrittenSalesMetrics].[Division]" caption="Division" attribute="1" defaultMemberUniqueName="[BI vw_WeeklyWrittenSalesMetrics].[Division].[All]" allUniqueName="[BI vw_WeeklyWrittenSalesMetrics].[Division].[All]" dimensionUniqueName="[BI vw_WeeklyWrittenSalesMetrics]" displayFolder="" count="2" memberValueDatatype="130" unbalanced="0">
      <fieldsUsage count="2">
        <fieldUsage x="-1"/>
        <fieldUsage x="9"/>
      </fieldsUsage>
    </cacheHierarchy>
    <cacheHierarchy uniqueName="[BI vw_WeeklyWrittenSalesMetrics].[Dropship]" caption="Dropship" attribute="1" defaultMemberUniqueName="[BI vw_WeeklyWrittenSalesMetrics].[Dropship].[All]" allUniqueName="[BI vw_WeeklyWrittenSalesMetrics].[Dropship].[All]" dimensionUniqueName="[BI vw_WeeklyWrittenSalesMetrics]" displayFolder="" count="0" memberValueDatatype="130" unbalanced="0"/>
    <cacheHierarchy uniqueName="[BI vw_WeeklyWrittenSalesMetrics].[DropshipBudget_JoinKey]" caption="DropshipBudget_JoinKey" attribute="1" defaultMemberUniqueName="[BI vw_WeeklyWrittenSalesMetrics].[DropshipBudget_JoinKey].[All]" allUniqueName="[BI vw_WeeklyWrittenSalesMetrics].[DropshipBudget_JoinKey].[All]" dimensionUniqueName="[BI vw_WeeklyWrittenSalesMetrics]" displayFolder="" count="0" memberValueDatatype="130" unbalanced="0"/>
    <cacheHierarchy uniqueName="[BI vw_WeeklyWrittenSalesMetrics].[FinPeriod]" caption="FinPeriod" attribute="1" defaultMemberUniqueName="[BI vw_WeeklyWrittenSalesMetrics].[FinPeriod].[All]" allUniqueName="[BI vw_WeeklyWrittenSalesMetrics].[FinPeriod].[All]" dimensionUniqueName="[BI vw_WeeklyWrittenSalesMetrics]" displayFolder="" count="0" memberValueDatatype="20" unbalanced="0"/>
    <cacheHierarchy uniqueName="[BI vw_WeeklyWrittenSalesMetrics].[FinPeriod_2025]" caption="FinPeriod_2025" attribute="1" defaultMemberUniqueName="[BI vw_WeeklyWrittenSalesMetrics].[FinPeriod_2025].[All]" allUniqueName="[BI vw_WeeklyWrittenSalesMetrics].[FinPeriod_2025].[All]" dimensionUniqueName="[BI vw_WeeklyWrittenSalesMetrics]" displayFolder="" count="0" memberValueDatatype="130" unbalanced="0"/>
    <cacheHierarchy uniqueName="[BI vw_WeeklyWrittenSalesMetrics].[FinPeriod_LY]" caption="FinPeriod_LY" attribute="1" defaultMemberUniqueName="[BI vw_WeeklyWrittenSalesMetrics].[FinPeriod_LY].[All]" allUniqueName="[BI vw_WeeklyWrittenSalesMetrics].[FinPeriod_LY].[All]" dimensionUniqueName="[BI vw_WeeklyWrittenSalesMetrics]" displayFolder="" count="0" memberValueDatatype="20" unbalanced="0"/>
    <cacheHierarchy uniqueName="[BI vw_WeeklyWrittenSalesMetrics].[FirstWeek-Month]" caption="FirstWeek-Month" attribute="1" defaultMemberUniqueName="[BI vw_WeeklyWrittenSalesMetrics].[FirstWeek-Month].[All]" allUniqueName="[BI vw_WeeklyWrittenSalesMetrics].[FirstWeek-Month].[All]" dimensionUniqueName="[BI vw_WeeklyWrittenSalesMetrics]" displayFolder="" count="0" memberValueDatatype="20" unbalanced="0"/>
    <cacheHierarchy uniqueName="[BI vw_WeeklyWrittenSalesMetrics].[FirstWeek-QTD]" caption="FirstWeek-QTD" attribute="1" defaultMemberUniqueName="[BI vw_WeeklyWrittenSalesMetrics].[FirstWeek-QTD].[All]" allUniqueName="[BI vw_WeeklyWrittenSalesMetrics].[FirstWeek-QTD].[All]" dimensionUniqueName="[BI vw_WeeklyWrittenSalesMetrics]" displayFolder="" count="0" memberValueDatatype="20" unbalanced="0"/>
    <cacheHierarchy uniqueName="[BI vw_WeeklyWrittenSalesMetrics].[FirstWeek-Year]" caption="FirstWeek-Year" attribute="1" defaultMemberUniqueName="[BI vw_WeeklyWrittenSalesMetrics].[FirstWeek-Year].[All]" allUniqueName="[BI vw_WeeklyWrittenSalesMetrics].[FirstWeek-Year].[All]" dimensionUniqueName="[BI vw_WeeklyWrittenSalesMetrics]" displayFolder="" count="0" memberValueDatatype="20" unbalanced="0"/>
    <cacheHierarchy uniqueName="[BI vw_WeeklyWrittenSalesMetrics].[Forcast_JoinKey]" caption="Forcast_JoinKey" attribute="1" defaultMemberUniqueName="[BI vw_WeeklyWrittenSalesMetrics].[Forcast_JoinKey].[All]" allUniqueName="[BI vw_WeeklyWrittenSalesMetrics].[Forcast_JoinKey].[All]" dimensionUniqueName="[BI vw_WeeklyWrittenSalesMetrics]" displayFolder="" count="0" memberValueDatatype="130" unbalanced="0"/>
    <cacheHierarchy uniqueName="[BI vw_WeeklyWrittenSalesMetrics].[ForcastByClass_JoinKey]" caption="ForcastByClass_JoinKey" attribute="1" defaultMemberUniqueName="[BI vw_WeeklyWrittenSalesMetrics].[ForcastByClass_JoinKey].[All]" allUniqueName="[BI vw_WeeklyWrittenSalesMetrics].[ForcastByClass_JoinKey].[All]" dimensionUniqueName="[BI vw_WeeklyWrittenSalesMetrics]" displayFolder="" count="0" memberValueDatatype="130" unbalanced="0"/>
    <cacheHierarchy uniqueName="[BI vw_WeeklyWrittenSalesMetrics].[SalesatFullRet]" caption="SalesatFullRet" attribute="1" defaultMemberUniqueName="[BI vw_WeeklyWrittenSalesMetrics].[SalesatFullRet].[All]" allUniqueName="[BI vw_WeeklyWrittenSalesMetrics].[SalesatFullRet].[All]" dimensionUniqueName="[BI vw_WeeklyWrittenSalesMetrics]" displayFolder="" count="0" memberValueDatatype="5" unbalanced="0"/>
    <cacheHierarchy uniqueName="[BI vw_WeeklyWrittenSalesMetrics].[SalesClassification]" caption="SalesClassification" attribute="1" defaultMemberUniqueName="[BI vw_WeeklyWrittenSalesMetrics].[SalesClassification].[All]" allUniqueName="[BI vw_WeeklyWrittenSalesMetrics].[SalesClassification].[All]" dimensionUniqueName="[BI vw_WeeklyWrittenSalesMetrics]" displayFolder="" count="0" memberValueDatatype="130" unbalanced="0"/>
    <cacheHierarchy uniqueName="[BI vw_WeeklyWrittenSalesMetrics].[SalesCost]" caption="SalesCost" attribute="1" defaultMemberUniqueName="[BI vw_WeeklyWrittenSalesMetrics].[SalesCost].[All]" allUniqueName="[BI vw_WeeklyWrittenSalesMetrics].[SalesCost].[All]" dimensionUniqueName="[BI vw_WeeklyWrittenSalesMetrics]" displayFolder="" count="0" memberValueDatatype="5" unbalanced="0"/>
    <cacheHierarchy uniqueName="[BI vw_WeeklyWrittenSalesMetrics].[SalesGM]" caption="SalesGM" attribute="1" defaultMemberUniqueName="[BI vw_WeeklyWrittenSalesMetrics].[SalesGM].[All]" allUniqueName="[BI vw_WeeklyWrittenSalesMetrics].[SalesGM].[All]" dimensionUniqueName="[BI vw_WeeklyWrittenSalesMetrics]" displayFolder="" count="0" memberValueDatatype="5" unbalanced="0"/>
    <cacheHierarchy uniqueName="[BI vw_WeeklyWrittenSalesMetrics].[SalesRetail]" caption="SalesRetail" attribute="1" defaultMemberUniqueName="[BI vw_WeeklyWrittenSalesMetrics].[SalesRetail].[All]" allUniqueName="[BI vw_WeeklyWrittenSalesMetrics].[SalesRetail].[All]" dimensionUniqueName="[BI vw_WeeklyWrittenSalesMetrics]" displayFolder="" count="0" memberValueDatatype="5" unbalanced="0"/>
    <cacheHierarchy uniqueName="[BI vw_WeeklyWrittenSalesMetrics].[SalesType]" caption="SalesType" attribute="1" defaultMemberUniqueName="[BI vw_WeeklyWrittenSalesMetrics].[SalesType].[All]" allUniqueName="[BI vw_WeeklyWrittenSalesMetrics].[SalesType].[All]" dimensionUniqueName="[BI vw_WeeklyWrittenSalesMetrics]" displayFolder="" count="0" memberValueDatatype="130" unbalanced="0"/>
    <cacheHierarchy uniqueName="[BI vw_WeeklyWrittenSalesMetrics].[SalesUnits]" caption="SalesUnits" attribute="1" defaultMemberUniqueName="[BI vw_WeeklyWrittenSalesMetrics].[SalesUnits].[All]" allUniqueName="[BI vw_WeeklyWrittenSalesMetrics].[SalesUnits].[All]" dimensionUniqueName="[BI vw_WeeklyWrittenSalesMetrics]" displayFolder="" count="0" memberValueDatatype="5" unbalanced="0"/>
    <cacheHierarchy uniqueName="[BI vw_WeeklyWrittenSalesMetrics].[Store]" caption="Store" attribute="1" defaultMemberUniqueName="[BI vw_WeeklyWrittenSalesMetrics].[Store].[All]" allUniqueName="[BI vw_WeeklyWrittenSalesMetrics].[Store].[All]" dimensionUniqueName="[BI vw_WeeklyWrittenSalesMetrics]" displayFolder="" count="0" memberValueDatatype="130" unbalanced="0"/>
    <cacheHierarchy uniqueName="[BI vw_WeeklyWrittenSalesMetrics].[StoreKey]" caption="StoreKey" attribute="1" defaultMemberUniqueName="[BI vw_WeeklyWrittenSalesMetrics].[StoreKey].[All]" allUniqueName="[BI vw_WeeklyWrittenSalesMetrics].[StoreKey].[All]" dimensionUniqueName="[BI vw_WeeklyWrittenSalesMetrics]" displayFolder="" count="0" memberValueDatatype="20" unbalanced="0"/>
    <cacheHierarchy uniqueName="[BI vw_WeeklyWrittenSalesMetrics].[SubDepartmentDesc]" caption="SubDepartmentDesc" attribute="1" defaultMemberUniqueName="[BI vw_WeeklyWrittenSalesMetrics].[SubDepartmentDesc].[All]" allUniqueName="[BI vw_WeeklyWrittenSalesMetrics].[SubDepartmentDesc].[All]" dimensionUniqueName="[BI vw_WeeklyWrittenSalesMetrics]" displayFolder="" count="0" memberValueDatatype="130" unbalanced="0"/>
    <cacheHierarchy uniqueName="[BI vw_WeeklyWrittenSalesMetrics].[TOTRETMD]" caption="TOTRETMD" attribute="1" defaultMemberUniqueName="[BI vw_WeeklyWrittenSalesMetrics].[TOTRETMD].[All]" allUniqueName="[BI vw_WeeklyWrittenSalesMetrics].[TOTRETMD].[All]" dimensionUniqueName="[BI vw_WeeklyWrittenSalesMetrics]" displayFolder="" count="0" memberValueDatatype="5" unbalanced="0"/>
    <cacheHierarchy uniqueName="[BI vw_WeeklyWrittenSalesMetrics].[Traffic_JoinKey]" caption="Traffic_JoinKey" attribute="1" defaultMemberUniqueName="[BI vw_WeeklyWrittenSalesMetrics].[Traffic_JoinKey].[All]" allUniqueName="[BI vw_WeeklyWrittenSalesMetrics].[Traffic_JoinKey].[All]" dimensionUniqueName="[BI vw_WeeklyWrittenSalesMetrics]" displayFolder="" count="0" memberValueDatatype="130" unbalanced="0"/>
    <cacheHierarchy uniqueName="[BI vw_WeeklyWrittenSalesMetrics].[WeeklyItemSaleKey]" caption="WeeklyItemSaleKey" attribute="1" defaultMemberUniqueName="[BI vw_WeeklyWrittenSalesMetrics].[WeeklyItemSaleKey].[All]" allUniqueName="[BI vw_WeeklyWrittenSalesMetrics].[WeeklyItemSaleKey].[All]" dimensionUniqueName="[BI vw_WeeklyWrittenSalesMetrics]" displayFolder="" count="0" memberValueDatatype="130" unbalanced="0"/>
    <cacheHierarchy uniqueName="[Dim_Category].[Column_Name]" caption="Column_Name" attribute="1" defaultMemberUniqueName="[Dim_Category].[Column_Name].[All]" allUniqueName="[Dim_Category].[Column_Name].[All]" dimensionUniqueName="[Dim_Category]" displayFolder="" count="0" memberValueDatatype="130" unbalanced="0"/>
    <cacheHierarchy uniqueName="[Dim_Category].[Sort N]" caption="Sort N" attribute="1" defaultMemberUniqueName="[Dim_Category].[Sort N].[All]" allUniqueName="[Dim_Category].[Sort N].[All]" dimensionUniqueName="[Dim_Category]" displayFolder="" count="0" memberValueDatatype="20" unbalanced="0"/>
    <cacheHierarchy uniqueName="[dim_period].[Current Date]" caption="Current Date" attribute="1" time="1" defaultMemberUniqueName="[dim_period].[Current Date].[All]" allUniqueName="[dim_period].[Current Date].[All]" dimensionUniqueName="[dim_period]" displayFolder="" count="0" memberValueDatatype="7" unbalanced="0"/>
    <cacheHierarchy uniqueName="[dim_period].[Date]" caption="Date" attribute="1" time="1" defaultMemberUniqueName="[dim_period].[Date].[All]" allUniqueName="[dim_period].[Date].[All]" dimensionUniqueName="[dim_period]" displayFolder="" count="0" memberValueDatatype="7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inPeriod_BeforeToday]" caption="finPeriod_BeforeToday" attribute="1" defaultMemberUniqueName="[dim_period].[finPeriod_BeforeToday].[All]" allUniqueName="[dim_period].[finPeriod_BeforeToday].[All]" dimensionUniqueName="[dim_period]" displayFolder="" count="0" memberValueDatatype="13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Month_NumberY]" caption="Month_NumberY" attribute="1" defaultMemberUniqueName="[dim_period].[Month_NumberY].[All]" allUniqueName="[dim_period].[Month_NumberY].[All]" dimensionUniqueName="[dim_period]" displayFolder="" count="0" memberValueDatatype="2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dim_period].[Year_New]" caption="Year_New" attribute="1" defaultMemberUniqueName="[dim_period].[Year_New].[All]" allUniqueName="[dim_period].[Year_New].[All]" dimensionUniqueName="[dim_period]" displayFolder="" count="0" memberValueDatatype="20" unbalanced="0"/>
    <cacheHierarchy uniqueName="[ForcastByClass].[Branch Type]" caption="Branch Type" attribute="1" defaultMemberUniqueName="[ForcastByClass].[Branch Type].[All]" allUniqueName="[ForcastByClass].[Branch Type].[All]" dimensionUniqueName="[ForcastByClass]" displayFolder="" count="0" memberValueDatatype="130" unbalanced="0"/>
    <cacheHierarchy uniqueName="[ForcastByClass].[Class]" caption="Class" attribute="1" defaultMemberUniqueName="[ForcastByClass].[Class].[All]" allUniqueName="[ForcastByClass].[Class].[All]" dimensionUniqueName="[ForcastByClass]" displayFolder="" count="0" memberValueDatatype="130" unbalanced="0"/>
    <cacheHierarchy uniqueName="[ForcastByClass].[Country]" caption="Country" attribute="1" defaultMemberUniqueName="[ForcastByClass].[Country].[All]" allUniqueName="[ForcastByClass].[Country].[All]" dimensionUniqueName="[ForcastByClass]" displayFolder="" count="0" memberValueDatatype="130" unbalanced="0"/>
    <cacheHierarchy uniqueName="[ForcastByClass].[CountryN]" caption="CountryN" attribute="1" defaultMemberUniqueName="[ForcastByClass].[CountryN].[All]" allUniqueName="[ForcastByClass].[CountryN].[All]" dimensionUniqueName="[ForcastByClass]" displayFolder="" count="0" memberValueDatatype="130" unbalanced="0"/>
    <cacheHierarchy uniqueName="[ForcastByClass].[FClassKey]" caption="FClassKey" attribute="1" defaultMemberUniqueName="[ForcastByClass].[FClassKey].[All]" allUniqueName="[ForcastByClass].[FClassKey].[All]" dimensionUniqueName="[ForcastByClass]" displayFolder="" count="0" memberValueDatatype="130" unbalanced="0"/>
    <cacheHierarchy uniqueName="[ForcastByClass].[FinPeriod]" caption="FinPeriod" attribute="1" defaultMemberUniqueName="[ForcastByClass].[FinPeriod].[All]" allUniqueName="[ForcastByClass].[FinPeriod].[All]" dimensionUniqueName="[ForcastByClass]" displayFolder="" count="0" memberValueDatatype="130" unbalanced="0"/>
    <cacheHierarchy uniqueName="[ForcastByClass].[FinWeek]" caption="FinWeek" attribute="1" defaultMemberUniqueName="[ForcastByClass].[FinWeek].[All]" allUniqueName="[ForcastByClass].[FinWeek].[All]" dimensionUniqueName="[ForcastByClass]" displayFolder="" count="0" memberValueDatatype="20" unbalanced="0"/>
    <cacheHierarchy uniqueName="[ForcastByClass].[FinYear]" caption="FinYear" attribute="1" defaultMemberUniqueName="[ForcastByClass].[FinYear].[All]" allUniqueName="[ForcastByClass].[FinYear].[All]" dimensionUniqueName="[ForcastByClass]" displayFolder="" count="0" memberValueDatatype="130" unbalanced="0"/>
    <cacheHierarchy uniqueName="[ForcastByClass].[ForcastDollars]" caption="ForcastDollars" attribute="1" defaultMemberUniqueName="[ForcastByClass].[ForcastDollars].[All]" allUniqueName="[ForcastByClass].[ForcastDollars].[All]" dimensionUniqueName="[ForcastByClass]" displayFolder="" count="0" memberValueDatatype="5" unbalanced="0"/>
    <cacheHierarchy uniqueName="[ForcastByClass].[StoreType]" caption="StoreType" attribute="1" defaultMemberUniqueName="[ForcastByClass].[StoreType].[All]" allUniqueName="[ForcastByClass].[StoreType].[All]" dimensionUniqueName="[ForcastByClass]" displayFolder="" count="0" memberValueDatatype="130" unbalanced="0"/>
    <cacheHierarchy uniqueName="[Forecast].[Branch Type]" caption="Branch Type" attribute="1" defaultMemberUniqueName="[Forecast].[Branch Type].[All]" allUniqueName="[Forecast].[Branch Type].[All]" dimensionUniqueName="[Forecast]" displayFolder="" count="0" memberValueDatatype="130" unbalanced="0"/>
    <cacheHierarchy uniqueName="[Forecast].[Channel]" caption="Channel" attribute="1" defaultMemberUniqueName="[Forecast].[Channel].[All]" allUniqueName="[Forecast].[Channel].[All]" dimensionUniqueName="[Forecast]" displayFolder="" count="0" memberValueDatatype="130" unbalanced="0"/>
    <cacheHierarchy uniqueName="[Forecast].[Class]" caption="Class" attribute="1" defaultMemberUniqueName="[Forecast].[Class].[All]" allUniqueName="[Forecast].[Class].[All]" dimensionUniqueName="[Forecast]" displayFolder="" count="0" memberValueDatatype="130" unbalanced="0"/>
    <cacheHierarchy uniqueName="[Forecast].[Class-1]" caption="Class-1" attribute="1" defaultMemberUniqueName="[Forecast].[Class-1].[All]" allUniqueName="[Forecast].[Class-1].[All]" dimensionUniqueName="[Forecast]" displayFolder="" count="0" memberValueDatatype="130" unbalanced="0"/>
    <cacheHierarchy uniqueName="[Forecast].[Column3 - Copy]" caption="Column3 - Copy" attribute="1" defaultMemberUniqueName="[Forecast].[Column3 - Copy].[All]" allUniqueName="[Forecast].[Column3 - Copy].[All]" dimensionUniqueName="[Forecast]" displayFolder="" count="0" memberValueDatatype="130" unbalanced="0"/>
    <cacheHierarchy uniqueName="[Forecast].[Country]" caption="Country" attribute="1" defaultMemberUniqueName="[Forecast].[Country].[All]" allUniqueName="[Forecast].[Country].[All]" dimensionUniqueName="[Forecast]" displayFolder="" count="0" memberValueDatatype="130" unbalanced="0"/>
    <cacheHierarchy uniqueName="[Forecast].[CountryN]" caption="CountryN" attribute="1" defaultMemberUniqueName="[Forecast].[CountryN].[All]" allUniqueName="[Forecast].[CountryN].[All]" dimensionUniqueName="[Forecast]" displayFolder="" count="0" memberValueDatatype="130" unbalanced="0"/>
    <cacheHierarchy uniqueName="[Forecast].[FClassKey]" caption="FClassKey" attribute="1" defaultMemberUniqueName="[Forecast].[FClassKey].[All]" allUniqueName="[Forecast].[FClassKey].[All]" dimensionUniqueName="[Forecast]" displayFolder="" count="0" memberValueDatatype="130" unbalanced="0"/>
    <cacheHierarchy uniqueName="[Forecast].[Fin_Period]" caption="Fin_Period" attribute="1" defaultMemberUniqueName="[Forecast].[Fin_Period].[All]" allUniqueName="[Forecast].[Fin_Period].[All]" dimensionUniqueName="[Forecast]" displayFolder="" count="0" memberValueDatatype="20" unbalanced="0"/>
    <cacheHierarchy uniqueName="[Forecast].[FinWeek]" caption="FinWeek" attribute="1" defaultMemberUniqueName="[Forecast].[FinWeek].[All]" allUniqueName="[Forecast].[FinWeek].[All]" dimensionUniqueName="[Forecast]" displayFolder="" count="0" memberValueDatatype="20" unbalanced="0"/>
    <cacheHierarchy uniqueName="[Forecast].[ForcastDollars]" caption="ForcastDollars" attribute="1" defaultMemberUniqueName="[Forecast].[ForcastDollars].[All]" allUniqueName="[Forecast].[ForcastDollars].[All]" dimensionUniqueName="[Forecast]" displayFolder="" count="0" memberValueDatatype="5" unbalanced="0"/>
    <cacheHierarchy uniqueName="[Forecast].[GM$]" caption="GM$" attribute="1" defaultMemberUniqueName="[Forecast].[GM$].[All]" allUniqueName="[Forecast].[GM$].[All]" dimensionUniqueName="[Forecast]" displayFolder="" count="0" memberValueDatatype="5" unbalanced="0"/>
    <cacheHierarchy uniqueName="[Forecast].[GM%]" caption="GM%" attribute="1" defaultMemberUniqueName="[Forecast].[GM%].[All]" allUniqueName="[Forecast].[GM%].[All]" dimensionUniqueName="[Forecast]" displayFolder="" count="0" memberValueDatatype="5" unbalanced="0"/>
    <cacheHierarchy uniqueName="[Forecast].[Period]" caption="Period" attribute="1" defaultMemberUniqueName="[Forecast].[Period].[All]" allUniqueName="[Forecast].[Period].[All]" dimensionUniqueName="[Forecast]" displayFolder="" count="0" memberValueDatatype="130" unbalanced="0"/>
    <cacheHierarchy uniqueName="[Forecast].[StoreType]" caption="StoreType" attribute="1" defaultMemberUniqueName="[Forecast].[StoreType].[All]" allUniqueName="[Forecast].[StoreType].[All]" dimensionUniqueName="[Forecast]" displayFolder="" count="0" memberValueDatatype="130" unbalanced="0"/>
    <cacheHierarchy uniqueName="[Measure].[StoreKey]" caption="StoreKey" attribute="1" defaultMemberUniqueName="[Measure].[StoreKey].[All]" allUniqueName="[Measure].[StoreKey].[All]" dimensionUniqueName="[Measure]" displayFolder="" count="0" memberValueDatatype="130" unbalanced="0"/>
    <cacheHierarchy uniqueName="[Measure Categories].[Cat Sort]" caption="Cat Sort" attribute="1" defaultMemberUniqueName="[Measure Categories].[Cat Sort].[All]" allUniqueName="[Measure Categories].[Cat Sort].[All]" dimensionUniqueName="[Measure Categories]" displayFolder="" count="0" memberValueDatatype="20" unbalanced="0"/>
    <cacheHierarchy uniqueName="[Measure Categories].[Measure Categories]" caption="Measure Categories" attribute="1" defaultMemberUniqueName="[Measure Categories].[Measure Categories].[All]" allUniqueName="[Measure Categories].[Measure Categories].[All]" dimensionUniqueName="[Measure Categories]" displayFolder="" count="0" memberValueDatatype="130" unbalanced="0"/>
    <cacheHierarchy uniqueName="[Product Parameter].[Product Parameter]" caption="Product Parameter" attribute="1" defaultMemberUniqueName="[Product Parameter].[Product Parameter].[All]" allUniqueName="[Product Parameter].[Product Parameter].[All]" dimensionUniqueName="[Product Parameter]" displayFolder="" count="0" memberValueDatatype="130" unbalanced="0"/>
    <cacheHierarchy uniqueName="[Query1].[Column1]" caption="Column1" attribute="1" time="1" defaultMemberUniqueName="[Query1].[Column1].[All]" allUniqueName="[Query1].[Column1].[All]" dimensionUniqueName="[Query1]" displayFolder="" count="0" memberValueDatatype="7" unbalanced="0"/>
    <cacheHierarchy uniqueName="[Query2].[Column1]" caption="Column1" attribute="1" defaultMemberUniqueName="[Query2].[Column1].[All]" allUniqueName="[Query2].[Column1].[All]" dimensionUniqueName="[Query2]" displayFolder="" count="0" memberValueDatatype="13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2" memberValueDatatype="130" unbalanced="0">
      <fieldsUsage count="2">
        <fieldUsage x="-1"/>
        <fieldUsage x="7"/>
      </fieldsUsage>
    </cacheHierarchy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LocalDateTable_0d9eeced-3257-4609-8cfb-234f1d7c24d7].[Date]" caption="Date" attribute="1" time="1" defaultMemberUniqueName="[LocalDateTable_0d9eeced-3257-4609-8cfb-234f1d7c24d7].[Date].[All]" allUniqueName="[LocalDateTable_0d9eeced-3257-4609-8cfb-234f1d7c24d7].[Date].[All]" dimensionUniqueName="[LocalDateTable_0d9eeced-3257-4609-8cfb-234f1d7c24d7]" displayFolder="" count="0" memberValueDatatype="7" unbalanced="0" hidden="1"/>
    <cacheHierarchy uniqueName="[LocalDateTable_0d9eeced-3257-4609-8cfb-234f1d7c24d7].[Day]" caption="Day" attribute="1" defaultMemberUniqueName="[LocalDateTable_0d9eeced-3257-4609-8cfb-234f1d7c24d7].[Day].[All]" allUniqueName="[LocalDateTable_0d9eeced-3257-4609-8cfb-234f1d7c24d7].[Day].[All]" dimensionUniqueName="[LocalDateTable_0d9eeced-3257-4609-8cfb-234f1d7c24d7]" displayFolder="" count="0" memberValueDatatype="20" unbalanced="0" hidden="1"/>
    <cacheHierarchy uniqueName="[LocalDateTable_0d9eeced-3257-4609-8cfb-234f1d7c24d7].[Month]" caption="Month" attribute="1" defaultMemberUniqueName="[LocalDateTable_0d9eeced-3257-4609-8cfb-234f1d7c24d7].[Month].[All]" allUniqueName="[LocalDateTable_0d9eeced-3257-4609-8cfb-234f1d7c24d7].[Month].[All]" dimensionUniqueName="[LocalDateTable_0d9eeced-3257-4609-8cfb-234f1d7c24d7]" displayFolder="" count="0" memberValueDatatype="130" unbalanced="0" hidden="1"/>
    <cacheHierarchy uniqueName="[LocalDateTable_0d9eeced-3257-4609-8cfb-234f1d7c24d7].[MonthNo]" caption="MonthNo" attribute="1" defaultMemberUniqueName="[LocalDateTable_0d9eeced-3257-4609-8cfb-234f1d7c24d7].[MonthNo].[All]" allUniqueName="[LocalDateTable_0d9eeced-3257-4609-8cfb-234f1d7c24d7].[MonthNo].[All]" dimensionUniqueName="[LocalDateTable_0d9eeced-3257-4609-8cfb-234f1d7c24d7]" displayFolder="" count="0" memberValueDatatype="20" unbalanced="0" hidden="1"/>
    <cacheHierarchy uniqueName="[LocalDateTable_0d9eeced-3257-4609-8cfb-234f1d7c24d7].[Quarter]" caption="Quarter" attribute="1" defaultMemberUniqueName="[LocalDateTable_0d9eeced-3257-4609-8cfb-234f1d7c24d7].[Quarter].[All]" allUniqueName="[LocalDateTable_0d9eeced-3257-4609-8cfb-234f1d7c24d7].[Quarter].[All]" dimensionUniqueName="[LocalDateTable_0d9eeced-3257-4609-8cfb-234f1d7c24d7]" displayFolder="" count="0" memberValueDatatype="130" unbalanced="0" hidden="1"/>
    <cacheHierarchy uniqueName="[LocalDateTable_0d9eeced-3257-4609-8cfb-234f1d7c24d7].[QuarterNo]" caption="QuarterNo" attribute="1" defaultMemberUniqueName="[LocalDateTable_0d9eeced-3257-4609-8cfb-234f1d7c24d7].[QuarterNo].[All]" allUniqueName="[LocalDateTable_0d9eeced-3257-4609-8cfb-234f1d7c24d7].[QuarterNo].[All]" dimensionUniqueName="[LocalDateTable_0d9eeced-3257-4609-8cfb-234f1d7c24d7]" displayFolder="" count="0" memberValueDatatype="20" unbalanced="0" hidden="1"/>
    <cacheHierarchy uniqueName="[LocalDateTable_0d9eeced-3257-4609-8cfb-234f1d7c24d7].[Year]" caption="Year" attribute="1" defaultMemberUniqueName="[LocalDateTable_0d9eeced-3257-4609-8cfb-234f1d7c24d7].[Year].[All]" allUniqueName="[LocalDateTable_0d9eeced-3257-4609-8cfb-234f1d7c24d7].[Year].[All]" dimensionUniqueName="[LocalDateTable_0d9eeced-3257-4609-8cfb-234f1d7c24d7]" displayFolder="" count="0" memberValueDatatype="20" unbalanced="0" hidden="1"/>
    <cacheHierarchy uniqueName="[LocalDateTable_3a17192d-ec7c-4dba-ac0e-bcf6b3a6a0ff].[Date]" caption="Date" attribute="1" time="1" defaultMemberUniqueName="[LocalDateTable_3a17192d-ec7c-4dba-ac0e-bcf6b3a6a0ff].[Date].[All]" allUniqueName="[LocalDateTable_3a17192d-ec7c-4dba-ac0e-bcf6b3a6a0ff].[Date].[All]" dimensionUniqueName="[LocalDateTable_3a17192d-ec7c-4dba-ac0e-bcf6b3a6a0ff]" displayFolder="" count="0" memberValueDatatype="7" unbalanced="0" hidden="1"/>
    <cacheHierarchy uniqueName="[LocalDateTable_3a17192d-ec7c-4dba-ac0e-bcf6b3a6a0ff].[Day]" caption="Day" attribute="1" defaultMemberUniqueName="[LocalDateTable_3a17192d-ec7c-4dba-ac0e-bcf6b3a6a0ff].[Day].[All]" allUniqueName="[LocalDateTable_3a17192d-ec7c-4dba-ac0e-bcf6b3a6a0ff].[Day].[All]" dimensionUniqueName="[LocalDateTable_3a17192d-ec7c-4dba-ac0e-bcf6b3a6a0ff]" displayFolder="" count="0" memberValueDatatype="20" unbalanced="0" hidden="1"/>
    <cacheHierarchy uniqueName="[LocalDateTable_3a17192d-ec7c-4dba-ac0e-bcf6b3a6a0ff].[Month]" caption="Month" attribute="1" defaultMemberUniqueName="[LocalDateTable_3a17192d-ec7c-4dba-ac0e-bcf6b3a6a0ff].[Month].[All]" allUniqueName="[LocalDateTable_3a17192d-ec7c-4dba-ac0e-bcf6b3a6a0ff].[Month].[All]" dimensionUniqueName="[LocalDateTable_3a17192d-ec7c-4dba-ac0e-bcf6b3a6a0ff]" displayFolder="" count="0" memberValueDatatype="130" unbalanced="0" hidden="1"/>
    <cacheHierarchy uniqueName="[LocalDateTable_3a17192d-ec7c-4dba-ac0e-bcf6b3a6a0ff].[MonthNo]" caption="MonthNo" attribute="1" defaultMemberUniqueName="[LocalDateTable_3a17192d-ec7c-4dba-ac0e-bcf6b3a6a0ff].[MonthNo].[All]" allUniqueName="[LocalDateTable_3a17192d-ec7c-4dba-ac0e-bcf6b3a6a0ff].[MonthNo].[All]" dimensionUniqueName="[LocalDateTable_3a17192d-ec7c-4dba-ac0e-bcf6b3a6a0ff]" displayFolder="" count="0" memberValueDatatype="20" unbalanced="0" hidden="1"/>
    <cacheHierarchy uniqueName="[LocalDateTable_3a17192d-ec7c-4dba-ac0e-bcf6b3a6a0ff].[Quarter]" caption="Quarter" attribute="1" defaultMemberUniqueName="[LocalDateTable_3a17192d-ec7c-4dba-ac0e-bcf6b3a6a0ff].[Quarter].[All]" allUniqueName="[LocalDateTable_3a17192d-ec7c-4dba-ac0e-bcf6b3a6a0ff].[Quarter].[All]" dimensionUniqueName="[LocalDateTable_3a17192d-ec7c-4dba-ac0e-bcf6b3a6a0ff]" displayFolder="" count="0" memberValueDatatype="130" unbalanced="0" hidden="1"/>
    <cacheHierarchy uniqueName="[LocalDateTable_3a17192d-ec7c-4dba-ac0e-bcf6b3a6a0ff].[QuarterNo]" caption="QuarterNo" attribute="1" defaultMemberUniqueName="[LocalDateTable_3a17192d-ec7c-4dba-ac0e-bcf6b3a6a0ff].[QuarterNo].[All]" allUniqueName="[LocalDateTable_3a17192d-ec7c-4dba-ac0e-bcf6b3a6a0ff].[QuarterNo].[All]" dimensionUniqueName="[LocalDateTable_3a17192d-ec7c-4dba-ac0e-bcf6b3a6a0ff]" displayFolder="" count="0" memberValueDatatype="20" unbalanced="0" hidden="1"/>
    <cacheHierarchy uniqueName="[LocalDateTable_3a17192d-ec7c-4dba-ac0e-bcf6b3a6a0ff].[Year]" caption="Year" attribute="1" defaultMemberUniqueName="[LocalDateTable_3a17192d-ec7c-4dba-ac0e-bcf6b3a6a0ff].[Year].[All]" allUniqueName="[LocalDateTable_3a17192d-ec7c-4dba-ac0e-bcf6b3a6a0ff].[Year].[All]" dimensionUniqueName="[LocalDateTable_3a17192d-ec7c-4dba-ac0e-bcf6b3a6a0ff]" displayFolder="" count="0" memberValueDatatype="20" unbalanced="0" hidden="1"/>
    <cacheHierarchy uniqueName="[LocalDateTable_3f117c71-2c04-4fa5-8c23-2b2c1ab14338].[Date]" caption="Date" attribute="1" time="1" defaultMemberUniqueName="[LocalDateTable_3f117c71-2c04-4fa5-8c23-2b2c1ab14338].[Date].[All]" allUniqueName="[LocalDateTable_3f117c71-2c04-4fa5-8c23-2b2c1ab14338].[Date].[All]" dimensionUniqueName="[LocalDateTable_3f117c71-2c04-4fa5-8c23-2b2c1ab14338]" displayFolder="" count="0" memberValueDatatype="7" unbalanced="0" hidden="1"/>
    <cacheHierarchy uniqueName="[LocalDateTable_3f117c71-2c04-4fa5-8c23-2b2c1ab14338].[Day]" caption="Day" attribute="1" defaultMemberUniqueName="[LocalDateTable_3f117c71-2c04-4fa5-8c23-2b2c1ab14338].[Day].[All]" allUniqueName="[LocalDateTable_3f117c71-2c04-4fa5-8c23-2b2c1ab14338].[Day].[All]" dimensionUniqueName="[LocalDateTable_3f117c71-2c04-4fa5-8c23-2b2c1ab14338]" displayFolder="" count="0" memberValueDatatype="20" unbalanced="0" hidden="1"/>
    <cacheHierarchy uniqueName="[LocalDateTable_3f117c71-2c04-4fa5-8c23-2b2c1ab14338].[Month]" caption="Month" attribute="1" defaultMemberUniqueName="[LocalDateTable_3f117c71-2c04-4fa5-8c23-2b2c1ab14338].[Month].[All]" allUniqueName="[LocalDateTable_3f117c71-2c04-4fa5-8c23-2b2c1ab14338].[Month].[All]" dimensionUniqueName="[LocalDateTable_3f117c71-2c04-4fa5-8c23-2b2c1ab14338]" displayFolder="" count="0" memberValueDatatype="130" unbalanced="0" hidden="1"/>
    <cacheHierarchy uniqueName="[LocalDateTable_3f117c71-2c04-4fa5-8c23-2b2c1ab14338].[MonthNo]" caption="MonthNo" attribute="1" defaultMemberUniqueName="[LocalDateTable_3f117c71-2c04-4fa5-8c23-2b2c1ab14338].[MonthNo].[All]" allUniqueName="[LocalDateTable_3f117c71-2c04-4fa5-8c23-2b2c1ab14338].[MonthNo].[All]" dimensionUniqueName="[LocalDateTable_3f117c71-2c04-4fa5-8c23-2b2c1ab14338]" displayFolder="" count="0" memberValueDatatype="20" unbalanced="0" hidden="1"/>
    <cacheHierarchy uniqueName="[LocalDateTable_3f117c71-2c04-4fa5-8c23-2b2c1ab14338].[Quarter]" caption="Quarter" attribute="1" defaultMemberUniqueName="[LocalDateTable_3f117c71-2c04-4fa5-8c23-2b2c1ab14338].[Quarter].[All]" allUniqueName="[LocalDateTable_3f117c71-2c04-4fa5-8c23-2b2c1ab14338].[Quarter].[All]" dimensionUniqueName="[LocalDateTable_3f117c71-2c04-4fa5-8c23-2b2c1ab14338]" displayFolder="" count="0" memberValueDatatype="130" unbalanced="0" hidden="1"/>
    <cacheHierarchy uniqueName="[LocalDateTable_3f117c71-2c04-4fa5-8c23-2b2c1ab14338].[QuarterNo]" caption="QuarterNo" attribute="1" defaultMemberUniqueName="[LocalDateTable_3f117c71-2c04-4fa5-8c23-2b2c1ab14338].[QuarterNo].[All]" allUniqueName="[LocalDateTable_3f117c71-2c04-4fa5-8c23-2b2c1ab14338].[QuarterNo].[All]" dimensionUniqueName="[LocalDateTable_3f117c71-2c04-4fa5-8c23-2b2c1ab14338]" displayFolder="" count="0" memberValueDatatype="20" unbalanced="0" hidden="1"/>
    <cacheHierarchy uniqueName="[LocalDateTable_3f117c71-2c04-4fa5-8c23-2b2c1ab14338].[Year]" caption="Year" attribute="1" defaultMemberUniqueName="[LocalDateTable_3f117c71-2c04-4fa5-8c23-2b2c1ab14338].[Year].[All]" allUniqueName="[LocalDateTable_3f117c71-2c04-4fa5-8c23-2b2c1ab14338].[Year].[All]" dimensionUniqueName="[LocalDateTable_3f117c71-2c04-4fa5-8c23-2b2c1ab14338]" displayFolder="" count="0" memberValueDatatype="20" unbalanced="0" hidden="1"/>
    <cacheHierarchy uniqueName="[LocalDateTable_66f09a5d-f864-46bc-a2f5-c0014bc05155].[Date]" caption="Date" attribute="1" time="1" defaultMemberUniqueName="[LocalDateTable_66f09a5d-f864-46bc-a2f5-c0014bc05155].[Date].[All]" allUniqueName="[LocalDateTable_66f09a5d-f864-46bc-a2f5-c0014bc05155].[Date].[All]" dimensionUniqueName="[LocalDateTable_66f09a5d-f864-46bc-a2f5-c0014bc05155]" displayFolder="" count="0" memberValueDatatype="7" unbalanced="0" hidden="1"/>
    <cacheHierarchy uniqueName="[LocalDateTable_66f09a5d-f864-46bc-a2f5-c0014bc05155].[Day]" caption="Day" attribute="1" defaultMemberUniqueName="[LocalDateTable_66f09a5d-f864-46bc-a2f5-c0014bc05155].[Day].[All]" allUniqueName="[LocalDateTable_66f09a5d-f864-46bc-a2f5-c0014bc05155].[Day].[All]" dimensionUniqueName="[LocalDateTable_66f09a5d-f864-46bc-a2f5-c0014bc05155]" displayFolder="" count="0" memberValueDatatype="20" unbalanced="0" hidden="1"/>
    <cacheHierarchy uniqueName="[LocalDateTable_66f09a5d-f864-46bc-a2f5-c0014bc05155].[Month]" caption="Month" attribute="1" defaultMemberUniqueName="[LocalDateTable_66f09a5d-f864-46bc-a2f5-c0014bc05155].[Month].[All]" allUniqueName="[LocalDateTable_66f09a5d-f864-46bc-a2f5-c0014bc05155].[Month].[All]" dimensionUniqueName="[LocalDateTable_66f09a5d-f864-46bc-a2f5-c0014bc05155]" displayFolder="" count="0" memberValueDatatype="130" unbalanced="0" hidden="1"/>
    <cacheHierarchy uniqueName="[LocalDateTable_66f09a5d-f864-46bc-a2f5-c0014bc05155].[MonthNo]" caption="MonthNo" attribute="1" defaultMemberUniqueName="[LocalDateTable_66f09a5d-f864-46bc-a2f5-c0014bc05155].[MonthNo].[All]" allUniqueName="[LocalDateTable_66f09a5d-f864-46bc-a2f5-c0014bc05155].[MonthNo].[All]" dimensionUniqueName="[LocalDateTable_66f09a5d-f864-46bc-a2f5-c0014bc05155]" displayFolder="" count="0" memberValueDatatype="20" unbalanced="0" hidden="1"/>
    <cacheHierarchy uniqueName="[LocalDateTable_66f09a5d-f864-46bc-a2f5-c0014bc05155].[Quarter]" caption="Quarter" attribute="1" defaultMemberUniqueName="[LocalDateTable_66f09a5d-f864-46bc-a2f5-c0014bc05155].[Quarter].[All]" allUniqueName="[LocalDateTable_66f09a5d-f864-46bc-a2f5-c0014bc05155].[Quarter].[All]" dimensionUniqueName="[LocalDateTable_66f09a5d-f864-46bc-a2f5-c0014bc05155]" displayFolder="" count="0" memberValueDatatype="130" unbalanced="0" hidden="1"/>
    <cacheHierarchy uniqueName="[LocalDateTable_66f09a5d-f864-46bc-a2f5-c0014bc05155].[QuarterNo]" caption="QuarterNo" attribute="1" defaultMemberUniqueName="[LocalDateTable_66f09a5d-f864-46bc-a2f5-c0014bc05155].[QuarterNo].[All]" allUniqueName="[LocalDateTable_66f09a5d-f864-46bc-a2f5-c0014bc05155].[QuarterNo].[All]" dimensionUniqueName="[LocalDateTable_66f09a5d-f864-46bc-a2f5-c0014bc05155]" displayFolder="" count="0" memberValueDatatype="20" unbalanced="0" hidden="1"/>
    <cacheHierarchy uniqueName="[LocalDateTable_66f09a5d-f864-46bc-a2f5-c0014bc05155].[Year]" caption="Year" attribute="1" defaultMemberUniqueName="[LocalDateTable_66f09a5d-f864-46bc-a2f5-c0014bc05155].[Year].[All]" allUniqueName="[LocalDateTable_66f09a5d-f864-46bc-a2f5-c0014bc05155].[Year].[All]" dimensionUniqueName="[LocalDateTable_66f09a5d-f864-46bc-a2f5-c0014bc05155]" displayFolder="" count="0" memberValueDatatype="20" unbalanced="0" hidden="1"/>
    <cacheHierarchy uniqueName="[LocalDateTable_754a5606-f042-4514-8c57-59f8f32672fc].[Date]" caption="Date" attribute="1" time="1" defaultMemberUniqueName="[LocalDateTable_754a5606-f042-4514-8c57-59f8f32672fc].[Date].[All]" allUniqueName="[LocalDateTable_754a5606-f042-4514-8c57-59f8f32672fc].[Date].[All]" dimensionUniqueName="[LocalDateTable_754a5606-f042-4514-8c57-59f8f32672fc]" displayFolder="" count="0" memberValueDatatype="7" unbalanced="0" hidden="1"/>
    <cacheHierarchy uniqueName="[LocalDateTable_754a5606-f042-4514-8c57-59f8f32672fc].[Day]" caption="Day" attribute="1" defaultMemberUniqueName="[LocalDateTable_754a5606-f042-4514-8c57-59f8f32672fc].[Day].[All]" allUniqueName="[LocalDateTable_754a5606-f042-4514-8c57-59f8f32672fc].[Day].[All]" dimensionUniqueName="[LocalDateTable_754a5606-f042-4514-8c57-59f8f32672fc]" displayFolder="" count="0" memberValueDatatype="20" unbalanced="0" hidden="1"/>
    <cacheHierarchy uniqueName="[LocalDateTable_754a5606-f042-4514-8c57-59f8f32672fc].[Month]" caption="Month" attribute="1" defaultMemberUniqueName="[LocalDateTable_754a5606-f042-4514-8c57-59f8f32672fc].[Month].[All]" allUniqueName="[LocalDateTable_754a5606-f042-4514-8c57-59f8f32672fc].[Month].[All]" dimensionUniqueName="[LocalDateTable_754a5606-f042-4514-8c57-59f8f32672fc]" displayFolder="" count="0" memberValueDatatype="130" unbalanced="0" hidden="1"/>
    <cacheHierarchy uniqueName="[LocalDateTable_754a5606-f042-4514-8c57-59f8f32672fc].[MonthNo]" caption="MonthNo" attribute="1" defaultMemberUniqueName="[LocalDateTable_754a5606-f042-4514-8c57-59f8f32672fc].[MonthNo].[All]" allUniqueName="[LocalDateTable_754a5606-f042-4514-8c57-59f8f32672fc].[MonthNo].[All]" dimensionUniqueName="[LocalDateTable_754a5606-f042-4514-8c57-59f8f32672fc]" displayFolder="" count="0" memberValueDatatype="20" unbalanced="0" hidden="1"/>
    <cacheHierarchy uniqueName="[LocalDateTable_754a5606-f042-4514-8c57-59f8f32672fc].[Quarter]" caption="Quarter" attribute="1" defaultMemberUniqueName="[LocalDateTable_754a5606-f042-4514-8c57-59f8f32672fc].[Quarter].[All]" allUniqueName="[LocalDateTable_754a5606-f042-4514-8c57-59f8f32672fc].[Quarter].[All]" dimensionUniqueName="[LocalDateTable_754a5606-f042-4514-8c57-59f8f32672fc]" displayFolder="" count="0" memberValueDatatype="130" unbalanced="0" hidden="1"/>
    <cacheHierarchy uniqueName="[LocalDateTable_754a5606-f042-4514-8c57-59f8f32672fc].[QuarterNo]" caption="QuarterNo" attribute="1" defaultMemberUniqueName="[LocalDateTable_754a5606-f042-4514-8c57-59f8f32672fc].[QuarterNo].[All]" allUniqueName="[LocalDateTable_754a5606-f042-4514-8c57-59f8f32672fc].[QuarterNo].[All]" dimensionUniqueName="[LocalDateTable_754a5606-f042-4514-8c57-59f8f32672fc]" displayFolder="" count="0" memberValueDatatype="20" unbalanced="0" hidden="1"/>
    <cacheHierarchy uniqueName="[LocalDateTable_754a5606-f042-4514-8c57-59f8f32672fc].[Year]" caption="Year" attribute="1" defaultMemberUniqueName="[LocalDateTable_754a5606-f042-4514-8c57-59f8f32672fc].[Year].[All]" allUniqueName="[LocalDateTable_754a5606-f042-4514-8c57-59f8f32672fc].[Year].[All]" dimensionUniqueName="[LocalDateTable_754a5606-f042-4514-8c57-59f8f32672fc]" displayFolder="" count="0" memberValueDatatype="20" unbalanced="0" hidden="1"/>
    <cacheHierarchy uniqueName="[LocalDateTable_9b9a9699-5b52-40e9-b4a0-c11cb55a9d61].[Date]" caption="Date" attribute="1" time="1" defaultMemberUniqueName="[LocalDateTable_9b9a9699-5b52-40e9-b4a0-c11cb55a9d61].[Date].[All]" allUniqueName="[LocalDateTable_9b9a9699-5b52-40e9-b4a0-c11cb55a9d61].[Date].[All]" dimensionUniqueName="[LocalDateTable_9b9a9699-5b52-40e9-b4a0-c11cb55a9d61]" displayFolder="" count="0" memberValueDatatype="7" unbalanced="0" hidden="1"/>
    <cacheHierarchy uniqueName="[LocalDateTable_9b9a9699-5b52-40e9-b4a0-c11cb55a9d61].[Day]" caption="Day" attribute="1" defaultMemberUniqueName="[LocalDateTable_9b9a9699-5b52-40e9-b4a0-c11cb55a9d61].[Day].[All]" allUniqueName="[LocalDateTable_9b9a9699-5b52-40e9-b4a0-c11cb55a9d61].[Day].[All]" dimensionUniqueName="[LocalDateTable_9b9a9699-5b52-40e9-b4a0-c11cb55a9d61]" displayFolder="" count="0" memberValueDatatype="20" unbalanced="0" hidden="1"/>
    <cacheHierarchy uniqueName="[LocalDateTable_9b9a9699-5b52-40e9-b4a0-c11cb55a9d61].[Month]" caption="Month" attribute="1" defaultMemberUniqueName="[LocalDateTable_9b9a9699-5b52-40e9-b4a0-c11cb55a9d61].[Month].[All]" allUniqueName="[LocalDateTable_9b9a9699-5b52-40e9-b4a0-c11cb55a9d61].[Month].[All]" dimensionUniqueName="[LocalDateTable_9b9a9699-5b52-40e9-b4a0-c11cb55a9d61]" displayFolder="" count="0" memberValueDatatype="130" unbalanced="0" hidden="1"/>
    <cacheHierarchy uniqueName="[LocalDateTable_9b9a9699-5b52-40e9-b4a0-c11cb55a9d61].[MonthNo]" caption="MonthNo" attribute="1" defaultMemberUniqueName="[LocalDateTable_9b9a9699-5b52-40e9-b4a0-c11cb55a9d61].[MonthNo].[All]" allUniqueName="[LocalDateTable_9b9a9699-5b52-40e9-b4a0-c11cb55a9d61].[MonthNo].[All]" dimensionUniqueName="[LocalDateTable_9b9a9699-5b52-40e9-b4a0-c11cb55a9d61]" displayFolder="" count="0" memberValueDatatype="20" unbalanced="0" hidden="1"/>
    <cacheHierarchy uniqueName="[LocalDateTable_9b9a9699-5b52-40e9-b4a0-c11cb55a9d61].[Quarter]" caption="Quarter" attribute="1" defaultMemberUniqueName="[LocalDateTable_9b9a9699-5b52-40e9-b4a0-c11cb55a9d61].[Quarter].[All]" allUniqueName="[LocalDateTable_9b9a9699-5b52-40e9-b4a0-c11cb55a9d61].[Quarter].[All]" dimensionUniqueName="[LocalDateTable_9b9a9699-5b52-40e9-b4a0-c11cb55a9d61]" displayFolder="" count="0" memberValueDatatype="130" unbalanced="0" hidden="1"/>
    <cacheHierarchy uniqueName="[LocalDateTable_9b9a9699-5b52-40e9-b4a0-c11cb55a9d61].[QuarterNo]" caption="QuarterNo" attribute="1" defaultMemberUniqueName="[LocalDateTable_9b9a9699-5b52-40e9-b4a0-c11cb55a9d61].[QuarterNo].[All]" allUniqueName="[LocalDateTable_9b9a9699-5b52-40e9-b4a0-c11cb55a9d61].[QuarterNo].[All]" dimensionUniqueName="[LocalDateTable_9b9a9699-5b52-40e9-b4a0-c11cb55a9d61]" displayFolder="" count="0" memberValueDatatype="20" unbalanced="0" hidden="1"/>
    <cacheHierarchy uniqueName="[LocalDateTable_9b9a9699-5b52-40e9-b4a0-c11cb55a9d61].[Year]" caption="Year" attribute="1" defaultMemberUniqueName="[LocalDateTable_9b9a9699-5b52-40e9-b4a0-c11cb55a9d61].[Year].[All]" allUniqueName="[LocalDateTable_9b9a9699-5b52-40e9-b4a0-c11cb55a9d61].[Year].[All]" dimensionUniqueName="[LocalDateTable_9b9a9699-5b52-40e9-b4a0-c11cb55a9d61]" displayFolder="" count="0" memberValueDatatype="20" unbalanced="0" hidden="1"/>
    <cacheHierarchy uniqueName="[LocalDateTable_a29de990-df00-42e6-9e8c-814d0b4b9a86].[Date]" caption="Date" attribute="1" time="1" defaultMemberUniqueName="[LocalDateTable_a29de990-df00-42e6-9e8c-814d0b4b9a86].[Date].[All]" allUniqueName="[LocalDateTable_a29de990-df00-42e6-9e8c-814d0b4b9a86].[Date].[All]" dimensionUniqueName="[LocalDateTable_a29de990-df00-42e6-9e8c-814d0b4b9a86]" displayFolder="" count="0" memberValueDatatype="7" unbalanced="0" hidden="1"/>
    <cacheHierarchy uniqueName="[LocalDateTable_a29de990-df00-42e6-9e8c-814d0b4b9a86].[Day]" caption="Day" attribute="1" defaultMemberUniqueName="[LocalDateTable_a29de990-df00-42e6-9e8c-814d0b4b9a86].[Day].[All]" allUniqueName="[LocalDateTable_a29de990-df00-42e6-9e8c-814d0b4b9a86].[Day].[All]" dimensionUniqueName="[LocalDateTable_a29de990-df00-42e6-9e8c-814d0b4b9a86]" displayFolder="" count="0" memberValueDatatype="20" unbalanced="0" hidden="1"/>
    <cacheHierarchy uniqueName="[LocalDateTable_a29de990-df00-42e6-9e8c-814d0b4b9a86].[Month]" caption="Month" attribute="1" defaultMemberUniqueName="[LocalDateTable_a29de990-df00-42e6-9e8c-814d0b4b9a86].[Month].[All]" allUniqueName="[LocalDateTable_a29de990-df00-42e6-9e8c-814d0b4b9a86].[Month].[All]" dimensionUniqueName="[LocalDateTable_a29de990-df00-42e6-9e8c-814d0b4b9a86]" displayFolder="" count="0" memberValueDatatype="130" unbalanced="0" hidden="1"/>
    <cacheHierarchy uniqueName="[LocalDateTable_a29de990-df00-42e6-9e8c-814d0b4b9a86].[MonthNo]" caption="MonthNo" attribute="1" defaultMemberUniqueName="[LocalDateTable_a29de990-df00-42e6-9e8c-814d0b4b9a86].[MonthNo].[All]" allUniqueName="[LocalDateTable_a29de990-df00-42e6-9e8c-814d0b4b9a86].[MonthNo].[All]" dimensionUniqueName="[LocalDateTable_a29de990-df00-42e6-9e8c-814d0b4b9a86]" displayFolder="" count="0" memberValueDatatype="20" unbalanced="0" hidden="1"/>
    <cacheHierarchy uniqueName="[LocalDateTable_a29de990-df00-42e6-9e8c-814d0b4b9a86].[Quarter]" caption="Quarter" attribute="1" defaultMemberUniqueName="[LocalDateTable_a29de990-df00-42e6-9e8c-814d0b4b9a86].[Quarter].[All]" allUniqueName="[LocalDateTable_a29de990-df00-42e6-9e8c-814d0b4b9a86].[Quarter].[All]" dimensionUniqueName="[LocalDateTable_a29de990-df00-42e6-9e8c-814d0b4b9a86]" displayFolder="" count="0" memberValueDatatype="130" unbalanced="0" hidden="1"/>
    <cacheHierarchy uniqueName="[LocalDateTable_a29de990-df00-42e6-9e8c-814d0b4b9a86].[QuarterNo]" caption="QuarterNo" attribute="1" defaultMemberUniqueName="[LocalDateTable_a29de990-df00-42e6-9e8c-814d0b4b9a86].[QuarterNo].[All]" allUniqueName="[LocalDateTable_a29de990-df00-42e6-9e8c-814d0b4b9a86].[QuarterNo].[All]" dimensionUniqueName="[LocalDateTable_a29de990-df00-42e6-9e8c-814d0b4b9a86]" displayFolder="" count="0" memberValueDatatype="20" unbalanced="0" hidden="1"/>
    <cacheHierarchy uniqueName="[LocalDateTable_a29de990-df00-42e6-9e8c-814d0b4b9a86].[Year]" caption="Year" attribute="1" defaultMemberUniqueName="[LocalDateTable_a29de990-df00-42e6-9e8c-814d0b4b9a86].[Year].[All]" allUniqueName="[LocalDateTable_a29de990-df00-42e6-9e8c-814d0b4b9a86].[Year].[All]" dimensionUniqueName="[LocalDateTable_a29de990-df00-42e6-9e8c-814d0b4b9a86]" displayFolder="" count="0" memberValueDatatype="20" unbalanced="0" hidden="1"/>
    <cacheHierarchy uniqueName="[LocalDateTable_e1d748f9-bc77-4c73-ba8d-fcf5ec29dd71].[Date]" caption="Date" attribute="1" time="1" defaultMemberUniqueName="[LocalDateTable_e1d748f9-bc77-4c73-ba8d-fcf5ec29dd71].[Date].[All]" allUniqueName="[LocalDateTable_e1d748f9-bc77-4c73-ba8d-fcf5ec29dd71].[Date].[All]" dimensionUniqueName="[LocalDateTable_e1d748f9-bc77-4c73-ba8d-fcf5ec29dd71]" displayFolder="" count="0" memberValueDatatype="7" unbalanced="0" hidden="1"/>
    <cacheHierarchy uniqueName="[LocalDateTable_e1d748f9-bc77-4c73-ba8d-fcf5ec29dd71].[Day]" caption="Day" attribute="1" defaultMemberUniqueName="[LocalDateTable_e1d748f9-bc77-4c73-ba8d-fcf5ec29dd71].[Day].[All]" allUniqueName="[LocalDateTable_e1d748f9-bc77-4c73-ba8d-fcf5ec29dd71].[Day].[All]" dimensionUniqueName="[LocalDateTable_e1d748f9-bc77-4c73-ba8d-fcf5ec29dd71]" displayFolder="" count="0" memberValueDatatype="20" unbalanced="0" hidden="1"/>
    <cacheHierarchy uniqueName="[LocalDateTable_e1d748f9-bc77-4c73-ba8d-fcf5ec29dd71].[Month]" caption="Month" attribute="1" defaultMemberUniqueName="[LocalDateTable_e1d748f9-bc77-4c73-ba8d-fcf5ec29dd71].[Month].[All]" allUniqueName="[LocalDateTable_e1d748f9-bc77-4c73-ba8d-fcf5ec29dd71].[Month].[All]" dimensionUniqueName="[LocalDateTable_e1d748f9-bc77-4c73-ba8d-fcf5ec29dd71]" displayFolder="" count="0" memberValueDatatype="130" unbalanced="0" hidden="1"/>
    <cacheHierarchy uniqueName="[LocalDateTable_e1d748f9-bc77-4c73-ba8d-fcf5ec29dd71].[MonthNo]" caption="MonthNo" attribute="1" defaultMemberUniqueName="[LocalDateTable_e1d748f9-bc77-4c73-ba8d-fcf5ec29dd71].[MonthNo].[All]" allUniqueName="[LocalDateTable_e1d748f9-bc77-4c73-ba8d-fcf5ec29dd71].[MonthNo].[All]" dimensionUniqueName="[LocalDateTable_e1d748f9-bc77-4c73-ba8d-fcf5ec29dd71]" displayFolder="" count="0" memberValueDatatype="20" unbalanced="0" hidden="1"/>
    <cacheHierarchy uniqueName="[LocalDateTable_e1d748f9-bc77-4c73-ba8d-fcf5ec29dd71].[Quarter]" caption="Quarter" attribute="1" defaultMemberUniqueName="[LocalDateTable_e1d748f9-bc77-4c73-ba8d-fcf5ec29dd71].[Quarter].[All]" allUniqueName="[LocalDateTable_e1d748f9-bc77-4c73-ba8d-fcf5ec29dd71].[Quarter].[All]" dimensionUniqueName="[LocalDateTable_e1d748f9-bc77-4c73-ba8d-fcf5ec29dd71]" displayFolder="" count="0" memberValueDatatype="130" unbalanced="0" hidden="1"/>
    <cacheHierarchy uniqueName="[LocalDateTable_e1d748f9-bc77-4c73-ba8d-fcf5ec29dd71].[QuarterNo]" caption="QuarterNo" attribute="1" defaultMemberUniqueName="[LocalDateTable_e1d748f9-bc77-4c73-ba8d-fcf5ec29dd71].[QuarterNo].[All]" allUniqueName="[LocalDateTable_e1d748f9-bc77-4c73-ba8d-fcf5ec29dd71].[QuarterNo].[All]" dimensionUniqueName="[LocalDateTable_e1d748f9-bc77-4c73-ba8d-fcf5ec29dd71]" displayFolder="" count="0" memberValueDatatype="20" unbalanced="0" hidden="1"/>
    <cacheHierarchy uniqueName="[LocalDateTable_e1d748f9-bc77-4c73-ba8d-fcf5ec29dd71].[Year]" caption="Year" attribute="1" defaultMemberUniqueName="[LocalDateTable_e1d748f9-bc77-4c73-ba8d-fcf5ec29dd71].[Year].[All]" allUniqueName="[LocalDateTable_e1d748f9-bc77-4c73-ba8d-fcf5ec29dd71].[Year].[All]" dimensionUniqueName="[LocalDateTable_e1d748f9-bc77-4c73-ba8d-fcf5ec29dd71]" displayFolder="" count="0" memberValueDatatype="20" unbalanced="0" hidden="1"/>
    <cacheHierarchy uniqueName="[Product Parameter].[Product Parameter Fields]" caption="Product Parameter Fields" attribute="1" defaultMemberUniqueName="[Product Parameter].[Product Parameter Fields].[All]" allUniqueName="[Product Parameter].[Product Parameter Fields].[All]" dimensionUniqueName="[Product Parameter]" displayFolder="" count="0" memberValueDatatype="130" unbalanced="0" hidden="1"/>
    <cacheHierarchy uniqueName="[Product Parameter].[Product Parameter Order]" caption="Product Parameter Order" attribute="1" defaultMemberUniqueName="[Product Parameter].[Product Parameter Order].[All]" allUniqueName="[Product Parameter].[Product Parameter Order].[All]" dimensionUniqueName="[Product Parameter]" displayFolder="" count="0" memberValueDatatype="20" unbalanced="0" hidden="1"/>
    <cacheHierarchy uniqueName="[Measures].[Total Retail Sales]" caption="Total Retail Sales" measure="1" displayFolder="" measureGroup="BI vw_WeeklyWrittenSalesMetrics" count="0"/>
    <cacheHierarchy uniqueName="[Measures].[Cancelled]" caption="Cancelled" measure="1" displayFolder="" measureGroup="BI vw_WeeklyWrittenSalesMetrics" count="0"/>
    <cacheHierarchy uniqueName="[Measures].[Return]" caption="Return" measure="1" displayFolder="" measureGroup="BI vw_WeeklyWrittenSalesMetrics" count="0"/>
    <cacheHierarchy uniqueName="[Measures].[R-SalesCost]" caption="R-SalesCost" measure="1" displayFolder="" measureGroup="BI metrics" count="0"/>
    <cacheHierarchy uniqueName="[Measures].[R-SalesatFullRet]" caption="R-SalesatFullRet" measure="1" displayFolder="" measureGroup="BI metrics" count="0"/>
    <cacheHierarchy uniqueName="[Measures].[R-GM$ TY]" caption="R-GM$ TY" measure="1" displayFolder="" measureGroup="BI metrics" count="0"/>
    <cacheHierarchy uniqueName="[Measures].[R-Sales TY $]" caption="R-Sales TY $" measure="1" displayFolder="" measureGroup="BI metrics" count="0" oneField="1">
      <fieldsUsage count="1">
        <fieldUsage x="11"/>
      </fieldsUsage>
    </cacheHierarchy>
    <cacheHierarchy uniqueName="[Measures].[R-Units TY]" caption="R-Units TY" measure="1" displayFolder="" measureGroup="BI metrics" count="0"/>
    <cacheHierarchy uniqueName="[Measures].[R-M/D$ TY]" caption="R-M/D$ TY" measure="1" displayFolder="" measureGroup="BI metrics" count="0"/>
    <cacheHierarchy uniqueName="[Measures].[R-Budget$-ItemDept]" caption="R-Budget$-ItemDept" measure="1" displayFolder="" measureGroup="BI metrics" count="0"/>
    <cacheHierarchy uniqueName="[Measures].[R-BudgetGM$-ItemDept]" caption="R-BudgetGM$-ItemDept" measure="1" displayFolder="" measureGroup="BI metrics" count="0"/>
    <cacheHierarchy uniqueName="[Measures].[R-Budget$-Store]" caption="R-Budget$-Store" measure="1" displayFolder="" measureGroup="BI metrics" count="0"/>
    <cacheHierarchy uniqueName="[Measures].[R-Units LY]" caption="R-Units LY" measure="1" displayFolder="" measureGroup="BI metrics" count="0"/>
    <cacheHierarchy uniqueName="[Measures].[R-Sales LY $]" caption="R-Sales LY $" measure="1" displayFolder="" measureGroup="BI metrics" count="0"/>
    <cacheHierarchy uniqueName="[Measures].[R-GM$ LY]" caption="R-GM$ LY" measure="1" displayFolder="" measureGroup="BI metrics" count="0"/>
    <cacheHierarchy uniqueName="[Measures].[R-Sales YoY]" caption="R-Sales YoY" measure="1" displayFolder="" measureGroup="BI metrics" count="0"/>
    <cacheHierarchy uniqueName="[Measures].[R-GM$ YoY]" caption="R-GM$ YoY" measure="1" displayFolder="" measureGroup="BI metrics" count="0"/>
    <cacheHierarchy uniqueName="[Measures].[R-Sales vs Budget]" caption="R-Sales vs Budget" measure="1" displayFolder="" measureGroup="BI metrics" count="0"/>
    <cacheHierarchy uniqueName="[Measures].[R-M/D$ LY]" caption="R-M/D$ LY" measure="1" displayFolder="" measureGroup="BI metrics" count="0"/>
    <cacheHierarchy uniqueName="[Measures].[period_test]" caption="period_test" measure="1" displayFolder="" measureGroup="BI metrics" count="0"/>
    <cacheHierarchy uniqueName="[Measures].[R-Traffic TY]" caption="R-Traffic TY" measure="1" displayFolder="" measureGroup="BI metrics" count="0"/>
    <cacheHierarchy uniqueName="[Measures].[R-ATV TY]" caption="R-ATV TY" measure="1" displayFolder="" measureGroup="BI metrics" count="0"/>
    <cacheHierarchy uniqueName="[Measures].[R Sales YoY]" caption="R Sales YoY" measure="1" displayFolder="" measureGroup="BI metrics" count="0"/>
    <cacheHierarchy uniqueName="[Measures].[R-GM$ budget TY]" caption="R-GM$ budget TY" measure="1" displayFolder="" measureGroup="BI metrics" count="0"/>
    <cacheHierarchy uniqueName="[Measures].[R-GM$ Budget LY]" caption="R-GM$ Budget LY" measure="1" displayFolder="" measureGroup="BI metrics" count="0"/>
    <cacheHierarchy uniqueName="[Measures].[R-GM vs Budget]" caption="R-GM vs Budget" measure="1" displayFolder="" measureGroup="BI metrics" count="0"/>
    <cacheHierarchy uniqueName="[Measures].[R-GM % TY]" caption="R-GM % TY" measure="1" displayFolder="" measureGroup="BI metrics" count="0"/>
    <cacheHierarchy uniqueName="[Measures].[R-GM % LY]" caption="R-GM % LY" measure="1" displayFolder="" measureGroup="BI metrics" count="0"/>
    <cacheHierarchy uniqueName="[Measures].[R-GM% Budget TY]" caption="R-GM% Budget TY" measure="1" displayFolder="" measureGroup="BI metrics" count="0"/>
    <cacheHierarchy uniqueName="[Measures].[R-M/D % TY]" caption="R-M/D % TY" measure="1" displayFolder="" measureGroup="BI metrics" count="0"/>
    <cacheHierarchy uniqueName="[Measures].[R-M/D % LY]" caption="R-M/D % LY" measure="1" displayFolder="" measureGroup="BI metrics" count="0"/>
    <cacheHierarchy uniqueName="[Measures].[R-ATV LY]" caption="R-ATV LY" measure="1" displayFolder="" measureGroup="BI metrics" count="0"/>
    <cacheHierarchy uniqueName="[Measures].[R-Traffic LY]" caption="R-Traffic LY" measure="1" displayFolder="" measureGroup="BI metrics" count="0"/>
    <cacheHierarchy uniqueName="[Measures].[R-Traffic YoY]" caption="R-Traffic YoY" measure="1" displayFolder="" measureGroup="BI metrics" count="0"/>
    <cacheHierarchy uniqueName="[Measures].[R-Store Trans LY]" caption="R-Store Trans LY" measure="1" displayFolder="" measureGroup="BI metrics" count="0"/>
    <cacheHierarchy uniqueName="[Measures].[R-Store Trans TY]" caption="R-Store Trans TY" measure="1" displayFolder="" measureGroup="BI metrics" count="0"/>
    <cacheHierarchy uniqueName="[Measures].[R-Conv TY]" caption="R-Conv TY" measure="1" displayFolder="" measureGroup="BI metrics" count="0"/>
    <cacheHierarchy uniqueName="[Measures].[R-Conv LY]" caption="R-Conv LY" measure="1" displayFolder="" measureGroup="BI metrics" count="0"/>
    <cacheHierarchy uniqueName="[Measures].[R-IPT TY]" caption="R-IPT TY" measure="1" displayFolder="" measureGroup="BI metrics" count="0"/>
    <cacheHierarchy uniqueName="[Measures].[R-GM% Budget LY]" caption="R-GM% Budget LY" measure="1" displayFolder="" measureGroup="BI metrics" count="0"/>
    <cacheHierarchy uniqueName="[Measures].[R-Store Trans YoY]" caption="R-Store Trans YoY" measure="1" displayFolder="" measureGroup="BI metrics" count="0"/>
    <cacheHierarchy uniqueName="[Measures].[R-Conv YoY]" caption="R-Conv YoY" measure="1" displayFolder="" measureGroup="BI metrics" count="0"/>
    <cacheHierarchy uniqueName="[Measures].[R-Sales vs Budget - ItemDept]" caption="R-Sales vs Budget - ItemDept" measure="1" displayFolder="" measureGroup="BI metrics" count="0"/>
    <cacheHierarchy uniqueName="[Measures].[R-ATV YoY]" caption="R-ATV YoY" measure="1" displayFolder="" measureGroup="BI metrics" count="0"/>
    <cacheHierarchy uniqueName="[Measures].[R-M/D$ Budget-ItemDept]" caption="R-M/D$ Budget-ItemDept" measure="1" displayFolder="" measureGroup="BI metrics" count="0"/>
    <cacheHierarchy uniqueName="[Measures].[R-M/D% Budget TY]" caption="R-M/D% Budget TY" measure="1" displayFolder="" measureGroup="BI metrics" count="0"/>
    <cacheHierarchy uniqueName="[Measures].[R-Dropship$ budget TY]" caption="R-Dropship$ budget TY" measure="1" displayFolder="" measureGroup="BI metrics" count="0"/>
    <cacheHierarchy uniqueName="[Measures].[R-GM$ Revenue budget TY]" caption="R-GM$ Revenue budget TY" measure="1" displayFolder="" measureGroup="BI metrics" count="0"/>
    <cacheHierarchy uniqueName="[Measures].[GM$ Revenue Budget TY]" caption="GM$ Revenue Budget TY" measure="1" displayFolder="" measureGroup="BI metrics" count="0"/>
    <cacheHierarchy uniqueName="[Measures].[R-Sales vs Plan]" caption="R-Sales vs Plan" measure="1" displayFolder="" measureGroup="BI metrics" count="0"/>
    <cacheHierarchy uniqueName="[Measures].[R-Cancellation TY $]" caption="R-Cancellation TY $" measure="1" displayFolder="" measureGroup="BI metrics" count="0"/>
    <cacheHierarchy uniqueName="[Measures].[R-Return TY $]" caption="R-Return TY $" measure="1" displayFolder="" measureGroup="BI metrics" count="0"/>
    <cacheHierarchy uniqueName="[Measures].[R-Sales TY $1]" caption="R-Sales TY $1" measure="1" displayFolder="" measureGroup="BI metrics" count="0"/>
    <cacheHierarchy uniqueName="[Measures].[R-Budget ATV Online]" caption="R-Budget ATV Online" measure="1" displayFolder="" measureGroup="BI metrics" count="0"/>
    <cacheHierarchy uniqueName="[Measures].[R-Budget Traffic Online]" caption="R-Budget Traffic Online" measure="1" displayFolder="" measureGroup="BI metrics" count="0"/>
    <cacheHierarchy uniqueName="[Measures].[R-Budget Store Trans Online]" caption="R-Budget Store Trans Online" measure="1" displayFolder="" measureGroup="BI metrics" count="0"/>
    <cacheHierarchy uniqueName="[Measures].[R-Budget Conv Online]" caption="R-Budget Conv Online" measure="1" displayFolder="" measureGroup="BI metrics" count="0"/>
    <cacheHierarchy uniqueName="[Measures].[R-M/D$ YoY]" caption="R-M/D$ YoY" measure="1" displayFolder="" measureGroup="BI metrics" count="0"/>
    <cacheHierarchy uniqueName="[Measures].[R-M/D vs Budget]" caption="R-M/D vs Budget" measure="1" displayFolder="" measureGroup="BI metrics" count="0"/>
    <cacheHierarchy uniqueName="[Measures].[R-Traffic Budget Online]" caption="R-Traffic Budget Online" measure="1" displayFolder="" measureGroup="BI metrics" count="0"/>
    <cacheHierarchy uniqueName="[Measures].[R-Traffic vs Budget]" caption="R-Traffic vs Budget" measure="1" displayFolder="" measureGroup="BI metrics" count="0"/>
    <cacheHierarchy uniqueName="[Measures].[R-Store Trans Budget Online]" caption="R-Store Trans Budget Online" measure="1" displayFolder="" measureGroup="BI metrics" count="0"/>
    <cacheHierarchy uniqueName="[Measures].[R-Store Trans vs Budget]" caption="R-Store Trans vs Budget" measure="1" displayFolder="" measureGroup="BI metrics" count="0"/>
    <cacheHierarchy uniqueName="[Measures].[R-Conv Budget Online]" caption="R-Conv Budget Online" measure="1" displayFolder="" measureGroup="BI metrics" count="0"/>
    <cacheHierarchy uniqueName="[Measures].[R-Conv vs Budget]" caption="R-Conv vs Budget" measure="1" displayFolder="" measureGroup="BI metrics" count="0"/>
    <cacheHierarchy uniqueName="[Measures].[R-ATV Budget Online]" caption="R-ATV Budget Online" measure="1" displayFolder="" measureGroup="BI metrics" count="0"/>
    <cacheHierarchy uniqueName="[Measures].[R-ATV vs Budget]" caption="R-ATV vs Budget" measure="1" displayFolder="" measureGroup="BI metrics" count="0"/>
    <cacheHierarchy uniqueName="[Measures].[R-Conv LY1]" caption="R-Conv LY1" measure="1" displayFolder="" measureGroup="BI metrics" count="0"/>
    <cacheHierarchy uniqueName="[Measures].[R-Conv TY1]" caption="R-Conv TY1" measure="1" displayFolder="" measureGroup="BI metrics" count="0"/>
    <cacheHierarchy uniqueName="[Measures].[R-ASP TY]" caption="R-ASP TY" measure="1" displayFolder="" measureGroup="BI metrics" count="0"/>
    <cacheHierarchy uniqueName="[Measures].[ASP LY]" caption="ASP LY" measure="1" displayFolder="" measureGroup="BI metrics" count="0"/>
    <cacheHierarchy uniqueName="[Measures].[R-ASP LY]" caption="R-ASP LY" measure="1" displayFolder="" measureGroup="BI metrics" count="0"/>
    <cacheHierarchy uniqueName="[Measures].[R-Sales TY In Store$]" caption="R-Sales TY In Store$" measure="1" displayFolder="aa_New Measures" measureGroup="BI metrics" count="0"/>
    <cacheHierarchy uniqueName="[Measures].[R-Sales TY Dropship$]" caption="R-Sales TY Dropship$" measure="1" displayFolder="aa_New Measures" measureGroup="BI metrics" count="0"/>
    <cacheHierarchy uniqueName="[Measures].[R-Sales TY Online$]" caption="R-Sales TY Online$" measure="1" displayFolder="aa_New Measures" measureGroup="BI metrics" count="0"/>
    <cacheHierarchy uniqueName="[Measures].[R-Sales TY Dropship Budget$]" caption="R-Sales TY Dropship Budget$" measure="1" displayFolder="aa_New Measures" measureGroup="BI metrics" count="0"/>
    <cacheHierarchy uniqueName="[Measures].[R-Sales TY In Store Budget$]" caption="R-Sales TY In Store Budget$" measure="1" displayFolder="aa_New Measures" measureGroup="BI metrics" count="0"/>
    <cacheHierarchy uniqueName="[Measures].[R-Sales TY Online Budget$]" caption="R-Sales TY Online Budget$" measure="1" displayFolder="aa_New Measures" measureGroup="BI metrics" count="0"/>
    <cacheHierarchy uniqueName="[Measures].[Delta Dropship]" caption="Delta Dropship" measure="1" displayFolder="aa_New Measures" measureGroup="BI metrics" count="0"/>
    <cacheHierarchy uniqueName="[Measures].[Delta Total]" caption="Delta Total" measure="1" displayFolder="aa_New Measures" measureGroup="BI metrics" count="0"/>
    <cacheHierarchy uniqueName="[Measures].[Delta In Store + Online]" caption="Delta In Store + Online" measure="1" displayFolder="aa_New Measures" measureGroup="BI metrics" count="0"/>
    <cacheHierarchy uniqueName="[Measures].[Delta Online]" caption="Delta Online" measure="1" displayFolder="aa_New Measures" measureGroup="BI metrics" count="0"/>
    <cacheHierarchy uniqueName="[Measures].[%Var Total]" caption="%Var Total" measure="1" displayFolder="aa_New Measures" measureGroup="BI metrics" count="0"/>
    <cacheHierarchy uniqueName="[Measures].[%Var In Store + Online]" caption="%Var In Store + Online" measure="1" displayFolder="aa_New Measures" measureGroup="BI metrics" count="0"/>
    <cacheHierarchy uniqueName="[Measures].[%Var Online]" caption="%Var Online" measure="1" displayFolder="aa_New Measures" measureGroup="BI metrics" count="0"/>
    <cacheHierarchy uniqueName="[Measures].[%Var Dropship]" caption="%Var Dropship" measure="1" displayFolder="aa_New Measures" measureGroup="BI metrics" count="0"/>
    <cacheHierarchy uniqueName="[Measures].[R-Sales TY In Store + Online$]" caption="R-Sales TY In Store + Online$" measure="1" displayFolder="aa_New Measures" measureGroup="BI metrics" count="0"/>
    <cacheHierarchy uniqueName="[Measures].[R-Sales TY In Store + Online Budget$]" caption="R-Sales TY In Store + Online Budget$" measure="1" displayFolder="aa_New Measures" measureGroup="BI metrics" count="0"/>
    <cacheHierarchy uniqueName="[Measures].[Delta In Store]" caption="Delta In Store" measure="1" displayFolder="aa_New Measures" measureGroup="BI metrics" count="0"/>
    <cacheHierarchy uniqueName="[Measures].[%Var In Store]" caption="%Var In Store" measure="1" displayFolder="aa_New Measures" measureGroup="BI metrics" count="0"/>
    <cacheHierarchy uniqueName="[Measures].[Sales TY In Store$]" caption="Sales TY In Store$" measure="1" displayFolder="aa_New Measures" measureGroup="BI metrics" count="0"/>
    <cacheHierarchy uniqueName="[Measures].[Sales TY Total$]" caption="Sales TY Total$" measure="1" displayFolder="aa_New Measures" measureGroup="BI metrics" count="0"/>
    <cacheHierarchy uniqueName="[Measures].[Sales TY Instore + Online$]" caption="Sales TY Instore + Online$" measure="1" displayFolder="aa_New Measures" measureGroup="BI metrics" count="0"/>
    <cacheHierarchy uniqueName="[Measures].[Sales TY Dropship$]" caption="Sales TY Dropship$" measure="1" displayFolder="aa_New Measures" measureGroup="BI metrics" count="0"/>
    <cacheHierarchy uniqueName="[Measures].[Budget TY Total$]" caption="Budget TY Total$" measure="1" displayFolder="aa_New Measures" measureGroup="BI metrics" count="0"/>
    <cacheHierarchy uniqueName="[Measures].[Budget TY In Store$]" caption="Budget TY In Store$" measure="1" displayFolder="aa_New Measures" measureGroup="BI metrics" count="0"/>
    <cacheHierarchy uniqueName="[Measures].[Budget TY Dropship$]" caption="Budget TY Dropship$" measure="1" displayFolder="aa_New Measures" measureGroup="BI metrics" count="0"/>
    <cacheHierarchy uniqueName="[Measures].[Budget TY Instore + Online$]" caption="Budget TY Instore + Online$" measure="1" displayFolder="aa_New Measures" measureGroup="BI metrics" count="0"/>
    <cacheHierarchy uniqueName="[Measures].[Delta1 Total]" caption="Delta1 Total" measure="1" displayFolder="aa_New Measures" measureGroup="BI metrics" count="0"/>
    <cacheHierarchy uniqueName="[Measures].[Delta1 In Store]" caption="Delta1 In Store" measure="1" displayFolder="aa_New Measures" measureGroup="BI metrics" count="0"/>
    <cacheHierarchy uniqueName="[Measures].[Delta1 In Store + Online]" caption="Delta1 In Store + Online" measure="1" displayFolder="aa_New Measures" measureGroup="BI metrics" count="0"/>
    <cacheHierarchy uniqueName="[Measures].[Delta1 In Dropship]" caption="Delta1 In Dropship" measure="1" displayFolder="aa_New Measures" measureGroup="BI metrics" count="0"/>
    <cacheHierarchy uniqueName="[Measures].[%Var1 Total]" caption="%Var1 Total" measure="1" displayFolder="aa_New Measures" measureGroup="BI metrics" count="0"/>
    <cacheHierarchy uniqueName="[Measures].[%Var1 In Store]" caption="%Var1 In Store" measure="1" displayFolder="aa_New Measures" measureGroup="BI metrics" count="0"/>
    <cacheHierarchy uniqueName="[Measures].[%Var1 In Store + Online]" caption="%Var1 In Store + Online" measure="1" displayFolder="aa_New Measures" measureGroup="BI metrics" count="0"/>
    <cacheHierarchy uniqueName="[Measures].[%Var1 Dropship]" caption="%Var1 Dropship" measure="1" displayFolder="aa_New Measures" measureGroup="BI metrics" count="0"/>
    <cacheHierarchy uniqueName="[Measures].[Total Budget]" caption="Total Budget" measure="1" displayFolder="" measureGroup="BI vw_BudgetByStore" count="0"/>
    <cacheHierarchy uniqueName="[Measures].[R-Budget$-Store1]" caption="R-Budget$-Store1" measure="1" displayFolder="" measureGroup="BI vw_BudgetByStore" count="0"/>
    <cacheHierarchy uniqueName="[Measures].[Total Budget1]" caption="Total Budget1" measure="1" displayFolder="" measureGroup="BI vw_BudgetByStore" count="0"/>
    <cacheHierarchy uniqueName="[Measures].[Sales/Budget KPIs]" caption="Sales/Budget KPIs" measure="1" displayFolder="" measureGroup="BI vw_BudgetByStore" count="0"/>
    <cacheHierarchy uniqueName="[Measures].[Sales/Budget Color]" caption="Sales/Budget Color" measure="1" displayFolder="" measureGroup="BI vw_BudgetByStore" count="0"/>
    <cacheHierarchy uniqueName="[Measures].[Sales TY/LY KPIs]" caption="Sales TY/LY KPIs" measure="1" displayFolder="" measureGroup="BI vw_BudgetByStore" count="0"/>
    <cacheHierarchy uniqueName="[Measures].[Sales TY/LY Color]" caption="Sales TY/LY Color" measure="1" displayFolder="" measureGroup="BI vw_BudgetByStore" count="0"/>
    <cacheHierarchy uniqueName="[Measures].[GM KPIs]" caption="GM KPIs" measure="1" displayFolder="" measureGroup="BI vw_BudgetByStore" count="0"/>
    <cacheHierarchy uniqueName="[Measures].[GM TY/LY Color]" caption="GM TY/LY Color" measure="1" displayFolder="" measureGroup="BI vw_BudgetByStore" count="0"/>
    <cacheHierarchy uniqueName="[Measures].[R-Budget-ItemDept Y/N]" caption="R-Budget-ItemDept Y/N" measure="1" displayFolder="" measureGroup="BI vw_BudgetByItemCategory" count="0"/>
    <cacheHierarchy uniqueName="[Measures].[R-Sales vs Budget-ItemDept Y/N]" caption="R-Sales vs Budget-ItemDept Y/N" measure="1" displayFolder="" measureGroup="BI vw_BudgetByItemCategory" count="0"/>
    <cacheHierarchy uniqueName="[Measures].[Rank]" caption="Rank" measure="1" displayFolder="" measureGroup="BI vw_WeeklyItemSales" count="0"/>
    <cacheHierarchy uniqueName="[Measures].[Store Trans]" caption="Store Trans" measure="1" displayFolder="" measureGroup="BI vw_WeeklyStoreATV" count="0"/>
    <cacheHierarchy uniqueName="[Measures].[Sales TY $]" caption="Sales TY $" measure="1" displayFolder="" measureGroup="Measure" count="0"/>
    <cacheHierarchy uniqueName="[Measures].[This Year]" caption="This Year" measure="1" displayFolder="" measureGroup="Measure" count="0"/>
    <cacheHierarchy uniqueName="[Measures].[Sales LY $]" caption="Sales LY $" measure="1" displayFolder="" measureGroup="Measure" count="0"/>
    <cacheHierarchy uniqueName="[Measures].[GM$ TY]" caption="GM$ TY" measure="1" displayFolder="" measureGroup="Measure" count="0"/>
    <cacheHierarchy uniqueName="[Measures].[GM$ LY]" caption="GM$ LY" measure="1" displayFolder="" measureGroup="Measure" count="0"/>
    <cacheHierarchy uniqueName="[Measures].[M/D$ TY]" caption="M/D$ TY" measure="1" displayFolder="" measureGroup="Measure" count="0"/>
    <cacheHierarchy uniqueName="[Measures].[M/D LY $]" caption="M/D LY $" measure="1" displayFolder="" measureGroup="Measure" count="0"/>
    <cacheHierarchy uniqueName="[Measures].[Budget$-Store]" caption="Budget$-Store" measure="1" displayFolder="" measureGroup="Measure" count="0"/>
    <cacheHierarchy uniqueName="[Measures].[ATV TY]" caption="ATV TY" measure="1" displayFolder="" measureGroup="Measure" count="0"/>
    <cacheHierarchy uniqueName="[Measures].[ATV LY $]" caption="ATV LY $" measure="1" displayFolder="" measureGroup="Measure" count="0"/>
    <cacheHierarchy uniqueName="[Measures].[BudgetDollar-ItemDept]" caption="BudgetDollar-ItemDept" measure="1" displayFolder="" measureGroup="Measure" count="0"/>
    <cacheHierarchy uniqueName="[Measures].[BudgetGMDollar-ItemDept]" caption="BudgetGMDollar-ItemDept" measure="1" displayFolder="" measureGroup="Measure" count="0"/>
    <cacheHierarchy uniqueName="[Measures].[GM$ YoY]" caption="GM$ YoY" measure="1" displayFolder="" measureGroup="Measure" count="0"/>
    <cacheHierarchy uniqueName="[Measures].[Sales vs Budget]" caption="Sales vs Budget" measure="1" displayFolder="" measureGroup="Measure" count="0"/>
    <cacheHierarchy uniqueName="[Measures].[Sales YoY]" caption="Sales YoY" measure="1" displayFolder="" measureGroup="Measure" count="0"/>
    <cacheHierarchy uniqueName="[Measures].[SalesatFullRet]" caption="SalesatFullRet" measure="1" displayFolder="" measureGroup="Measure" count="0"/>
    <cacheHierarchy uniqueName="[Measures].[SalesCost]" caption="SalesCost" measure="1" displayFolder="" measureGroup="Measure" count="0"/>
    <cacheHierarchy uniqueName="[Measures].[Traffic TY]" caption="Traffic TY" measure="1" displayFolder="" measureGroup="Measure" count="0"/>
    <cacheHierarchy uniqueName="[Measures].[Units TY]" caption="Units TY" measure="1" displayFolder="" measureGroup="Measure" count="0"/>
    <cacheHierarchy uniqueName="[Measures].[Units LY]" caption="Units LY" measure="1" displayFolder="" measureGroup="Measure" count="0"/>
    <cacheHierarchy uniqueName="[Measures].[Rolling 12 months Sales]" caption="Rolling 12 months Sales" measure="1" displayFolder="" measureGroup="Measure" count="0"/>
    <cacheHierarchy uniqueName="[Measures].[Rolling 12 months GM]" caption="Rolling 12 months GM" measure="1" displayFolder="" measureGroup="Measure" count="0"/>
    <cacheHierarchy uniqueName="[Measures].[Rolling 12 months M/D]" caption="Rolling 12 months M/D" measure="1" displayFolder="" measureGroup="Measure" count="0"/>
    <cacheHierarchy uniqueName="[Measures].[Transaction TY]" caption="Transaction TY" measure="1" displayFolder="" measureGroup="Measure" count="0"/>
    <cacheHierarchy uniqueName="[Measures].[Transactions LY]" caption="Transactions LY" measure="1" displayFolder="" measureGroup="Measure" count="0"/>
    <cacheHierarchy uniqueName="[Measures].[Transaction YOY]" caption="Transaction YOY" measure="1" displayFolder="" measureGroup="Measure" count="0"/>
    <cacheHierarchy uniqueName="[Measures].[GM$ Budget TY]" caption="GM$ Budget TY" measure="1" displayFolder="" measureGroup="Measure" count="0"/>
    <cacheHierarchy uniqueName="[Measures].[GM$ Budget LY]" caption="GM$ Budget LY" measure="1" displayFolder="" measureGroup="Measure" count="0"/>
    <cacheHierarchy uniqueName="[Measures].[GM vs Budget $]" caption="GM vs Budget $" measure="1" displayFolder="" measureGroup="Measure" count="0"/>
    <cacheHierarchy uniqueName="[Measures].[Measure]" caption="Measure" measure="1" displayFolder="" measureGroup="Measure" count="0"/>
    <cacheHierarchy uniqueName="[Measures].[GM % TY]" caption="GM % TY" measure="1" displayFolder="" measureGroup="Measure" count="0"/>
    <cacheHierarchy uniqueName="[Measures].[GM % LY]" caption="GM % LY" measure="1" displayFolder="" measureGroup="Measure" count="0"/>
    <cacheHierarchy uniqueName="[Measures].[GM% Budget]" caption="GM% Budget" measure="1" displayFolder="" measureGroup="Measure" count="0"/>
    <cacheHierarchy uniqueName="[Measures].[Measure 2]" caption="Measure 2" measure="1" displayFolder="" measureGroup="Measure" count="0"/>
    <cacheHierarchy uniqueName="[Measures].[M/D % TY]" caption="M/D % TY" measure="1" displayFolder="" measureGroup="Measure" count="0"/>
    <cacheHierarchy uniqueName="[Measures].[M/D % LY]" caption="M/D % LY" measure="1" displayFolder="" measureGroup="Measure" count="0"/>
    <cacheHierarchy uniqueName="[Measures].[Dropship$ Budget TY]" caption="Dropship$ Budget TY" measure="1" displayFolder="" measureGroup="Measure" count="0"/>
    <cacheHierarchy uniqueName="[Measures].[Rolling 12 months R-Sale $ TY]" caption="Rolling 12 months R-Sale $ TY" measure="1" displayFolder="" measureGroup="Measure" count="0"/>
    <cacheHierarchy uniqueName="[Measures].[Rolling 12 months Traffic YoY]" caption="Rolling 12 months Traffic YoY" measure="1" displayFolder="" measureGroup="Measure" count="0"/>
    <cacheHierarchy uniqueName="[Measures].[Rolling 12 months ATV YoY]" caption="Rolling 12 months ATV YoY" measure="1" displayFolder="" measureGroup="Measure" count="0"/>
    <cacheHierarchy uniqueName="[Measures].[Rolling 12 months Conv YoY]" caption="Rolling 12 months Conv YoY" measure="1" displayFolder="" measureGroup="Measure" count="0"/>
    <cacheHierarchy uniqueName="[Measures].[Rolling 12 months Store Trans YoY]" caption="Rolling 12 months Store Trans YoY" measure="1" displayFolder="" measureGroup="Measure" count="0"/>
    <cacheHierarchy uniqueName="[Measures].[LastRefreshedSydney]" caption="LastRefreshedSydney" measure="1" displayFolder="" measureGroup="Measure" count="0"/>
    <cacheHierarchy uniqueName="[Measures].[R-Sales Forecast TY]" caption="R-Sales Forecast TY" measure="1" displayFolder="" measureGroup="ForcastByClass" count="0"/>
    <cacheHierarchy uniqueName="[Measures].[Actual Select]" caption="Actual Select" measure="1" displayFolder="" measureGroup="Dim_Category" count="0"/>
    <cacheHierarchy uniqueName="[Measures].[Actual select1]" caption="Actual select1" measure="1" displayFolder="" measureGroup="Dim_Category" count="0"/>
    <cacheHierarchy uniqueName="[Measures].[Week Sales]" caption="Week Sales" measure="1" displayFolder="" measureGroup="Dim_Category" count="0"/>
    <cacheHierarchy uniqueName="[Measures].[MTD Sales]" caption="MTD Sales" measure="1" displayFolder="" measureGroup="Dim_Category" count="0"/>
    <cacheHierarchy uniqueName="[Measures].[YTD Sales]" caption="YTD Sales" measure="1" displayFolder="" measureGroup="Dim_Category" count="0"/>
    <cacheHierarchy uniqueName="[Measures].[Week Budget]" caption="Week Budget" measure="1" displayFolder="" measureGroup="Dim_Category" count="0"/>
    <cacheHierarchy uniqueName="[Measures].[MTD Budget]" caption="MTD Budget" measure="1" displayFolder="" measureGroup="Dim_Category" count="0"/>
    <cacheHierarchy uniqueName="[Measures].[YTD Budget]" caption="YTD Budget" measure="1" displayFolder="" measureGroup="Dim_Category" count="0"/>
    <cacheHierarchy uniqueName="[Measures].[SelectorNum]" caption="SelectorNum" measure="1" displayFolder="" measureGroup="Dim_Category" count="0"/>
    <cacheHierarchy uniqueName="[Measures].[Sales Select]" caption="Sales Select" measure="1" displayFolder="" measureGroup="Dim_Category" count="0"/>
    <cacheHierarchy uniqueName="[Measures].[Budget Select]" caption="Budget Select" measure="1" displayFolder="" measureGroup="Dim_Category" count="0"/>
    <cacheHierarchy uniqueName="[Measures].[TodayWeek]" caption="TodayWeek" measure="1" displayFolder="" measureGroup="Dim_Category" count="0"/>
    <cacheHierarchy uniqueName="[Measures].[MTD Sales Filter]" caption="MTD Sales Filter" measure="1" displayFolder="" measureGroup="Dim_Category" count="0"/>
    <cacheHierarchy uniqueName="[Measures].[Week Sales LY]" caption="Week Sales LY" measure="1" displayFolder="" measureGroup="Dim_Category" count="0"/>
    <cacheHierarchy uniqueName="[Measures].[MTD Sales LY]" caption="MTD Sales LY" measure="1" displayFolder="" measureGroup="Dim_Category" count="0"/>
    <cacheHierarchy uniqueName="[Measures].[YTD Sales LY]" caption="YTD Sales LY" measure="1" displayFolder="" measureGroup="Dim_Category" count="0"/>
    <cacheHierarchy uniqueName="[Measures].[Sales LY Select]" caption="Sales LY Select" measure="1" displayFolder="" measureGroup="Dim_Category" count="0"/>
    <cacheHierarchy uniqueName="[Measures].[GM TY Week]" caption="GM TY Week" measure="1" displayFolder="" measureGroup="Dim_Category" count="0"/>
    <cacheHierarchy uniqueName="[Measures].[GM TY MTD]" caption="GM TY MTD" measure="1" displayFolder="" measureGroup="Dim_Category" count="0"/>
    <cacheHierarchy uniqueName="[Measures].[GM TY YTD]" caption="GM TY YTD" measure="1" displayFolder="" measureGroup="Dim_Category" count="0"/>
    <cacheHierarchy uniqueName="[Measures].[GM TY Select]" caption="GM TY Select" measure="1" displayFolder="" measureGroup="Dim_Category" count="0"/>
    <cacheHierarchy uniqueName="[Measures].[Sales Categories]" caption="Sales Categories" measure="1" displayFolder="" measureGroup="Measure Categories" count="0"/>
    <cacheHierarchy uniqueName="[Measures].[Sales Categories 1]" caption="Sales Categories 1" measure="1" displayFolder="" measureGroup="Measure Categories" count="0"/>
    <cacheHierarchy uniqueName="[Measures].[Sales Title]" caption="Sales Title" measure="1" displayFolder="" measureGroup="Measure Categories" count="0"/>
    <cacheHierarchy uniqueName="[Measures].[Traffic KPIs]" caption="Traffic KPIs" measure="1" displayFolder="" measureGroup="Measure Tooltip" count="0"/>
    <cacheHierarchy uniqueName="[Measures].[Traffic TY/LY Color]" caption="Traffic TY/LY Color" measure="1" displayFolder="" measureGroup="Measure Tooltip" count="0"/>
    <cacheHierarchy uniqueName="[Measures].[Store Trans KPIs]" caption="Store Trans KPIs" measure="1" displayFolder="" measureGroup="Measure Tooltip" count="0"/>
    <cacheHierarchy uniqueName="[Measures].[Store Trans TY/LY Color]" caption="Store Trans TY/LY Color" measure="1" displayFolder="" measureGroup="Measure Tooltip" count="0"/>
    <cacheHierarchy uniqueName="[Measures].[Conv KPIs]" caption="Conv KPIs" measure="1" displayFolder="" measureGroup="Measure Tooltip" count="0"/>
    <cacheHierarchy uniqueName="[Measures].[Conv TY/LY Color]" caption="Conv TY/LY Color" measure="1" displayFolder="" measureGroup="Measure Tooltip" count="0"/>
    <cacheHierarchy uniqueName="[Measures].[ATV KPIs]" caption="ATV KPIs" measure="1" displayFolder="" measureGroup="Measure Tooltip" count="0"/>
    <cacheHierarchy uniqueName="[Measures].[ATV TY/LY Color]" caption="ATV TY/LY Color" measure="1" displayFolder="" measureGroup="Measure Tooltip" count="0"/>
    <cacheHierarchy uniqueName="[Measures].[Measure 4]" caption="Measure 4" measure="1" displayFolder="" measureGroup="Measure Tooltip" count="0"/>
    <cacheHierarchy uniqueName="[Measures].[R-M/D$ Budget Color]" caption="R-M/D$ Budget Color" measure="1" displayFolder="" measureGroup="Measure Tooltip" count="0"/>
    <cacheHierarchy uniqueName="[Measures].[R-Sales$ Budget Color]" caption="R-Sales$ Budget Color" measure="1" displayFolder="" measureGroup="Measure Tooltip" count="0"/>
    <cacheHierarchy uniqueName="[Measures].[R-GM TY Color]" caption="R-GM TY Color" measure="1" displayFolder="" measureGroup="Measure Tooltip" count="0"/>
    <cacheHierarchy uniqueName="[Measures].[R-Store Trans Color]" caption="R-Store Trans Color" measure="1" displayFolder="" measureGroup="Measure Tooltip" count="0"/>
    <cacheHierarchy uniqueName="[Measures].[R-Traffic Color]" caption="R-Traffic Color" measure="1" displayFolder="" measureGroup="Measure Tooltip" count="0"/>
    <cacheHierarchy uniqueName="[Measures].[R-COnv Color]" caption="R-COnv Color" measure="1" displayFolder="" measureGroup="Measure Tooltip" count="0"/>
    <cacheHierarchy uniqueName="[Measures].[R-ATV Color]" caption="R-ATV Color" measure="1" displayFolder="" measureGroup="Measure Tooltip" count="0"/>
    <cacheHierarchy uniqueName="[Measures].[R-M/D$% Budget Color]" caption="R-M/D$% Budget Color" measure="1" displayFolder="" measureGroup="Measure Tooltip" count="0"/>
    <cacheHierarchy uniqueName="[Measures].[R-Traffic Budget Color]" caption="R-Traffic Budget Color" measure="1" displayFolder="" measureGroup="Measure Tooltip" count="0"/>
    <cacheHierarchy uniqueName="[Measures].[R-Store Trans Budget Color]" caption="R-Store Trans Budget Color" measure="1" displayFolder="" measureGroup="Measure Tooltip" count="0"/>
    <cacheHierarchy uniqueName="[Measures].[R-Conv Budget Color]" caption="R-Conv Budget Color" measure="1" displayFolder="" measureGroup="Measure Tooltip" count="0"/>
    <cacheHierarchy uniqueName="[Measures].[R-ATV Budget Color]" caption="R-ATV Budget Color" measure="1" displayFolder="" measureGroup="Measure Tooltip" count="0"/>
    <cacheHierarchy uniqueName="[Measures].[R-Sales TY/LY Color]" caption="R-Sales TY/LY Color" measure="1" displayFolder="" measureGroup="Measure Tooltip" count="0"/>
    <cacheHierarchy uniqueName="[Measures].[R-Sales$ Plan Color]" caption="R-Sales$ Plan Color" measure="1" displayFolder="" measureGroup="Measure Tooltip" count="0"/>
    <cacheHierarchy uniqueName="[Measures].[R-GM % TY Color]" caption="R-GM % TY Color" measure="1" displayFolder="" measureGroup="Measure Tooltip" count="0"/>
    <cacheHierarchy uniqueName="[Measures].[R-Budget$-Online-Store]" caption="R-Budget$-Online-Store" measure="1" displayFolder="" measureGroup="BI vw_BudgetOnlineByStore" count="0"/>
    <cacheHierarchy uniqueName="[Measures].[R-Budget-Online Store Y/N]" caption="R-Budget-Online Store Y/N" measure="1" displayFolder="" measureGroup="BI vw_BudgetOnlineByStore" count="0"/>
    <cacheHierarchy uniqueName="[Measures].[R-Budget Y/N]" caption="R-Budget Y/N" measure="1" displayFolder="" measureGroup="BI vw_BudgetOnlineByStore" count="0"/>
    <cacheHierarchy uniqueName="[Measures].[Product Dynamic Title]" caption="Product Dynamic Title" measure="1" displayFolder="" measureGroup="Product Parameter" count="0"/>
    <cacheHierarchy uniqueName="[Measures].[Budget Online]" caption="Budget Online" measure="1" displayFolder="" measureGroup="BI vw_BudgetDigital" count="0"/>
    <cacheHierarchy uniqueName="[Measures].[R-Budget Online TY]" caption="R-Budget Online TY" measure="1" displayFolder="" measureGroup="BI vw_BudgetDigital" count="0"/>
    <cacheHierarchy uniqueName="[Measures].[Store Trans Budget]" caption="Store Trans Budget" measure="1" displayFolder="" measureGroup="BI vw_BudgetByWeek" count="0"/>
    <cacheHierarchy uniqueName="[Measures].[R-Store Trans InStore Budget]" caption="R-Store Trans InStore Budget" measure="1" displayFolder="" measureGroup="BI vw_BudgetByWeek" count="0"/>
    <cacheHierarchy uniqueName="[Measures].[Traffic Budget]" caption="Traffic Budget" measure="1" displayFolder="" measureGroup="BI vw_BudgetByWeek" count="0"/>
    <cacheHierarchy uniqueName="[Measures].[R-Traffic InStore Budget]" caption="R-Traffic InStore Budget" measure="1" displayFolder="" measureGroup="BI vw_BudgetByWeek" count="0"/>
    <cacheHierarchy uniqueName="[Measures].[R-Conv Instore Budget]" caption="R-Conv Instore Budget" measure="1" displayFolder="" measureGroup="BI vw_BudgetByWeek" count="0"/>
    <cacheHierarchy uniqueName="[Measures].[R-Budget InStore]" caption="R-Budget InStore" measure="1" displayFolder="" measureGroup="BI vw_BudgetByWeek" count="0"/>
    <cacheHierarchy uniqueName="[Measures].[R-Traffic Budget Channel]" caption="R-Traffic Budget Channel" measure="1" displayFolder="" measureGroup="BI vw_BudgetByWeek" count="0"/>
    <cacheHierarchy uniqueName="[Measures].[R-Conv Budget Channel]" caption="R-Conv Budget Channel" measure="1" displayFolder="" measureGroup="BI vw_BudgetByWeek" count="0"/>
    <cacheHierarchy uniqueName="[Measures].[R-Store trans Budget Channel]" caption="R-Store trans Budget Channel" measure="1" displayFolder="" measureGroup="BI vw_BudgetByWeek" count="0"/>
    <cacheHierarchy uniqueName="[Measures].[R-ATV InStore Budget Cal]" caption="R-ATV InStore Budget Cal" measure="1" displayFolder="" measureGroup="BI vw_BudgetByWeek" count="0"/>
    <cacheHierarchy uniqueName="[Measures].[R-ATV Budget Channel]" caption="R-ATV Budget Channel" measure="1" displayFolder="" measureGroup="BI vw_BudgetByWeek" count="0"/>
    <cacheHierarchy uniqueName="[Measures].[R-GM Plan TY]" caption="R-GM Plan TY" measure="1" displayFolder="" measureGroup="Forecast" count="0"/>
    <cacheHierarchy uniqueName="[Measures].[R-GM vs Plan]" caption="R-GM vs Plan" measure="1" displayFolder="" measureGroup="Forecast" count="0"/>
    <cacheHierarchy uniqueName="[Measures].[R-GM %]" caption="R-GM %" measure="1" displayFolder="" measureGroup="Forecast" count="0"/>
    <cacheHierarchy uniqueName="[Measures].[R-Sales Plan TY]" caption="R-Sales Plan TY" measure="1" displayFolder="" measureGroup="Forecast" count="0"/>
    <cacheHierarchy uniqueName="[Measures].[R-GM Plan %]" caption="R-GM Plan %" measure="1" displayFolder="" measureGroup="Forecast" count="0"/>
    <cacheHierarchy uniqueName="[Measures].[R-Sales Plan TY-K]" caption="R-Sales Plan TY-K" measure="1" displayFolder="" measureGroup="Forecast" count="0"/>
    <cacheHierarchy uniqueName="[Measures].[__Default measure]" caption="__Default measure" measure="1" displayFolder="" count="0" hidden="1"/>
  </cacheHierarchies>
  <kpis count="0"/>
  <dimensions count="35">
    <dimension name="BI ForecastClass" uniqueName="[BI ForecastClass]" caption="BI ForecastClass"/>
    <dimension name="BI Item" uniqueName="[BI Item]" caption="BI Item"/>
    <dimension name="BI metrics" uniqueName="[BI metrics]" caption="BI metrics"/>
    <dimension name="BI Store" uniqueName="[BI Store]" caption="BI Store"/>
    <dimension name="BI Store State Sort" uniqueName="[BI Store State Sort]" caption="BI Store State Sort"/>
    <dimension name="BI vw_BudgetByItemCategory" uniqueName="[BI vw_BudgetByItemCategory]" caption="BI vw_BudgetByItemCategory"/>
    <dimension name="BI vw_BudgetByStore" uniqueName="[BI vw_BudgetByStore]" caption="BI vw_BudgetByStore"/>
    <dimension name="BI vw_BudgetByWeek" uniqueName="[BI vw_BudgetByWeek]" caption="BI vw_BudgetByWeek"/>
    <dimension name="BI vw_BudgetDigital" uniqueName="[BI vw_BudgetDigital]" caption="BI vw_BudgetDigital"/>
    <dimension name="BI vw_BudgetOnlineByStore" uniqueName="[BI vw_BudgetOnlineByStore]" caption="BI vw_BudgetOnlineByStore"/>
    <dimension name="BI vw_DropshipBudget" uniqueName="[BI vw_DropshipBudget]" caption="BI vw_DropshipBudget"/>
    <dimension name="BI vw_Items" uniqueName="[BI vw_Items]" caption="BI vw_Items"/>
    <dimension name="BI vw_WeeklyItemSales" uniqueName="[BI vw_WeeklyItemSales]" caption="BI vw_WeeklyItemSales"/>
    <dimension name="BI vw_WeeklyStoreATV" uniqueName="[BI vw_WeeklyStoreATV]" caption="BI vw_WeeklyStoreATV"/>
    <dimension name="BI vw_WeeklyStoreTraffic" uniqueName="[BI vw_WeeklyStoreTraffic]" caption="BI vw_WeeklyStoreTraffic"/>
    <dimension name="BI vw_WeeklyWrittenSalesMetrics" uniqueName="[BI vw_WeeklyWrittenSalesMetrics]" caption="BI vw_WeeklyWrittenSalesMetrics"/>
    <dimension name="Dim_Category" uniqueName="[Dim_Category]" caption="Dim_Category"/>
    <dimension name="dim_period" uniqueName="[dim_period]" caption="dim_period"/>
    <dimension name="ForcastByClass" uniqueName="[ForcastByClass]" caption="ForcastByClass"/>
    <dimension name="Forecast" uniqueName="[Forecast]" caption="Forecast"/>
    <dimension name="LocalDateTable_0d9eeced-3257-4609-8cfb-234f1d7c24d7" uniqueName="[LocalDateTable_0d9eeced-3257-4609-8cfb-234f1d7c24d7]" caption="LocalDateTable_0d9eeced-3257-4609-8cfb-234f1d7c24d7"/>
    <dimension name="LocalDateTable_3a17192d-ec7c-4dba-ac0e-bcf6b3a6a0ff" uniqueName="[LocalDateTable_3a17192d-ec7c-4dba-ac0e-bcf6b3a6a0ff]" caption="LocalDateTable_3a17192d-ec7c-4dba-ac0e-bcf6b3a6a0ff"/>
    <dimension name="LocalDateTable_3f117c71-2c04-4fa5-8c23-2b2c1ab14338" uniqueName="[LocalDateTable_3f117c71-2c04-4fa5-8c23-2b2c1ab14338]" caption="LocalDateTable_3f117c71-2c04-4fa5-8c23-2b2c1ab14338"/>
    <dimension name="LocalDateTable_66f09a5d-f864-46bc-a2f5-c0014bc05155" uniqueName="[LocalDateTable_66f09a5d-f864-46bc-a2f5-c0014bc05155]" caption="LocalDateTable_66f09a5d-f864-46bc-a2f5-c0014bc05155"/>
    <dimension name="LocalDateTable_754a5606-f042-4514-8c57-59f8f32672fc" uniqueName="[LocalDateTable_754a5606-f042-4514-8c57-59f8f32672fc]" caption="LocalDateTable_754a5606-f042-4514-8c57-59f8f32672fc"/>
    <dimension name="LocalDateTable_9b9a9699-5b52-40e9-b4a0-c11cb55a9d61" uniqueName="[LocalDateTable_9b9a9699-5b52-40e9-b4a0-c11cb55a9d61]" caption="LocalDateTable_9b9a9699-5b52-40e9-b4a0-c11cb55a9d61"/>
    <dimension name="LocalDateTable_a29de990-df00-42e6-9e8c-814d0b4b9a86" uniqueName="[LocalDateTable_a29de990-df00-42e6-9e8c-814d0b4b9a86]" caption="LocalDateTable_a29de990-df00-42e6-9e8c-814d0b4b9a86"/>
    <dimension name="LocalDateTable_e1d748f9-bc77-4c73-ba8d-fcf5ec29dd71" uniqueName="[LocalDateTable_e1d748f9-bc77-4c73-ba8d-fcf5ec29dd71]" caption="LocalDateTable_e1d748f9-bc77-4c73-ba8d-fcf5ec29dd71"/>
    <dimension name="Measure" uniqueName="[Measure]" caption="Measure"/>
    <dimension name="Measure Categories" uniqueName="[Measure Categories]" caption="Measure Categories"/>
    <dimension measure="1" name="Measures" uniqueName="[Measures]" caption="Measures"/>
    <dimension name="Product Parameter" uniqueName="[Product Parameter]" caption="Product Parameter"/>
    <dimension name="Query1" uniqueName="[Query1]" caption="Query1"/>
    <dimension name="Query2" uniqueName="[Query2]" caption="Query2"/>
    <dimension name="TimePeriodSort" uniqueName="[TimePeriodSort]" caption="TimePeriodSort"/>
  </dimensions>
  <measureGroups count="35">
    <measureGroup name="BI ForecastClass" caption="BI ForecastClass"/>
    <measureGroup name="BI Item" caption="BI Item"/>
    <measureGroup name="BI metrics" caption="BI metrics"/>
    <measureGroup name="BI Store" caption="BI Store"/>
    <measureGroup name="BI Store State Sort" caption="BI Store State Sort"/>
    <measureGroup name="BI vw_BudgetByItemCategory" caption="BI vw_BudgetByItemCategory"/>
    <measureGroup name="BI vw_BudgetByStore" caption="BI vw_BudgetByStore"/>
    <measureGroup name="BI vw_BudgetByWeek" caption="BI vw_BudgetByWeek"/>
    <measureGroup name="BI vw_BudgetDigital" caption="BI vw_BudgetDigital"/>
    <measureGroup name="BI vw_BudgetOnlineByStore" caption="BI vw_BudgetOnlineByStore"/>
    <measureGroup name="BI vw_DropshipBudget" caption="BI vw_DropshipBudget"/>
    <measureGroup name="BI vw_Items" caption="BI vw_Items"/>
    <measureGroup name="BI vw_WeeklyItemSales" caption="BI vw_WeeklyItemSales"/>
    <measureGroup name="BI vw_WeeklyStoreATV" caption="BI vw_WeeklyStoreATV"/>
    <measureGroup name="BI vw_WeeklyStoreTraffic" caption="BI vw_WeeklyStoreTraffic"/>
    <measureGroup name="BI vw_WeeklyWrittenSalesMetrics" caption="BI vw_WeeklyWrittenSalesMetrics"/>
    <measureGroup name="Dim_Category" caption="Dim_Category"/>
    <measureGroup name="dim_period" caption="dim_period"/>
    <measureGroup name="ForcastByClass" caption="ForcastByClass"/>
    <measureGroup name="Forecast" caption="Forecast"/>
    <measureGroup name="LocalDateTable_0d9eeced-3257-4609-8cfb-234f1d7c24d7" caption="LocalDateTable_0d9eeced-3257-4609-8cfb-234f1d7c24d7"/>
    <measureGroup name="LocalDateTable_3a17192d-ec7c-4dba-ac0e-bcf6b3a6a0ff" caption="LocalDateTable_3a17192d-ec7c-4dba-ac0e-bcf6b3a6a0ff"/>
    <measureGroup name="LocalDateTable_3f117c71-2c04-4fa5-8c23-2b2c1ab14338" caption="LocalDateTable_3f117c71-2c04-4fa5-8c23-2b2c1ab14338"/>
    <measureGroup name="LocalDateTable_66f09a5d-f864-46bc-a2f5-c0014bc05155" caption="LocalDateTable_66f09a5d-f864-46bc-a2f5-c0014bc05155"/>
    <measureGroup name="LocalDateTable_754a5606-f042-4514-8c57-59f8f32672fc" caption="LocalDateTable_754a5606-f042-4514-8c57-59f8f32672fc"/>
    <measureGroup name="LocalDateTable_9b9a9699-5b52-40e9-b4a0-c11cb55a9d61" caption="LocalDateTable_9b9a9699-5b52-40e9-b4a0-c11cb55a9d61"/>
    <measureGroup name="LocalDateTable_a29de990-df00-42e6-9e8c-814d0b4b9a86" caption="LocalDateTable_a29de990-df00-42e6-9e8c-814d0b4b9a86"/>
    <measureGroup name="LocalDateTable_e1d748f9-bc77-4c73-ba8d-fcf5ec29dd71" caption="LocalDateTable_e1d748f9-bc77-4c73-ba8d-fcf5ec29dd71"/>
    <measureGroup name="Measure" caption="Measure"/>
    <measureGroup name="Measure Categories" caption="Measure Categories"/>
    <measureGroup name="Measure Tooltip" caption="Measure Tooltip"/>
    <measureGroup name="Product Parameter" caption="Product Parameter"/>
    <measureGroup name="Query1" caption="Query1"/>
    <measureGroup name="Query2" caption="Query2"/>
    <measureGroup name="TimePeriodSort" caption="TimePeriodSort"/>
  </measureGroups>
  <maps count="41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2"/>
    <map measureGroup="0" dimension="13"/>
    <map measureGroup="0" dimension="14"/>
    <map measureGroup="0" dimension="15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34"/>
    <map measureGroup="1" dimension="1"/>
    <map measureGroup="1" dimension="23"/>
    <map measureGroup="1" dimension="25"/>
    <map measureGroup="2" dimension="2"/>
    <map measureGroup="2" dimension="20"/>
    <map measureGroup="2" dimension="24"/>
    <map measureGroup="2" dimension="27"/>
    <map measureGroup="2" dimension="34"/>
    <map measureGroup="3" dimension="0"/>
    <map measureGroup="3" dimension="1"/>
    <map measureGroup="3" dimension="2"/>
    <map measureGroup="3" dimension="3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2"/>
    <map measureGroup="3" dimension="13"/>
    <map measureGroup="3" dimension="14"/>
    <map measureGroup="3" dimension="15"/>
    <map measureGroup="3" dimension="17"/>
    <map measureGroup="3" dimension="18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8"/>
    <map measureGroup="3" dimension="34"/>
    <map measureGroup="4" dimension="4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2"/>
    <map measureGroup="5" dimension="13"/>
    <map measureGroup="5" dimension="14"/>
    <map measureGroup="5" dimension="15"/>
    <map measureGroup="5" dimension="17"/>
    <map measureGroup="5" dimension="18"/>
    <map measureGroup="5" dimension="19"/>
    <map measureGroup="5" dimension="20"/>
    <map measureGroup="5" dimension="21"/>
    <map measureGroup="5" dimension="22"/>
    <map measureGroup="5" dimension="23"/>
    <map measureGroup="5" dimension="24"/>
    <map measureGroup="5" dimension="25"/>
    <map measureGroup="5" dimension="27"/>
    <map measureGroup="5" dimension="28"/>
    <map measureGroup="5" dimension="34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  <map measureGroup="6" dimension="8"/>
    <map measureGroup="6" dimension="9"/>
    <map measureGroup="6" dimension="10"/>
    <map measureGroup="6" dimension="12"/>
    <map measureGroup="6" dimension="13"/>
    <map measureGroup="6" dimension="14"/>
    <map measureGroup="6" dimension="15"/>
    <map measureGroup="6" dimension="17"/>
    <map measureGroup="6" dimension="18"/>
    <map measureGroup="6" dimension="19"/>
    <map measureGroup="6" dimension="20"/>
    <map measureGroup="6" dimension="21"/>
    <map measureGroup="6" dimension="22"/>
    <map measureGroup="6" dimension="23"/>
    <map measureGroup="6" dimension="24"/>
    <map measureGroup="6" dimension="25"/>
    <map measureGroup="6" dimension="27"/>
    <map measureGroup="6" dimension="28"/>
    <map measureGroup="6" dimension="34"/>
    <map measureGroup="7" dimension="0"/>
    <map measureGroup="7" dimension="1"/>
    <map measureGroup="7" dimension="2"/>
    <map measureGroup="7" dimension="3"/>
    <map measureGroup="7" dimension="5"/>
    <map measureGroup="7" dimension="6"/>
    <map measureGroup="7" dimension="7"/>
    <map measureGroup="7" dimension="8"/>
    <map measureGroup="7" dimension="9"/>
    <map measureGroup="7" dimension="10"/>
    <map measureGroup="7" dimension="12"/>
    <map measureGroup="7" dimension="13"/>
    <map measureGroup="7" dimension="14"/>
    <map measureGroup="7" dimension="15"/>
    <map measureGroup="7" dimension="17"/>
    <map measureGroup="7" dimension="18"/>
    <map measureGroup="7" dimension="19"/>
    <map measureGroup="7" dimension="20"/>
    <map measureGroup="7" dimension="21"/>
    <map measureGroup="7" dimension="22"/>
    <map measureGroup="7" dimension="23"/>
    <map measureGroup="7" dimension="24"/>
    <map measureGroup="7" dimension="25"/>
    <map measureGroup="7" dimension="27"/>
    <map measureGroup="7" dimension="28"/>
    <map measureGroup="7" dimension="34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8" dimension="12"/>
    <map measureGroup="8" dimension="13"/>
    <map measureGroup="8" dimension="14"/>
    <map measureGroup="8" dimension="15"/>
    <map measureGroup="8" dimension="17"/>
    <map measureGroup="8" dimension="18"/>
    <map measureGroup="8" dimension="19"/>
    <map measureGroup="8" dimension="20"/>
    <map measureGroup="8" dimension="21"/>
    <map measureGroup="8" dimension="22"/>
    <map measureGroup="8" dimension="23"/>
    <map measureGroup="8" dimension="24"/>
    <map measureGroup="8" dimension="25"/>
    <map measureGroup="8" dimension="27"/>
    <map measureGroup="8" dimension="28"/>
    <map measureGroup="8" dimension="34"/>
    <map measureGroup="9" dimension="0"/>
    <map measureGroup="9" dimension="1"/>
    <map measureGroup="9" dimension="2"/>
    <map measureGroup="9" dimension="3"/>
    <map measureGroup="9" dimension="5"/>
    <map measureGroup="9" dimension="6"/>
    <map measureGroup="9" dimension="7"/>
    <map measureGroup="9" dimension="8"/>
    <map measureGroup="9" dimension="9"/>
    <map measureGroup="9" dimension="10"/>
    <map measureGroup="9" dimension="12"/>
    <map measureGroup="9" dimension="13"/>
    <map measureGroup="9" dimension="14"/>
    <map measureGroup="9" dimension="15"/>
    <map measureGroup="9" dimension="17"/>
    <map measureGroup="9" dimension="18"/>
    <map measureGroup="9" dimension="19"/>
    <map measureGroup="9" dimension="20"/>
    <map measureGroup="9" dimension="21"/>
    <map measureGroup="9" dimension="22"/>
    <map measureGroup="9" dimension="23"/>
    <map measureGroup="9" dimension="24"/>
    <map measureGroup="9" dimension="25"/>
    <map measureGroup="9" dimension="27"/>
    <map measureGroup="9" dimension="28"/>
    <map measureGroup="9" dimension="34"/>
    <map measureGroup="10" dimension="0"/>
    <map measureGroup="10" dimension="1"/>
    <map measureGroup="10" dimension="2"/>
    <map measureGroup="10" dimension="3"/>
    <map measureGroup="10" dimension="5"/>
    <map measureGroup="10" dimension="6"/>
    <map measureGroup="10" dimension="7"/>
    <map measureGroup="10" dimension="8"/>
    <map measureGroup="10" dimension="9"/>
    <map measureGroup="10" dimension="10"/>
    <map measureGroup="10" dimension="12"/>
    <map measureGroup="10" dimension="13"/>
    <map measureGroup="10" dimension="14"/>
    <map measureGroup="10" dimension="15"/>
    <map measureGroup="10" dimension="17"/>
    <map measureGroup="10" dimension="18"/>
    <map measureGroup="10" dimension="19"/>
    <map measureGroup="10" dimension="20"/>
    <map measureGroup="10" dimension="21"/>
    <map measureGroup="10" dimension="22"/>
    <map measureGroup="10" dimension="23"/>
    <map measureGroup="10" dimension="24"/>
    <map measureGroup="10" dimension="25"/>
    <map measureGroup="10" dimension="27"/>
    <map measureGroup="10" dimension="28"/>
    <map measureGroup="10" dimension="34"/>
    <map measureGroup="11" dimension="11"/>
    <map measureGroup="12" dimension="0"/>
    <map measureGroup="12" dimension="1"/>
    <map measureGroup="12" dimension="2"/>
    <map measureGroup="12" dimension="3"/>
    <map measureGroup="12" dimension="5"/>
    <map measureGroup="12" dimension="6"/>
    <map measureGroup="12" dimension="7"/>
    <map measureGroup="12" dimension="8"/>
    <map measureGroup="12" dimension="9"/>
    <map measureGroup="12" dimension="10"/>
    <map measureGroup="12" dimension="12"/>
    <map measureGroup="12" dimension="13"/>
    <map measureGroup="12" dimension="14"/>
    <map measureGroup="12" dimension="15"/>
    <map measureGroup="12" dimension="17"/>
    <map measureGroup="12" dimension="18"/>
    <map measureGroup="12" dimension="19"/>
    <map measureGroup="12" dimension="20"/>
    <map measureGroup="12" dimension="21"/>
    <map measureGroup="12" dimension="22"/>
    <map measureGroup="12" dimension="23"/>
    <map measureGroup="12" dimension="24"/>
    <map measureGroup="12" dimension="25"/>
    <map measureGroup="12" dimension="27"/>
    <map measureGroup="12" dimension="28"/>
    <map measureGroup="12" dimension="34"/>
    <map measureGroup="13" dimension="0"/>
    <map measureGroup="13" dimension="1"/>
    <map measureGroup="13" dimension="2"/>
    <map measureGroup="13" dimension="3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2"/>
    <map measureGroup="13" dimension="13"/>
    <map measureGroup="13" dimension="14"/>
    <map measureGroup="13" dimension="15"/>
    <map measureGroup="13" dimension="17"/>
    <map measureGroup="13" dimension="18"/>
    <map measureGroup="13" dimension="19"/>
    <map measureGroup="13" dimension="20"/>
    <map measureGroup="13" dimension="21"/>
    <map measureGroup="13" dimension="22"/>
    <map measureGroup="13" dimension="23"/>
    <map measureGroup="13" dimension="24"/>
    <map measureGroup="13" dimension="25"/>
    <map measureGroup="13" dimension="27"/>
    <map measureGroup="13" dimension="28"/>
    <map measureGroup="13" dimension="34"/>
    <map measureGroup="14" dimension="0"/>
    <map measureGroup="14" dimension="1"/>
    <map measureGroup="14" dimension="2"/>
    <map measureGroup="14" dimension="3"/>
    <map measureGroup="14" dimension="5"/>
    <map measureGroup="14" dimension="6"/>
    <map measureGroup="14" dimension="7"/>
    <map measureGroup="14" dimension="8"/>
    <map measureGroup="14" dimension="9"/>
    <map measureGroup="14" dimension="10"/>
    <map measureGroup="14" dimension="12"/>
    <map measureGroup="14" dimension="13"/>
    <map measureGroup="14" dimension="14"/>
    <map measureGroup="14" dimension="15"/>
    <map measureGroup="14" dimension="17"/>
    <map measureGroup="14" dimension="18"/>
    <map measureGroup="14" dimension="19"/>
    <map measureGroup="14" dimension="20"/>
    <map measureGroup="14" dimension="21"/>
    <map measureGroup="14" dimension="22"/>
    <map measureGroup="14" dimension="23"/>
    <map measureGroup="14" dimension="24"/>
    <map measureGroup="14" dimension="25"/>
    <map measureGroup="14" dimension="27"/>
    <map measureGroup="14" dimension="28"/>
    <map measureGroup="14" dimension="34"/>
    <map measureGroup="15" dimension="0"/>
    <map measureGroup="15" dimension="1"/>
    <map measureGroup="15" dimension="2"/>
    <map measureGroup="15" dimension="3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2"/>
    <map measureGroup="15" dimension="13"/>
    <map measureGroup="15" dimension="14"/>
    <map measureGroup="15" dimension="15"/>
    <map measureGroup="15" dimension="17"/>
    <map measureGroup="15" dimension="18"/>
    <map measureGroup="15" dimension="19"/>
    <map measureGroup="15" dimension="20"/>
    <map measureGroup="15" dimension="21"/>
    <map measureGroup="15" dimension="22"/>
    <map measureGroup="15" dimension="23"/>
    <map measureGroup="15" dimension="24"/>
    <map measureGroup="15" dimension="25"/>
    <map measureGroup="15" dimension="27"/>
    <map measureGroup="15" dimension="28"/>
    <map measureGroup="15" dimension="34"/>
    <map measureGroup="16" dimension="16"/>
    <map measureGroup="17" dimension="17"/>
    <map measureGroup="17" dimension="21"/>
    <map measureGroup="17" dimension="22"/>
    <map measureGroup="18" dimension="0"/>
    <map measureGroup="18" dimension="1"/>
    <map measureGroup="18" dimension="2"/>
    <map measureGroup="18" dimension="3"/>
    <map measureGroup="18" dimension="5"/>
    <map measureGroup="18" dimension="6"/>
    <map measureGroup="18" dimension="7"/>
    <map measureGroup="18" dimension="8"/>
    <map measureGroup="18" dimension="9"/>
    <map measureGroup="18" dimension="10"/>
    <map measureGroup="18" dimension="12"/>
    <map measureGroup="18" dimension="13"/>
    <map measureGroup="18" dimension="14"/>
    <map measureGroup="18" dimension="15"/>
    <map measureGroup="18" dimension="17"/>
    <map measureGroup="18" dimension="18"/>
    <map measureGroup="18" dimension="19"/>
    <map measureGroup="18" dimension="20"/>
    <map measureGroup="18" dimension="21"/>
    <map measureGroup="18" dimension="22"/>
    <map measureGroup="18" dimension="23"/>
    <map measureGroup="18" dimension="24"/>
    <map measureGroup="18" dimension="25"/>
    <map measureGroup="18" dimension="27"/>
    <map measureGroup="18" dimension="28"/>
    <map measureGroup="18" dimension="34"/>
    <map measureGroup="19" dimension="0"/>
    <map measureGroup="19" dimension="1"/>
    <map measureGroup="19" dimension="2"/>
    <map measureGroup="19" dimension="3"/>
    <map measureGroup="19" dimension="5"/>
    <map measureGroup="19" dimension="6"/>
    <map measureGroup="19" dimension="7"/>
    <map measureGroup="19" dimension="8"/>
    <map measureGroup="19" dimension="9"/>
    <map measureGroup="19" dimension="10"/>
    <map measureGroup="19" dimension="12"/>
    <map measureGroup="19" dimension="13"/>
    <map measureGroup="19" dimension="14"/>
    <map measureGroup="19" dimension="15"/>
    <map measureGroup="19" dimension="17"/>
    <map measureGroup="19" dimension="18"/>
    <map measureGroup="19" dimension="19"/>
    <map measureGroup="19" dimension="20"/>
    <map measureGroup="19" dimension="21"/>
    <map measureGroup="19" dimension="22"/>
    <map measureGroup="19" dimension="23"/>
    <map measureGroup="19" dimension="24"/>
    <map measureGroup="19" dimension="25"/>
    <map measureGroup="19" dimension="27"/>
    <map measureGroup="19" dimension="28"/>
    <map measureGroup="19" dimension="34"/>
    <map measureGroup="20" dimension="20"/>
    <map measureGroup="21" dimension="21"/>
    <map measureGroup="22" dimension="22"/>
    <map measureGroup="23" dimension="23"/>
    <map measureGroup="24" dimension="24"/>
    <map measureGroup="25" dimension="25"/>
    <map measureGroup="26" dimension="26"/>
    <map measureGroup="27" dimension="27"/>
    <map measureGroup="28" dimension="0"/>
    <map measureGroup="28" dimension="1"/>
    <map measureGroup="28" dimension="2"/>
    <map measureGroup="28" dimension="3"/>
    <map measureGroup="28" dimension="5"/>
    <map measureGroup="28" dimension="6"/>
    <map measureGroup="28" dimension="7"/>
    <map measureGroup="28" dimension="8"/>
    <map measureGroup="28" dimension="9"/>
    <map measureGroup="28" dimension="10"/>
    <map measureGroup="28" dimension="12"/>
    <map measureGroup="28" dimension="13"/>
    <map measureGroup="28" dimension="14"/>
    <map measureGroup="28" dimension="15"/>
    <map measureGroup="28" dimension="17"/>
    <map measureGroup="28" dimension="18"/>
    <map measureGroup="28" dimension="19"/>
    <map measureGroup="28" dimension="20"/>
    <map measureGroup="28" dimension="21"/>
    <map measureGroup="28" dimension="22"/>
    <map measureGroup="28" dimension="23"/>
    <map measureGroup="28" dimension="24"/>
    <map measureGroup="28" dimension="25"/>
    <map measureGroup="28" dimension="27"/>
    <map measureGroup="28" dimension="28"/>
    <map measureGroup="28" dimension="34"/>
    <map measureGroup="29" dimension="29"/>
    <map measureGroup="31" dimension="31"/>
    <map measureGroup="32" dimension="26"/>
    <map measureGroup="32" dimension="32"/>
    <map measureGroup="33" dimension="33"/>
    <map measureGroup="34" dimension="3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5.591503240743" backgroundQuery="1" createdVersion="8" refreshedVersion="8" minRefreshableVersion="3" recordCount="0" supportSubquery="1" supportAdvancedDrill="1" xr:uid="{154088FD-B05E-44FE-AEF4-1D853931BDBF}">
  <cacheSource type="external" connectionId="2"/>
  <cacheFields count="14">
    <cacheField name="[BI metrics].[Fin_Period].[Fin_Period]" caption="Fin_Period" numFmtId="0" hierarchy="44" level="1">
      <sharedItems count="150">
        <s v="[BI metrics].[Fin_Period].&amp;[202544]" c="202544"/>
        <s v="[BI metrics].[Fin_Period].&amp;[202545]" c="202545"/>
        <s v="[BI metrics].[Fin_Period].&amp;[202546]" c="202546"/>
        <s v="[BI metrics].[Fin_Period].&amp;[202547]" c="202547"/>
        <s v="[BI metrics].[Fin_Period].&amp;[202548]" c="202548"/>
        <s v="[BI metrics].[Fin_Period].&amp;[202549]" c="202549"/>
        <s v="[BI metrics].[Fin_Period].&amp;[202550]" c="202550"/>
        <s v="[BI metrics].[Fin_Period].&amp;[202551]" c="202551"/>
        <s v="[BI metrics].[Fin_Period].&amp;[202552]" c="202552"/>
        <s v="[BI metrics].[Fin_Period].&amp;[202601]" c="202601"/>
        <s v="[BI metrics].[Fin_Period].&amp;[202602]" c="202602"/>
        <s v="[BI metrics].[Fin_Period].&amp;[202603]" c="202603"/>
        <s v="[BI metrics].[Fin_Period].&amp;[202604]" c="202604"/>
        <s v="[BI metrics].[Fin_Period].&amp;[202605]" c="202605"/>
        <s v="[BI metrics].[Fin_Period].&amp;[202606]" c="202606"/>
        <s v="[BI metrics].[Fin_Period].&amp;[202607]" c="202607"/>
        <s v="[BI metrics].[Fin_Period].&amp;[202608]" c="202608"/>
        <s v="[BI metrics].[Fin_Period].&amp;[202609]" c="202609"/>
        <s v="[BI metrics].[Fin_Period].&amp;[202610]" c="202610"/>
        <s v="[BI metrics].[Fin_Period].&amp;[202611]" c="202611"/>
        <s v="[BI metrics].[Fin_Period].&amp;[202612]" c="202612"/>
        <s v="[BI metrics].[Fin_Period].&amp;[202613]" c="202613"/>
        <s v="[BI metrics].[Fin_Period].&amp;[202614]" c="202614"/>
        <s v="[BI metrics].[Fin_Period].&amp;[202615]" c="202615"/>
        <s v="[BI metrics].[Fin_Period].&amp;[202616]" c="202616"/>
        <s v="[BI metrics].[Fin_Period].&amp;[202617]" c="202617"/>
        <s v="[BI metrics].[Fin_Period].&amp;[202618]" c="202618"/>
        <s v="[BI metrics].[Fin_Period].&amp;[202619]" c="202619"/>
        <s v="[BI metrics].[Fin_Period].&amp;[202620]" c="202620"/>
        <s v="[BI metrics].[Fin_Period].&amp;[202621]" c="202621"/>
        <s v="[BI metrics].[Fin_Period].&amp;[202622]" c="202622"/>
        <s v="[BI metrics].[Fin_Period].&amp;[202623]" c="202623"/>
        <s v="[BI metrics].[Fin_Period].&amp;[202624]" c="202624"/>
        <s v="[BI metrics].[Fin_Period].&amp;[202625]" c="202625"/>
        <s v="[BI metrics].[Fin_Period].&amp;[202626]" c="202626"/>
        <s v="[BI metrics].[Fin_Period].&amp;[202627]" c="202627"/>
        <s v="[BI metrics].[Fin_Period].&amp;[202628]" c="202628"/>
        <s v="[BI metrics].[Fin_Period].&amp;[202629]" c="202629"/>
        <s v="[BI metrics].[Fin_Period].&amp;[202630]" c="202630"/>
        <s v="[BI metrics].[Fin_Period].&amp;[202631]" c="202631"/>
        <s v="[BI metrics].[Fin_Period].&amp;[202632]" c="202632"/>
        <s v="[BI metrics].[Fin_Period].&amp;[202633]" c="202633"/>
        <s v="[BI metrics].[Fin_Period].&amp;[202634]" c="202634"/>
        <s v="[BI metrics].[Fin_Period].&amp;[202635]" c="202635"/>
        <s v="[BI metrics].[Fin_Period].&amp;[202636]" c="202636"/>
        <s v="[BI metrics].[Fin_Period].&amp;[202637]" c="202637"/>
        <s v="[BI metrics].[Fin_Period].&amp;[202638]" c="202638"/>
        <s v="[BI metrics].[Fin_Period].&amp;[202639]" c="202639"/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  <s v="[BI metrics].[Fin_Period].&amp;[202401]" u="1" c="202401"/>
        <s v="[BI metrics].[Fin_Period].&amp;[202402]" u="1" c="202402"/>
        <s v="[BI metrics].[Fin_Period].&amp;[202403]" u="1" c="202403"/>
        <s v="[BI metrics].[Fin_Period].&amp;[202404]" u="1" c="202404"/>
        <s v="[BI metrics].[Fin_Period].&amp;[202405]" u="1" c="202405"/>
        <s v="[BI metrics].[Fin_Period].&amp;[202406]" u="1" c="202406"/>
        <s v="[BI metrics].[Fin_Period].&amp;[202407]" u="1" c="202407"/>
        <s v="[BI metrics].[Fin_Period].&amp;[202408]" u="1" c="202408"/>
        <s v="[BI metrics].[Fin_Period].&amp;[202409]" u="1" c="202409"/>
        <s v="[BI metrics].[Fin_Period].&amp;[202410]" u="1" c="202410"/>
        <s v="[BI metrics].[Fin_Period].&amp;[202411]" u="1" c="202411"/>
        <s v="[BI metrics].[Fin_Period].&amp;[202412]" u="1" c="202412"/>
        <s v="[BI metrics].[Fin_Period].&amp;[202413]" u="1" c="202413"/>
        <s v="[BI metrics].[Fin_Period].&amp;[202414]" u="1" c="202414"/>
        <s v="[BI metrics].[Fin_Period].&amp;[202415]" u="1" c="202415"/>
        <s v="[BI metrics].[Fin_Period].&amp;[202416]" u="1" c="202416"/>
        <s v="[BI metrics].[Fin_Period].&amp;[202417]" u="1" c="202417"/>
        <s v="[BI metrics].[Fin_Period].&amp;[202418]" u="1" c="202418"/>
        <s v="[BI metrics].[Fin_Period].&amp;[202419]" u="1" c="202419"/>
        <s v="[BI metrics].[Fin_Period].&amp;[202420]" u="1" c="202420"/>
        <s v="[BI metrics].[Fin_Period].&amp;[202421]" u="1" c="202421"/>
        <s v="[BI metrics].[Fin_Period].&amp;[202422]" u="1" c="202422"/>
        <s v="[BI metrics].[Fin_Period].&amp;[202423]" u="1" c="202423"/>
        <s v="[BI metrics].[Fin_Period].&amp;[202424]" u="1" c="202424"/>
        <s v="[BI metrics].[Fin_Period].&amp;[202425]" u="1" c="202425"/>
        <s v="[BI metrics].[Fin_Period].&amp;[202426]" u="1" c="202426"/>
        <s v="[BI metrics].[Fin_Period].&amp;[202427]" u="1" c="202427"/>
        <s v="[BI metrics].[Fin_Period].&amp;[202428]" u="1" c="202428"/>
        <s v="[BI metrics].[Fin_Period].&amp;[202429]" u="1" c="202429"/>
        <s v="[BI metrics].[Fin_Period].&amp;[202430]" u="1" c="202430"/>
        <s v="[BI metrics].[Fin_Period].&amp;[202431]" u="1" c="202431"/>
        <s v="[BI metrics].[Fin_Period].&amp;[202432]" u="1" c="202432"/>
        <s v="[BI metrics].[Fin_Period].&amp;[202433]" u="1" c="202433"/>
        <s v="[BI metrics].[Fin_Period].&amp;[202434]" u="1" c="202434"/>
        <s v="[BI metrics].[Fin_Period].&amp;[202435]" u="1" c="202435"/>
        <s v="[BI metrics].[Fin_Period].&amp;[202436]" u="1" c="202436"/>
        <s v="[BI metrics].[Fin_Period].&amp;[202437]" u="1" c="202437"/>
        <s v="[BI metrics].[Fin_Period].&amp;[202438]" u="1" c="202438"/>
        <s v="[BI metrics].[Fin_Period].&amp;[202439]" u="1" c="202439"/>
        <s v="[BI metrics].[Fin_Period].&amp;[202440]" u="1" c="202440"/>
        <s v="[BI metrics].[Fin_Period].&amp;[202441]" u="1" c="202441"/>
        <s v="[BI metrics].[Fin_Period].&amp;[202442]" u="1" c="202442"/>
        <s v="[BI metrics].[Fin_Period].&amp;[202443]" u="1" c="202443"/>
        <s v="[BI metrics].[Fin_Period].&amp;[202444]" u="1" c="202444"/>
        <s v="[BI metrics].[Fin_Period].&amp;[202445]" u="1" c="202445"/>
        <s v="[BI metrics].[Fin_Period].&amp;[202446]" u="1" c="202446"/>
        <s v="[BI metrics].[Fin_Period].&amp;[202447]" u="1" c="202447"/>
        <s v="[BI metrics].[Fin_Period].&amp;[202448]" u="1" c="202448"/>
        <s v="[BI metrics].[Fin_Period].&amp;[202449]" u="1" c="202449"/>
        <s v="[BI metrics].[Fin_Period].&amp;[202450]" u="1" c="202450"/>
        <s v="[BI metrics].[Fin_Period].&amp;[202451]" u="1" c="202451"/>
        <s v="[BI metrics].[Fin_Period].&amp;[202452]" u="1" c="202452"/>
        <s v="[BI metrics].[Fin_Period].&amp;[202501]" u="1" c="202501"/>
        <s v="[BI metrics].[Fin_Period].&amp;[202502]" u="1" c="202502"/>
        <s v="[BI metrics].[Fin_Period].&amp;[202503]" u="1" c="202503"/>
        <s v="[BI metrics].[Fin_Period].&amp;[202504]" u="1" c="202504"/>
        <s v="[BI metrics].[Fin_Period].&amp;[202505]" u="1" c="202505"/>
        <s v="[BI metrics].[Fin_Period].&amp;[202506]" u="1" c="202506"/>
        <s v="[BI metrics].[Fin_Period].&amp;[202507]" u="1" c="202507"/>
        <s v="[BI metrics].[Fin_Period].&amp;[202508]" u="1" c="202508"/>
        <s v="[BI metrics].[Fin_Period].&amp;[202509]" u="1" c="202509"/>
        <s v="[BI metrics].[Fin_Period].&amp;[202510]" u="1" c="202510"/>
        <s v="[BI metrics].[Fin_Period].&amp;[202511]" u="1" c="202511"/>
        <s v="[BI metrics].[Fin_Period].&amp;[202512]" u="1" c="202512"/>
        <s v="[BI metrics].[Fin_Period].&amp;[202513]" u="1" c="202513"/>
        <s v="[BI metrics].[Fin_Period].&amp;[202514]" u="1" c="202514"/>
        <s v="[BI metrics].[Fin_Period].&amp;[202515]" u="1" c="202515"/>
        <s v="[BI metrics].[Fin_Period].&amp;[202516]" u="1" c="202516"/>
        <s v="[BI metrics].[Fin_Period].&amp;[202517]" u="1" c="202517"/>
        <s v="[BI metrics].[Fin_Period].&amp;[202518]" u="1" c="202518"/>
        <s v="[BI metrics].[Fin_Period].&amp;[202519]" u="1" c="202519"/>
        <s v="[BI metrics].[Fin_Period].&amp;[202520]" u="1" c="202520"/>
        <s v="[BI metrics].[Fin_Period].&amp;[202521]" u="1" c="202521"/>
        <s v="[BI metrics].[Fin_Period].&amp;[202522]" u="1" c="202522"/>
        <s v="[BI metrics].[Fin_Period].&amp;[202523]" u="1" c="202523"/>
        <s v="[BI metrics].[Fin_Period].&amp;[202524]" u="1" c="202524"/>
        <s v="[BI metrics].[Fin_Period].&amp;[202525]" u="1" c="202525"/>
        <s v="[BI metrics].[Fin_Period].&amp;[202526]" u="1" c="202526"/>
        <s v="[BI metrics].[Fin_Period].&amp;[202527]" u="1" c="202527"/>
        <s v="[BI metrics].[Fin_Period].&amp;[202528]" u="1" c="202528"/>
        <s v="[BI metrics].[Fin_Period].&amp;[202529]" u="1" c="202529"/>
        <s v="[BI metrics].[Fin_Period].&amp;[202530]" u="1" c="202530"/>
        <s v="[BI metrics].[Fin_Period].&amp;[202531]" u="1" c="202531"/>
        <s v="[BI metrics].[Fin_Period].&amp;[202532]" u="1" c="202532"/>
        <s v="[BI metrics].[Fin_Period].&amp;[202533]" u="1" c="202533"/>
        <s v="[BI metrics].[Fin_Period].&amp;[202534]" u="1" c="202534"/>
        <s v="[BI metrics].[Fin_Period].&amp;[202535]" u="1" c="202535"/>
        <s v="[BI metrics].[Fin_Period].&amp;[202536]" u="1" c="202536"/>
        <s v="[BI metrics].[Fin_Period].&amp;[202537]" u="1" c="202537"/>
        <s v="[BI metrics].[Fin_Period].&amp;[202538]" u="1" c="202538"/>
        <s v="[BI metrics].[Fin_Period].&amp;[202539]" u="1" c="202539"/>
        <s v="[BI metrics].[Fin_Period].&amp;[202540]" u="1" c="202540"/>
        <s v="[BI metrics].[Fin_Period].&amp;[202541]" u="1" c="202541"/>
        <s v="[BI metrics].[Fin_Period].&amp;[202542]" u="1" c="202542"/>
        <s v="[BI metrics].[Fin_Period].&amp;[202543]" u="1" c="202543"/>
      </sharedItems>
    </cacheField>
    <cacheField name="[BI metrics].[TimePeriod].[TimePeriod]" caption="TimePeriod" numFmtId="0" hierarchy="60" level="1">
      <sharedItems containsSemiMixedTypes="0" containsString="0"/>
    </cacheField>
    <cacheField name="[BI Item].[Item_Country].[Item_Country]" caption="Item_Country" numFmtId="0" hierarchy="22" level="1">
      <sharedItems containsSemiMixedTypes="0" containsString="0"/>
    </cacheField>
    <cacheField name="[BI Item].[Division].[Division]" caption="Division" numFmtId="0" hierarchy="17" level="1">
      <sharedItems containsSemiMixedTypes="0" containsString="0"/>
    </cacheField>
    <cacheField name="[BI Store].[Branch_Type].[Branch_Type]" caption="Branch_Type" numFmtId="0" hierarchy="69" level="1">
      <sharedItems containsSemiMixedTypes="0" containsString="0"/>
    </cacheField>
    <cacheField name="[BI Store].[Store_Country].[Store_Country]" caption="Store_Country" numFmtId="0" hierarchy="75" level="1">
      <sharedItems containsSemiMixedTypes="0" containsString="0"/>
    </cacheField>
    <cacheField name="[BI vw_BudgetByItemCategory].[Country].[Country]" caption="Country" numFmtId="0" hierarchy="92" level="1">
      <sharedItems containsSemiMixedTypes="0" containsString="0"/>
    </cacheField>
    <cacheField name="[TimePeriodSort].[TimePeriod].[TimePeriod]" caption="TimePeriod" numFmtId="0" hierarchy="284" level="1">
      <sharedItems containsSemiMixedTypes="0" containsString="0"/>
    </cacheField>
    <cacheField name="[BI vw_WeeklyWrittenSalesMetrics].[Branch_Type].[Branch_Type]" caption="Branch_Type" numFmtId="0" hierarchy="199" level="1">
      <sharedItems containsSemiMixedTypes="0" containsString="0"/>
    </cacheField>
    <cacheField name="[BI vw_WeeklyWrittenSalesMetrics].[Division].[Division]" caption="Division" numFmtId="0" hierarchy="209" level="1">
      <sharedItems count="2">
        <s v="[BI vw_WeeklyWrittenSalesMetrics].[Division].&amp;[Furniture]" c="Furniture"/>
        <s v="[BI vw_WeeklyWrittenSalesMetrics].[Division].&amp;[Homewares]" c="Homewares"/>
      </sharedItems>
    </cacheField>
    <cacheField name="[BI vw_WeeklyWrittenSalesMetrics].[Country].[Country]" caption="Country" numFmtId="0" hierarchy="207" level="1">
      <sharedItems containsSemiMixedTypes="0" containsString="0"/>
    </cacheField>
    <cacheField name="[Measures].[R-Sales TY $]" caption="R-Sales TY $" numFmtId="0" hierarchy="350" level="32767"/>
    <cacheField name="[BI vw_WeeklyWrittenSalesMetrics].[Channel].[Channel]" caption="Channel" numFmtId="0" hierarchy="205" level="1">
      <sharedItems count="3">
        <s v="[BI vw_WeeklyWrittenSalesMetrics].[Channel].&amp;[Dropship]" c="Dropship"/>
        <s v="[BI vw_WeeklyWrittenSalesMetrics].[Channel].&amp;[In Store]" c="In Store"/>
        <s v="[BI vw_WeeklyWrittenSalesMetrics].[Channel].&amp;[Online]" c="Online"/>
      </sharedItems>
    </cacheField>
    <cacheField name="[BI Store].[Store_Name].[Store_Name]" caption="Store_Name" numFmtId="0" hierarchy="76" level="1">
      <sharedItems containsSemiMixedTypes="0" containsString="0"/>
    </cacheField>
  </cacheFields>
  <cacheHierarchies count="579">
    <cacheHierarchy uniqueName="[BI ForecastClass].[BranchType]" caption="BranchType" attribute="1" defaultMemberUniqueName="[BI ForecastClass].[BranchType].[All]" allUniqueName="[BI ForecastClass].[BranchType].[All]" dimensionUniqueName="[BI ForecastClass]" displayFolder="" count="0" memberValueDatatype="130" unbalanced="0"/>
    <cacheHierarchy uniqueName="[BI ForecastClass].[Channel]" caption="Channel" attribute="1" defaultMemberUniqueName="[BI ForecastClass].[Channel].[All]" allUniqueName="[BI ForecastClass].[Channel].[All]" dimensionUniqueName="[BI ForecastClass]" displayFolder="" count="0" memberValueDatatype="130" unbalanced="0"/>
    <cacheHierarchy uniqueName="[BI ForecastClass].[Class]" caption="Class" attribute="1" defaultMemberUniqueName="[BI ForecastClass].[Class].[All]" allUniqueName="[BI ForecastClass].[Class].[All]" dimensionUniqueName="[BI ForecastClass]" displayFolder="" count="0" memberValueDatatype="130" unbalanced="0"/>
    <cacheHierarchy uniqueName="[BI ForecastClass].[Country]" caption="Country" attribute="1" defaultMemberUniqueName="[BI ForecastClass].[Country].[All]" allUniqueName="[BI ForecastClass].[Country].[All]" dimensionUniqueName="[BI ForecastClass]" displayFolder="" count="0" memberValueDatatype="130" unbalanced="0"/>
    <cacheHierarchy uniqueName="[BI ForecastClass].[DepartmentDesc]" caption="DepartmentDesc" attribute="1" defaultMemberUniqueName="[BI ForecastClass].[DepartmentDesc].[All]" allUniqueName="[BI ForecastClass].[DepartmentDesc].[All]" dimensionUniqueName="[BI ForecastClass]" displayFolder="" count="0" memberValueDatatype="130" unbalanced="0"/>
    <cacheHierarchy uniqueName="[BI ForecastClass].[Division]" caption="Division" attribute="1" defaultMemberUniqueName="[BI ForecastClass].[Division].[All]" allUniqueName="[BI ForecastClass].[Division].[All]" dimensionUniqueName="[BI ForecastClass]" displayFolder="" count="0" memberValueDatatype="130" unbalanced="0"/>
    <cacheHierarchy uniqueName="[BI ForecastClass].[Period]" caption="Period" attribute="1" defaultMemberUniqueName="[BI ForecastClass].[Period].[All]" allUniqueName="[BI ForecastClass].[Period].[All]" dimensionUniqueName="[BI ForecastClass]" displayFolder="" count="0" memberValueDatatype="20" unbalanced="0"/>
    <cacheHierarchy uniqueName="[BI ForecastClass].[Storekey]" caption="Storekey" attribute="1" defaultMemberUniqueName="[BI ForecastClass].[Storekey].[All]" allUniqueName="[BI ForecastClass].[Storekey].[All]" dimensionUniqueName="[BI ForecastClass]" displayFolder="" count="0" memberValueDatatype="20" unbalanced="0"/>
    <cacheHierarchy uniqueName="[BI ForecastClass].[SubDepartmentDesc]" caption="SubDepartmentDesc" attribute="1" defaultMemberUniqueName="[BI ForecastClass].[SubDepartmentDesc].[All]" allUniqueName="[BI ForecastClass].[SubDepartmentDesc].[All]" dimensionUniqueName="[BI ForecastClass]" displayFolder="" count="0" memberValueDatatype="130" unbalanced="0"/>
    <cacheHierarchy uniqueName="[BI Item].[AddedDate]" caption="AddedDate" attribute="1" time="1" defaultMemberUniqueName="[BI Item].[AddedDate].[All]" allUniqueName="[BI Item].[AddedDate].[All]" dimensionUniqueName="[BI Item]" displayFolder="" count="0" memberValueDatatype="7" unbalanced="0"/>
    <cacheHierarchy uniqueName="[BI Item].[AUtoNZWholesale]" caption="AUtoNZWholesale" attribute="1" defaultMemberUniqueName="[BI Item].[AUtoNZWholesale].[All]" allUniqueName="[BI Item].[AUtoNZWholesale].[All]" dimensionUniqueName="[BI Item]" displayFolder="" count="0" memberValueDatatype="5" unbalanced="0"/>
    <cacheHierarchy uniqueName="[BI Item].[Base_SKU]" caption="Base_SKU" attribute="1" defaultMemberUniqueName="[BI Item].[Base_SKU].[All]" allUniqueName="[BI Item].[Base_SKU].[All]" dimensionUniqueName="[BI Item]" displayFolder="" count="0" memberValueDatatype="130" unbalanced="0"/>
    <cacheHierarchy uniqueName="[BI Item].[Class]" caption="Class" attribute="1" defaultMemberUniqueName="[BI Item].[Class].[All]" allUniqueName="[BI Item].[Class].[All]" dimensionUniqueName="[BI Item]" displayFolder="" count="0" memberValueDatatype="20" unbalanced="0"/>
    <cacheHierarchy uniqueName="[BI Item].[Cost]" caption="Cost" attribute="1" defaultMemberUniqueName="[BI Item].[Cost].[All]" allUniqueName="[BI Item].[Cost].[All]" dimensionUniqueName="[BI Item]" displayFolder="" count="0" memberValueDatatype="6" unbalanced="0"/>
    <cacheHierarchy uniqueName="[BI Item].[CostAveage]" caption="CostAveage" attribute="1" defaultMemberUniqueName="[BI Item].[CostAveage].[All]" allUniqueName="[BI Item].[CostAveage].[All]" dimensionUniqueName="[BI Item]" displayFolder="" count="0" memberValueDatatype="6" unbalanced="0"/>
    <cacheHierarchy uniqueName="[BI Item].[DepartmentDesc]" caption="DepartmentDesc" attribute="1" defaultMemberUniqueName="[BI Item].[DepartmentDesc].[All]" allUniqueName="[BI Item].[DepartmentDesc].[All]" dimensionUniqueName="[BI Item]" displayFolder="" count="0" memberValueDatatype="130" unbalanced="0"/>
    <cacheHierarchy uniqueName="[BI Item].[Description]" caption="Description" attribute="1" defaultMemberUniqueName="[BI Item].[Description].[All]" allUniqueName="[BI Item].[Description].[All]" dimensionUniqueName="[BI Item]" displayFolder="" count="0" memberValueDatatype="130" unbalanced="0"/>
    <cacheHierarchy uniqueName="[BI Item].[Division]" caption="Division" attribute="1" defaultMemberUniqueName="[BI Item].[Division].[All]" allUniqueName="[BI Item].[Division].[All]" dimensionUniqueName="[BI Item]" displayFolder="" count="2" memberValueDatatype="130" unbalanced="0">
      <fieldsUsage count="2">
        <fieldUsage x="-1"/>
        <fieldUsage x="3"/>
      </fieldsUsage>
    </cacheHierarchy>
    <cacheHierarchy uniqueName="[BI Item].[InActive]" caption="InActive" attribute="1" defaultMemberUniqueName="[BI Item].[InActive].[All]" allUniqueName="[BI Item].[InActive].[All]" dimensionUniqueName="[BI Item]" displayFolder="" count="0" memberValueDatatype="11" unbalanced="0"/>
    <cacheHierarchy uniqueName="[BI Item].[Infinity_UPC]" caption="Infinity_UPC" attribute="1" defaultMemberUniqueName="[BI Item].[Infinity_UPC].[All]" allUniqueName="[BI Item].[Infinity_UPC].[All]" dimensionUniqueName="[BI Item]" displayFolder="" count="0" memberValueDatatype="130" unbalanced="0"/>
    <cacheHierarchy uniqueName="[BI Item].[IsChanged]" caption="IsChanged" attribute="1" defaultMemberUniqueName="[BI Item].[IsChanged].[All]" allUniqueName="[BI Item].[IsChanged].[All]" dimensionUniqueName="[BI Item]" displayFolder="" count="0" memberValueDatatype="11" unbalanced="0"/>
    <cacheHierarchy uniqueName="[BI Item].[Item_Class_Desc]" caption="Item_Class_Desc" attribute="1" defaultMemberUniqueName="[BI Item].[Item_Class_Desc].[All]" allUniqueName="[BI Item].[Item_Class_Desc].[All]" dimensionUniqueName="[BI Item]" displayFolder="" count="0" memberValueDatatype="130" unbalanced="0"/>
    <cacheHierarchy uniqueName="[BI Item].[Item_Country]" caption="Item_Country" attribute="1" defaultMemberUniqueName="[BI Item].[Item_Country].[All]" allUniqueName="[BI Item].[Item_Country].[All]" dimensionUniqueName="[BI Item]" displayFolder="" count="2" memberValueDatatype="130" unbalanced="0">
      <fieldsUsage count="2">
        <fieldUsage x="-1"/>
        <fieldUsage x="2"/>
      </fieldsUsage>
    </cacheHierarchy>
    <cacheHierarchy uniqueName="[BI Item].[Item_Type]" caption="Item_Type" attribute="1" defaultMemberUniqueName="[BI Item].[Item_Type].[All]" allUniqueName="[BI Item].[Item_Type].[All]" dimensionUniqueName="[BI Item]" displayFolder="" count="0" memberValueDatatype="130" unbalanced="0"/>
    <cacheHierarchy uniqueName="[BI Item].[ItemKey]" caption="ItemKey" attribute="1" defaultMemberUniqueName="[BI Item].[ItemKey].[All]" allUniqueName="[BI Item].[ItemKey].[All]" dimensionUniqueName="[BI Item]" displayFolder="" count="0" memberValueDatatype="20" unbalanced="0"/>
    <cacheHierarchy uniqueName="[BI Item].[NonStock]" caption="NonStock" attribute="1" defaultMemberUniqueName="[BI Item].[NonStock].[All]" allUniqueName="[BI Item].[NonStock].[All]" dimensionUniqueName="[BI Item]" displayFolder="" count="0" memberValueDatatype="11" unbalanced="0"/>
    <cacheHierarchy uniqueName="[BI Item].[Price]" caption="Price" attribute="1" defaultMemberUniqueName="[BI Item].[Price].[All]" allUniqueName="[BI Item].[Price].[All]" dimensionUniqueName="[BI Item]" displayFolder="" count="0" memberValueDatatype="6" unbalanced="0"/>
    <cacheHierarchy uniqueName="[BI Item].[Product_Cate_Key]" caption="Product_Cate_Key" attribute="1" defaultMemberUniqueName="[BI Item].[Product_Cate_Key].[All]" allUniqueName="[BI Item].[Product_Cate_Key].[All]" dimensionUniqueName="[BI Item]" displayFolder="" count="0" memberValueDatatype="20" unbalanced="0"/>
    <cacheHierarchy uniqueName="[BI Item].[Product_Status]" caption="Product_Status" attribute="1" defaultMemberUniqueName="[BI Item].[Product_Status].[All]" allUniqueName="[BI Item].[Product_Status].[All]" dimensionUniqueName="[BI Item]" displayFolder="" count="0" memberValueDatatype="130" unbalanced="0"/>
    <cacheHierarchy uniqueName="[BI Item].[Product_Sub_Cate_Key]" caption="Product_Sub_Cate_Key" attribute="1" defaultMemberUniqueName="[BI Item].[Product_Sub_Cate_Key].[All]" allUniqueName="[BI Item].[Product_Sub_Cate_Key].[All]" dimensionUniqueName="[BI Item]" displayFolder="" count="0" memberValueDatatype="20" unbalanced="0"/>
    <cacheHierarchy uniqueName="[BI Item].[PurchaseCost]" caption="PurchaseCost" attribute="1" defaultMemberUniqueName="[BI Item].[PurchaseCost].[All]" allUniqueName="[BI Item].[PurchaseCost].[All]" dimensionUniqueName="[BI Item]" displayFolder="" count="0" memberValueDatatype="6" unbalanced="0"/>
    <cacheHierarchy uniqueName="[BI Item].[PurchaseQty]" caption="PurchaseQty" attribute="1" defaultMemberUniqueName="[BI Item].[PurchaseQty].[All]" allUniqueName="[BI Item].[PurchaseQty].[All]" dimensionUniqueName="[BI Item]" displayFolder="" count="0" memberValueDatatype="5" unbalanced="0"/>
    <cacheHierarchy uniqueName="[BI Item].[Range]" caption="Range" attribute="1" defaultMemberUniqueName="[BI Item].[Range].[All]" allUniqueName="[BI Item].[Range].[All]" dimensionUniqueName="[BI Item]" displayFolder="" count="0" memberValueDatatype="130" unbalanced="0"/>
    <cacheHierarchy uniqueName="[BI Item].[Season]" caption="Season" attribute="1" defaultMemberUniqueName="[BI Item].[Season].[All]" allUniqueName="[BI Item].[Season].[All]" dimensionUniqueName="[BI Item]" displayFolder="" count="0" memberValueDatatype="130" unbalanced="0"/>
    <cacheHierarchy uniqueName="[BI Item].[SellingQty]" caption="SellingQty" attribute="1" defaultMemberUniqueName="[BI Item].[SellingQty].[All]" allUniqueName="[BI Item].[SellingQty].[All]" dimensionUniqueName="[BI Item]" displayFolder="" count="0" memberValueDatatype="5" unbalanced="0"/>
    <cacheHierarchy uniqueName="[BI Item].[StockType]" caption="StockType" attribute="1" defaultMemberUniqueName="[BI Item].[StockType].[All]" allUniqueName="[BI Item].[StockType].[All]" dimensionUniqueName="[BI Item]" displayFolder="" count="0" memberValueDatatype="130" unbalanced="0"/>
    <cacheHierarchy uniqueName="[BI Item].[SubDepartmentDesc]" caption="SubDepartmentDesc" attribute="1" defaultMemberUniqueName="[BI Item].[SubDepartmentDesc].[All]" allUniqueName="[BI Item].[SubDepartmentDesc].[All]" dimensionUniqueName="[BI Item]" displayFolder="" count="0" memberValueDatatype="130" unbalanced="0"/>
    <cacheHierarchy uniqueName="[BI Item].[Supplier_Code]" caption="Supplier_Code" attribute="1" defaultMemberUniqueName="[BI Item].[Supplier_Code].[All]" allUniqueName="[BI Item].[Supplier_Code].[All]" dimensionUniqueName="[BI Item]" displayFolder="" count="0" memberValueDatatype="130" unbalanced="0"/>
    <cacheHierarchy uniqueName="[BI Item].[TaxType]" caption="TaxType" attribute="1" defaultMemberUniqueName="[BI Item].[TaxType].[All]" allUniqueName="[BI Item].[TaxType].[All]" dimensionUniqueName="[BI Item]" displayFolder="" count="0" memberValueDatatype="130" unbalanced="0"/>
    <cacheHierarchy uniqueName="[BI Item].[Unit]" caption="Unit" attribute="1" defaultMemberUniqueName="[BI Item].[Unit].[All]" allUniqueName="[BI Item].[Unit].[All]" dimensionUniqueName="[BI Item]" displayFolder="" count="0" memberValueDatatype="130" unbalanced="0"/>
    <cacheHierarchy uniqueName="[BI Item].[UpdatedDate]" caption="UpdatedDate" attribute="1" time="1" defaultMemberUniqueName="[BI Item].[UpdatedDate].[All]" allUniqueName="[BI Item].[UpdatedDate].[All]" dimensionUniqueName="[BI Item]" displayFolder="" count="0" memberValueDatatype="7" unbalanced="0"/>
    <cacheHierarchy uniqueName="[BI Item].[Wholesale]" caption="Wholesale" attribute="1" defaultMemberUniqueName="[BI Item].[Wholesale].[All]" allUniqueName="[BI Item].[Wholesale].[All]" dimensionUniqueName="[BI Item]" displayFolder="" count="0" memberValueDatatype="5" unbalanced="0"/>
    <cacheHierarchy uniqueName="[BI metrics].[Current Date]" caption="Current Date" attribute="1" time="1" defaultMemberUniqueName="[BI metrics].[Current Date].[All]" allUniqueName="[BI metrics].[Current Date].[All]" dimensionUniqueName="[BI metrics]" displayFolder="" count="0" memberValueDatatype="7" unbalanced="0"/>
    <cacheHierarchy uniqueName="[BI metrics].[Date]" caption="Date" attribute="1" time="1" defaultMemberUniqueName="[BI metrics].[Date].[All]" allUniqueName="[BI metrics].[Date].[All]" dimensionUniqueName="[BI metrics]" displayFolder="" count="0" memberValueDatatype="7" unbalanced="0"/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0"/>
      </fieldsUsage>
    </cacheHierarchy>
    <cacheHierarchy uniqueName="[BI metrics].[finPeriod_Before]" caption="finPeriod_Before" attribute="1" defaultMemberUniqueName="[BI metrics].[finPeriod_Before].[All]" allUniqueName="[BI metrics].[finPeriod_Before].[All]" dimensionUniqueName="[BI metrics]" displayFolder="" count="0" memberValueDatatype="130" unbalanced="0"/>
    <cacheHierarchy uniqueName="[BI metrics].[finPeriod_Before_Trend]" caption="finPeriod_Before_Trend" attribute="1" defaultMemberUniqueName="[BI metrics].[finPeriod_Before_Trend].[All]" allUniqueName="[BI metrics].[finPeriod_Before_Trend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2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20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20" unbalanced="0"/>
    <cacheHierarchy uniqueName="[BI metrics].[Min_Year]" caption="Min_Year" attribute="1" time="1" defaultMemberUniqueName="[BI metrics].[Min_Year].[All]" allUniqueName="[BI metrics].[Min_Year].[All]" dimensionUniqueName="[BI metrics]" displayFolder="" count="0" memberValueDatatype="7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1"/>
      </fieldsUsage>
    </cacheHierarchy>
    <cacheHierarchy uniqueName="[BI metrics].[TimePeriodSort]" caption="TimePeriodSort" attribute="1" defaultMemberUniqueName="[BI metrics].[TimePeriodSort].[All]" allUniqueName="[BI metrics].[TimePeriodSort].[All]" dimensionUniqueName="[BI metrics]" displayFolder="" count="0" memberValueDatatype="20" unbalanced="0"/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 Int]" caption="Year Int" attribute="1" defaultMemberUniqueName="[BI metrics].[Year Int].[All]" allUniqueName="[BI metrics].[Year Int].[All]" dimensionUniqueName="[BI metrics]" displayFolder="" count="0" memberValueDatatype="2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metrics].[Year_New]" caption="Year_New" attribute="1" defaultMemberUniqueName="[BI metrics].[Year_New].[All]" allUniqueName="[BI metrics].[Year_New].[All]" dimensionUniqueName="[BI metrics]" displayFolder="" count="0" memberValueDatatype="20" unbalanced="0"/>
    <cacheHierarchy uniqueName="[BI Store].[Area_Leader]" caption="Area_Leader" attribute="1" defaultMemberUniqueName="[BI Store].[Area_Leader].[All]" allUniqueName="[BI Store].[Area_Leader].[All]" dimensionUniqueName="[BI Store]" displayFolder="" count="0" memberValueDatatype="130" unbalanced="0"/>
    <cacheHierarchy uniqueName="[BI Store].[Area_Leader_New]" caption="Area_Leader_New" attribute="1" defaultMemberUniqueName="[BI Store].[Area_Leader_New].[All]" allUniqueName="[BI Store].[Area_Leader_New].[All]" dimensionUniqueName="[BI Store]" displayFolder="" count="0" memberValueDatatype="130" unbalanced="0"/>
    <cacheHierarchy uniqueName="[BI Store].[Branch_Type]" caption="Branch_Type" attribute="1" defaultMemberUniqueName="[BI Store].[Branch_Type].[All]" allUniqueName="[BI Store].[Branch_Type].[All]" dimensionUniqueName="[BI Store]" displayFolder="" count="2" memberValueDatatype="130" unbalanced="0">
      <fieldsUsage count="2">
        <fieldUsage x="-1"/>
        <fieldUsage x="4"/>
      </fieldsUsage>
    </cacheHierarchy>
    <cacheHierarchy uniqueName="[BI Store].[FreedomArea]" caption="FreedomArea" attribute="1" defaultMemberUniqueName="[BI Store].[FreedomArea].[All]" allUniqueName="[BI Store].[FreedomArea].[All]" dimensionUniqueName="[BI Store]" displayFolder="" count="0" memberValueDatatype="5" unbalanced="0"/>
    <cacheHierarchy uniqueName="[BI Store].[IsDC]" caption="IsDC" attribute="1" defaultMemberUniqueName="[BI Store].[IsDC].[All]" allUniqueName="[BI Store].[IsDC].[All]" dimensionUniqueName="[BI Store]" displayFolder="" count="0" memberValueDatatype="11" unbalanced="0"/>
    <cacheHierarchy uniqueName="[BI Store].[IsHO]" caption="IsHO" attribute="1" defaultMemberUniqueName="[BI Store].[IsHO].[All]" allUniqueName="[BI Store].[IsHO].[All]" dimensionUniqueName="[BI Store]" displayFolder="" count="0" memberValueDatatype="11" unbalanced="0"/>
    <cacheHierarchy uniqueName="[BI Store].[Store State Sort]" caption="Store State Sort" attribute="1" defaultMemberUniqueName="[BI Store].[Store State Sort].[All]" allUniqueName="[BI Store].[Store State Sort].[All]" dimensionUniqueName="[BI Store]" displayFolder="" count="0" memberValueDatatype="20" unbalanced="0"/>
    <cacheHierarchy uniqueName="[BI Store].[Store_Code]" caption="Store_Code" attribute="1" defaultMemberUniqueName="[BI Store].[Store_Code].[All]" allUniqueName="[BI Store].[Store_Code].[All]" dimensionUniqueName="[BI Store]" displayFolder="" count="0" memberValueDatatype="130" unbalanced="0"/>
    <cacheHierarchy uniqueName="[BI Store].[Store_Country]" caption="Store_Country" attribute="1" defaultMemberUniqueName="[BI Store].[Store_Country].[All]" allUniqueName="[BI Store].[Store_Country].[All]" dimensionUniqueName="[BI Store]" displayFolder="" count="2" memberValueDatatype="130" unbalanced="0">
      <fieldsUsage count="2">
        <fieldUsage x="-1"/>
        <fieldUsage x="5"/>
      </fieldsUsage>
    </cacheHierarchy>
    <cacheHierarchy uniqueName="[BI Store].[Store_Name]" caption="Store_Name" attribute="1" defaultMemberUniqueName="[BI Store].[Store_Name].[All]" allUniqueName="[BI Store].[Store_Name].[All]" dimensionUniqueName="[BI Store]" displayFolder="" count="2" memberValueDatatype="130" unbalanced="0">
      <fieldsUsage count="2">
        <fieldUsage x="-1"/>
        <fieldUsage x="13"/>
      </fieldsUsage>
    </cacheHierarchy>
    <cacheHierarchy uniqueName="[BI Store].[Store_State]" caption="Store_State" attribute="1" defaultMemberUniqueName="[BI Store].[Store_State].[All]" allUniqueName="[BI Store].[Store_State].[All]" dimensionUniqueName="[BI Store]" displayFolder="" count="0" memberValueDatatype="130" unbalanced="0"/>
    <cacheHierarchy uniqueName="[BI Store].[Store_Type]" caption="Store_Type" attribute="1" defaultMemberUniqueName="[BI Store].[Store_Type].[All]" allUniqueName="[BI Store].[Store_Type].[All]" dimensionUniqueName="[BI Store]" displayFolder="" count="0" memberValueDatatype="130" unbalanced="0"/>
    <cacheHierarchy uniqueName="[BI Store].[StoreKey]" caption="StoreKey" attribute="1" defaultMemberUniqueName="[BI Store].[StoreKey].[All]" allUniqueName="[BI Store].[StoreKey].[All]" dimensionUniqueName="[BI Store]" displayFolder="" count="0" memberValueDatatype="130" unbalanced="0"/>
    <cacheHierarchy uniqueName="[BI Store].[SubLeasedArea]" caption="SubLeasedArea" attribute="1" defaultMemberUniqueName="[BI Store].[SubLeasedArea].[All]" allUniqueName="[BI Store].[SubLeasedArea].[All]" dimensionUniqueName="[BI Store]" displayFolder="" count="0" memberValueDatatype="5" unbalanced="0"/>
    <cacheHierarchy uniqueName="[BI Store].[SubLeasedCompany]" caption="SubLeasedCompany" attribute="1" defaultMemberUniqueName="[BI Store].[SubLeasedCompany].[All]" allUniqueName="[BI Store].[SubLeasedCompany].[All]" dimensionUniqueName="[BI Store]" displayFolder="" count="0" memberValueDatatype="130" unbalanced="0"/>
    <cacheHierarchy uniqueName="[BI Store].[TotalArea]" caption="TotalArea" attribute="1" defaultMemberUniqueName="[BI Store].[TotalArea].[All]" allUniqueName="[BI Store].[TotalArea].[All]" dimensionUniqueName="[BI Store]" displayFolder="" count="0" memberValueDatatype="5" unbalanced="0"/>
    <cacheHierarchy uniqueName="[BI Store State Sort].[Sort No]" caption="Sort No" attribute="1" defaultMemberUniqueName="[BI Store State Sort].[Sort No].[All]" allUniqueName="[BI Store State Sort].[Sort No].[All]" dimensionUniqueName="[BI Store State Sort]" displayFolder="" count="0" memberValueDatatype="20" unbalanced="0"/>
    <cacheHierarchy uniqueName="[BI Store State Sort].[State Name]" caption="State Name" attribute="1" defaultMemberUniqueName="[BI Store State Sort].[State Name].[All]" allUniqueName="[BI Store State Sort].[State Name].[All]" dimensionUniqueName="[BI Store State Sort]" displayFolder="" count="0" memberValueDatatype="130" unbalanced="0"/>
    <cacheHierarchy uniqueName="[BI vw_BudgetByItemCategory].[BudgetDollar]" caption="BudgetDollar" attribute="1" defaultMemberUniqueName="[BI vw_BudgetByItemCategory].[BudgetDollar].[All]" allUniqueName="[BI vw_BudgetByItemCategory].[BudgetDollar].[All]" dimensionUniqueName="[BI vw_BudgetByItemCategory]" displayFolder="" count="0" memberValueDatatype="20" unbalanced="0"/>
    <cacheHierarchy uniqueName="[BI vw_BudgetByItemCategory].[BudgetGMDollar]" caption="BudgetGMDollar" attribute="1" defaultMemberUniqueName="[BI vw_BudgetByItemCategory].[BudgetGMDollar].[All]" allUniqueName="[BI vw_BudgetByItemCategory].[BudgetGMDollar].[All]" dimensionUniqueName="[BI vw_BudgetByItemCategory]" displayFolder="" count="0" memberValueDatatype="20" unbalanced="0"/>
    <cacheHierarchy uniqueName="[BI vw_BudgetByItemCategory].[BudgetMarkDown]" caption="BudgetMarkDown" attribute="1" defaultMemberUniqueName="[BI vw_BudgetByItemCategory].[BudgetMarkDown].[All]" allUniqueName="[BI vw_BudgetByItemCategory].[BudgetMarkDown].[All]" dimensionUniqueName="[BI vw_BudgetByItemCategory]" displayFolder="" count="0" memberValueDatatype="20" unbalanced="0"/>
    <cacheHierarchy uniqueName="[BI vw_BudgetByItemCategory].[BudgetPeriod]" caption="BudgetPeriod" attribute="1" defaultMemberUniqueName="[BI vw_BudgetByItemCategory].[BudgetPeriod].[All]" allUniqueName="[BI vw_BudgetByItemCategory].[BudgetPeriod].[All]" dimensionUniqueName="[BI vw_BudgetByItemCategory]" displayFolder="" count="0" memberValueDatatype="20" unbalanced="0"/>
    <cacheHierarchy uniqueName="[BI vw_BudgetByItemCategory].[BudgetWeek]" caption="BudgetWeek" attribute="1" defaultMemberUniqueName="[BI vw_BudgetByItemCategory].[BudgetWeek].[All]" allUniqueName="[BI vw_BudgetByItemCategory].[BudgetWeek].[All]" dimensionUniqueName="[BI vw_BudgetByItemCategory]" displayFolder="" count="0" memberValueDatatype="20" unbalanced="0"/>
    <cacheHierarchy uniqueName="[BI vw_BudgetByItemCategory].[BudgetYear]" caption="BudgetYear" attribute="1" defaultMemberUniqueName="[BI vw_BudgetByItemCategory].[BudgetYear].[All]" allUniqueName="[BI vw_BudgetByItemCategory].[BudgetYear].[All]" dimensionUniqueName="[BI vw_BudgetByItemCategory]" displayFolder="" count="0" memberValueDatatype="20" unbalanced="0"/>
    <cacheHierarchy uniqueName="[BI vw_BudgetByItemCategory].[Channel]" caption="Channel" attribute="1" defaultMemberUniqueName="[BI vw_BudgetByItemCategory].[Channel].[All]" allUniqueName="[BI vw_BudgetByItemCategory].[Channel].[All]" dimensionUniqueName="[BI vw_BudgetByItemCategory]" displayFolder="" count="0" memberValueDatatype="130" unbalanced="0"/>
    <cacheHierarchy uniqueName="[BI vw_BudgetByItemCategory].[Country]" caption="Country" attribute="1" defaultMemberUniqueName="[BI vw_BudgetByItemCategory].[Country].[All]" allUniqueName="[BI vw_BudgetByItemCategory].[Country].[All]" dimensionUniqueName="[BI vw_BudgetByItemCategory]" displayFolder="" count="2" memberValueDatatype="130" unbalanced="0">
      <fieldsUsage count="2">
        <fieldUsage x="-1"/>
        <fieldUsage x="6"/>
      </fieldsUsage>
    </cacheHierarchy>
    <cacheHierarchy uniqueName="[BI vw_BudgetByItemCategory].[DepartmentDesc]" caption="DepartmentDesc" attribute="1" defaultMemberUniqueName="[BI vw_BudgetByItemCategory].[DepartmentDesc].[All]" allUniqueName="[BI vw_BudgetByItemCategory].[DepartmentDesc].[All]" dimensionUniqueName="[BI vw_BudgetByItemCategory]" displayFolder="" count="0" memberValueDatatype="130" unbalanced="0"/>
    <cacheHierarchy uniqueName="[BI vw_BudgetByItemCategory].[Division]" caption="Division" attribute="1" defaultMemberUniqueName="[BI vw_BudgetByItemCategory].[Division].[All]" allUniqueName="[BI vw_BudgetByItemCategory].[Division].[All]" dimensionUniqueName="[BI vw_BudgetByItemCategory]" displayFolder="" count="0" memberValueDatatype="130" unbalanced="0"/>
    <cacheHierarchy uniqueName="[BI vw_BudgetByItemCategory].[JoinKey]" caption="JoinKey" attribute="1" defaultMemberUniqueName="[BI vw_BudgetByItemCategory].[JoinKey].[All]" allUniqueName="[BI vw_BudgetByItemCategory].[JoinKey].[All]" dimensionUniqueName="[BI vw_BudgetByItemCategory]" displayFolder="" count="0" memberValueDatatype="130" unbalanced="0"/>
    <cacheHierarchy uniqueName="[BI vw_BudgetByItemCategory].[Sale$ Pure]" caption="Sale$ Pure" attribute="1" defaultMemberUniqueName="[BI vw_BudgetByItemCategory].[Sale$ Pure].[All]" allUniqueName="[BI vw_BudgetByItemCategory].[Sale$ Pure].[All]" dimensionUniqueName="[BI vw_BudgetByItemCategory]" displayFolder="" count="0" memberValueDatatype="20" unbalanced="0"/>
    <cacheHierarchy uniqueName="[BI vw_BudgetByItemCategory].[Sales GM%]" caption="Sales GM%" attribute="1" defaultMemberUniqueName="[BI vw_BudgetByItemCategory].[Sales GM%].[All]" allUniqueName="[BI vw_BudgetByItemCategory].[Sales GM%].[All]" dimensionUniqueName="[BI vw_BudgetByItemCategory]" displayFolder="" count="0" memberValueDatatype="20" unbalanced="0"/>
    <cacheHierarchy uniqueName="[BI vw_BudgetByItemCategory].[Sales GM% Pure]" caption="Sales GM% Pure" attribute="1" defaultMemberUniqueName="[BI vw_BudgetByItemCategory].[Sales GM% Pure].[All]" allUniqueName="[BI vw_BudgetByItemCategory].[Sales GM% Pure].[All]" dimensionUniqueName="[BI vw_BudgetByItemCategory]" displayFolder="" count="0" memberValueDatatype="20" unbalanced="0"/>
    <cacheHierarchy uniqueName="[BI vw_BudgetByItemCategory].[StoreType]" caption="StoreType" attribute="1" defaultMemberUniqueName="[BI vw_BudgetByItemCategory].[StoreType].[All]" allUniqueName="[BI vw_BudgetByItemCategory].[StoreType].[All]" dimensionUniqueName="[BI vw_BudgetByItemCategory]" displayFolder="" count="0" memberValueDatatype="130" unbalanced="0"/>
    <cacheHierarchy uniqueName="[BI vw_BudgetByItemCategory].[SubDepartmentDesc]" caption="SubDepartmentDesc" attribute="1" defaultMemberUniqueName="[BI vw_BudgetByItemCategory].[SubDepartmentDesc].[All]" allUniqueName="[BI vw_BudgetByItemCategory].[SubDepartmentDesc].[All]" dimensionUniqueName="[BI vw_BudgetByItemCategory]" displayFolder="" count="0" memberValueDatatype="130" unbalanced="0"/>
    <cacheHierarchy uniqueName="[BI vw_BudgetByStore].[BudgetDollar]" caption="BudgetDollar" attribute="1" defaultMemberUniqueName="[BI vw_BudgetByStore].[BudgetDollar].[All]" allUniqueName="[BI vw_BudgetByStore].[BudgetDollar].[All]" dimensionUniqueName="[BI vw_BudgetByStore]" displayFolder="" count="0" memberValueDatatype="5" unbalanced="0"/>
    <cacheHierarchy uniqueName="[BI vw_BudgetByStore].[BudgetPeriod]" caption="BudgetPeriod" attribute="1" defaultMemberUniqueName="[BI vw_BudgetByStore].[BudgetPeriod].[All]" allUniqueName="[BI vw_BudgetByStore].[BudgetPeriod].[All]" dimensionUniqueName="[BI vw_BudgetByStore]" displayFolder="" count="0" memberValueDatatype="20" unbalanced="0"/>
    <cacheHierarchy uniqueName="[BI vw_BudgetByStore].[BudgetWeek]" caption="BudgetWeek" attribute="1" defaultMemberUniqueName="[BI vw_BudgetByStore].[BudgetWeek].[All]" allUniqueName="[BI vw_BudgetByStore].[BudgetWeek].[All]" dimensionUniqueName="[BI vw_BudgetByStore]" displayFolder="" count="0" memberValueDatatype="20" unbalanced="0"/>
    <cacheHierarchy uniqueName="[BI vw_BudgetByStore].[BudgetYear]" caption="BudgetYear" attribute="1" defaultMemberUniqueName="[BI vw_BudgetByStore].[BudgetYear].[All]" allUniqueName="[BI vw_BudgetByStore].[BudgetYear].[All]" dimensionUniqueName="[BI vw_BudgetByStore]" displayFolder="" count="0" memberValueDatatype="20" unbalanced="0"/>
    <cacheHierarchy uniqueName="[BI vw_BudgetByStore].[Channel]" caption="Channel" attribute="1" defaultMemberUniqueName="[BI vw_BudgetByStore].[Channel].[All]" allUniqueName="[BI vw_BudgetByStore].[Channel].[All]" dimensionUniqueName="[BI vw_BudgetByStore]" displayFolder="" count="0" memberValueDatatype="130" unbalanced="0"/>
    <cacheHierarchy uniqueName="[BI vw_BudgetByStore].[Country]" caption="Country" attribute="1" defaultMemberUniqueName="[BI vw_BudgetByStore].[Country].[All]" allUniqueName="[BI vw_BudgetByStore].[Country].[All]" dimensionUniqueName="[BI vw_BudgetByStore]" displayFolder="" count="0" memberValueDatatype="130" unbalanced="0"/>
    <cacheHierarchy uniqueName="[BI vw_BudgetByStore].[Division]" caption="Division" attribute="1" defaultMemberUniqueName="[BI vw_BudgetByStore].[Division].[All]" allUniqueName="[BI vw_BudgetByStore].[Division].[All]" dimensionUniqueName="[BI vw_BudgetByStore]" displayFolder="" count="0" memberValueDatatype="130" unbalanced="0"/>
    <cacheHierarchy uniqueName="[BI vw_BudgetByStore].[JoinKey]" caption="JoinKey" attribute="1" defaultMemberUniqueName="[BI vw_BudgetByStore].[JoinKey].[All]" allUniqueName="[BI vw_BudgetByStore].[JoinKey].[All]" dimensionUniqueName="[BI vw_BudgetByStore]" displayFolder="" count="0" memberValueDatatype="130" unbalanced="0"/>
    <cacheHierarchy uniqueName="[BI vw_BudgetByStore].[Store]" caption="Store" attribute="1" defaultMemberUniqueName="[BI vw_BudgetByStore].[Store].[All]" allUniqueName="[BI vw_BudgetByStore].[Store].[All]" dimensionUniqueName="[BI vw_BudgetByStore]" displayFolder="" count="0" memberValueDatatype="130" unbalanced="0"/>
    <cacheHierarchy uniqueName="[BI vw_BudgetByStore].[StoreKey]" caption="StoreKey" attribute="1" defaultMemberUniqueName="[BI vw_BudgetByStore].[StoreKey].[All]" allUniqueName="[BI vw_BudgetByStore].[StoreKey].[All]" dimensionUniqueName="[BI vw_BudgetByStore]" displayFolder="" count="0" memberValueDatatype="130" unbalanced="0"/>
    <cacheHierarchy uniqueName="[BI vw_BudgetByWeek].[BudgetPeriod]" caption="BudgetPeriod" attribute="1" defaultMemberUniqueName="[BI vw_BudgetByWeek].[BudgetPeriod].[All]" allUniqueName="[BI vw_BudgetByWeek].[BudgetPeriod].[All]" dimensionUniqueName="[BI vw_BudgetByWeek]" displayFolder="" count="0" memberValueDatatype="20" unbalanced="0"/>
    <cacheHierarchy uniqueName="[BI vw_BudgetByWeek].[BudgetWeek]" caption="BudgetWeek" attribute="1" defaultMemberUniqueName="[BI vw_BudgetByWeek].[BudgetWeek].[All]" allUniqueName="[BI vw_BudgetByWeek].[BudgetWeek].[All]" dimensionUniqueName="[BI vw_BudgetByWeek]" displayFolder="" count="0" memberValueDatatype="20" unbalanced="0"/>
    <cacheHierarchy uniqueName="[BI vw_BudgetByWeek].[BudgetYear]" caption="BudgetYear" attribute="1" defaultMemberUniqueName="[BI vw_BudgetByWeek].[BudgetYear].[All]" allUniqueName="[BI vw_BudgetByWeek].[BudgetYear].[All]" dimensionUniqueName="[BI vw_BudgetByWeek]" displayFolder="" count="0" memberValueDatatype="20" unbalanced="0"/>
    <cacheHierarchy uniqueName="[BI vw_BudgetByWeek].[Channel]" caption="Channel" attribute="1" defaultMemberUniqueName="[BI vw_BudgetByWeek].[Channel].[All]" allUniqueName="[BI vw_BudgetByWeek].[Channel].[All]" dimensionUniqueName="[BI vw_BudgetByWeek]" displayFolder="" count="0" memberValueDatatype="130" unbalanced="0"/>
    <cacheHierarchy uniqueName="[BI vw_BudgetByWeek].[Country]" caption="Country" attribute="1" defaultMemberUniqueName="[BI vw_BudgetByWeek].[Country].[All]" allUniqueName="[BI vw_BudgetByWeek].[Country].[All]" dimensionUniqueName="[BI vw_BudgetByWeek]" displayFolder="" count="0" memberValueDatatype="130" unbalanced="0"/>
    <cacheHierarchy uniqueName="[BI vw_BudgetByWeek].[FootTrafficBudget]" caption="FootTrafficBudget" attribute="1" defaultMemberUniqueName="[BI vw_BudgetByWeek].[FootTrafficBudget].[All]" allUniqueName="[BI vw_BudgetByWeek].[FootTrafficBudget].[All]" dimensionUniqueName="[BI vw_BudgetByWeek]" displayFolder="" count="0" memberValueDatatype="5" unbalanced="0"/>
    <cacheHierarchy uniqueName="[BI vw_BudgetByWeek].[ID]" caption="ID" attribute="1" defaultMemberUniqueName="[BI vw_BudgetByWeek].[ID].[All]" allUniqueName="[BI vw_BudgetByWeek].[ID].[All]" dimensionUniqueName="[BI vw_BudgetByWeek]" displayFolder="" count="0" memberValueDatatype="20" unbalanced="0"/>
    <cacheHierarchy uniqueName="[BI vw_BudgetByWeek].[joinKey]" caption="joinKey" attribute="1" defaultMemberUniqueName="[BI vw_BudgetByWeek].[joinKey].[All]" allUniqueName="[BI vw_BudgetByWeek].[joinKey].[All]" dimensionUniqueName="[BI vw_BudgetByWeek]" displayFolder="" count="0" memberValueDatatype="130" unbalanced="0"/>
    <cacheHierarchy uniqueName="[BI vw_BudgetByWeek].[NumberOfTransactionBudget]" caption="NumberOfTransactionBudget" attribute="1" defaultMemberUniqueName="[BI vw_BudgetByWeek].[NumberOfTransactionBudget].[All]" allUniqueName="[BI vw_BudgetByWeek].[NumberOfTransactionBudget].[All]" dimensionUniqueName="[BI vw_BudgetByWeek]" displayFolder="" count="0" memberValueDatatype="5" unbalanced="0"/>
    <cacheHierarchy uniqueName="[BI vw_BudgetByWeek].[Store]" caption="Store" attribute="1" defaultMemberUniqueName="[BI vw_BudgetByWeek].[Store].[All]" allUniqueName="[BI vw_BudgetByWeek].[Store].[All]" dimensionUniqueName="[BI vw_BudgetByWeek]" displayFolder="" count="0" memberValueDatatype="130" unbalanced="0"/>
    <cacheHierarchy uniqueName="[BI vw_BudgetDigital].[1P Sales]" caption="1P Sales" attribute="1" defaultMemberUniqueName="[BI vw_BudgetDigital].[1P Sales].[All]" allUniqueName="[BI vw_BudgetDigital].[1P Sales].[All]" dimensionUniqueName="[BI vw_BudgetDigital]" displayFolder="" count="0" memberValueDatatype="5" unbalanced="0"/>
    <cacheHierarchy uniqueName="[BI vw_BudgetDigital].[3P Sales]" caption="3P Sales" attribute="1" defaultMemberUniqueName="[BI vw_BudgetDigital].[3P Sales].[All]" allUniqueName="[BI vw_BudgetDigital].[3P Sales].[All]" dimensionUniqueName="[BI vw_BudgetDigital]" displayFolder="" count="0" memberValueDatatype="5" unbalanced="0"/>
    <cacheHierarchy uniqueName="[BI vw_BudgetDigital].[BudgetPeriod]" caption="BudgetPeriod" attribute="1" defaultMemberUniqueName="[BI vw_BudgetDigital].[BudgetPeriod].[All]" allUniqueName="[BI vw_BudgetDigital].[BudgetPeriod].[All]" dimensionUniqueName="[BI vw_BudgetDigital]" displayFolder="" count="0" memberValueDatatype="20" unbalanced="0"/>
    <cacheHierarchy uniqueName="[BI vw_BudgetDigital].[BudgetWeek]" caption="BudgetWeek" attribute="1" defaultMemberUniqueName="[BI vw_BudgetDigital].[BudgetWeek].[All]" allUniqueName="[BI vw_BudgetDigital].[BudgetWeek].[All]" dimensionUniqueName="[BI vw_BudgetDigital]" displayFolder="" count="0" memberValueDatatype="20" unbalanced="0"/>
    <cacheHierarchy uniqueName="[BI vw_BudgetDigital].[BudgetYear]" caption="BudgetYear" attribute="1" defaultMemberUniqueName="[BI vw_BudgetDigital].[BudgetYear].[All]" allUniqueName="[BI vw_BudgetDigital].[BudgetYear].[All]" dimensionUniqueName="[BI vw_BudgetDigital]" displayFolder="" count="0" memberValueDatatype="20" unbalanced="0"/>
    <cacheHierarchy uniqueName="[BI vw_BudgetDigital].[Country]" caption="Country" attribute="1" defaultMemberUniqueName="[BI vw_BudgetDigital].[Country].[All]" allUniqueName="[BI vw_BudgetDigital].[Country].[All]" dimensionUniqueName="[BI vw_BudgetDigital]" displayFolder="" count="0" memberValueDatatype="130" unbalanced="0"/>
    <cacheHierarchy uniqueName="[BI vw_BudgetDigital].[ID]" caption="ID" attribute="1" defaultMemberUniqueName="[BI vw_BudgetDigital].[ID].[All]" allUniqueName="[BI vw_BudgetDigital].[ID].[All]" dimensionUniqueName="[BI vw_BudgetDigital]" displayFolder="" count="0" memberValueDatatype="20" unbalanced="0"/>
    <cacheHierarchy uniqueName="[BI vw_BudgetDigital].[Key]" caption="Key" attribute="1" defaultMemberUniqueName="[BI vw_BudgetDigital].[Key].[All]" allUniqueName="[BI vw_BudgetDigital].[Key].[All]" dimensionUniqueName="[BI vw_BudgetDigital]" displayFolder="" count="0" memberValueDatatype="130" unbalanced="0"/>
    <cacheHierarchy uniqueName="[BI vw_BudgetDigital].[Online ATV]" caption="Online ATV" attribute="1" defaultMemberUniqueName="[BI vw_BudgetDigital].[Online ATV].[All]" allUniqueName="[BI vw_BudgetDigital].[Online ATV].[All]" dimensionUniqueName="[BI vw_BudgetDigital]" displayFolder="" count="0" memberValueDatatype="5" unbalanced="0"/>
    <cacheHierarchy uniqueName="[BI vw_BudgetDigital].[Online CR]" caption="Online CR" attribute="1" defaultMemberUniqueName="[BI vw_BudgetDigital].[Online CR].[All]" allUniqueName="[BI vw_BudgetDigital].[Online CR].[All]" dimensionUniqueName="[BI vw_BudgetDigital]" displayFolder="" count="0" memberValueDatatype="5" unbalanced="0"/>
    <cacheHierarchy uniqueName="[BI vw_BudgetDigital].[Online Traffic]" caption="Online Traffic" attribute="1" defaultMemberUniqueName="[BI vw_BudgetDigital].[Online Traffic].[All]" allUniqueName="[BI vw_BudgetDigital].[Online Traffic].[All]" dimensionUniqueName="[BI vw_BudgetDigital]" displayFolder="" count="0" memberValueDatatype="5" unbalanced="0"/>
    <cacheHierarchy uniqueName="[BI vw_BudgetDigital].[Total Sales]" caption="Total Sales" attribute="1" defaultMemberUniqueName="[BI vw_BudgetDigital].[Total Sales].[All]" allUniqueName="[BI vw_BudgetDigital].[Total Sales].[All]" dimensionUniqueName="[BI vw_BudgetDigital]" displayFolder="" count="0" memberValueDatatype="5" unbalanced="0"/>
    <cacheHierarchy uniqueName="[BI vw_BudgetDigital].[Trans Nbr]" caption="Trans Nbr" attribute="1" defaultMemberUniqueName="[BI vw_BudgetDigital].[Trans Nbr].[All]" allUniqueName="[BI vw_BudgetDigital].[Trans Nbr].[All]" dimensionUniqueName="[BI vw_BudgetDigital]" displayFolder="" count="0" memberValueDatatype="5" unbalanced="0"/>
    <cacheHierarchy uniqueName="[BI vw_BudgetOnlineByStore].[BudgetPeriod]" caption="BudgetPeriod" attribute="1" defaultMemberUniqueName="[BI vw_BudgetOnlineByStore].[BudgetPeriod].[All]" allUniqueName="[BI vw_BudgetOnlineByStore].[BudgetPeriod].[All]" dimensionUniqueName="[BI vw_BudgetOnlineByStore]" displayFolder="" count="0" memberValueDatatype="20" unbalanced="0"/>
    <cacheHierarchy uniqueName="[BI vw_BudgetOnlineByStore].[BudgetWeek]" caption="BudgetWeek" attribute="1" defaultMemberUniqueName="[BI vw_BudgetOnlineByStore].[BudgetWeek].[All]" allUniqueName="[BI vw_BudgetOnlineByStore].[BudgetWeek].[All]" dimensionUniqueName="[BI vw_BudgetOnlineByStore]" displayFolder="" count="0" memberValueDatatype="20" unbalanced="0"/>
    <cacheHierarchy uniqueName="[BI vw_BudgetOnlineByStore].[BudgetYear]" caption="BudgetYear" attribute="1" defaultMemberUniqueName="[BI vw_BudgetOnlineByStore].[BudgetYear].[All]" allUniqueName="[BI vw_BudgetOnlineByStore].[BudgetYear].[All]" dimensionUniqueName="[BI vw_BudgetOnlineByStore]" displayFolder="" count="0" memberValueDatatype="20" unbalanced="0"/>
    <cacheHierarchy uniqueName="[BI vw_BudgetOnlineByStore].[DropshipBudget]" caption="DropshipBudget" attribute="1" defaultMemberUniqueName="[BI vw_BudgetOnlineByStore].[DropshipBudget].[All]" allUniqueName="[BI vw_BudgetOnlineByStore].[DropshipBudget].[All]" dimensionUniqueName="[BI vw_BudgetOnlineByStore]" displayFolder="" count="0" memberValueDatatype="6" unbalanced="0"/>
    <cacheHierarchy uniqueName="[BI vw_BudgetOnlineByStore].[JoinKey]" caption="JoinKey" attribute="1" defaultMemberUniqueName="[BI vw_BudgetOnlineByStore].[JoinKey].[All]" allUniqueName="[BI vw_BudgetOnlineByStore].[JoinKey].[All]" dimensionUniqueName="[BI vw_BudgetOnlineByStore]" displayFolder="" count="0" memberValueDatatype="130" unbalanced="0"/>
    <cacheHierarchy uniqueName="[BI vw_BudgetOnlineByStore].[NOT_Budget]" caption="NOT_Budget" attribute="1" defaultMemberUniqueName="[BI vw_BudgetOnlineByStore].[NOT_Budget].[All]" allUniqueName="[BI vw_BudgetOnlineByStore].[NOT_Budget].[All]" dimensionUniqueName="[BI vw_BudgetOnlineByStore]" displayFolder="" count="0" memberValueDatatype="5" unbalanced="0"/>
    <cacheHierarchy uniqueName="[BI vw_BudgetOnlineByStore].[SalesClassification]" caption="SalesClassification" attribute="1" defaultMemberUniqueName="[BI vw_BudgetOnlineByStore].[SalesClassification].[All]" allUniqueName="[BI vw_BudgetOnlineByStore].[SalesClassification].[All]" dimensionUniqueName="[BI vw_BudgetOnlineByStore]" displayFolder="" count="0" memberValueDatatype="130" unbalanced="0"/>
    <cacheHierarchy uniqueName="[BI vw_BudgetOnlineByStore].[Store]" caption="Store" attribute="1" defaultMemberUniqueName="[BI vw_BudgetOnlineByStore].[Store].[All]" allUniqueName="[BI vw_BudgetOnlineByStore].[Store].[All]" dimensionUniqueName="[BI vw_BudgetOnlineByStore]" displayFolder="" count="0" memberValueDatatype="130" unbalanced="0"/>
    <cacheHierarchy uniqueName="[BI vw_BudgetOnlineByStore].[TotalOnlineBudget]" caption="TotalOnlineBudget" attribute="1" defaultMemberUniqueName="[BI vw_BudgetOnlineByStore].[TotalOnlineBudget].[All]" allUniqueName="[BI vw_BudgetOnlineByStore].[TotalOnlineBudget].[All]" dimensionUniqueName="[BI vw_BudgetOnlineByStore]" displayFolder="" count="0" memberValueDatatype="6" unbalanced="0"/>
    <cacheHierarchy uniqueName="[BI vw_DropshipBudget].[BudgetDollar]" caption="BudgetDollar" attribute="1" defaultMemberUniqueName="[BI vw_DropshipBudget].[BudgetDollar].[All]" allUniqueName="[BI vw_DropshipBudget].[BudgetDollar].[All]" dimensionUniqueName="[BI vw_DropshipBudget]" displayFolder="" count="0" memberValueDatatype="5" unbalanced="0"/>
    <cacheHierarchy uniqueName="[BI vw_DropshipBudget].[BudgetPeriod]" caption="BudgetPeriod" attribute="1" defaultMemberUniqueName="[BI vw_DropshipBudget].[BudgetPeriod].[All]" allUniqueName="[BI vw_DropshipBudget].[BudgetPeriod].[All]" dimensionUniqueName="[BI vw_DropshipBudget]" displayFolder="" count="0" memberValueDatatype="20" unbalanced="0"/>
    <cacheHierarchy uniqueName="[BI vw_DropshipBudget].[Department]" caption="Department" attribute="1" defaultMemberUniqueName="[BI vw_DropshipBudget].[Department].[All]" allUniqueName="[BI vw_DropshipBudget].[Department].[All]" dimensionUniqueName="[BI vw_DropshipBudget]" displayFolder="" count="0" memberValueDatatype="20" unbalanced="0"/>
    <cacheHierarchy uniqueName="[BI vw_DropshipBudget].[DepartmentDesc]" caption="DepartmentDesc" attribute="1" defaultMemberUniqueName="[BI vw_DropshipBudget].[DepartmentDesc].[All]" allUniqueName="[BI vw_DropshipBudget].[DepartmentDesc].[All]" dimensionUniqueName="[BI vw_DropshipBudget]" displayFolder="" count="0" memberValueDatatype="130" unbalanced="0"/>
    <cacheHierarchy uniqueName="[BI vw_DropshipBudget].[Division]" caption="Division" attribute="1" defaultMemberUniqueName="[BI vw_DropshipBudget].[Division].[All]" allUniqueName="[BI vw_DropshipBudget].[Division].[All]" dimensionUniqueName="[BI vw_DropshipBudget]" displayFolder="" count="0" memberValueDatatype="130" unbalanced="0"/>
    <cacheHierarchy uniqueName="[BI vw_DropshipBudget].[JoinKey]" caption="JoinKey" attribute="1" defaultMemberUniqueName="[BI vw_DropshipBudget].[JoinKey].[All]" allUniqueName="[BI vw_DropshipBudget].[JoinKey].[All]" dimensionUniqueName="[BI vw_DropshipBudget]" displayFolder="" count="0" memberValueDatatype="130" unbalanced="0"/>
    <cacheHierarchy uniqueName="[BI vw_Items].[Class]" caption="Class" attribute="1" defaultMemberUniqueName="[BI vw_Items].[Class].[All]" allUniqueName="[BI vw_Items].[Class].[All]" dimensionUniqueName="[BI vw_Items]" displayFolder="" count="0" memberValueDatatype="20" unbalanced="0"/>
    <cacheHierarchy uniqueName="[BI vw_Items].[ClassDesc]" caption="ClassDesc" attribute="1" defaultMemberUniqueName="[BI vw_Items].[ClassDesc].[All]" allUniqueName="[BI vw_Items].[ClassDesc].[All]" dimensionUniqueName="[BI vw_Items]" displayFolder="" count="0" memberValueDatatype="130" unbalanced="0"/>
    <cacheHierarchy uniqueName="[BI vw_Items].[department]" caption="department" attribute="1" defaultMemberUniqueName="[BI vw_Items].[department].[All]" allUniqueName="[BI vw_Items].[department].[All]" dimensionUniqueName="[BI vw_Items]" displayFolder="" count="0" memberValueDatatype="20" unbalanced="0"/>
    <cacheHierarchy uniqueName="[BI vw_Items].[DepartmentDesc]" caption="DepartmentDesc" attribute="1" defaultMemberUniqueName="[BI vw_Items].[DepartmentDesc].[All]" allUniqueName="[BI vw_Items].[DepartmentDesc].[All]" dimensionUniqueName="[BI vw_Items]" displayFolder="" count="0" memberValueDatatype="130" unbalanced="0"/>
    <cacheHierarchy uniqueName="[BI vw_Items].[Division]" caption="Division" attribute="1" defaultMemberUniqueName="[BI vw_Items].[Division].[All]" allUniqueName="[BI vw_Items].[Division].[All]" dimensionUniqueName="[BI vw_Items]" displayFolder="" count="0" memberValueDatatype="130" unbalanced="0"/>
    <cacheHierarchy uniqueName="[BI vw_Items].[FOB Port]" caption="FOB Port" attribute="1" defaultMemberUniqueName="[BI vw_Items].[FOB Port].[All]" allUniqueName="[BI vw_Items].[FOB Port].[All]" dimensionUniqueName="[BI vw_Items]" displayFolder="" count="0" memberValueDatatype="130" unbalanced="0"/>
    <cacheHierarchy uniqueName="[BI vw_Items].[Forecast Birth Date AU]" caption="Forecast Birth Date AU" attribute="1" defaultMemberUniqueName="[BI vw_Items].[Forecast Birth Date AU].[All]" allUniqueName="[BI vw_Items].[Forecast Birth Date AU].[All]" dimensionUniqueName="[BI vw_Items]" displayFolder="" count="0" memberValueDatatype="130" unbalanced="0"/>
    <cacheHierarchy uniqueName="[BI vw_Items].[Forecast Birth Date NZ]" caption="Forecast Birth Date NZ" attribute="1" defaultMemberUniqueName="[BI vw_Items].[Forecast Birth Date NZ].[All]" allUniqueName="[BI vw_Items].[Forecast Birth Date NZ].[All]" dimensionUniqueName="[BI vw_Items]" displayFolder="" count="0" memberValueDatatype="130" unbalanced="0"/>
    <cacheHierarchy uniqueName="[BI vw_Items].[IsComponent]" caption="IsComponent" attribute="1" defaultMemberUniqueName="[BI vw_Items].[IsComponent].[All]" allUniqueName="[BI vw_Items].[IsComponent].[All]" dimensionUniqueName="[BI vw_Items]" displayFolder="" count="0" memberValueDatatype="130" unbalanced="0"/>
    <cacheHierarchy uniqueName="[BI vw_Items].[ItemDescription]" caption="ItemDescription" attribute="1" defaultMemberUniqueName="[BI vw_Items].[ItemDescription].[All]" allUniqueName="[BI vw_Items].[ItemDescription].[All]" dimensionUniqueName="[BI vw_Items]" displayFolder="" count="0" memberValueDatatype="130" unbalanced="0"/>
    <cacheHierarchy uniqueName="[BI vw_Items].[ProductStatus]" caption="ProductStatus" attribute="1" defaultMemberUniqueName="[BI vw_Items].[ProductStatus].[All]" allUniqueName="[BI vw_Items].[ProductStatus].[All]" dimensionUniqueName="[BI vw_Items]" displayFolder="" count="0" memberValueDatatype="130" unbalanced="0"/>
    <cacheHierarchy uniqueName="[BI vw_Items].[ProductStatusNZ]" caption="ProductStatusNZ" attribute="1" defaultMemberUniqueName="[BI vw_Items].[ProductStatusNZ].[All]" allUniqueName="[BI vw_Items].[ProductStatusNZ].[All]" dimensionUniqueName="[BI vw_Items]" displayFolder="" count="0" memberValueDatatype="130" unbalanced="0"/>
    <cacheHierarchy uniqueName="[BI vw_Items].[PurchaseQTY]" caption="PurchaseQTY" attribute="1" defaultMemberUniqueName="[BI vw_Items].[PurchaseQTY].[All]" allUniqueName="[BI vw_Items].[PurchaseQTY].[All]" dimensionUniqueName="[BI vw_Items]" displayFolder="" count="0" memberValueDatatype="6" unbalanced="0"/>
    <cacheHierarchy uniqueName="[BI vw_Items].[Range]" caption="Range" attribute="1" defaultMemberUniqueName="[BI vw_Items].[Range].[All]" allUniqueName="[BI vw_Items].[Range].[All]" dimensionUniqueName="[BI vw_Items]" displayFolder="" count="0" memberValueDatatype="130" unbalanced="0"/>
    <cacheHierarchy uniqueName="[BI vw_Items].[Season_AUS]" caption="Season_AUS" attribute="1" defaultMemberUniqueName="[BI vw_Items].[Season_AUS].[All]" allUniqueName="[BI vw_Items].[Season_AUS].[All]" dimensionUniqueName="[BI vw_Items]" displayFolder="" count="0" memberValueDatatype="130" unbalanced="0"/>
    <cacheHierarchy uniqueName="[BI vw_Items].[Season_NZ]" caption="Season_NZ" attribute="1" defaultMemberUniqueName="[BI vw_Items].[Season_NZ].[All]" allUniqueName="[BI vw_Items].[Season_NZ].[All]" dimensionUniqueName="[BI vw_Items]" displayFolder="" count="0" memberValueDatatype="130" unbalanced="0"/>
    <cacheHierarchy uniqueName="[BI vw_Items].[SKU]" caption="SKU" attribute="1" defaultMemberUniqueName="[BI vw_Items].[SKU].[All]" allUniqueName="[BI vw_Items].[SKU].[All]" dimensionUniqueName="[BI vw_Items]" displayFolder="" count="0" memberValueDatatype="20" unbalanced="0"/>
    <cacheHierarchy uniqueName="[BI vw_Items].[Stock Type_AUS]" caption="Stock Type_AUS" attribute="1" defaultMemberUniqueName="[BI vw_Items].[Stock Type_AUS].[All]" allUniqueName="[BI vw_Items].[Stock Type_AUS].[All]" dimensionUniqueName="[BI vw_Items]" displayFolder="" count="0" memberValueDatatype="130" unbalanced="0"/>
    <cacheHierarchy uniqueName="[BI vw_Items].[SubDepartment]" caption="SubDepartment" attribute="1" defaultMemberUniqueName="[BI vw_Items].[SubDepartment].[All]" allUniqueName="[BI vw_Items].[SubDepartment].[All]" dimensionUniqueName="[BI vw_Items]" displayFolder="" count="0" memberValueDatatype="20" unbalanced="0"/>
    <cacheHierarchy uniqueName="[BI vw_Items].[SubDepartmentDesc]" caption="SubDepartmentDesc" attribute="1" defaultMemberUniqueName="[BI vw_Items].[SubDepartmentDesc].[All]" allUniqueName="[BI vw_Items].[SubDepartmentDesc].[All]" dimensionUniqueName="[BI vw_Items]" displayFolder="" count="0" memberValueDatatype="130" unbalanced="0"/>
    <cacheHierarchy uniqueName="[BI vw_Items].[Supplier Cost]" caption="Supplier Cost" attribute="1" defaultMemberUniqueName="[BI vw_Items].[Supplier Cost].[All]" allUniqueName="[BI vw_Items].[Supplier Cost].[All]" dimensionUniqueName="[BI vw_Items]" displayFolder="" count="0" memberValueDatatype="130" unbalanced="0"/>
    <cacheHierarchy uniqueName="[BI vw_Items].[supplier_code]" caption="supplier_code" attribute="1" defaultMemberUniqueName="[BI vw_Items].[supplier_code].[All]" allUniqueName="[BI vw_Items].[supplier_code].[All]" dimensionUniqueName="[BI vw_Items]" displayFolder="" count="0" memberValueDatatype="130" unbalanced="0"/>
    <cacheHierarchy uniqueName="[BI vw_WeeklyItemSales].[Country]" caption="Country" attribute="1" defaultMemberUniqueName="[BI vw_WeeklyItemSales].[Country].[All]" allUniqueName="[BI vw_WeeklyItemSales].[Country].[All]" dimensionUniqueName="[BI vw_WeeklyItemSales]" displayFolder="" count="0" memberValueDatatype="130" unbalanced="0"/>
    <cacheHierarchy uniqueName="[BI vw_WeeklyItemSales].[finPeriod]" caption="finPeriod" attribute="1" defaultMemberUniqueName="[BI vw_WeeklyItemSales].[finPeriod].[All]" allUniqueName="[BI vw_WeeklyItemSales].[finPeriod].[All]" dimensionUniqueName="[BI vw_WeeklyItemSales]" displayFolder="" count="0" memberValueDatatype="130" unbalanced="0"/>
    <cacheHierarchy uniqueName="[BI vw_WeeklyItemSales].[FirstWeek-Year]" caption="FirstWeek-Year" attribute="1" defaultMemberUniqueName="[BI vw_WeeklyItemSales].[FirstWeek-Year].[All]" allUniqueName="[BI vw_WeeklyItemSales].[FirstWeek-Year].[All]" dimensionUniqueName="[BI vw_WeeklyItemSales]" displayFolder="" count="0" memberValueDatatype="130" unbalanced="0"/>
    <cacheHierarchy uniqueName="[BI vw_WeeklyItemSales].[ItemKey]" caption="ItemKey" attribute="1" defaultMemberUniqueName="[BI vw_WeeklyItemSales].[ItemKey].[All]" allUniqueName="[BI vw_WeeklyItemSales].[ItemKey].[All]" dimensionUniqueName="[BI vw_WeeklyItemSales]" displayFolder="" count="0" memberValueDatatype="20" unbalanced="0"/>
    <cacheHierarchy uniqueName="[BI vw_WeeklyItemSales].[JoinKey]" caption="JoinKey" attribute="1" defaultMemberUniqueName="[BI vw_WeeklyItemSales].[JoinKey].[All]" allUniqueName="[BI vw_WeeklyItemSales].[JoinKey].[All]" dimensionUniqueName="[BI vw_WeeklyItemSales]" displayFolder="" count="0" memberValueDatatype="130" unbalanced="0"/>
    <cacheHierarchy uniqueName="[BI vw_WeeklyItemSales].[Quantity]" caption="Quantity" attribute="1" defaultMemberUniqueName="[BI vw_WeeklyItemSales].[Quantity].[All]" allUniqueName="[BI vw_WeeklyItemSales].[Quantity].[All]" dimensionUniqueName="[BI vw_WeeklyItemSales]" displayFolder="" count="0" memberValueDatatype="6" unbalanced="0"/>
    <cacheHierarchy uniqueName="[BI vw_WeeklyItemSales].[SalesClassification]" caption="SalesClassification" attribute="1" defaultMemberUniqueName="[BI vw_WeeklyItemSales].[SalesClassification].[All]" allUniqueName="[BI vw_WeeklyItemSales].[SalesClassification].[All]" dimensionUniqueName="[BI vw_WeeklyItemSales]" displayFolder="" count="0" memberValueDatatype="130" unbalanced="0"/>
    <cacheHierarchy uniqueName="[BI vw_WeeklyItemSales].[SalesCost]" caption="SalesCost" attribute="1" defaultMemberUniqueName="[BI vw_WeeklyItemSales].[SalesCost].[All]" allUniqueName="[BI vw_WeeklyItemSales].[SalesCost].[All]" dimensionUniqueName="[BI vw_WeeklyItemSales]" displayFolder="" count="0" memberValueDatatype="5" unbalanced="0"/>
    <cacheHierarchy uniqueName="[BI vw_WeeklyItemSales].[SalesRetail]" caption="SalesRetail" attribute="1" defaultMemberUniqueName="[BI vw_WeeklyItemSales].[SalesRetail].[All]" allUniqueName="[BI vw_WeeklyItemSales].[SalesRetail].[All]" dimensionUniqueName="[BI vw_WeeklyItemSales]" displayFolder="" count="0" memberValueDatatype="5" unbalanced="0"/>
    <cacheHierarchy uniqueName="[BI vw_WeeklyItemSales].[StoreKey]" caption="StoreKey" attribute="1" defaultMemberUniqueName="[BI vw_WeeklyItemSales].[StoreKey].[All]" allUniqueName="[BI vw_WeeklyItemSales].[StoreKey].[All]" dimensionUniqueName="[BI vw_WeeklyItemSales]" displayFolder="" count="0" memberValueDatatype="130" unbalanced="0"/>
    <cacheHierarchy uniqueName="[BI vw_WeeklyStoreATV].[division]" caption="division" attribute="1" defaultMemberUniqueName="[BI vw_WeeklyStoreATV].[division].[All]" allUniqueName="[BI vw_WeeklyStoreATV].[division].[All]" dimensionUniqueName="[BI vw_WeeklyStoreATV]" displayFolder="" count="0" memberValueDatatype="130" unbalanced="0"/>
    <cacheHierarchy uniqueName="[BI vw_WeeklyStoreATV].[FinOrderNumber]" caption="FinOrderNumber" attribute="1" defaultMemberUniqueName="[BI vw_WeeklyStoreATV].[FinOrderNumber].[All]" allUniqueName="[BI vw_WeeklyStoreATV].[FinOrderNumber].[All]" dimensionUniqueName="[BI vw_WeeklyStoreATV]" displayFolder="" count="0" memberValueDatatype="130" unbalanced="0"/>
    <cacheHierarchy uniqueName="[BI vw_WeeklyStoreATV].[FinPeriod]" caption="FinPeriod" attribute="1" defaultMemberUniqueName="[BI vw_WeeklyStoreATV].[FinPeriod].[All]" allUniqueName="[BI vw_WeeklyStoreATV].[FinPeriod].[All]" dimensionUniqueName="[BI vw_WeeklyStoreATV]" displayFolder="" count="0" memberValueDatatype="20" unbalanced="0"/>
    <cacheHierarchy uniqueName="[BI vw_WeeklyStoreATV].[JoinKey]" caption="JoinKey" attribute="1" defaultMemberUniqueName="[BI vw_WeeklyStoreATV].[JoinKey].[All]" allUniqueName="[BI vw_WeeklyStoreATV].[JoinKey].[All]" dimensionUniqueName="[BI vw_WeeklyStoreATV]" displayFolder="" count="0" memberValueDatatype="130" unbalanced="0"/>
    <cacheHierarchy uniqueName="[BI vw_WeeklyStoreATV].[NumTrans]" caption="NumTrans" attribute="1" defaultMemberUniqueName="[BI vw_WeeklyStoreATV].[NumTrans].[All]" allUniqueName="[BI vw_WeeklyStoreATV].[NumTrans].[All]" dimensionUniqueName="[BI vw_WeeklyStoreATV]" displayFolder="" count="0" memberValueDatatype="20" unbalanced="0"/>
    <cacheHierarchy uniqueName="[BI vw_WeeklyStoreATV].[NumTrans2]" caption="NumTrans2" attribute="1" defaultMemberUniqueName="[BI vw_WeeklyStoreATV].[NumTrans2].[All]" allUniqueName="[BI vw_WeeklyStoreATV].[NumTrans2].[All]" dimensionUniqueName="[BI vw_WeeklyStoreATV]" displayFolder="" count="0" memberValueDatatype="130" unbalanced="0"/>
    <cacheHierarchy uniqueName="[BI vw_WeeklyStoreATV].[OrderNumber]" caption="OrderNumber" attribute="1" defaultMemberUniqueName="[BI vw_WeeklyStoreATV].[OrderNumber].[All]" allUniqueName="[BI vw_WeeklyStoreATV].[OrderNumber].[All]" dimensionUniqueName="[BI vw_WeeklyStoreATV]" displayFolder="" count="0" memberValueDatatype="130" unbalanced="0"/>
    <cacheHierarchy uniqueName="[BI vw_WeeklyStoreATV].[SalesClassification]" caption="SalesClassification" attribute="1" defaultMemberUniqueName="[BI vw_WeeklyStoreATV].[SalesClassification].[All]" allUniqueName="[BI vw_WeeklyStoreATV].[SalesClassification].[All]" dimensionUniqueName="[BI vw_WeeklyStoreATV]" displayFolder="" count="0" memberValueDatatype="130" unbalanced="0"/>
    <cacheHierarchy uniqueName="[BI vw_WeeklyStoreATV].[SalesRetail]" caption="SalesRetail" attribute="1" defaultMemberUniqueName="[BI vw_WeeklyStoreATV].[SalesRetail].[All]" allUniqueName="[BI vw_WeeklyStoreATV].[SalesRetail].[All]" dimensionUniqueName="[BI vw_WeeklyStoreATV]" displayFolder="" count="0" memberValueDatatype="20" unbalanced="0"/>
    <cacheHierarchy uniqueName="[BI vw_WeeklyStoreATV].[Store_Country]" caption="Store_Country" attribute="1" defaultMemberUniqueName="[BI vw_WeeklyStoreATV].[Store_Country].[All]" allUniqueName="[BI vw_WeeklyStoreATV].[Store_Country].[All]" dimensionUniqueName="[BI vw_WeeklyStoreATV]" displayFolder="" count="0" memberValueDatatype="130" unbalanced="0"/>
    <cacheHierarchy uniqueName="[BI vw_WeeklyStoreATV].[StoreKey]" caption="StoreKey" attribute="1" defaultMemberUniqueName="[BI vw_WeeklyStoreATV].[StoreKey].[All]" allUniqueName="[BI vw_WeeklyStoreATV].[StoreKey].[All]" dimensionUniqueName="[BI vw_WeeklyStoreATV]" displayFolder="" count="0" memberValueDatatype="130" unbalanced="0"/>
    <cacheHierarchy uniqueName="[BI vw_WeeklyStoreTraffic].[Country]" caption="Country" attribute="1" defaultMemberUniqueName="[BI vw_WeeklyStoreTraffic].[Country].[All]" allUniqueName="[BI vw_WeeklyStoreTraffic].[Country].[All]" dimensionUniqueName="[BI vw_WeeklyStoreTraffic]" displayFolder="" count="0" memberValueDatatype="130" unbalanced="0"/>
    <cacheHierarchy uniqueName="[BI vw_WeeklyStoreTraffic].[finPeriod]" caption="finPeriod" attribute="1" defaultMemberUniqueName="[BI vw_WeeklyStoreTraffic].[finPeriod].[All]" allUniqueName="[BI vw_WeeklyStoreTraffic].[finPeriod].[All]" dimensionUniqueName="[BI vw_WeeklyStoreTraffic]" displayFolder="" count="0" memberValueDatatype="130" unbalanced="0"/>
    <cacheHierarchy uniqueName="[BI vw_WeeklyStoreTraffic].[JoinKey]" caption="JoinKey" attribute="1" defaultMemberUniqueName="[BI vw_WeeklyStoreTraffic].[JoinKey].[All]" allUniqueName="[BI vw_WeeklyStoreTraffic].[JoinKey].[All]" dimensionUniqueName="[BI vw_WeeklyStoreTraffic]" displayFolder="" count="0" memberValueDatatype="130" unbalanced="0"/>
    <cacheHierarchy uniqueName="[BI vw_WeeklyStoreTraffic].[Store]" caption="Store" attribute="1" defaultMemberUniqueName="[BI vw_WeeklyStoreTraffic].[Store].[All]" allUniqueName="[BI vw_WeeklyStoreTraffic].[Store].[All]" dimensionUniqueName="[BI vw_WeeklyStoreTraffic]" displayFolder="" count="0" memberValueDatatype="130" unbalanced="0"/>
    <cacheHierarchy uniqueName="[BI vw_WeeklyStoreTraffic].[storekey]" caption="storekey" attribute="1" defaultMemberUniqueName="[BI vw_WeeklyStoreTraffic].[storekey].[All]" allUniqueName="[BI vw_WeeklyStoreTraffic].[storekey].[All]" dimensionUniqueName="[BI vw_WeeklyStoreTraffic]" displayFolder="" count="0" memberValueDatatype="130" unbalanced="0"/>
    <cacheHierarchy uniqueName="[BI vw_WeeklyStoreTraffic].[Traffic]" caption="Traffic" attribute="1" defaultMemberUniqueName="[BI vw_WeeklyStoreTraffic].[Traffic].[All]" allUniqueName="[BI vw_WeeklyStoreTraffic].[Traffic].[All]" dimensionUniqueName="[BI vw_WeeklyStoreTraffic]" displayFolder="" count="0" memberValueDatatype="20" unbalanced="0"/>
    <cacheHierarchy uniqueName="[BI vw_WeeklyWrittenSalesMetrics].[ATV_JoinKey]" caption="ATV_JoinKey" attribute="1" defaultMemberUniqueName="[BI vw_WeeklyWrittenSalesMetrics].[ATV_JoinKey].[All]" allUniqueName="[BI vw_WeeklyWrittenSalesMetrics].[ATV_JoinKey].[All]" dimensionUniqueName="[BI vw_WeeklyWrittenSalesMetrics]" displayFolder="" count="0" memberValueDatatype="130" unbalanced="0"/>
    <cacheHierarchy uniqueName="[BI vw_WeeklyWrittenSalesMetrics].[Branch_Type]" caption="Branch_Type" attribute="1" defaultMemberUniqueName="[BI vw_WeeklyWrittenSalesMetrics].[Branch_Type].[All]" allUniqueName="[BI vw_WeeklyWrittenSalesMetrics].[Branch_Type].[All]" dimensionUniqueName="[BI vw_WeeklyWrittenSalesMetrics]" displayFolder="" count="2" memberValueDatatype="130" unbalanced="0">
      <fieldsUsage count="2">
        <fieldUsage x="-1"/>
        <fieldUsage x="8"/>
      </fieldsUsage>
    </cacheHierarchy>
    <cacheHierarchy uniqueName="[BI vw_WeeklyWrittenSalesMetrics].[BudgetByItem_JoinKey]" caption="BudgetByItem_JoinKey" attribute="1" defaultMemberUniqueName="[BI vw_WeeklyWrittenSalesMetrics].[BudgetByItem_JoinKey].[All]" allUniqueName="[BI vw_WeeklyWrittenSalesMetrics].[BudgetByItem_JoinKey].[All]" dimensionUniqueName="[BI vw_WeeklyWrittenSalesMetrics]" displayFolder="" count="0" memberValueDatatype="130" unbalanced="0"/>
    <cacheHierarchy uniqueName="[BI vw_WeeklyWrittenSalesMetrics].[BudgetByStore_JoinKey]" caption="BudgetByStore_JoinKey" attribute="1" defaultMemberUniqueName="[BI vw_WeeklyWrittenSalesMetrics].[BudgetByStore_JoinKey].[All]" allUniqueName="[BI vw_WeeklyWrittenSalesMetrics].[BudgetByStore_JoinKey].[All]" dimensionUniqueName="[BI vw_WeeklyWrittenSalesMetrics]" displayFolder="" count="0" memberValueDatatype="130" unbalanced="0"/>
    <cacheHierarchy uniqueName="[BI vw_WeeklyWrittenSalesMetrics].[BudgetByWeek_JoinKey]" caption="BudgetByWeek_JoinKey" attribute="1" defaultMemberUniqueName="[BI vw_WeeklyWrittenSalesMetrics].[BudgetByWeek_JoinKey].[All]" allUniqueName="[BI vw_WeeklyWrittenSalesMetrics].[BudgetByWeek_JoinKey].[All]" dimensionUniqueName="[BI vw_WeeklyWrittenSalesMetrics]" displayFolder="" count="0" memberValueDatatype="130" unbalanced="0"/>
    <cacheHierarchy uniqueName="[BI vw_WeeklyWrittenSalesMetrics].[BudgetDigital_JoinKey]" caption="BudgetDigital_JoinKey" attribute="1" defaultMemberUniqueName="[BI vw_WeeklyWrittenSalesMetrics].[BudgetDigital_JoinKey].[All]" allUniqueName="[BI vw_WeeklyWrittenSalesMetrics].[BudgetDigital_JoinKey].[All]" dimensionUniqueName="[BI vw_WeeklyWrittenSalesMetrics]" displayFolder="" count="0" memberValueDatatype="130" unbalanced="0"/>
    <cacheHierarchy uniqueName="[BI vw_WeeklyWrittenSalesMetrics].[BudgetOnlineByStore_JoinKey]" caption="BudgetOnlineByStore_JoinKey" attribute="1" defaultMemberUniqueName="[BI vw_WeeklyWrittenSalesMetrics].[BudgetOnlineByStore_JoinKey].[All]" allUniqueName="[BI vw_WeeklyWrittenSalesMetrics].[BudgetOnlineByStore_JoinKey].[All]" dimensionUniqueName="[BI vw_WeeklyWrittenSalesMetrics]" displayFolder="" count="0" memberValueDatatype="130" unbalanced="0"/>
    <cacheHierarchy uniqueName="[BI vw_WeeklyWrittenSalesMetrics].[Channel]" caption="Channel" attribute="1" defaultMemberUniqueName="[BI vw_WeeklyWrittenSalesMetrics].[Channel].[All]" allUniqueName="[BI vw_WeeklyWrittenSalesMetrics].[Channel].[All]" dimensionUniqueName="[BI vw_WeeklyWrittenSalesMetrics]" displayFolder="" count="2" memberValueDatatype="130" unbalanced="0">
      <fieldsUsage count="2">
        <fieldUsage x="-1"/>
        <fieldUsage x="12"/>
      </fieldsUsage>
    </cacheHierarchy>
    <cacheHierarchy uniqueName="[BI vw_WeeklyWrittenSalesMetrics].[ClassDesc]" caption="ClassDesc" attribute="1" defaultMemberUniqueName="[BI vw_WeeklyWrittenSalesMetrics].[ClassDesc].[All]" allUniqueName="[BI vw_WeeklyWrittenSalesMetrics].[ClassDesc].[All]" dimensionUniqueName="[BI vw_WeeklyWrittenSalesMetrics]" displayFolder="" count="0" memberValueDatatype="130" unbalanced="0"/>
    <cacheHierarchy uniqueName="[BI vw_WeeklyWrittenSalesMetrics].[Country]" caption="Country" attribute="1" defaultMemberUniqueName="[BI vw_WeeklyWrittenSalesMetrics].[Country].[All]" allUniqueName="[BI vw_WeeklyWrittenSalesMetrics].[Country].[All]" dimensionUniqueName="[BI vw_WeeklyWrittenSalesMetrics]" displayFolder="" count="2" memberValueDatatype="130" unbalanced="0">
      <fieldsUsage count="2">
        <fieldUsage x="-1"/>
        <fieldUsage x="10"/>
      </fieldsUsage>
    </cacheHierarchy>
    <cacheHierarchy uniqueName="[BI vw_WeeklyWrittenSalesMetrics].[DepartmentDesc]" caption="DepartmentDesc" attribute="1" defaultMemberUniqueName="[BI vw_WeeklyWrittenSalesMetrics].[DepartmentDesc].[All]" allUniqueName="[BI vw_WeeklyWrittenSalesMetrics].[DepartmentDesc].[All]" dimensionUniqueName="[BI vw_WeeklyWrittenSalesMetrics]" displayFolder="" count="0" memberValueDatatype="130" unbalanced="0"/>
    <cacheHierarchy uniqueName="[BI vw_WeeklyWrittenSalesMetrics].[Division]" caption="Division" attribute="1" defaultMemberUniqueName="[BI vw_WeeklyWrittenSalesMetrics].[Division].[All]" allUniqueName="[BI vw_WeeklyWrittenSalesMetrics].[Division].[All]" dimensionUniqueName="[BI vw_WeeklyWrittenSalesMetrics]" displayFolder="" count="2" memberValueDatatype="130" unbalanced="0">
      <fieldsUsage count="2">
        <fieldUsage x="-1"/>
        <fieldUsage x="9"/>
      </fieldsUsage>
    </cacheHierarchy>
    <cacheHierarchy uniqueName="[BI vw_WeeklyWrittenSalesMetrics].[Dropship]" caption="Dropship" attribute="1" defaultMemberUniqueName="[BI vw_WeeklyWrittenSalesMetrics].[Dropship].[All]" allUniqueName="[BI vw_WeeklyWrittenSalesMetrics].[Dropship].[All]" dimensionUniqueName="[BI vw_WeeklyWrittenSalesMetrics]" displayFolder="" count="0" memberValueDatatype="130" unbalanced="0"/>
    <cacheHierarchy uniqueName="[BI vw_WeeklyWrittenSalesMetrics].[DropshipBudget_JoinKey]" caption="DropshipBudget_JoinKey" attribute="1" defaultMemberUniqueName="[BI vw_WeeklyWrittenSalesMetrics].[DropshipBudget_JoinKey].[All]" allUniqueName="[BI vw_WeeklyWrittenSalesMetrics].[DropshipBudget_JoinKey].[All]" dimensionUniqueName="[BI vw_WeeklyWrittenSalesMetrics]" displayFolder="" count="0" memberValueDatatype="130" unbalanced="0"/>
    <cacheHierarchy uniqueName="[BI vw_WeeklyWrittenSalesMetrics].[FinPeriod]" caption="FinPeriod" attribute="1" defaultMemberUniqueName="[BI vw_WeeklyWrittenSalesMetrics].[FinPeriod].[All]" allUniqueName="[BI vw_WeeklyWrittenSalesMetrics].[FinPeriod].[All]" dimensionUniqueName="[BI vw_WeeklyWrittenSalesMetrics]" displayFolder="" count="0" memberValueDatatype="20" unbalanced="0"/>
    <cacheHierarchy uniqueName="[BI vw_WeeklyWrittenSalesMetrics].[FinPeriod_2025]" caption="FinPeriod_2025" attribute="1" defaultMemberUniqueName="[BI vw_WeeklyWrittenSalesMetrics].[FinPeriod_2025].[All]" allUniqueName="[BI vw_WeeklyWrittenSalesMetrics].[FinPeriod_2025].[All]" dimensionUniqueName="[BI vw_WeeklyWrittenSalesMetrics]" displayFolder="" count="0" memberValueDatatype="130" unbalanced="0"/>
    <cacheHierarchy uniqueName="[BI vw_WeeklyWrittenSalesMetrics].[FinPeriod_LY]" caption="FinPeriod_LY" attribute="1" defaultMemberUniqueName="[BI vw_WeeklyWrittenSalesMetrics].[FinPeriod_LY].[All]" allUniqueName="[BI vw_WeeklyWrittenSalesMetrics].[FinPeriod_LY].[All]" dimensionUniqueName="[BI vw_WeeklyWrittenSalesMetrics]" displayFolder="" count="0" memberValueDatatype="20" unbalanced="0"/>
    <cacheHierarchy uniqueName="[BI vw_WeeklyWrittenSalesMetrics].[FirstWeek-Month]" caption="FirstWeek-Month" attribute="1" defaultMemberUniqueName="[BI vw_WeeklyWrittenSalesMetrics].[FirstWeek-Month].[All]" allUniqueName="[BI vw_WeeklyWrittenSalesMetrics].[FirstWeek-Month].[All]" dimensionUniqueName="[BI vw_WeeklyWrittenSalesMetrics]" displayFolder="" count="0" memberValueDatatype="20" unbalanced="0"/>
    <cacheHierarchy uniqueName="[BI vw_WeeklyWrittenSalesMetrics].[FirstWeek-QTD]" caption="FirstWeek-QTD" attribute="1" defaultMemberUniqueName="[BI vw_WeeklyWrittenSalesMetrics].[FirstWeek-QTD].[All]" allUniqueName="[BI vw_WeeklyWrittenSalesMetrics].[FirstWeek-QTD].[All]" dimensionUniqueName="[BI vw_WeeklyWrittenSalesMetrics]" displayFolder="" count="0" memberValueDatatype="20" unbalanced="0"/>
    <cacheHierarchy uniqueName="[BI vw_WeeklyWrittenSalesMetrics].[FirstWeek-Year]" caption="FirstWeek-Year" attribute="1" defaultMemberUniqueName="[BI vw_WeeklyWrittenSalesMetrics].[FirstWeek-Year].[All]" allUniqueName="[BI vw_WeeklyWrittenSalesMetrics].[FirstWeek-Year].[All]" dimensionUniqueName="[BI vw_WeeklyWrittenSalesMetrics]" displayFolder="" count="0" memberValueDatatype="20" unbalanced="0"/>
    <cacheHierarchy uniqueName="[BI vw_WeeklyWrittenSalesMetrics].[Forcast_JoinKey]" caption="Forcast_JoinKey" attribute="1" defaultMemberUniqueName="[BI vw_WeeklyWrittenSalesMetrics].[Forcast_JoinKey].[All]" allUniqueName="[BI vw_WeeklyWrittenSalesMetrics].[Forcast_JoinKey].[All]" dimensionUniqueName="[BI vw_WeeklyWrittenSalesMetrics]" displayFolder="" count="0" memberValueDatatype="130" unbalanced="0"/>
    <cacheHierarchy uniqueName="[BI vw_WeeklyWrittenSalesMetrics].[ForcastByClass_JoinKey]" caption="ForcastByClass_JoinKey" attribute="1" defaultMemberUniqueName="[BI vw_WeeklyWrittenSalesMetrics].[ForcastByClass_JoinKey].[All]" allUniqueName="[BI vw_WeeklyWrittenSalesMetrics].[ForcastByClass_JoinKey].[All]" dimensionUniqueName="[BI vw_WeeklyWrittenSalesMetrics]" displayFolder="" count="0" memberValueDatatype="130" unbalanced="0"/>
    <cacheHierarchy uniqueName="[BI vw_WeeklyWrittenSalesMetrics].[SalesatFullRet]" caption="SalesatFullRet" attribute="1" defaultMemberUniqueName="[BI vw_WeeklyWrittenSalesMetrics].[SalesatFullRet].[All]" allUniqueName="[BI vw_WeeklyWrittenSalesMetrics].[SalesatFullRet].[All]" dimensionUniqueName="[BI vw_WeeklyWrittenSalesMetrics]" displayFolder="" count="0" memberValueDatatype="5" unbalanced="0"/>
    <cacheHierarchy uniqueName="[BI vw_WeeklyWrittenSalesMetrics].[SalesClassification]" caption="SalesClassification" attribute="1" defaultMemberUniqueName="[BI vw_WeeklyWrittenSalesMetrics].[SalesClassification].[All]" allUniqueName="[BI vw_WeeklyWrittenSalesMetrics].[SalesClassification].[All]" dimensionUniqueName="[BI vw_WeeklyWrittenSalesMetrics]" displayFolder="" count="0" memberValueDatatype="130" unbalanced="0"/>
    <cacheHierarchy uniqueName="[BI vw_WeeklyWrittenSalesMetrics].[SalesCost]" caption="SalesCost" attribute="1" defaultMemberUniqueName="[BI vw_WeeklyWrittenSalesMetrics].[SalesCost].[All]" allUniqueName="[BI vw_WeeklyWrittenSalesMetrics].[SalesCost].[All]" dimensionUniqueName="[BI vw_WeeklyWrittenSalesMetrics]" displayFolder="" count="0" memberValueDatatype="5" unbalanced="0"/>
    <cacheHierarchy uniqueName="[BI vw_WeeklyWrittenSalesMetrics].[SalesGM]" caption="SalesGM" attribute="1" defaultMemberUniqueName="[BI vw_WeeklyWrittenSalesMetrics].[SalesGM].[All]" allUniqueName="[BI vw_WeeklyWrittenSalesMetrics].[SalesGM].[All]" dimensionUniqueName="[BI vw_WeeklyWrittenSalesMetrics]" displayFolder="" count="0" memberValueDatatype="5" unbalanced="0"/>
    <cacheHierarchy uniqueName="[BI vw_WeeklyWrittenSalesMetrics].[SalesRetail]" caption="SalesRetail" attribute="1" defaultMemberUniqueName="[BI vw_WeeklyWrittenSalesMetrics].[SalesRetail].[All]" allUniqueName="[BI vw_WeeklyWrittenSalesMetrics].[SalesRetail].[All]" dimensionUniqueName="[BI vw_WeeklyWrittenSalesMetrics]" displayFolder="" count="0" memberValueDatatype="5" unbalanced="0"/>
    <cacheHierarchy uniqueName="[BI vw_WeeklyWrittenSalesMetrics].[SalesType]" caption="SalesType" attribute="1" defaultMemberUniqueName="[BI vw_WeeklyWrittenSalesMetrics].[SalesType].[All]" allUniqueName="[BI vw_WeeklyWrittenSalesMetrics].[SalesType].[All]" dimensionUniqueName="[BI vw_WeeklyWrittenSalesMetrics]" displayFolder="" count="0" memberValueDatatype="130" unbalanced="0"/>
    <cacheHierarchy uniqueName="[BI vw_WeeklyWrittenSalesMetrics].[SalesUnits]" caption="SalesUnits" attribute="1" defaultMemberUniqueName="[BI vw_WeeklyWrittenSalesMetrics].[SalesUnits].[All]" allUniqueName="[BI vw_WeeklyWrittenSalesMetrics].[SalesUnits].[All]" dimensionUniqueName="[BI vw_WeeklyWrittenSalesMetrics]" displayFolder="" count="0" memberValueDatatype="5" unbalanced="0"/>
    <cacheHierarchy uniqueName="[BI vw_WeeklyWrittenSalesMetrics].[Store]" caption="Store" attribute="1" defaultMemberUniqueName="[BI vw_WeeklyWrittenSalesMetrics].[Store].[All]" allUniqueName="[BI vw_WeeklyWrittenSalesMetrics].[Store].[All]" dimensionUniqueName="[BI vw_WeeklyWrittenSalesMetrics]" displayFolder="" count="0" memberValueDatatype="130" unbalanced="0"/>
    <cacheHierarchy uniqueName="[BI vw_WeeklyWrittenSalesMetrics].[StoreKey]" caption="StoreKey" attribute="1" defaultMemberUniqueName="[BI vw_WeeklyWrittenSalesMetrics].[StoreKey].[All]" allUniqueName="[BI vw_WeeklyWrittenSalesMetrics].[StoreKey].[All]" dimensionUniqueName="[BI vw_WeeklyWrittenSalesMetrics]" displayFolder="" count="0" memberValueDatatype="20" unbalanced="0"/>
    <cacheHierarchy uniqueName="[BI vw_WeeklyWrittenSalesMetrics].[SubDepartmentDesc]" caption="SubDepartmentDesc" attribute="1" defaultMemberUniqueName="[BI vw_WeeklyWrittenSalesMetrics].[SubDepartmentDesc].[All]" allUniqueName="[BI vw_WeeklyWrittenSalesMetrics].[SubDepartmentDesc].[All]" dimensionUniqueName="[BI vw_WeeklyWrittenSalesMetrics]" displayFolder="" count="0" memberValueDatatype="130" unbalanced="0"/>
    <cacheHierarchy uniqueName="[BI vw_WeeklyWrittenSalesMetrics].[TOTRETMD]" caption="TOTRETMD" attribute="1" defaultMemberUniqueName="[BI vw_WeeklyWrittenSalesMetrics].[TOTRETMD].[All]" allUniqueName="[BI vw_WeeklyWrittenSalesMetrics].[TOTRETMD].[All]" dimensionUniqueName="[BI vw_WeeklyWrittenSalesMetrics]" displayFolder="" count="0" memberValueDatatype="5" unbalanced="0"/>
    <cacheHierarchy uniqueName="[BI vw_WeeklyWrittenSalesMetrics].[Traffic_JoinKey]" caption="Traffic_JoinKey" attribute="1" defaultMemberUniqueName="[BI vw_WeeklyWrittenSalesMetrics].[Traffic_JoinKey].[All]" allUniqueName="[BI vw_WeeklyWrittenSalesMetrics].[Traffic_JoinKey].[All]" dimensionUniqueName="[BI vw_WeeklyWrittenSalesMetrics]" displayFolder="" count="0" memberValueDatatype="130" unbalanced="0"/>
    <cacheHierarchy uniqueName="[BI vw_WeeklyWrittenSalesMetrics].[WeeklyItemSaleKey]" caption="WeeklyItemSaleKey" attribute="1" defaultMemberUniqueName="[BI vw_WeeklyWrittenSalesMetrics].[WeeklyItemSaleKey].[All]" allUniqueName="[BI vw_WeeklyWrittenSalesMetrics].[WeeklyItemSaleKey].[All]" dimensionUniqueName="[BI vw_WeeklyWrittenSalesMetrics]" displayFolder="" count="0" memberValueDatatype="130" unbalanced="0"/>
    <cacheHierarchy uniqueName="[Dim_Category].[Column_Name]" caption="Column_Name" attribute="1" defaultMemberUniqueName="[Dim_Category].[Column_Name].[All]" allUniqueName="[Dim_Category].[Column_Name].[All]" dimensionUniqueName="[Dim_Category]" displayFolder="" count="0" memberValueDatatype="130" unbalanced="0"/>
    <cacheHierarchy uniqueName="[Dim_Category].[Sort N]" caption="Sort N" attribute="1" defaultMemberUniqueName="[Dim_Category].[Sort N].[All]" allUniqueName="[Dim_Category].[Sort N].[All]" dimensionUniqueName="[Dim_Category]" displayFolder="" count="0" memberValueDatatype="20" unbalanced="0"/>
    <cacheHierarchy uniqueName="[dim_period].[Current Date]" caption="Current Date" attribute="1" time="1" defaultMemberUniqueName="[dim_period].[Current Date].[All]" allUniqueName="[dim_period].[Current Date].[All]" dimensionUniqueName="[dim_period]" displayFolder="" count="0" memberValueDatatype="7" unbalanced="0"/>
    <cacheHierarchy uniqueName="[dim_period].[Date]" caption="Date" attribute="1" time="1" defaultMemberUniqueName="[dim_period].[Date].[All]" allUniqueName="[dim_period].[Date].[All]" dimensionUniqueName="[dim_period]" displayFolder="" count="0" memberValueDatatype="7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inPeriod_BeforeToday]" caption="finPeriod_BeforeToday" attribute="1" defaultMemberUniqueName="[dim_period].[finPeriod_BeforeToday].[All]" allUniqueName="[dim_period].[finPeriod_BeforeToday].[All]" dimensionUniqueName="[dim_period]" displayFolder="" count="0" memberValueDatatype="13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Month_NumberY]" caption="Month_NumberY" attribute="1" defaultMemberUniqueName="[dim_period].[Month_NumberY].[All]" allUniqueName="[dim_period].[Month_NumberY].[All]" dimensionUniqueName="[dim_period]" displayFolder="" count="0" memberValueDatatype="2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dim_period].[Year_New]" caption="Year_New" attribute="1" defaultMemberUniqueName="[dim_period].[Year_New].[All]" allUniqueName="[dim_period].[Year_New].[All]" dimensionUniqueName="[dim_period]" displayFolder="" count="0" memberValueDatatype="20" unbalanced="0"/>
    <cacheHierarchy uniqueName="[ForcastByClass].[Branch Type]" caption="Branch Type" attribute="1" defaultMemberUniqueName="[ForcastByClass].[Branch Type].[All]" allUniqueName="[ForcastByClass].[Branch Type].[All]" dimensionUniqueName="[ForcastByClass]" displayFolder="" count="0" memberValueDatatype="130" unbalanced="0"/>
    <cacheHierarchy uniqueName="[ForcastByClass].[Class]" caption="Class" attribute="1" defaultMemberUniqueName="[ForcastByClass].[Class].[All]" allUniqueName="[ForcastByClass].[Class].[All]" dimensionUniqueName="[ForcastByClass]" displayFolder="" count="0" memberValueDatatype="130" unbalanced="0"/>
    <cacheHierarchy uniqueName="[ForcastByClass].[Country]" caption="Country" attribute="1" defaultMemberUniqueName="[ForcastByClass].[Country].[All]" allUniqueName="[ForcastByClass].[Country].[All]" dimensionUniqueName="[ForcastByClass]" displayFolder="" count="0" memberValueDatatype="130" unbalanced="0"/>
    <cacheHierarchy uniqueName="[ForcastByClass].[CountryN]" caption="CountryN" attribute="1" defaultMemberUniqueName="[ForcastByClass].[CountryN].[All]" allUniqueName="[ForcastByClass].[CountryN].[All]" dimensionUniqueName="[ForcastByClass]" displayFolder="" count="0" memberValueDatatype="130" unbalanced="0"/>
    <cacheHierarchy uniqueName="[ForcastByClass].[FClassKey]" caption="FClassKey" attribute="1" defaultMemberUniqueName="[ForcastByClass].[FClassKey].[All]" allUniqueName="[ForcastByClass].[FClassKey].[All]" dimensionUniqueName="[ForcastByClass]" displayFolder="" count="0" memberValueDatatype="130" unbalanced="0"/>
    <cacheHierarchy uniqueName="[ForcastByClass].[FinPeriod]" caption="FinPeriod" attribute="1" defaultMemberUniqueName="[ForcastByClass].[FinPeriod].[All]" allUniqueName="[ForcastByClass].[FinPeriod].[All]" dimensionUniqueName="[ForcastByClass]" displayFolder="" count="0" memberValueDatatype="130" unbalanced="0"/>
    <cacheHierarchy uniqueName="[ForcastByClass].[FinWeek]" caption="FinWeek" attribute="1" defaultMemberUniqueName="[ForcastByClass].[FinWeek].[All]" allUniqueName="[ForcastByClass].[FinWeek].[All]" dimensionUniqueName="[ForcastByClass]" displayFolder="" count="0" memberValueDatatype="20" unbalanced="0"/>
    <cacheHierarchy uniqueName="[ForcastByClass].[FinYear]" caption="FinYear" attribute="1" defaultMemberUniqueName="[ForcastByClass].[FinYear].[All]" allUniqueName="[ForcastByClass].[FinYear].[All]" dimensionUniqueName="[ForcastByClass]" displayFolder="" count="0" memberValueDatatype="130" unbalanced="0"/>
    <cacheHierarchy uniqueName="[ForcastByClass].[ForcastDollars]" caption="ForcastDollars" attribute="1" defaultMemberUniqueName="[ForcastByClass].[ForcastDollars].[All]" allUniqueName="[ForcastByClass].[ForcastDollars].[All]" dimensionUniqueName="[ForcastByClass]" displayFolder="" count="0" memberValueDatatype="5" unbalanced="0"/>
    <cacheHierarchy uniqueName="[ForcastByClass].[StoreType]" caption="StoreType" attribute="1" defaultMemberUniqueName="[ForcastByClass].[StoreType].[All]" allUniqueName="[ForcastByClass].[StoreType].[All]" dimensionUniqueName="[ForcastByClass]" displayFolder="" count="0" memberValueDatatype="130" unbalanced="0"/>
    <cacheHierarchy uniqueName="[Forecast].[Branch Type]" caption="Branch Type" attribute="1" defaultMemberUniqueName="[Forecast].[Branch Type].[All]" allUniqueName="[Forecast].[Branch Type].[All]" dimensionUniqueName="[Forecast]" displayFolder="" count="0" memberValueDatatype="130" unbalanced="0"/>
    <cacheHierarchy uniqueName="[Forecast].[Channel]" caption="Channel" attribute="1" defaultMemberUniqueName="[Forecast].[Channel].[All]" allUniqueName="[Forecast].[Channel].[All]" dimensionUniqueName="[Forecast]" displayFolder="" count="0" memberValueDatatype="130" unbalanced="0"/>
    <cacheHierarchy uniqueName="[Forecast].[Class]" caption="Class" attribute="1" defaultMemberUniqueName="[Forecast].[Class].[All]" allUniqueName="[Forecast].[Class].[All]" dimensionUniqueName="[Forecast]" displayFolder="" count="0" memberValueDatatype="130" unbalanced="0"/>
    <cacheHierarchy uniqueName="[Forecast].[Class-1]" caption="Class-1" attribute="1" defaultMemberUniqueName="[Forecast].[Class-1].[All]" allUniqueName="[Forecast].[Class-1].[All]" dimensionUniqueName="[Forecast]" displayFolder="" count="0" memberValueDatatype="130" unbalanced="0"/>
    <cacheHierarchy uniqueName="[Forecast].[Column3 - Copy]" caption="Column3 - Copy" attribute="1" defaultMemberUniqueName="[Forecast].[Column3 - Copy].[All]" allUniqueName="[Forecast].[Column3 - Copy].[All]" dimensionUniqueName="[Forecast]" displayFolder="" count="0" memberValueDatatype="130" unbalanced="0"/>
    <cacheHierarchy uniqueName="[Forecast].[Country]" caption="Country" attribute="1" defaultMemberUniqueName="[Forecast].[Country].[All]" allUniqueName="[Forecast].[Country].[All]" dimensionUniqueName="[Forecast]" displayFolder="" count="0" memberValueDatatype="130" unbalanced="0"/>
    <cacheHierarchy uniqueName="[Forecast].[CountryN]" caption="CountryN" attribute="1" defaultMemberUniqueName="[Forecast].[CountryN].[All]" allUniqueName="[Forecast].[CountryN].[All]" dimensionUniqueName="[Forecast]" displayFolder="" count="0" memberValueDatatype="130" unbalanced="0"/>
    <cacheHierarchy uniqueName="[Forecast].[FClassKey]" caption="FClassKey" attribute="1" defaultMemberUniqueName="[Forecast].[FClassKey].[All]" allUniqueName="[Forecast].[FClassKey].[All]" dimensionUniqueName="[Forecast]" displayFolder="" count="0" memberValueDatatype="130" unbalanced="0"/>
    <cacheHierarchy uniqueName="[Forecast].[Fin_Period]" caption="Fin_Period" attribute="1" defaultMemberUniqueName="[Forecast].[Fin_Period].[All]" allUniqueName="[Forecast].[Fin_Period].[All]" dimensionUniqueName="[Forecast]" displayFolder="" count="0" memberValueDatatype="20" unbalanced="0"/>
    <cacheHierarchy uniqueName="[Forecast].[FinWeek]" caption="FinWeek" attribute="1" defaultMemberUniqueName="[Forecast].[FinWeek].[All]" allUniqueName="[Forecast].[FinWeek].[All]" dimensionUniqueName="[Forecast]" displayFolder="" count="0" memberValueDatatype="20" unbalanced="0"/>
    <cacheHierarchy uniqueName="[Forecast].[ForcastDollars]" caption="ForcastDollars" attribute="1" defaultMemberUniqueName="[Forecast].[ForcastDollars].[All]" allUniqueName="[Forecast].[ForcastDollars].[All]" dimensionUniqueName="[Forecast]" displayFolder="" count="0" memberValueDatatype="5" unbalanced="0"/>
    <cacheHierarchy uniqueName="[Forecast].[GM$]" caption="GM$" attribute="1" defaultMemberUniqueName="[Forecast].[GM$].[All]" allUniqueName="[Forecast].[GM$].[All]" dimensionUniqueName="[Forecast]" displayFolder="" count="0" memberValueDatatype="5" unbalanced="0"/>
    <cacheHierarchy uniqueName="[Forecast].[GM%]" caption="GM%" attribute="1" defaultMemberUniqueName="[Forecast].[GM%].[All]" allUniqueName="[Forecast].[GM%].[All]" dimensionUniqueName="[Forecast]" displayFolder="" count="0" memberValueDatatype="5" unbalanced="0"/>
    <cacheHierarchy uniqueName="[Forecast].[Period]" caption="Period" attribute="1" defaultMemberUniqueName="[Forecast].[Period].[All]" allUniqueName="[Forecast].[Period].[All]" dimensionUniqueName="[Forecast]" displayFolder="" count="0" memberValueDatatype="130" unbalanced="0"/>
    <cacheHierarchy uniqueName="[Forecast].[StoreType]" caption="StoreType" attribute="1" defaultMemberUniqueName="[Forecast].[StoreType].[All]" allUniqueName="[Forecast].[StoreType].[All]" dimensionUniqueName="[Forecast]" displayFolder="" count="0" memberValueDatatype="130" unbalanced="0"/>
    <cacheHierarchy uniqueName="[Measure].[StoreKey]" caption="StoreKey" attribute="1" defaultMemberUniqueName="[Measure].[StoreKey].[All]" allUniqueName="[Measure].[StoreKey].[All]" dimensionUniqueName="[Measure]" displayFolder="" count="0" memberValueDatatype="130" unbalanced="0"/>
    <cacheHierarchy uniqueName="[Measure Categories].[Cat Sort]" caption="Cat Sort" attribute="1" defaultMemberUniqueName="[Measure Categories].[Cat Sort].[All]" allUniqueName="[Measure Categories].[Cat Sort].[All]" dimensionUniqueName="[Measure Categories]" displayFolder="" count="0" memberValueDatatype="20" unbalanced="0"/>
    <cacheHierarchy uniqueName="[Measure Categories].[Measure Categories]" caption="Measure Categories" attribute="1" defaultMemberUniqueName="[Measure Categories].[Measure Categories].[All]" allUniqueName="[Measure Categories].[Measure Categories].[All]" dimensionUniqueName="[Measure Categories]" displayFolder="" count="0" memberValueDatatype="130" unbalanced="0"/>
    <cacheHierarchy uniqueName="[Product Parameter].[Product Parameter]" caption="Product Parameter" attribute="1" defaultMemberUniqueName="[Product Parameter].[Product Parameter].[All]" allUniqueName="[Product Parameter].[Product Parameter].[All]" dimensionUniqueName="[Product Parameter]" displayFolder="" count="0" memberValueDatatype="130" unbalanced="0"/>
    <cacheHierarchy uniqueName="[Query1].[Column1]" caption="Column1" attribute="1" time="1" defaultMemberUniqueName="[Query1].[Column1].[All]" allUniqueName="[Query1].[Column1].[All]" dimensionUniqueName="[Query1]" displayFolder="" count="0" memberValueDatatype="7" unbalanced="0"/>
    <cacheHierarchy uniqueName="[Query2].[Column1]" caption="Column1" attribute="1" defaultMemberUniqueName="[Query2].[Column1].[All]" allUniqueName="[Query2].[Column1].[All]" dimensionUniqueName="[Query2]" displayFolder="" count="0" memberValueDatatype="13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2" memberValueDatatype="130" unbalanced="0">
      <fieldsUsage count="2">
        <fieldUsage x="-1"/>
        <fieldUsage x="7"/>
      </fieldsUsage>
    </cacheHierarchy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LocalDateTable_0d9eeced-3257-4609-8cfb-234f1d7c24d7].[Date]" caption="Date" attribute="1" time="1" defaultMemberUniqueName="[LocalDateTable_0d9eeced-3257-4609-8cfb-234f1d7c24d7].[Date].[All]" allUniqueName="[LocalDateTable_0d9eeced-3257-4609-8cfb-234f1d7c24d7].[Date].[All]" dimensionUniqueName="[LocalDateTable_0d9eeced-3257-4609-8cfb-234f1d7c24d7]" displayFolder="" count="0" memberValueDatatype="7" unbalanced="0" hidden="1"/>
    <cacheHierarchy uniqueName="[LocalDateTable_0d9eeced-3257-4609-8cfb-234f1d7c24d7].[Day]" caption="Day" attribute="1" defaultMemberUniqueName="[LocalDateTable_0d9eeced-3257-4609-8cfb-234f1d7c24d7].[Day].[All]" allUniqueName="[LocalDateTable_0d9eeced-3257-4609-8cfb-234f1d7c24d7].[Day].[All]" dimensionUniqueName="[LocalDateTable_0d9eeced-3257-4609-8cfb-234f1d7c24d7]" displayFolder="" count="0" memberValueDatatype="20" unbalanced="0" hidden="1"/>
    <cacheHierarchy uniqueName="[LocalDateTable_0d9eeced-3257-4609-8cfb-234f1d7c24d7].[Month]" caption="Month" attribute="1" defaultMemberUniqueName="[LocalDateTable_0d9eeced-3257-4609-8cfb-234f1d7c24d7].[Month].[All]" allUniqueName="[LocalDateTable_0d9eeced-3257-4609-8cfb-234f1d7c24d7].[Month].[All]" dimensionUniqueName="[LocalDateTable_0d9eeced-3257-4609-8cfb-234f1d7c24d7]" displayFolder="" count="0" memberValueDatatype="130" unbalanced="0" hidden="1"/>
    <cacheHierarchy uniqueName="[LocalDateTable_0d9eeced-3257-4609-8cfb-234f1d7c24d7].[MonthNo]" caption="MonthNo" attribute="1" defaultMemberUniqueName="[LocalDateTable_0d9eeced-3257-4609-8cfb-234f1d7c24d7].[MonthNo].[All]" allUniqueName="[LocalDateTable_0d9eeced-3257-4609-8cfb-234f1d7c24d7].[MonthNo].[All]" dimensionUniqueName="[LocalDateTable_0d9eeced-3257-4609-8cfb-234f1d7c24d7]" displayFolder="" count="0" memberValueDatatype="20" unbalanced="0" hidden="1"/>
    <cacheHierarchy uniqueName="[LocalDateTable_0d9eeced-3257-4609-8cfb-234f1d7c24d7].[Quarter]" caption="Quarter" attribute="1" defaultMemberUniqueName="[LocalDateTable_0d9eeced-3257-4609-8cfb-234f1d7c24d7].[Quarter].[All]" allUniqueName="[LocalDateTable_0d9eeced-3257-4609-8cfb-234f1d7c24d7].[Quarter].[All]" dimensionUniqueName="[LocalDateTable_0d9eeced-3257-4609-8cfb-234f1d7c24d7]" displayFolder="" count="0" memberValueDatatype="130" unbalanced="0" hidden="1"/>
    <cacheHierarchy uniqueName="[LocalDateTable_0d9eeced-3257-4609-8cfb-234f1d7c24d7].[QuarterNo]" caption="QuarterNo" attribute="1" defaultMemberUniqueName="[LocalDateTable_0d9eeced-3257-4609-8cfb-234f1d7c24d7].[QuarterNo].[All]" allUniqueName="[LocalDateTable_0d9eeced-3257-4609-8cfb-234f1d7c24d7].[QuarterNo].[All]" dimensionUniqueName="[LocalDateTable_0d9eeced-3257-4609-8cfb-234f1d7c24d7]" displayFolder="" count="0" memberValueDatatype="20" unbalanced="0" hidden="1"/>
    <cacheHierarchy uniqueName="[LocalDateTable_0d9eeced-3257-4609-8cfb-234f1d7c24d7].[Year]" caption="Year" attribute="1" defaultMemberUniqueName="[LocalDateTable_0d9eeced-3257-4609-8cfb-234f1d7c24d7].[Year].[All]" allUniqueName="[LocalDateTable_0d9eeced-3257-4609-8cfb-234f1d7c24d7].[Year].[All]" dimensionUniqueName="[LocalDateTable_0d9eeced-3257-4609-8cfb-234f1d7c24d7]" displayFolder="" count="0" memberValueDatatype="20" unbalanced="0" hidden="1"/>
    <cacheHierarchy uniqueName="[LocalDateTable_3a17192d-ec7c-4dba-ac0e-bcf6b3a6a0ff].[Date]" caption="Date" attribute="1" time="1" defaultMemberUniqueName="[LocalDateTable_3a17192d-ec7c-4dba-ac0e-bcf6b3a6a0ff].[Date].[All]" allUniqueName="[LocalDateTable_3a17192d-ec7c-4dba-ac0e-bcf6b3a6a0ff].[Date].[All]" dimensionUniqueName="[LocalDateTable_3a17192d-ec7c-4dba-ac0e-bcf6b3a6a0ff]" displayFolder="" count="0" memberValueDatatype="7" unbalanced="0" hidden="1"/>
    <cacheHierarchy uniqueName="[LocalDateTable_3a17192d-ec7c-4dba-ac0e-bcf6b3a6a0ff].[Day]" caption="Day" attribute="1" defaultMemberUniqueName="[LocalDateTable_3a17192d-ec7c-4dba-ac0e-bcf6b3a6a0ff].[Day].[All]" allUniqueName="[LocalDateTable_3a17192d-ec7c-4dba-ac0e-bcf6b3a6a0ff].[Day].[All]" dimensionUniqueName="[LocalDateTable_3a17192d-ec7c-4dba-ac0e-bcf6b3a6a0ff]" displayFolder="" count="0" memberValueDatatype="20" unbalanced="0" hidden="1"/>
    <cacheHierarchy uniqueName="[LocalDateTable_3a17192d-ec7c-4dba-ac0e-bcf6b3a6a0ff].[Month]" caption="Month" attribute="1" defaultMemberUniqueName="[LocalDateTable_3a17192d-ec7c-4dba-ac0e-bcf6b3a6a0ff].[Month].[All]" allUniqueName="[LocalDateTable_3a17192d-ec7c-4dba-ac0e-bcf6b3a6a0ff].[Month].[All]" dimensionUniqueName="[LocalDateTable_3a17192d-ec7c-4dba-ac0e-bcf6b3a6a0ff]" displayFolder="" count="0" memberValueDatatype="130" unbalanced="0" hidden="1"/>
    <cacheHierarchy uniqueName="[LocalDateTable_3a17192d-ec7c-4dba-ac0e-bcf6b3a6a0ff].[MonthNo]" caption="MonthNo" attribute="1" defaultMemberUniqueName="[LocalDateTable_3a17192d-ec7c-4dba-ac0e-bcf6b3a6a0ff].[MonthNo].[All]" allUniqueName="[LocalDateTable_3a17192d-ec7c-4dba-ac0e-bcf6b3a6a0ff].[MonthNo].[All]" dimensionUniqueName="[LocalDateTable_3a17192d-ec7c-4dba-ac0e-bcf6b3a6a0ff]" displayFolder="" count="0" memberValueDatatype="20" unbalanced="0" hidden="1"/>
    <cacheHierarchy uniqueName="[LocalDateTable_3a17192d-ec7c-4dba-ac0e-bcf6b3a6a0ff].[Quarter]" caption="Quarter" attribute="1" defaultMemberUniqueName="[LocalDateTable_3a17192d-ec7c-4dba-ac0e-bcf6b3a6a0ff].[Quarter].[All]" allUniqueName="[LocalDateTable_3a17192d-ec7c-4dba-ac0e-bcf6b3a6a0ff].[Quarter].[All]" dimensionUniqueName="[LocalDateTable_3a17192d-ec7c-4dba-ac0e-bcf6b3a6a0ff]" displayFolder="" count="0" memberValueDatatype="130" unbalanced="0" hidden="1"/>
    <cacheHierarchy uniqueName="[LocalDateTable_3a17192d-ec7c-4dba-ac0e-bcf6b3a6a0ff].[QuarterNo]" caption="QuarterNo" attribute="1" defaultMemberUniqueName="[LocalDateTable_3a17192d-ec7c-4dba-ac0e-bcf6b3a6a0ff].[QuarterNo].[All]" allUniqueName="[LocalDateTable_3a17192d-ec7c-4dba-ac0e-bcf6b3a6a0ff].[QuarterNo].[All]" dimensionUniqueName="[LocalDateTable_3a17192d-ec7c-4dba-ac0e-bcf6b3a6a0ff]" displayFolder="" count="0" memberValueDatatype="20" unbalanced="0" hidden="1"/>
    <cacheHierarchy uniqueName="[LocalDateTable_3a17192d-ec7c-4dba-ac0e-bcf6b3a6a0ff].[Year]" caption="Year" attribute="1" defaultMemberUniqueName="[LocalDateTable_3a17192d-ec7c-4dba-ac0e-bcf6b3a6a0ff].[Year].[All]" allUniqueName="[LocalDateTable_3a17192d-ec7c-4dba-ac0e-bcf6b3a6a0ff].[Year].[All]" dimensionUniqueName="[LocalDateTable_3a17192d-ec7c-4dba-ac0e-bcf6b3a6a0ff]" displayFolder="" count="0" memberValueDatatype="20" unbalanced="0" hidden="1"/>
    <cacheHierarchy uniqueName="[LocalDateTable_3f117c71-2c04-4fa5-8c23-2b2c1ab14338].[Date]" caption="Date" attribute="1" time="1" defaultMemberUniqueName="[LocalDateTable_3f117c71-2c04-4fa5-8c23-2b2c1ab14338].[Date].[All]" allUniqueName="[LocalDateTable_3f117c71-2c04-4fa5-8c23-2b2c1ab14338].[Date].[All]" dimensionUniqueName="[LocalDateTable_3f117c71-2c04-4fa5-8c23-2b2c1ab14338]" displayFolder="" count="0" memberValueDatatype="7" unbalanced="0" hidden="1"/>
    <cacheHierarchy uniqueName="[LocalDateTable_3f117c71-2c04-4fa5-8c23-2b2c1ab14338].[Day]" caption="Day" attribute="1" defaultMemberUniqueName="[LocalDateTable_3f117c71-2c04-4fa5-8c23-2b2c1ab14338].[Day].[All]" allUniqueName="[LocalDateTable_3f117c71-2c04-4fa5-8c23-2b2c1ab14338].[Day].[All]" dimensionUniqueName="[LocalDateTable_3f117c71-2c04-4fa5-8c23-2b2c1ab14338]" displayFolder="" count="0" memberValueDatatype="20" unbalanced="0" hidden="1"/>
    <cacheHierarchy uniqueName="[LocalDateTable_3f117c71-2c04-4fa5-8c23-2b2c1ab14338].[Month]" caption="Month" attribute="1" defaultMemberUniqueName="[LocalDateTable_3f117c71-2c04-4fa5-8c23-2b2c1ab14338].[Month].[All]" allUniqueName="[LocalDateTable_3f117c71-2c04-4fa5-8c23-2b2c1ab14338].[Month].[All]" dimensionUniqueName="[LocalDateTable_3f117c71-2c04-4fa5-8c23-2b2c1ab14338]" displayFolder="" count="0" memberValueDatatype="130" unbalanced="0" hidden="1"/>
    <cacheHierarchy uniqueName="[LocalDateTable_3f117c71-2c04-4fa5-8c23-2b2c1ab14338].[MonthNo]" caption="MonthNo" attribute="1" defaultMemberUniqueName="[LocalDateTable_3f117c71-2c04-4fa5-8c23-2b2c1ab14338].[MonthNo].[All]" allUniqueName="[LocalDateTable_3f117c71-2c04-4fa5-8c23-2b2c1ab14338].[MonthNo].[All]" dimensionUniqueName="[LocalDateTable_3f117c71-2c04-4fa5-8c23-2b2c1ab14338]" displayFolder="" count="0" memberValueDatatype="20" unbalanced="0" hidden="1"/>
    <cacheHierarchy uniqueName="[LocalDateTable_3f117c71-2c04-4fa5-8c23-2b2c1ab14338].[Quarter]" caption="Quarter" attribute="1" defaultMemberUniqueName="[LocalDateTable_3f117c71-2c04-4fa5-8c23-2b2c1ab14338].[Quarter].[All]" allUniqueName="[LocalDateTable_3f117c71-2c04-4fa5-8c23-2b2c1ab14338].[Quarter].[All]" dimensionUniqueName="[LocalDateTable_3f117c71-2c04-4fa5-8c23-2b2c1ab14338]" displayFolder="" count="0" memberValueDatatype="130" unbalanced="0" hidden="1"/>
    <cacheHierarchy uniqueName="[LocalDateTable_3f117c71-2c04-4fa5-8c23-2b2c1ab14338].[QuarterNo]" caption="QuarterNo" attribute="1" defaultMemberUniqueName="[LocalDateTable_3f117c71-2c04-4fa5-8c23-2b2c1ab14338].[QuarterNo].[All]" allUniqueName="[LocalDateTable_3f117c71-2c04-4fa5-8c23-2b2c1ab14338].[QuarterNo].[All]" dimensionUniqueName="[LocalDateTable_3f117c71-2c04-4fa5-8c23-2b2c1ab14338]" displayFolder="" count="0" memberValueDatatype="20" unbalanced="0" hidden="1"/>
    <cacheHierarchy uniqueName="[LocalDateTable_3f117c71-2c04-4fa5-8c23-2b2c1ab14338].[Year]" caption="Year" attribute="1" defaultMemberUniqueName="[LocalDateTable_3f117c71-2c04-4fa5-8c23-2b2c1ab14338].[Year].[All]" allUniqueName="[LocalDateTable_3f117c71-2c04-4fa5-8c23-2b2c1ab14338].[Year].[All]" dimensionUniqueName="[LocalDateTable_3f117c71-2c04-4fa5-8c23-2b2c1ab14338]" displayFolder="" count="0" memberValueDatatype="20" unbalanced="0" hidden="1"/>
    <cacheHierarchy uniqueName="[LocalDateTable_66f09a5d-f864-46bc-a2f5-c0014bc05155].[Date]" caption="Date" attribute="1" time="1" defaultMemberUniqueName="[LocalDateTable_66f09a5d-f864-46bc-a2f5-c0014bc05155].[Date].[All]" allUniqueName="[LocalDateTable_66f09a5d-f864-46bc-a2f5-c0014bc05155].[Date].[All]" dimensionUniqueName="[LocalDateTable_66f09a5d-f864-46bc-a2f5-c0014bc05155]" displayFolder="" count="0" memberValueDatatype="7" unbalanced="0" hidden="1"/>
    <cacheHierarchy uniqueName="[LocalDateTable_66f09a5d-f864-46bc-a2f5-c0014bc05155].[Day]" caption="Day" attribute="1" defaultMemberUniqueName="[LocalDateTable_66f09a5d-f864-46bc-a2f5-c0014bc05155].[Day].[All]" allUniqueName="[LocalDateTable_66f09a5d-f864-46bc-a2f5-c0014bc05155].[Day].[All]" dimensionUniqueName="[LocalDateTable_66f09a5d-f864-46bc-a2f5-c0014bc05155]" displayFolder="" count="0" memberValueDatatype="20" unbalanced="0" hidden="1"/>
    <cacheHierarchy uniqueName="[LocalDateTable_66f09a5d-f864-46bc-a2f5-c0014bc05155].[Month]" caption="Month" attribute="1" defaultMemberUniqueName="[LocalDateTable_66f09a5d-f864-46bc-a2f5-c0014bc05155].[Month].[All]" allUniqueName="[LocalDateTable_66f09a5d-f864-46bc-a2f5-c0014bc05155].[Month].[All]" dimensionUniqueName="[LocalDateTable_66f09a5d-f864-46bc-a2f5-c0014bc05155]" displayFolder="" count="0" memberValueDatatype="130" unbalanced="0" hidden="1"/>
    <cacheHierarchy uniqueName="[LocalDateTable_66f09a5d-f864-46bc-a2f5-c0014bc05155].[MonthNo]" caption="MonthNo" attribute="1" defaultMemberUniqueName="[LocalDateTable_66f09a5d-f864-46bc-a2f5-c0014bc05155].[MonthNo].[All]" allUniqueName="[LocalDateTable_66f09a5d-f864-46bc-a2f5-c0014bc05155].[MonthNo].[All]" dimensionUniqueName="[LocalDateTable_66f09a5d-f864-46bc-a2f5-c0014bc05155]" displayFolder="" count="0" memberValueDatatype="20" unbalanced="0" hidden="1"/>
    <cacheHierarchy uniqueName="[LocalDateTable_66f09a5d-f864-46bc-a2f5-c0014bc05155].[Quarter]" caption="Quarter" attribute="1" defaultMemberUniqueName="[LocalDateTable_66f09a5d-f864-46bc-a2f5-c0014bc05155].[Quarter].[All]" allUniqueName="[LocalDateTable_66f09a5d-f864-46bc-a2f5-c0014bc05155].[Quarter].[All]" dimensionUniqueName="[LocalDateTable_66f09a5d-f864-46bc-a2f5-c0014bc05155]" displayFolder="" count="0" memberValueDatatype="130" unbalanced="0" hidden="1"/>
    <cacheHierarchy uniqueName="[LocalDateTable_66f09a5d-f864-46bc-a2f5-c0014bc05155].[QuarterNo]" caption="QuarterNo" attribute="1" defaultMemberUniqueName="[LocalDateTable_66f09a5d-f864-46bc-a2f5-c0014bc05155].[QuarterNo].[All]" allUniqueName="[LocalDateTable_66f09a5d-f864-46bc-a2f5-c0014bc05155].[QuarterNo].[All]" dimensionUniqueName="[LocalDateTable_66f09a5d-f864-46bc-a2f5-c0014bc05155]" displayFolder="" count="0" memberValueDatatype="20" unbalanced="0" hidden="1"/>
    <cacheHierarchy uniqueName="[LocalDateTable_66f09a5d-f864-46bc-a2f5-c0014bc05155].[Year]" caption="Year" attribute="1" defaultMemberUniqueName="[LocalDateTable_66f09a5d-f864-46bc-a2f5-c0014bc05155].[Year].[All]" allUniqueName="[LocalDateTable_66f09a5d-f864-46bc-a2f5-c0014bc05155].[Year].[All]" dimensionUniqueName="[LocalDateTable_66f09a5d-f864-46bc-a2f5-c0014bc05155]" displayFolder="" count="0" memberValueDatatype="20" unbalanced="0" hidden="1"/>
    <cacheHierarchy uniqueName="[LocalDateTable_754a5606-f042-4514-8c57-59f8f32672fc].[Date]" caption="Date" attribute="1" time="1" defaultMemberUniqueName="[LocalDateTable_754a5606-f042-4514-8c57-59f8f32672fc].[Date].[All]" allUniqueName="[LocalDateTable_754a5606-f042-4514-8c57-59f8f32672fc].[Date].[All]" dimensionUniqueName="[LocalDateTable_754a5606-f042-4514-8c57-59f8f32672fc]" displayFolder="" count="0" memberValueDatatype="7" unbalanced="0" hidden="1"/>
    <cacheHierarchy uniqueName="[LocalDateTable_754a5606-f042-4514-8c57-59f8f32672fc].[Day]" caption="Day" attribute="1" defaultMemberUniqueName="[LocalDateTable_754a5606-f042-4514-8c57-59f8f32672fc].[Day].[All]" allUniqueName="[LocalDateTable_754a5606-f042-4514-8c57-59f8f32672fc].[Day].[All]" dimensionUniqueName="[LocalDateTable_754a5606-f042-4514-8c57-59f8f32672fc]" displayFolder="" count="0" memberValueDatatype="20" unbalanced="0" hidden="1"/>
    <cacheHierarchy uniqueName="[LocalDateTable_754a5606-f042-4514-8c57-59f8f32672fc].[Month]" caption="Month" attribute="1" defaultMemberUniqueName="[LocalDateTable_754a5606-f042-4514-8c57-59f8f32672fc].[Month].[All]" allUniqueName="[LocalDateTable_754a5606-f042-4514-8c57-59f8f32672fc].[Month].[All]" dimensionUniqueName="[LocalDateTable_754a5606-f042-4514-8c57-59f8f32672fc]" displayFolder="" count="0" memberValueDatatype="130" unbalanced="0" hidden="1"/>
    <cacheHierarchy uniqueName="[LocalDateTable_754a5606-f042-4514-8c57-59f8f32672fc].[MonthNo]" caption="MonthNo" attribute="1" defaultMemberUniqueName="[LocalDateTable_754a5606-f042-4514-8c57-59f8f32672fc].[MonthNo].[All]" allUniqueName="[LocalDateTable_754a5606-f042-4514-8c57-59f8f32672fc].[MonthNo].[All]" dimensionUniqueName="[LocalDateTable_754a5606-f042-4514-8c57-59f8f32672fc]" displayFolder="" count="0" memberValueDatatype="20" unbalanced="0" hidden="1"/>
    <cacheHierarchy uniqueName="[LocalDateTable_754a5606-f042-4514-8c57-59f8f32672fc].[Quarter]" caption="Quarter" attribute="1" defaultMemberUniqueName="[LocalDateTable_754a5606-f042-4514-8c57-59f8f32672fc].[Quarter].[All]" allUniqueName="[LocalDateTable_754a5606-f042-4514-8c57-59f8f32672fc].[Quarter].[All]" dimensionUniqueName="[LocalDateTable_754a5606-f042-4514-8c57-59f8f32672fc]" displayFolder="" count="0" memberValueDatatype="130" unbalanced="0" hidden="1"/>
    <cacheHierarchy uniqueName="[LocalDateTable_754a5606-f042-4514-8c57-59f8f32672fc].[QuarterNo]" caption="QuarterNo" attribute="1" defaultMemberUniqueName="[LocalDateTable_754a5606-f042-4514-8c57-59f8f32672fc].[QuarterNo].[All]" allUniqueName="[LocalDateTable_754a5606-f042-4514-8c57-59f8f32672fc].[QuarterNo].[All]" dimensionUniqueName="[LocalDateTable_754a5606-f042-4514-8c57-59f8f32672fc]" displayFolder="" count="0" memberValueDatatype="20" unbalanced="0" hidden="1"/>
    <cacheHierarchy uniqueName="[LocalDateTable_754a5606-f042-4514-8c57-59f8f32672fc].[Year]" caption="Year" attribute="1" defaultMemberUniqueName="[LocalDateTable_754a5606-f042-4514-8c57-59f8f32672fc].[Year].[All]" allUniqueName="[LocalDateTable_754a5606-f042-4514-8c57-59f8f32672fc].[Year].[All]" dimensionUniqueName="[LocalDateTable_754a5606-f042-4514-8c57-59f8f32672fc]" displayFolder="" count="0" memberValueDatatype="20" unbalanced="0" hidden="1"/>
    <cacheHierarchy uniqueName="[LocalDateTable_9b9a9699-5b52-40e9-b4a0-c11cb55a9d61].[Date]" caption="Date" attribute="1" time="1" defaultMemberUniqueName="[LocalDateTable_9b9a9699-5b52-40e9-b4a0-c11cb55a9d61].[Date].[All]" allUniqueName="[LocalDateTable_9b9a9699-5b52-40e9-b4a0-c11cb55a9d61].[Date].[All]" dimensionUniqueName="[LocalDateTable_9b9a9699-5b52-40e9-b4a0-c11cb55a9d61]" displayFolder="" count="0" memberValueDatatype="7" unbalanced="0" hidden="1"/>
    <cacheHierarchy uniqueName="[LocalDateTable_9b9a9699-5b52-40e9-b4a0-c11cb55a9d61].[Day]" caption="Day" attribute="1" defaultMemberUniqueName="[LocalDateTable_9b9a9699-5b52-40e9-b4a0-c11cb55a9d61].[Day].[All]" allUniqueName="[LocalDateTable_9b9a9699-5b52-40e9-b4a0-c11cb55a9d61].[Day].[All]" dimensionUniqueName="[LocalDateTable_9b9a9699-5b52-40e9-b4a0-c11cb55a9d61]" displayFolder="" count="0" memberValueDatatype="20" unbalanced="0" hidden="1"/>
    <cacheHierarchy uniqueName="[LocalDateTable_9b9a9699-5b52-40e9-b4a0-c11cb55a9d61].[Month]" caption="Month" attribute="1" defaultMemberUniqueName="[LocalDateTable_9b9a9699-5b52-40e9-b4a0-c11cb55a9d61].[Month].[All]" allUniqueName="[LocalDateTable_9b9a9699-5b52-40e9-b4a0-c11cb55a9d61].[Month].[All]" dimensionUniqueName="[LocalDateTable_9b9a9699-5b52-40e9-b4a0-c11cb55a9d61]" displayFolder="" count="0" memberValueDatatype="130" unbalanced="0" hidden="1"/>
    <cacheHierarchy uniqueName="[LocalDateTable_9b9a9699-5b52-40e9-b4a0-c11cb55a9d61].[MonthNo]" caption="MonthNo" attribute="1" defaultMemberUniqueName="[LocalDateTable_9b9a9699-5b52-40e9-b4a0-c11cb55a9d61].[MonthNo].[All]" allUniqueName="[LocalDateTable_9b9a9699-5b52-40e9-b4a0-c11cb55a9d61].[MonthNo].[All]" dimensionUniqueName="[LocalDateTable_9b9a9699-5b52-40e9-b4a0-c11cb55a9d61]" displayFolder="" count="0" memberValueDatatype="20" unbalanced="0" hidden="1"/>
    <cacheHierarchy uniqueName="[LocalDateTable_9b9a9699-5b52-40e9-b4a0-c11cb55a9d61].[Quarter]" caption="Quarter" attribute="1" defaultMemberUniqueName="[LocalDateTable_9b9a9699-5b52-40e9-b4a0-c11cb55a9d61].[Quarter].[All]" allUniqueName="[LocalDateTable_9b9a9699-5b52-40e9-b4a0-c11cb55a9d61].[Quarter].[All]" dimensionUniqueName="[LocalDateTable_9b9a9699-5b52-40e9-b4a0-c11cb55a9d61]" displayFolder="" count="0" memberValueDatatype="130" unbalanced="0" hidden="1"/>
    <cacheHierarchy uniqueName="[LocalDateTable_9b9a9699-5b52-40e9-b4a0-c11cb55a9d61].[QuarterNo]" caption="QuarterNo" attribute="1" defaultMemberUniqueName="[LocalDateTable_9b9a9699-5b52-40e9-b4a0-c11cb55a9d61].[QuarterNo].[All]" allUniqueName="[LocalDateTable_9b9a9699-5b52-40e9-b4a0-c11cb55a9d61].[QuarterNo].[All]" dimensionUniqueName="[LocalDateTable_9b9a9699-5b52-40e9-b4a0-c11cb55a9d61]" displayFolder="" count="0" memberValueDatatype="20" unbalanced="0" hidden="1"/>
    <cacheHierarchy uniqueName="[LocalDateTable_9b9a9699-5b52-40e9-b4a0-c11cb55a9d61].[Year]" caption="Year" attribute="1" defaultMemberUniqueName="[LocalDateTable_9b9a9699-5b52-40e9-b4a0-c11cb55a9d61].[Year].[All]" allUniqueName="[LocalDateTable_9b9a9699-5b52-40e9-b4a0-c11cb55a9d61].[Year].[All]" dimensionUniqueName="[LocalDateTable_9b9a9699-5b52-40e9-b4a0-c11cb55a9d61]" displayFolder="" count="0" memberValueDatatype="20" unbalanced="0" hidden="1"/>
    <cacheHierarchy uniqueName="[LocalDateTable_a29de990-df00-42e6-9e8c-814d0b4b9a86].[Date]" caption="Date" attribute="1" time="1" defaultMemberUniqueName="[LocalDateTable_a29de990-df00-42e6-9e8c-814d0b4b9a86].[Date].[All]" allUniqueName="[LocalDateTable_a29de990-df00-42e6-9e8c-814d0b4b9a86].[Date].[All]" dimensionUniqueName="[LocalDateTable_a29de990-df00-42e6-9e8c-814d0b4b9a86]" displayFolder="" count="0" memberValueDatatype="7" unbalanced="0" hidden="1"/>
    <cacheHierarchy uniqueName="[LocalDateTable_a29de990-df00-42e6-9e8c-814d0b4b9a86].[Day]" caption="Day" attribute="1" defaultMemberUniqueName="[LocalDateTable_a29de990-df00-42e6-9e8c-814d0b4b9a86].[Day].[All]" allUniqueName="[LocalDateTable_a29de990-df00-42e6-9e8c-814d0b4b9a86].[Day].[All]" dimensionUniqueName="[LocalDateTable_a29de990-df00-42e6-9e8c-814d0b4b9a86]" displayFolder="" count="0" memberValueDatatype="20" unbalanced="0" hidden="1"/>
    <cacheHierarchy uniqueName="[LocalDateTable_a29de990-df00-42e6-9e8c-814d0b4b9a86].[Month]" caption="Month" attribute="1" defaultMemberUniqueName="[LocalDateTable_a29de990-df00-42e6-9e8c-814d0b4b9a86].[Month].[All]" allUniqueName="[LocalDateTable_a29de990-df00-42e6-9e8c-814d0b4b9a86].[Month].[All]" dimensionUniqueName="[LocalDateTable_a29de990-df00-42e6-9e8c-814d0b4b9a86]" displayFolder="" count="0" memberValueDatatype="130" unbalanced="0" hidden="1"/>
    <cacheHierarchy uniqueName="[LocalDateTable_a29de990-df00-42e6-9e8c-814d0b4b9a86].[MonthNo]" caption="MonthNo" attribute="1" defaultMemberUniqueName="[LocalDateTable_a29de990-df00-42e6-9e8c-814d0b4b9a86].[MonthNo].[All]" allUniqueName="[LocalDateTable_a29de990-df00-42e6-9e8c-814d0b4b9a86].[MonthNo].[All]" dimensionUniqueName="[LocalDateTable_a29de990-df00-42e6-9e8c-814d0b4b9a86]" displayFolder="" count="0" memberValueDatatype="20" unbalanced="0" hidden="1"/>
    <cacheHierarchy uniqueName="[LocalDateTable_a29de990-df00-42e6-9e8c-814d0b4b9a86].[Quarter]" caption="Quarter" attribute="1" defaultMemberUniqueName="[LocalDateTable_a29de990-df00-42e6-9e8c-814d0b4b9a86].[Quarter].[All]" allUniqueName="[LocalDateTable_a29de990-df00-42e6-9e8c-814d0b4b9a86].[Quarter].[All]" dimensionUniqueName="[LocalDateTable_a29de990-df00-42e6-9e8c-814d0b4b9a86]" displayFolder="" count="0" memberValueDatatype="130" unbalanced="0" hidden="1"/>
    <cacheHierarchy uniqueName="[LocalDateTable_a29de990-df00-42e6-9e8c-814d0b4b9a86].[QuarterNo]" caption="QuarterNo" attribute="1" defaultMemberUniqueName="[LocalDateTable_a29de990-df00-42e6-9e8c-814d0b4b9a86].[QuarterNo].[All]" allUniqueName="[LocalDateTable_a29de990-df00-42e6-9e8c-814d0b4b9a86].[QuarterNo].[All]" dimensionUniqueName="[LocalDateTable_a29de990-df00-42e6-9e8c-814d0b4b9a86]" displayFolder="" count="0" memberValueDatatype="20" unbalanced="0" hidden="1"/>
    <cacheHierarchy uniqueName="[LocalDateTable_a29de990-df00-42e6-9e8c-814d0b4b9a86].[Year]" caption="Year" attribute="1" defaultMemberUniqueName="[LocalDateTable_a29de990-df00-42e6-9e8c-814d0b4b9a86].[Year].[All]" allUniqueName="[LocalDateTable_a29de990-df00-42e6-9e8c-814d0b4b9a86].[Year].[All]" dimensionUniqueName="[LocalDateTable_a29de990-df00-42e6-9e8c-814d0b4b9a86]" displayFolder="" count="0" memberValueDatatype="20" unbalanced="0" hidden="1"/>
    <cacheHierarchy uniqueName="[LocalDateTable_e1d748f9-bc77-4c73-ba8d-fcf5ec29dd71].[Date]" caption="Date" attribute="1" time="1" defaultMemberUniqueName="[LocalDateTable_e1d748f9-bc77-4c73-ba8d-fcf5ec29dd71].[Date].[All]" allUniqueName="[LocalDateTable_e1d748f9-bc77-4c73-ba8d-fcf5ec29dd71].[Date].[All]" dimensionUniqueName="[LocalDateTable_e1d748f9-bc77-4c73-ba8d-fcf5ec29dd71]" displayFolder="" count="0" memberValueDatatype="7" unbalanced="0" hidden="1"/>
    <cacheHierarchy uniqueName="[LocalDateTable_e1d748f9-bc77-4c73-ba8d-fcf5ec29dd71].[Day]" caption="Day" attribute="1" defaultMemberUniqueName="[LocalDateTable_e1d748f9-bc77-4c73-ba8d-fcf5ec29dd71].[Day].[All]" allUniqueName="[LocalDateTable_e1d748f9-bc77-4c73-ba8d-fcf5ec29dd71].[Day].[All]" dimensionUniqueName="[LocalDateTable_e1d748f9-bc77-4c73-ba8d-fcf5ec29dd71]" displayFolder="" count="0" memberValueDatatype="20" unbalanced="0" hidden="1"/>
    <cacheHierarchy uniqueName="[LocalDateTable_e1d748f9-bc77-4c73-ba8d-fcf5ec29dd71].[Month]" caption="Month" attribute="1" defaultMemberUniqueName="[LocalDateTable_e1d748f9-bc77-4c73-ba8d-fcf5ec29dd71].[Month].[All]" allUniqueName="[LocalDateTable_e1d748f9-bc77-4c73-ba8d-fcf5ec29dd71].[Month].[All]" dimensionUniqueName="[LocalDateTable_e1d748f9-bc77-4c73-ba8d-fcf5ec29dd71]" displayFolder="" count="0" memberValueDatatype="130" unbalanced="0" hidden="1"/>
    <cacheHierarchy uniqueName="[LocalDateTable_e1d748f9-bc77-4c73-ba8d-fcf5ec29dd71].[MonthNo]" caption="MonthNo" attribute="1" defaultMemberUniqueName="[LocalDateTable_e1d748f9-bc77-4c73-ba8d-fcf5ec29dd71].[MonthNo].[All]" allUniqueName="[LocalDateTable_e1d748f9-bc77-4c73-ba8d-fcf5ec29dd71].[MonthNo].[All]" dimensionUniqueName="[LocalDateTable_e1d748f9-bc77-4c73-ba8d-fcf5ec29dd71]" displayFolder="" count="0" memberValueDatatype="20" unbalanced="0" hidden="1"/>
    <cacheHierarchy uniqueName="[LocalDateTable_e1d748f9-bc77-4c73-ba8d-fcf5ec29dd71].[Quarter]" caption="Quarter" attribute="1" defaultMemberUniqueName="[LocalDateTable_e1d748f9-bc77-4c73-ba8d-fcf5ec29dd71].[Quarter].[All]" allUniqueName="[LocalDateTable_e1d748f9-bc77-4c73-ba8d-fcf5ec29dd71].[Quarter].[All]" dimensionUniqueName="[LocalDateTable_e1d748f9-bc77-4c73-ba8d-fcf5ec29dd71]" displayFolder="" count="0" memberValueDatatype="130" unbalanced="0" hidden="1"/>
    <cacheHierarchy uniqueName="[LocalDateTable_e1d748f9-bc77-4c73-ba8d-fcf5ec29dd71].[QuarterNo]" caption="QuarterNo" attribute="1" defaultMemberUniqueName="[LocalDateTable_e1d748f9-bc77-4c73-ba8d-fcf5ec29dd71].[QuarterNo].[All]" allUniqueName="[LocalDateTable_e1d748f9-bc77-4c73-ba8d-fcf5ec29dd71].[QuarterNo].[All]" dimensionUniqueName="[LocalDateTable_e1d748f9-bc77-4c73-ba8d-fcf5ec29dd71]" displayFolder="" count="0" memberValueDatatype="20" unbalanced="0" hidden="1"/>
    <cacheHierarchy uniqueName="[LocalDateTable_e1d748f9-bc77-4c73-ba8d-fcf5ec29dd71].[Year]" caption="Year" attribute="1" defaultMemberUniqueName="[LocalDateTable_e1d748f9-bc77-4c73-ba8d-fcf5ec29dd71].[Year].[All]" allUniqueName="[LocalDateTable_e1d748f9-bc77-4c73-ba8d-fcf5ec29dd71].[Year].[All]" dimensionUniqueName="[LocalDateTable_e1d748f9-bc77-4c73-ba8d-fcf5ec29dd71]" displayFolder="" count="0" memberValueDatatype="20" unbalanced="0" hidden="1"/>
    <cacheHierarchy uniqueName="[Product Parameter].[Product Parameter Fields]" caption="Product Parameter Fields" attribute="1" defaultMemberUniqueName="[Product Parameter].[Product Parameter Fields].[All]" allUniqueName="[Product Parameter].[Product Parameter Fields].[All]" dimensionUniqueName="[Product Parameter]" displayFolder="" count="0" memberValueDatatype="130" unbalanced="0" hidden="1"/>
    <cacheHierarchy uniqueName="[Product Parameter].[Product Parameter Order]" caption="Product Parameter Order" attribute="1" defaultMemberUniqueName="[Product Parameter].[Product Parameter Order].[All]" allUniqueName="[Product Parameter].[Product Parameter Order].[All]" dimensionUniqueName="[Product Parameter]" displayFolder="" count="0" memberValueDatatype="20" unbalanced="0" hidden="1"/>
    <cacheHierarchy uniqueName="[Measures].[Total Retail Sales]" caption="Total Retail Sales" measure="1" displayFolder="" measureGroup="BI vw_WeeklyWrittenSalesMetrics" count="0"/>
    <cacheHierarchy uniqueName="[Measures].[Cancelled]" caption="Cancelled" measure="1" displayFolder="" measureGroup="BI vw_WeeklyWrittenSalesMetrics" count="0"/>
    <cacheHierarchy uniqueName="[Measures].[Return]" caption="Return" measure="1" displayFolder="" measureGroup="BI vw_WeeklyWrittenSalesMetrics" count="0"/>
    <cacheHierarchy uniqueName="[Measures].[R-SalesCost]" caption="R-SalesCost" measure="1" displayFolder="" measureGroup="BI metrics" count="0"/>
    <cacheHierarchy uniqueName="[Measures].[R-SalesatFullRet]" caption="R-SalesatFullRet" measure="1" displayFolder="" measureGroup="BI metrics" count="0"/>
    <cacheHierarchy uniqueName="[Measures].[R-GM$ TY]" caption="R-GM$ TY" measure="1" displayFolder="" measureGroup="BI metrics" count="0"/>
    <cacheHierarchy uniqueName="[Measures].[R-Sales TY $]" caption="R-Sales TY $" measure="1" displayFolder="" measureGroup="BI metrics" count="0" oneField="1">
      <fieldsUsage count="1">
        <fieldUsage x="11"/>
      </fieldsUsage>
    </cacheHierarchy>
    <cacheHierarchy uniqueName="[Measures].[R-Units TY]" caption="R-Units TY" measure="1" displayFolder="" measureGroup="BI metrics" count="0"/>
    <cacheHierarchy uniqueName="[Measures].[R-M/D$ TY]" caption="R-M/D$ TY" measure="1" displayFolder="" measureGroup="BI metrics" count="0"/>
    <cacheHierarchy uniqueName="[Measures].[R-Budget$-ItemDept]" caption="R-Budget$-ItemDept" measure="1" displayFolder="" measureGroup="BI metrics" count="0"/>
    <cacheHierarchy uniqueName="[Measures].[R-BudgetGM$-ItemDept]" caption="R-BudgetGM$-ItemDept" measure="1" displayFolder="" measureGroup="BI metrics" count="0"/>
    <cacheHierarchy uniqueName="[Measures].[R-Budget$-Store]" caption="R-Budget$-Store" measure="1" displayFolder="" measureGroup="BI metrics" count="0"/>
    <cacheHierarchy uniqueName="[Measures].[R-Units LY]" caption="R-Units LY" measure="1" displayFolder="" measureGroup="BI metrics" count="0"/>
    <cacheHierarchy uniqueName="[Measures].[R-Sales LY $]" caption="R-Sales LY $" measure="1" displayFolder="" measureGroup="BI metrics" count="0"/>
    <cacheHierarchy uniqueName="[Measures].[R-GM$ LY]" caption="R-GM$ LY" measure="1" displayFolder="" measureGroup="BI metrics" count="0"/>
    <cacheHierarchy uniqueName="[Measures].[R-Sales YoY]" caption="R-Sales YoY" measure="1" displayFolder="" measureGroup="BI metrics" count="0"/>
    <cacheHierarchy uniqueName="[Measures].[R-GM$ YoY]" caption="R-GM$ YoY" measure="1" displayFolder="" measureGroup="BI metrics" count="0"/>
    <cacheHierarchy uniqueName="[Measures].[R-Sales vs Budget]" caption="R-Sales vs Budget" measure="1" displayFolder="" measureGroup="BI metrics" count="0"/>
    <cacheHierarchy uniqueName="[Measures].[R-M/D$ LY]" caption="R-M/D$ LY" measure="1" displayFolder="" measureGroup="BI metrics" count="0"/>
    <cacheHierarchy uniqueName="[Measures].[period_test]" caption="period_test" measure="1" displayFolder="" measureGroup="BI metrics" count="0"/>
    <cacheHierarchy uniqueName="[Measures].[R-Traffic TY]" caption="R-Traffic TY" measure="1" displayFolder="" measureGroup="BI metrics" count="0"/>
    <cacheHierarchy uniqueName="[Measures].[R-ATV TY]" caption="R-ATV TY" measure="1" displayFolder="" measureGroup="BI metrics" count="0"/>
    <cacheHierarchy uniqueName="[Measures].[R Sales YoY]" caption="R Sales YoY" measure="1" displayFolder="" measureGroup="BI metrics" count="0"/>
    <cacheHierarchy uniqueName="[Measures].[R-GM$ budget TY]" caption="R-GM$ budget TY" measure="1" displayFolder="" measureGroup="BI metrics" count="0"/>
    <cacheHierarchy uniqueName="[Measures].[R-GM$ Budget LY]" caption="R-GM$ Budget LY" measure="1" displayFolder="" measureGroup="BI metrics" count="0"/>
    <cacheHierarchy uniqueName="[Measures].[R-GM vs Budget]" caption="R-GM vs Budget" measure="1" displayFolder="" measureGroup="BI metrics" count="0"/>
    <cacheHierarchy uniqueName="[Measures].[R-GM % TY]" caption="R-GM % TY" measure="1" displayFolder="" measureGroup="BI metrics" count="0"/>
    <cacheHierarchy uniqueName="[Measures].[R-GM % LY]" caption="R-GM % LY" measure="1" displayFolder="" measureGroup="BI metrics" count="0"/>
    <cacheHierarchy uniqueName="[Measures].[R-GM% Budget TY]" caption="R-GM% Budget TY" measure="1" displayFolder="" measureGroup="BI metrics" count="0"/>
    <cacheHierarchy uniqueName="[Measures].[R-M/D % TY]" caption="R-M/D % TY" measure="1" displayFolder="" measureGroup="BI metrics" count="0"/>
    <cacheHierarchy uniqueName="[Measures].[R-M/D % LY]" caption="R-M/D % LY" measure="1" displayFolder="" measureGroup="BI metrics" count="0"/>
    <cacheHierarchy uniqueName="[Measures].[R-ATV LY]" caption="R-ATV LY" measure="1" displayFolder="" measureGroup="BI metrics" count="0"/>
    <cacheHierarchy uniqueName="[Measures].[R-Traffic LY]" caption="R-Traffic LY" measure="1" displayFolder="" measureGroup="BI metrics" count="0"/>
    <cacheHierarchy uniqueName="[Measures].[R-Traffic YoY]" caption="R-Traffic YoY" measure="1" displayFolder="" measureGroup="BI metrics" count="0"/>
    <cacheHierarchy uniqueName="[Measures].[R-Store Trans LY]" caption="R-Store Trans LY" measure="1" displayFolder="" measureGroup="BI metrics" count="0"/>
    <cacheHierarchy uniqueName="[Measures].[R-Store Trans TY]" caption="R-Store Trans TY" measure="1" displayFolder="" measureGroup="BI metrics" count="0"/>
    <cacheHierarchy uniqueName="[Measures].[R-Conv TY]" caption="R-Conv TY" measure="1" displayFolder="" measureGroup="BI metrics" count="0"/>
    <cacheHierarchy uniqueName="[Measures].[R-Conv LY]" caption="R-Conv LY" measure="1" displayFolder="" measureGroup="BI metrics" count="0"/>
    <cacheHierarchy uniqueName="[Measures].[R-IPT TY]" caption="R-IPT TY" measure="1" displayFolder="" measureGroup="BI metrics" count="0"/>
    <cacheHierarchy uniqueName="[Measures].[R-GM% Budget LY]" caption="R-GM% Budget LY" measure="1" displayFolder="" measureGroup="BI metrics" count="0"/>
    <cacheHierarchy uniqueName="[Measures].[R-Store Trans YoY]" caption="R-Store Trans YoY" measure="1" displayFolder="" measureGroup="BI metrics" count="0"/>
    <cacheHierarchy uniqueName="[Measures].[R-Conv YoY]" caption="R-Conv YoY" measure="1" displayFolder="" measureGroup="BI metrics" count="0"/>
    <cacheHierarchy uniqueName="[Measures].[R-Sales vs Budget - ItemDept]" caption="R-Sales vs Budget - ItemDept" measure="1" displayFolder="" measureGroup="BI metrics" count="0"/>
    <cacheHierarchy uniqueName="[Measures].[R-ATV YoY]" caption="R-ATV YoY" measure="1" displayFolder="" measureGroup="BI metrics" count="0"/>
    <cacheHierarchy uniqueName="[Measures].[R-M/D$ Budget-ItemDept]" caption="R-M/D$ Budget-ItemDept" measure="1" displayFolder="" measureGroup="BI metrics" count="0"/>
    <cacheHierarchy uniqueName="[Measures].[R-M/D% Budget TY]" caption="R-M/D% Budget TY" measure="1" displayFolder="" measureGroup="BI metrics" count="0"/>
    <cacheHierarchy uniqueName="[Measures].[R-Dropship$ budget TY]" caption="R-Dropship$ budget TY" measure="1" displayFolder="" measureGroup="BI metrics" count="0"/>
    <cacheHierarchy uniqueName="[Measures].[R-GM$ Revenue budget TY]" caption="R-GM$ Revenue budget TY" measure="1" displayFolder="" measureGroup="BI metrics" count="0"/>
    <cacheHierarchy uniqueName="[Measures].[GM$ Revenue Budget TY]" caption="GM$ Revenue Budget TY" measure="1" displayFolder="" measureGroup="BI metrics" count="0"/>
    <cacheHierarchy uniqueName="[Measures].[R-Sales vs Plan]" caption="R-Sales vs Plan" measure="1" displayFolder="" measureGroup="BI metrics" count="0"/>
    <cacheHierarchy uniqueName="[Measures].[R-Cancellation TY $]" caption="R-Cancellation TY $" measure="1" displayFolder="" measureGroup="BI metrics" count="0"/>
    <cacheHierarchy uniqueName="[Measures].[R-Return TY $]" caption="R-Return TY $" measure="1" displayFolder="" measureGroup="BI metrics" count="0"/>
    <cacheHierarchy uniqueName="[Measures].[R-Sales TY $1]" caption="R-Sales TY $1" measure="1" displayFolder="" measureGroup="BI metrics" count="0"/>
    <cacheHierarchy uniqueName="[Measures].[R-Budget ATV Online]" caption="R-Budget ATV Online" measure="1" displayFolder="" measureGroup="BI metrics" count="0"/>
    <cacheHierarchy uniqueName="[Measures].[R-Budget Traffic Online]" caption="R-Budget Traffic Online" measure="1" displayFolder="" measureGroup="BI metrics" count="0"/>
    <cacheHierarchy uniqueName="[Measures].[R-Budget Store Trans Online]" caption="R-Budget Store Trans Online" measure="1" displayFolder="" measureGroup="BI metrics" count="0"/>
    <cacheHierarchy uniqueName="[Measures].[R-Budget Conv Online]" caption="R-Budget Conv Online" measure="1" displayFolder="" measureGroup="BI metrics" count="0"/>
    <cacheHierarchy uniqueName="[Measures].[R-M/D$ YoY]" caption="R-M/D$ YoY" measure="1" displayFolder="" measureGroup="BI metrics" count="0"/>
    <cacheHierarchy uniqueName="[Measures].[R-M/D vs Budget]" caption="R-M/D vs Budget" measure="1" displayFolder="" measureGroup="BI metrics" count="0"/>
    <cacheHierarchy uniqueName="[Measures].[R-Traffic Budget Online]" caption="R-Traffic Budget Online" measure="1" displayFolder="" measureGroup="BI metrics" count="0"/>
    <cacheHierarchy uniqueName="[Measures].[R-Traffic vs Budget]" caption="R-Traffic vs Budget" measure="1" displayFolder="" measureGroup="BI metrics" count="0"/>
    <cacheHierarchy uniqueName="[Measures].[R-Store Trans Budget Online]" caption="R-Store Trans Budget Online" measure="1" displayFolder="" measureGroup="BI metrics" count="0"/>
    <cacheHierarchy uniqueName="[Measures].[R-Store Trans vs Budget]" caption="R-Store Trans vs Budget" measure="1" displayFolder="" measureGroup="BI metrics" count="0"/>
    <cacheHierarchy uniqueName="[Measures].[R-Conv Budget Online]" caption="R-Conv Budget Online" measure="1" displayFolder="" measureGroup="BI metrics" count="0"/>
    <cacheHierarchy uniqueName="[Measures].[R-Conv vs Budget]" caption="R-Conv vs Budget" measure="1" displayFolder="" measureGroup="BI metrics" count="0"/>
    <cacheHierarchy uniqueName="[Measures].[R-ATV Budget Online]" caption="R-ATV Budget Online" measure="1" displayFolder="" measureGroup="BI metrics" count="0"/>
    <cacheHierarchy uniqueName="[Measures].[R-ATV vs Budget]" caption="R-ATV vs Budget" measure="1" displayFolder="" measureGroup="BI metrics" count="0"/>
    <cacheHierarchy uniqueName="[Measures].[R-Conv LY1]" caption="R-Conv LY1" measure="1" displayFolder="" measureGroup="BI metrics" count="0"/>
    <cacheHierarchy uniqueName="[Measures].[R-Conv TY1]" caption="R-Conv TY1" measure="1" displayFolder="" measureGroup="BI metrics" count="0"/>
    <cacheHierarchy uniqueName="[Measures].[R-ASP TY]" caption="R-ASP TY" measure="1" displayFolder="" measureGroup="BI metrics" count="0"/>
    <cacheHierarchy uniqueName="[Measures].[ASP LY]" caption="ASP LY" measure="1" displayFolder="" measureGroup="BI metrics" count="0"/>
    <cacheHierarchy uniqueName="[Measures].[R-ASP LY]" caption="R-ASP LY" measure="1" displayFolder="" measureGroup="BI metrics" count="0"/>
    <cacheHierarchy uniqueName="[Measures].[R-Sales TY In Store$]" caption="R-Sales TY In Store$" measure="1" displayFolder="aa_New Measures" measureGroup="BI metrics" count="0"/>
    <cacheHierarchy uniqueName="[Measures].[R-Sales TY Dropship$]" caption="R-Sales TY Dropship$" measure="1" displayFolder="aa_New Measures" measureGroup="BI metrics" count="0"/>
    <cacheHierarchy uniqueName="[Measures].[R-Sales TY Online$]" caption="R-Sales TY Online$" measure="1" displayFolder="aa_New Measures" measureGroup="BI metrics" count="0"/>
    <cacheHierarchy uniqueName="[Measures].[R-Sales TY Dropship Budget$]" caption="R-Sales TY Dropship Budget$" measure="1" displayFolder="aa_New Measures" measureGroup="BI metrics" count="0"/>
    <cacheHierarchy uniqueName="[Measures].[R-Sales TY In Store Budget$]" caption="R-Sales TY In Store Budget$" measure="1" displayFolder="aa_New Measures" measureGroup="BI metrics" count="0"/>
    <cacheHierarchy uniqueName="[Measures].[R-Sales TY Online Budget$]" caption="R-Sales TY Online Budget$" measure="1" displayFolder="aa_New Measures" measureGroup="BI metrics" count="0"/>
    <cacheHierarchy uniqueName="[Measures].[Delta Dropship]" caption="Delta Dropship" measure="1" displayFolder="aa_New Measures" measureGroup="BI metrics" count="0"/>
    <cacheHierarchy uniqueName="[Measures].[Delta Total]" caption="Delta Total" measure="1" displayFolder="aa_New Measures" measureGroup="BI metrics" count="0"/>
    <cacheHierarchy uniqueName="[Measures].[Delta In Store + Online]" caption="Delta In Store + Online" measure="1" displayFolder="aa_New Measures" measureGroup="BI metrics" count="0"/>
    <cacheHierarchy uniqueName="[Measures].[Delta Online]" caption="Delta Online" measure="1" displayFolder="aa_New Measures" measureGroup="BI metrics" count="0"/>
    <cacheHierarchy uniqueName="[Measures].[%Var Total]" caption="%Var Total" measure="1" displayFolder="aa_New Measures" measureGroup="BI metrics" count="0"/>
    <cacheHierarchy uniqueName="[Measures].[%Var In Store + Online]" caption="%Var In Store + Online" measure="1" displayFolder="aa_New Measures" measureGroup="BI metrics" count="0"/>
    <cacheHierarchy uniqueName="[Measures].[%Var Online]" caption="%Var Online" measure="1" displayFolder="aa_New Measures" measureGroup="BI metrics" count="0"/>
    <cacheHierarchy uniqueName="[Measures].[%Var Dropship]" caption="%Var Dropship" measure="1" displayFolder="aa_New Measures" measureGroup="BI metrics" count="0"/>
    <cacheHierarchy uniqueName="[Measures].[R-Sales TY In Store + Online$]" caption="R-Sales TY In Store + Online$" measure="1" displayFolder="aa_New Measures" measureGroup="BI metrics" count="0"/>
    <cacheHierarchy uniqueName="[Measures].[R-Sales TY In Store + Online Budget$]" caption="R-Sales TY In Store + Online Budget$" measure="1" displayFolder="aa_New Measures" measureGroup="BI metrics" count="0"/>
    <cacheHierarchy uniqueName="[Measures].[Delta In Store]" caption="Delta In Store" measure="1" displayFolder="aa_New Measures" measureGroup="BI metrics" count="0"/>
    <cacheHierarchy uniqueName="[Measures].[%Var In Store]" caption="%Var In Store" measure="1" displayFolder="aa_New Measures" measureGroup="BI metrics" count="0"/>
    <cacheHierarchy uniqueName="[Measures].[Sales TY In Store$]" caption="Sales TY In Store$" measure="1" displayFolder="aa_New Measures" measureGroup="BI metrics" count="0"/>
    <cacheHierarchy uniqueName="[Measures].[Sales TY Total$]" caption="Sales TY Total$" measure="1" displayFolder="aa_New Measures" measureGroup="BI metrics" count="0"/>
    <cacheHierarchy uniqueName="[Measures].[Sales TY Instore + Online$]" caption="Sales TY Instore + Online$" measure="1" displayFolder="aa_New Measures" measureGroup="BI metrics" count="0"/>
    <cacheHierarchy uniqueName="[Measures].[Sales TY Dropship$]" caption="Sales TY Dropship$" measure="1" displayFolder="aa_New Measures" measureGroup="BI metrics" count="0"/>
    <cacheHierarchy uniqueName="[Measures].[Budget TY Total$]" caption="Budget TY Total$" measure="1" displayFolder="aa_New Measures" measureGroup="BI metrics" count="0"/>
    <cacheHierarchy uniqueName="[Measures].[Budget TY In Store$]" caption="Budget TY In Store$" measure="1" displayFolder="aa_New Measures" measureGroup="BI metrics" count="0"/>
    <cacheHierarchy uniqueName="[Measures].[Budget TY Dropship$]" caption="Budget TY Dropship$" measure="1" displayFolder="aa_New Measures" measureGroup="BI metrics" count="0"/>
    <cacheHierarchy uniqueName="[Measures].[Budget TY Instore + Online$]" caption="Budget TY Instore + Online$" measure="1" displayFolder="aa_New Measures" measureGroup="BI metrics" count="0"/>
    <cacheHierarchy uniqueName="[Measures].[Delta1 Total]" caption="Delta1 Total" measure="1" displayFolder="aa_New Measures" measureGroup="BI metrics" count="0"/>
    <cacheHierarchy uniqueName="[Measures].[Delta1 In Store]" caption="Delta1 In Store" measure="1" displayFolder="aa_New Measures" measureGroup="BI metrics" count="0"/>
    <cacheHierarchy uniqueName="[Measures].[Delta1 In Store + Online]" caption="Delta1 In Store + Online" measure="1" displayFolder="aa_New Measures" measureGroup="BI metrics" count="0"/>
    <cacheHierarchy uniqueName="[Measures].[Delta1 In Dropship]" caption="Delta1 In Dropship" measure="1" displayFolder="aa_New Measures" measureGroup="BI metrics" count="0"/>
    <cacheHierarchy uniqueName="[Measures].[%Var1 Total]" caption="%Var1 Total" measure="1" displayFolder="aa_New Measures" measureGroup="BI metrics" count="0"/>
    <cacheHierarchy uniqueName="[Measures].[%Var1 In Store]" caption="%Var1 In Store" measure="1" displayFolder="aa_New Measures" measureGroup="BI metrics" count="0"/>
    <cacheHierarchy uniqueName="[Measures].[%Var1 In Store + Online]" caption="%Var1 In Store + Online" measure="1" displayFolder="aa_New Measures" measureGroup="BI metrics" count="0"/>
    <cacheHierarchy uniqueName="[Measures].[%Var1 Dropship]" caption="%Var1 Dropship" measure="1" displayFolder="aa_New Measures" measureGroup="BI metrics" count="0"/>
    <cacheHierarchy uniqueName="[Measures].[Total Budget]" caption="Total Budget" measure="1" displayFolder="" measureGroup="BI vw_BudgetByStore" count="0"/>
    <cacheHierarchy uniqueName="[Measures].[R-Budget$-Store1]" caption="R-Budget$-Store1" measure="1" displayFolder="" measureGroup="BI vw_BudgetByStore" count="0"/>
    <cacheHierarchy uniqueName="[Measures].[Total Budget1]" caption="Total Budget1" measure="1" displayFolder="" measureGroup="BI vw_BudgetByStore" count="0"/>
    <cacheHierarchy uniqueName="[Measures].[Sales/Budget KPIs]" caption="Sales/Budget KPIs" measure="1" displayFolder="" measureGroup="BI vw_BudgetByStore" count="0"/>
    <cacheHierarchy uniqueName="[Measures].[Sales/Budget Color]" caption="Sales/Budget Color" measure="1" displayFolder="" measureGroup="BI vw_BudgetByStore" count="0"/>
    <cacheHierarchy uniqueName="[Measures].[Sales TY/LY KPIs]" caption="Sales TY/LY KPIs" measure="1" displayFolder="" measureGroup="BI vw_BudgetByStore" count="0"/>
    <cacheHierarchy uniqueName="[Measures].[Sales TY/LY Color]" caption="Sales TY/LY Color" measure="1" displayFolder="" measureGroup="BI vw_BudgetByStore" count="0"/>
    <cacheHierarchy uniqueName="[Measures].[GM KPIs]" caption="GM KPIs" measure="1" displayFolder="" measureGroup="BI vw_BudgetByStore" count="0"/>
    <cacheHierarchy uniqueName="[Measures].[GM TY/LY Color]" caption="GM TY/LY Color" measure="1" displayFolder="" measureGroup="BI vw_BudgetByStore" count="0"/>
    <cacheHierarchy uniqueName="[Measures].[R-Budget-ItemDept Y/N]" caption="R-Budget-ItemDept Y/N" measure="1" displayFolder="" measureGroup="BI vw_BudgetByItemCategory" count="0"/>
    <cacheHierarchy uniqueName="[Measures].[R-Sales vs Budget-ItemDept Y/N]" caption="R-Sales vs Budget-ItemDept Y/N" measure="1" displayFolder="" measureGroup="BI vw_BudgetByItemCategory" count="0"/>
    <cacheHierarchy uniqueName="[Measures].[Rank]" caption="Rank" measure="1" displayFolder="" measureGroup="BI vw_WeeklyItemSales" count="0"/>
    <cacheHierarchy uniqueName="[Measures].[Store Trans]" caption="Store Trans" measure="1" displayFolder="" measureGroup="BI vw_WeeklyStoreATV" count="0"/>
    <cacheHierarchy uniqueName="[Measures].[Sales TY $]" caption="Sales TY $" measure="1" displayFolder="" measureGroup="Measure" count="0"/>
    <cacheHierarchy uniqueName="[Measures].[This Year]" caption="This Year" measure="1" displayFolder="" measureGroup="Measure" count="0"/>
    <cacheHierarchy uniqueName="[Measures].[Sales LY $]" caption="Sales LY $" measure="1" displayFolder="" measureGroup="Measure" count="0"/>
    <cacheHierarchy uniqueName="[Measures].[GM$ TY]" caption="GM$ TY" measure="1" displayFolder="" measureGroup="Measure" count="0"/>
    <cacheHierarchy uniqueName="[Measures].[GM$ LY]" caption="GM$ LY" measure="1" displayFolder="" measureGroup="Measure" count="0"/>
    <cacheHierarchy uniqueName="[Measures].[M/D$ TY]" caption="M/D$ TY" measure="1" displayFolder="" measureGroup="Measure" count="0"/>
    <cacheHierarchy uniqueName="[Measures].[M/D LY $]" caption="M/D LY $" measure="1" displayFolder="" measureGroup="Measure" count="0"/>
    <cacheHierarchy uniqueName="[Measures].[Budget$-Store]" caption="Budget$-Store" measure="1" displayFolder="" measureGroup="Measure" count="0"/>
    <cacheHierarchy uniqueName="[Measures].[ATV TY]" caption="ATV TY" measure="1" displayFolder="" measureGroup="Measure" count="0"/>
    <cacheHierarchy uniqueName="[Measures].[ATV LY $]" caption="ATV LY $" measure="1" displayFolder="" measureGroup="Measure" count="0"/>
    <cacheHierarchy uniqueName="[Measures].[BudgetDollar-ItemDept]" caption="BudgetDollar-ItemDept" measure="1" displayFolder="" measureGroup="Measure" count="0"/>
    <cacheHierarchy uniqueName="[Measures].[BudgetGMDollar-ItemDept]" caption="BudgetGMDollar-ItemDept" measure="1" displayFolder="" measureGroup="Measure" count="0"/>
    <cacheHierarchy uniqueName="[Measures].[GM$ YoY]" caption="GM$ YoY" measure="1" displayFolder="" measureGroup="Measure" count="0"/>
    <cacheHierarchy uniqueName="[Measures].[Sales vs Budget]" caption="Sales vs Budget" measure="1" displayFolder="" measureGroup="Measure" count="0"/>
    <cacheHierarchy uniqueName="[Measures].[Sales YoY]" caption="Sales YoY" measure="1" displayFolder="" measureGroup="Measure" count="0"/>
    <cacheHierarchy uniqueName="[Measures].[SalesatFullRet]" caption="SalesatFullRet" measure="1" displayFolder="" measureGroup="Measure" count="0"/>
    <cacheHierarchy uniqueName="[Measures].[SalesCost]" caption="SalesCost" measure="1" displayFolder="" measureGroup="Measure" count="0"/>
    <cacheHierarchy uniqueName="[Measures].[Traffic TY]" caption="Traffic TY" measure="1" displayFolder="" measureGroup="Measure" count="0"/>
    <cacheHierarchy uniqueName="[Measures].[Units TY]" caption="Units TY" measure="1" displayFolder="" measureGroup="Measure" count="0"/>
    <cacheHierarchy uniqueName="[Measures].[Units LY]" caption="Units LY" measure="1" displayFolder="" measureGroup="Measure" count="0"/>
    <cacheHierarchy uniqueName="[Measures].[Rolling 12 months Sales]" caption="Rolling 12 months Sales" measure="1" displayFolder="" measureGroup="Measure" count="0"/>
    <cacheHierarchy uniqueName="[Measures].[Rolling 12 months GM]" caption="Rolling 12 months GM" measure="1" displayFolder="" measureGroup="Measure" count="0"/>
    <cacheHierarchy uniqueName="[Measures].[Rolling 12 months M/D]" caption="Rolling 12 months M/D" measure="1" displayFolder="" measureGroup="Measure" count="0"/>
    <cacheHierarchy uniqueName="[Measures].[Transaction TY]" caption="Transaction TY" measure="1" displayFolder="" measureGroup="Measure" count="0"/>
    <cacheHierarchy uniqueName="[Measures].[Transactions LY]" caption="Transactions LY" measure="1" displayFolder="" measureGroup="Measure" count="0"/>
    <cacheHierarchy uniqueName="[Measures].[Transaction YOY]" caption="Transaction YOY" measure="1" displayFolder="" measureGroup="Measure" count="0"/>
    <cacheHierarchy uniqueName="[Measures].[GM$ Budget TY]" caption="GM$ Budget TY" measure="1" displayFolder="" measureGroup="Measure" count="0"/>
    <cacheHierarchy uniqueName="[Measures].[GM$ Budget LY]" caption="GM$ Budget LY" measure="1" displayFolder="" measureGroup="Measure" count="0"/>
    <cacheHierarchy uniqueName="[Measures].[GM vs Budget $]" caption="GM vs Budget $" measure="1" displayFolder="" measureGroup="Measure" count="0"/>
    <cacheHierarchy uniqueName="[Measures].[Measure]" caption="Measure" measure="1" displayFolder="" measureGroup="Measure" count="0"/>
    <cacheHierarchy uniqueName="[Measures].[GM % TY]" caption="GM % TY" measure="1" displayFolder="" measureGroup="Measure" count="0"/>
    <cacheHierarchy uniqueName="[Measures].[GM % LY]" caption="GM % LY" measure="1" displayFolder="" measureGroup="Measure" count="0"/>
    <cacheHierarchy uniqueName="[Measures].[GM% Budget]" caption="GM% Budget" measure="1" displayFolder="" measureGroup="Measure" count="0"/>
    <cacheHierarchy uniqueName="[Measures].[Measure 2]" caption="Measure 2" measure="1" displayFolder="" measureGroup="Measure" count="0"/>
    <cacheHierarchy uniqueName="[Measures].[M/D % TY]" caption="M/D % TY" measure="1" displayFolder="" measureGroup="Measure" count="0"/>
    <cacheHierarchy uniqueName="[Measures].[M/D % LY]" caption="M/D % LY" measure="1" displayFolder="" measureGroup="Measure" count="0"/>
    <cacheHierarchy uniqueName="[Measures].[Dropship$ Budget TY]" caption="Dropship$ Budget TY" measure="1" displayFolder="" measureGroup="Measure" count="0"/>
    <cacheHierarchy uniqueName="[Measures].[Rolling 12 months R-Sale $ TY]" caption="Rolling 12 months R-Sale $ TY" measure="1" displayFolder="" measureGroup="Measure" count="0"/>
    <cacheHierarchy uniqueName="[Measures].[Rolling 12 months Traffic YoY]" caption="Rolling 12 months Traffic YoY" measure="1" displayFolder="" measureGroup="Measure" count="0"/>
    <cacheHierarchy uniqueName="[Measures].[Rolling 12 months ATV YoY]" caption="Rolling 12 months ATV YoY" measure="1" displayFolder="" measureGroup="Measure" count="0"/>
    <cacheHierarchy uniqueName="[Measures].[Rolling 12 months Conv YoY]" caption="Rolling 12 months Conv YoY" measure="1" displayFolder="" measureGroup="Measure" count="0"/>
    <cacheHierarchy uniqueName="[Measures].[Rolling 12 months Store Trans YoY]" caption="Rolling 12 months Store Trans YoY" measure="1" displayFolder="" measureGroup="Measure" count="0"/>
    <cacheHierarchy uniqueName="[Measures].[LastRefreshedSydney]" caption="LastRefreshedSydney" measure="1" displayFolder="" measureGroup="Measure" count="0"/>
    <cacheHierarchy uniqueName="[Measures].[R-Sales Forecast TY]" caption="R-Sales Forecast TY" measure="1" displayFolder="" measureGroup="ForcastByClass" count="0"/>
    <cacheHierarchy uniqueName="[Measures].[Actual Select]" caption="Actual Select" measure="1" displayFolder="" measureGroup="Dim_Category" count="0"/>
    <cacheHierarchy uniqueName="[Measures].[Actual select1]" caption="Actual select1" measure="1" displayFolder="" measureGroup="Dim_Category" count="0"/>
    <cacheHierarchy uniqueName="[Measures].[Week Sales]" caption="Week Sales" measure="1" displayFolder="" measureGroup="Dim_Category" count="0"/>
    <cacheHierarchy uniqueName="[Measures].[MTD Sales]" caption="MTD Sales" measure="1" displayFolder="" measureGroup="Dim_Category" count="0"/>
    <cacheHierarchy uniqueName="[Measures].[YTD Sales]" caption="YTD Sales" measure="1" displayFolder="" measureGroup="Dim_Category" count="0"/>
    <cacheHierarchy uniqueName="[Measures].[Week Budget]" caption="Week Budget" measure="1" displayFolder="" measureGroup="Dim_Category" count="0"/>
    <cacheHierarchy uniqueName="[Measures].[MTD Budget]" caption="MTD Budget" measure="1" displayFolder="" measureGroup="Dim_Category" count="0"/>
    <cacheHierarchy uniqueName="[Measures].[YTD Budget]" caption="YTD Budget" measure="1" displayFolder="" measureGroup="Dim_Category" count="0"/>
    <cacheHierarchy uniqueName="[Measures].[SelectorNum]" caption="SelectorNum" measure="1" displayFolder="" measureGroup="Dim_Category" count="0"/>
    <cacheHierarchy uniqueName="[Measures].[Sales Select]" caption="Sales Select" measure="1" displayFolder="" measureGroup="Dim_Category" count="0"/>
    <cacheHierarchy uniqueName="[Measures].[Budget Select]" caption="Budget Select" measure="1" displayFolder="" measureGroup="Dim_Category" count="0"/>
    <cacheHierarchy uniqueName="[Measures].[TodayWeek]" caption="TodayWeek" measure="1" displayFolder="" measureGroup="Dim_Category" count="0"/>
    <cacheHierarchy uniqueName="[Measures].[MTD Sales Filter]" caption="MTD Sales Filter" measure="1" displayFolder="" measureGroup="Dim_Category" count="0"/>
    <cacheHierarchy uniqueName="[Measures].[Week Sales LY]" caption="Week Sales LY" measure="1" displayFolder="" measureGroup="Dim_Category" count="0"/>
    <cacheHierarchy uniqueName="[Measures].[MTD Sales LY]" caption="MTD Sales LY" measure="1" displayFolder="" measureGroup="Dim_Category" count="0"/>
    <cacheHierarchy uniqueName="[Measures].[YTD Sales LY]" caption="YTD Sales LY" measure="1" displayFolder="" measureGroup="Dim_Category" count="0"/>
    <cacheHierarchy uniqueName="[Measures].[Sales LY Select]" caption="Sales LY Select" measure="1" displayFolder="" measureGroup="Dim_Category" count="0"/>
    <cacheHierarchy uniqueName="[Measures].[GM TY Week]" caption="GM TY Week" measure="1" displayFolder="" measureGroup="Dim_Category" count="0"/>
    <cacheHierarchy uniqueName="[Measures].[GM TY MTD]" caption="GM TY MTD" measure="1" displayFolder="" measureGroup="Dim_Category" count="0"/>
    <cacheHierarchy uniqueName="[Measures].[GM TY YTD]" caption="GM TY YTD" measure="1" displayFolder="" measureGroup="Dim_Category" count="0"/>
    <cacheHierarchy uniqueName="[Measures].[GM TY Select]" caption="GM TY Select" measure="1" displayFolder="" measureGroup="Dim_Category" count="0"/>
    <cacheHierarchy uniqueName="[Measures].[Sales Categories]" caption="Sales Categories" measure="1" displayFolder="" measureGroup="Measure Categories" count="0"/>
    <cacheHierarchy uniqueName="[Measures].[Sales Categories 1]" caption="Sales Categories 1" measure="1" displayFolder="" measureGroup="Measure Categories" count="0"/>
    <cacheHierarchy uniqueName="[Measures].[Sales Title]" caption="Sales Title" measure="1" displayFolder="" measureGroup="Measure Categories" count="0"/>
    <cacheHierarchy uniqueName="[Measures].[Traffic KPIs]" caption="Traffic KPIs" measure="1" displayFolder="" measureGroup="Measure Tooltip" count="0"/>
    <cacheHierarchy uniqueName="[Measures].[Traffic TY/LY Color]" caption="Traffic TY/LY Color" measure="1" displayFolder="" measureGroup="Measure Tooltip" count="0"/>
    <cacheHierarchy uniqueName="[Measures].[Store Trans KPIs]" caption="Store Trans KPIs" measure="1" displayFolder="" measureGroup="Measure Tooltip" count="0"/>
    <cacheHierarchy uniqueName="[Measures].[Store Trans TY/LY Color]" caption="Store Trans TY/LY Color" measure="1" displayFolder="" measureGroup="Measure Tooltip" count="0"/>
    <cacheHierarchy uniqueName="[Measures].[Conv KPIs]" caption="Conv KPIs" measure="1" displayFolder="" measureGroup="Measure Tooltip" count="0"/>
    <cacheHierarchy uniqueName="[Measures].[Conv TY/LY Color]" caption="Conv TY/LY Color" measure="1" displayFolder="" measureGroup="Measure Tooltip" count="0"/>
    <cacheHierarchy uniqueName="[Measures].[ATV KPIs]" caption="ATV KPIs" measure="1" displayFolder="" measureGroup="Measure Tooltip" count="0"/>
    <cacheHierarchy uniqueName="[Measures].[ATV TY/LY Color]" caption="ATV TY/LY Color" measure="1" displayFolder="" measureGroup="Measure Tooltip" count="0"/>
    <cacheHierarchy uniqueName="[Measures].[Measure 4]" caption="Measure 4" measure="1" displayFolder="" measureGroup="Measure Tooltip" count="0"/>
    <cacheHierarchy uniqueName="[Measures].[R-M/D$ Budget Color]" caption="R-M/D$ Budget Color" measure="1" displayFolder="" measureGroup="Measure Tooltip" count="0"/>
    <cacheHierarchy uniqueName="[Measures].[R-Sales$ Budget Color]" caption="R-Sales$ Budget Color" measure="1" displayFolder="" measureGroup="Measure Tooltip" count="0"/>
    <cacheHierarchy uniqueName="[Measures].[R-GM TY Color]" caption="R-GM TY Color" measure="1" displayFolder="" measureGroup="Measure Tooltip" count="0"/>
    <cacheHierarchy uniqueName="[Measures].[R-Store Trans Color]" caption="R-Store Trans Color" measure="1" displayFolder="" measureGroup="Measure Tooltip" count="0"/>
    <cacheHierarchy uniqueName="[Measures].[R-Traffic Color]" caption="R-Traffic Color" measure="1" displayFolder="" measureGroup="Measure Tooltip" count="0"/>
    <cacheHierarchy uniqueName="[Measures].[R-COnv Color]" caption="R-COnv Color" measure="1" displayFolder="" measureGroup="Measure Tooltip" count="0"/>
    <cacheHierarchy uniqueName="[Measures].[R-ATV Color]" caption="R-ATV Color" measure="1" displayFolder="" measureGroup="Measure Tooltip" count="0"/>
    <cacheHierarchy uniqueName="[Measures].[R-M/D$% Budget Color]" caption="R-M/D$% Budget Color" measure="1" displayFolder="" measureGroup="Measure Tooltip" count="0"/>
    <cacheHierarchy uniqueName="[Measures].[R-Traffic Budget Color]" caption="R-Traffic Budget Color" measure="1" displayFolder="" measureGroup="Measure Tooltip" count="0"/>
    <cacheHierarchy uniqueName="[Measures].[R-Store Trans Budget Color]" caption="R-Store Trans Budget Color" measure="1" displayFolder="" measureGroup="Measure Tooltip" count="0"/>
    <cacheHierarchy uniqueName="[Measures].[R-Conv Budget Color]" caption="R-Conv Budget Color" measure="1" displayFolder="" measureGroup="Measure Tooltip" count="0"/>
    <cacheHierarchy uniqueName="[Measures].[R-ATV Budget Color]" caption="R-ATV Budget Color" measure="1" displayFolder="" measureGroup="Measure Tooltip" count="0"/>
    <cacheHierarchy uniqueName="[Measures].[R-Sales TY/LY Color]" caption="R-Sales TY/LY Color" measure="1" displayFolder="" measureGroup="Measure Tooltip" count="0"/>
    <cacheHierarchy uniqueName="[Measures].[R-Sales$ Plan Color]" caption="R-Sales$ Plan Color" measure="1" displayFolder="" measureGroup="Measure Tooltip" count="0"/>
    <cacheHierarchy uniqueName="[Measures].[R-GM % TY Color]" caption="R-GM % TY Color" measure="1" displayFolder="" measureGroup="Measure Tooltip" count="0"/>
    <cacheHierarchy uniqueName="[Measures].[R-Budget$-Online-Store]" caption="R-Budget$-Online-Store" measure="1" displayFolder="" measureGroup="BI vw_BudgetOnlineByStore" count="0"/>
    <cacheHierarchy uniqueName="[Measures].[R-Budget-Online Store Y/N]" caption="R-Budget-Online Store Y/N" measure="1" displayFolder="" measureGroup="BI vw_BudgetOnlineByStore" count="0"/>
    <cacheHierarchy uniqueName="[Measures].[R-Budget Y/N]" caption="R-Budget Y/N" measure="1" displayFolder="" measureGroup="BI vw_BudgetOnlineByStore" count="0"/>
    <cacheHierarchy uniqueName="[Measures].[Product Dynamic Title]" caption="Product Dynamic Title" measure="1" displayFolder="" measureGroup="Product Parameter" count="0"/>
    <cacheHierarchy uniqueName="[Measures].[Budget Online]" caption="Budget Online" measure="1" displayFolder="" measureGroup="BI vw_BudgetDigital" count="0"/>
    <cacheHierarchy uniqueName="[Measures].[R-Budget Online TY]" caption="R-Budget Online TY" measure="1" displayFolder="" measureGroup="BI vw_BudgetDigital" count="0"/>
    <cacheHierarchy uniqueName="[Measures].[Store Trans Budget]" caption="Store Trans Budget" measure="1" displayFolder="" measureGroup="BI vw_BudgetByWeek" count="0"/>
    <cacheHierarchy uniqueName="[Measures].[R-Store Trans InStore Budget]" caption="R-Store Trans InStore Budget" measure="1" displayFolder="" measureGroup="BI vw_BudgetByWeek" count="0"/>
    <cacheHierarchy uniqueName="[Measures].[Traffic Budget]" caption="Traffic Budget" measure="1" displayFolder="" measureGroup="BI vw_BudgetByWeek" count="0"/>
    <cacheHierarchy uniqueName="[Measures].[R-Traffic InStore Budget]" caption="R-Traffic InStore Budget" measure="1" displayFolder="" measureGroup="BI vw_BudgetByWeek" count="0"/>
    <cacheHierarchy uniqueName="[Measures].[R-Conv Instore Budget]" caption="R-Conv Instore Budget" measure="1" displayFolder="" measureGroup="BI vw_BudgetByWeek" count="0"/>
    <cacheHierarchy uniqueName="[Measures].[R-Budget InStore]" caption="R-Budget InStore" measure="1" displayFolder="" measureGroup="BI vw_BudgetByWeek" count="0"/>
    <cacheHierarchy uniqueName="[Measures].[R-Traffic Budget Channel]" caption="R-Traffic Budget Channel" measure="1" displayFolder="" measureGroup="BI vw_BudgetByWeek" count="0"/>
    <cacheHierarchy uniqueName="[Measures].[R-Conv Budget Channel]" caption="R-Conv Budget Channel" measure="1" displayFolder="" measureGroup="BI vw_BudgetByWeek" count="0"/>
    <cacheHierarchy uniqueName="[Measures].[R-Store trans Budget Channel]" caption="R-Store trans Budget Channel" measure="1" displayFolder="" measureGroup="BI vw_BudgetByWeek" count="0"/>
    <cacheHierarchy uniqueName="[Measures].[R-ATV InStore Budget Cal]" caption="R-ATV InStore Budget Cal" measure="1" displayFolder="" measureGroup="BI vw_BudgetByWeek" count="0"/>
    <cacheHierarchy uniqueName="[Measures].[R-ATV Budget Channel]" caption="R-ATV Budget Channel" measure="1" displayFolder="" measureGroup="BI vw_BudgetByWeek" count="0"/>
    <cacheHierarchy uniqueName="[Measures].[R-GM Plan TY]" caption="R-GM Plan TY" measure="1" displayFolder="" measureGroup="Forecast" count="0"/>
    <cacheHierarchy uniqueName="[Measures].[R-GM vs Plan]" caption="R-GM vs Plan" measure="1" displayFolder="" measureGroup="Forecast" count="0"/>
    <cacheHierarchy uniqueName="[Measures].[R-GM %]" caption="R-GM %" measure="1" displayFolder="" measureGroup="Forecast" count="0"/>
    <cacheHierarchy uniqueName="[Measures].[R-Sales Plan TY]" caption="R-Sales Plan TY" measure="1" displayFolder="" measureGroup="Forecast" count="0"/>
    <cacheHierarchy uniqueName="[Measures].[R-GM Plan %]" caption="R-GM Plan %" measure="1" displayFolder="" measureGroup="Forecast" count="0"/>
    <cacheHierarchy uniqueName="[Measures].[R-Sales Plan TY-K]" caption="R-Sales Plan TY-K" measure="1" displayFolder="" measureGroup="Forecast" count="0"/>
    <cacheHierarchy uniqueName="[Measures].[__Default measure]" caption="__Default measure" measure="1" displayFolder="" count="0" hidden="1"/>
  </cacheHierarchies>
  <kpis count="0"/>
  <dimensions count="35">
    <dimension name="BI ForecastClass" uniqueName="[BI ForecastClass]" caption="BI ForecastClass"/>
    <dimension name="BI Item" uniqueName="[BI Item]" caption="BI Item"/>
    <dimension name="BI metrics" uniqueName="[BI metrics]" caption="BI metrics"/>
    <dimension name="BI Store" uniqueName="[BI Store]" caption="BI Store"/>
    <dimension name="BI Store State Sort" uniqueName="[BI Store State Sort]" caption="BI Store State Sort"/>
    <dimension name="BI vw_BudgetByItemCategory" uniqueName="[BI vw_BudgetByItemCategory]" caption="BI vw_BudgetByItemCategory"/>
    <dimension name="BI vw_BudgetByStore" uniqueName="[BI vw_BudgetByStore]" caption="BI vw_BudgetByStore"/>
    <dimension name="BI vw_BudgetByWeek" uniqueName="[BI vw_BudgetByWeek]" caption="BI vw_BudgetByWeek"/>
    <dimension name="BI vw_BudgetDigital" uniqueName="[BI vw_BudgetDigital]" caption="BI vw_BudgetDigital"/>
    <dimension name="BI vw_BudgetOnlineByStore" uniqueName="[BI vw_BudgetOnlineByStore]" caption="BI vw_BudgetOnlineByStore"/>
    <dimension name="BI vw_DropshipBudget" uniqueName="[BI vw_DropshipBudget]" caption="BI vw_DropshipBudget"/>
    <dimension name="BI vw_Items" uniqueName="[BI vw_Items]" caption="BI vw_Items"/>
    <dimension name="BI vw_WeeklyItemSales" uniqueName="[BI vw_WeeklyItemSales]" caption="BI vw_WeeklyItemSales"/>
    <dimension name="BI vw_WeeklyStoreATV" uniqueName="[BI vw_WeeklyStoreATV]" caption="BI vw_WeeklyStoreATV"/>
    <dimension name="BI vw_WeeklyStoreTraffic" uniqueName="[BI vw_WeeklyStoreTraffic]" caption="BI vw_WeeklyStoreTraffic"/>
    <dimension name="BI vw_WeeklyWrittenSalesMetrics" uniqueName="[BI vw_WeeklyWrittenSalesMetrics]" caption="BI vw_WeeklyWrittenSalesMetrics"/>
    <dimension name="Dim_Category" uniqueName="[Dim_Category]" caption="Dim_Category"/>
    <dimension name="dim_period" uniqueName="[dim_period]" caption="dim_period"/>
    <dimension name="ForcastByClass" uniqueName="[ForcastByClass]" caption="ForcastByClass"/>
    <dimension name="Forecast" uniqueName="[Forecast]" caption="Forecast"/>
    <dimension name="LocalDateTable_0d9eeced-3257-4609-8cfb-234f1d7c24d7" uniqueName="[LocalDateTable_0d9eeced-3257-4609-8cfb-234f1d7c24d7]" caption="LocalDateTable_0d9eeced-3257-4609-8cfb-234f1d7c24d7"/>
    <dimension name="LocalDateTable_3a17192d-ec7c-4dba-ac0e-bcf6b3a6a0ff" uniqueName="[LocalDateTable_3a17192d-ec7c-4dba-ac0e-bcf6b3a6a0ff]" caption="LocalDateTable_3a17192d-ec7c-4dba-ac0e-bcf6b3a6a0ff"/>
    <dimension name="LocalDateTable_3f117c71-2c04-4fa5-8c23-2b2c1ab14338" uniqueName="[LocalDateTable_3f117c71-2c04-4fa5-8c23-2b2c1ab14338]" caption="LocalDateTable_3f117c71-2c04-4fa5-8c23-2b2c1ab14338"/>
    <dimension name="LocalDateTable_66f09a5d-f864-46bc-a2f5-c0014bc05155" uniqueName="[LocalDateTable_66f09a5d-f864-46bc-a2f5-c0014bc05155]" caption="LocalDateTable_66f09a5d-f864-46bc-a2f5-c0014bc05155"/>
    <dimension name="LocalDateTable_754a5606-f042-4514-8c57-59f8f32672fc" uniqueName="[LocalDateTable_754a5606-f042-4514-8c57-59f8f32672fc]" caption="LocalDateTable_754a5606-f042-4514-8c57-59f8f32672fc"/>
    <dimension name="LocalDateTable_9b9a9699-5b52-40e9-b4a0-c11cb55a9d61" uniqueName="[LocalDateTable_9b9a9699-5b52-40e9-b4a0-c11cb55a9d61]" caption="LocalDateTable_9b9a9699-5b52-40e9-b4a0-c11cb55a9d61"/>
    <dimension name="LocalDateTable_a29de990-df00-42e6-9e8c-814d0b4b9a86" uniqueName="[LocalDateTable_a29de990-df00-42e6-9e8c-814d0b4b9a86]" caption="LocalDateTable_a29de990-df00-42e6-9e8c-814d0b4b9a86"/>
    <dimension name="LocalDateTable_e1d748f9-bc77-4c73-ba8d-fcf5ec29dd71" uniqueName="[LocalDateTable_e1d748f9-bc77-4c73-ba8d-fcf5ec29dd71]" caption="LocalDateTable_e1d748f9-bc77-4c73-ba8d-fcf5ec29dd71"/>
    <dimension name="Measure" uniqueName="[Measure]" caption="Measure"/>
    <dimension name="Measure Categories" uniqueName="[Measure Categories]" caption="Measure Categories"/>
    <dimension measure="1" name="Measures" uniqueName="[Measures]" caption="Measures"/>
    <dimension name="Product Parameter" uniqueName="[Product Parameter]" caption="Product Parameter"/>
    <dimension name="Query1" uniqueName="[Query1]" caption="Query1"/>
    <dimension name="Query2" uniqueName="[Query2]" caption="Query2"/>
    <dimension name="TimePeriodSort" uniqueName="[TimePeriodSort]" caption="TimePeriodSort"/>
  </dimensions>
  <measureGroups count="35">
    <measureGroup name="BI ForecastClass" caption="BI ForecastClass"/>
    <measureGroup name="BI Item" caption="BI Item"/>
    <measureGroup name="BI metrics" caption="BI metrics"/>
    <measureGroup name="BI Store" caption="BI Store"/>
    <measureGroup name="BI Store State Sort" caption="BI Store State Sort"/>
    <measureGroup name="BI vw_BudgetByItemCategory" caption="BI vw_BudgetByItemCategory"/>
    <measureGroup name="BI vw_BudgetByStore" caption="BI vw_BudgetByStore"/>
    <measureGroup name="BI vw_BudgetByWeek" caption="BI vw_BudgetByWeek"/>
    <measureGroup name="BI vw_BudgetDigital" caption="BI vw_BudgetDigital"/>
    <measureGroup name="BI vw_BudgetOnlineByStore" caption="BI vw_BudgetOnlineByStore"/>
    <measureGroup name="BI vw_DropshipBudget" caption="BI vw_DropshipBudget"/>
    <measureGroup name="BI vw_Items" caption="BI vw_Items"/>
    <measureGroup name="BI vw_WeeklyItemSales" caption="BI vw_WeeklyItemSales"/>
    <measureGroup name="BI vw_WeeklyStoreATV" caption="BI vw_WeeklyStoreATV"/>
    <measureGroup name="BI vw_WeeklyStoreTraffic" caption="BI vw_WeeklyStoreTraffic"/>
    <measureGroup name="BI vw_WeeklyWrittenSalesMetrics" caption="BI vw_WeeklyWrittenSalesMetrics"/>
    <measureGroup name="Dim_Category" caption="Dim_Category"/>
    <measureGroup name="dim_period" caption="dim_period"/>
    <measureGroup name="ForcastByClass" caption="ForcastByClass"/>
    <measureGroup name="Forecast" caption="Forecast"/>
    <measureGroup name="LocalDateTable_0d9eeced-3257-4609-8cfb-234f1d7c24d7" caption="LocalDateTable_0d9eeced-3257-4609-8cfb-234f1d7c24d7"/>
    <measureGroup name="LocalDateTable_3a17192d-ec7c-4dba-ac0e-bcf6b3a6a0ff" caption="LocalDateTable_3a17192d-ec7c-4dba-ac0e-bcf6b3a6a0ff"/>
    <measureGroup name="LocalDateTable_3f117c71-2c04-4fa5-8c23-2b2c1ab14338" caption="LocalDateTable_3f117c71-2c04-4fa5-8c23-2b2c1ab14338"/>
    <measureGroup name="LocalDateTable_66f09a5d-f864-46bc-a2f5-c0014bc05155" caption="LocalDateTable_66f09a5d-f864-46bc-a2f5-c0014bc05155"/>
    <measureGroup name="LocalDateTable_754a5606-f042-4514-8c57-59f8f32672fc" caption="LocalDateTable_754a5606-f042-4514-8c57-59f8f32672fc"/>
    <measureGroup name="LocalDateTable_9b9a9699-5b52-40e9-b4a0-c11cb55a9d61" caption="LocalDateTable_9b9a9699-5b52-40e9-b4a0-c11cb55a9d61"/>
    <measureGroup name="LocalDateTable_a29de990-df00-42e6-9e8c-814d0b4b9a86" caption="LocalDateTable_a29de990-df00-42e6-9e8c-814d0b4b9a86"/>
    <measureGroup name="LocalDateTable_e1d748f9-bc77-4c73-ba8d-fcf5ec29dd71" caption="LocalDateTable_e1d748f9-bc77-4c73-ba8d-fcf5ec29dd71"/>
    <measureGroup name="Measure" caption="Measure"/>
    <measureGroup name="Measure Categories" caption="Measure Categories"/>
    <measureGroup name="Measure Tooltip" caption="Measure Tooltip"/>
    <measureGroup name="Product Parameter" caption="Product Parameter"/>
    <measureGroup name="Query1" caption="Query1"/>
    <measureGroup name="Query2" caption="Query2"/>
    <measureGroup name="TimePeriodSort" caption="TimePeriodSort"/>
  </measureGroups>
  <maps count="41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2"/>
    <map measureGroup="0" dimension="13"/>
    <map measureGroup="0" dimension="14"/>
    <map measureGroup="0" dimension="15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34"/>
    <map measureGroup="1" dimension="1"/>
    <map measureGroup="1" dimension="23"/>
    <map measureGroup="1" dimension="25"/>
    <map measureGroup="2" dimension="2"/>
    <map measureGroup="2" dimension="20"/>
    <map measureGroup="2" dimension="24"/>
    <map measureGroup="2" dimension="27"/>
    <map measureGroup="2" dimension="34"/>
    <map measureGroup="3" dimension="0"/>
    <map measureGroup="3" dimension="1"/>
    <map measureGroup="3" dimension="2"/>
    <map measureGroup="3" dimension="3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2"/>
    <map measureGroup="3" dimension="13"/>
    <map measureGroup="3" dimension="14"/>
    <map measureGroup="3" dimension="15"/>
    <map measureGroup="3" dimension="17"/>
    <map measureGroup="3" dimension="18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8"/>
    <map measureGroup="3" dimension="34"/>
    <map measureGroup="4" dimension="4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2"/>
    <map measureGroup="5" dimension="13"/>
    <map measureGroup="5" dimension="14"/>
    <map measureGroup="5" dimension="15"/>
    <map measureGroup="5" dimension="17"/>
    <map measureGroup="5" dimension="18"/>
    <map measureGroup="5" dimension="19"/>
    <map measureGroup="5" dimension="20"/>
    <map measureGroup="5" dimension="21"/>
    <map measureGroup="5" dimension="22"/>
    <map measureGroup="5" dimension="23"/>
    <map measureGroup="5" dimension="24"/>
    <map measureGroup="5" dimension="25"/>
    <map measureGroup="5" dimension="27"/>
    <map measureGroup="5" dimension="28"/>
    <map measureGroup="5" dimension="34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  <map measureGroup="6" dimension="8"/>
    <map measureGroup="6" dimension="9"/>
    <map measureGroup="6" dimension="10"/>
    <map measureGroup="6" dimension="12"/>
    <map measureGroup="6" dimension="13"/>
    <map measureGroup="6" dimension="14"/>
    <map measureGroup="6" dimension="15"/>
    <map measureGroup="6" dimension="17"/>
    <map measureGroup="6" dimension="18"/>
    <map measureGroup="6" dimension="19"/>
    <map measureGroup="6" dimension="20"/>
    <map measureGroup="6" dimension="21"/>
    <map measureGroup="6" dimension="22"/>
    <map measureGroup="6" dimension="23"/>
    <map measureGroup="6" dimension="24"/>
    <map measureGroup="6" dimension="25"/>
    <map measureGroup="6" dimension="27"/>
    <map measureGroup="6" dimension="28"/>
    <map measureGroup="6" dimension="34"/>
    <map measureGroup="7" dimension="0"/>
    <map measureGroup="7" dimension="1"/>
    <map measureGroup="7" dimension="2"/>
    <map measureGroup="7" dimension="3"/>
    <map measureGroup="7" dimension="5"/>
    <map measureGroup="7" dimension="6"/>
    <map measureGroup="7" dimension="7"/>
    <map measureGroup="7" dimension="8"/>
    <map measureGroup="7" dimension="9"/>
    <map measureGroup="7" dimension="10"/>
    <map measureGroup="7" dimension="12"/>
    <map measureGroup="7" dimension="13"/>
    <map measureGroup="7" dimension="14"/>
    <map measureGroup="7" dimension="15"/>
    <map measureGroup="7" dimension="17"/>
    <map measureGroup="7" dimension="18"/>
    <map measureGroup="7" dimension="19"/>
    <map measureGroup="7" dimension="20"/>
    <map measureGroup="7" dimension="21"/>
    <map measureGroup="7" dimension="22"/>
    <map measureGroup="7" dimension="23"/>
    <map measureGroup="7" dimension="24"/>
    <map measureGroup="7" dimension="25"/>
    <map measureGroup="7" dimension="27"/>
    <map measureGroup="7" dimension="28"/>
    <map measureGroup="7" dimension="34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8" dimension="12"/>
    <map measureGroup="8" dimension="13"/>
    <map measureGroup="8" dimension="14"/>
    <map measureGroup="8" dimension="15"/>
    <map measureGroup="8" dimension="17"/>
    <map measureGroup="8" dimension="18"/>
    <map measureGroup="8" dimension="19"/>
    <map measureGroup="8" dimension="20"/>
    <map measureGroup="8" dimension="21"/>
    <map measureGroup="8" dimension="22"/>
    <map measureGroup="8" dimension="23"/>
    <map measureGroup="8" dimension="24"/>
    <map measureGroup="8" dimension="25"/>
    <map measureGroup="8" dimension="27"/>
    <map measureGroup="8" dimension="28"/>
    <map measureGroup="8" dimension="34"/>
    <map measureGroup="9" dimension="0"/>
    <map measureGroup="9" dimension="1"/>
    <map measureGroup="9" dimension="2"/>
    <map measureGroup="9" dimension="3"/>
    <map measureGroup="9" dimension="5"/>
    <map measureGroup="9" dimension="6"/>
    <map measureGroup="9" dimension="7"/>
    <map measureGroup="9" dimension="8"/>
    <map measureGroup="9" dimension="9"/>
    <map measureGroup="9" dimension="10"/>
    <map measureGroup="9" dimension="12"/>
    <map measureGroup="9" dimension="13"/>
    <map measureGroup="9" dimension="14"/>
    <map measureGroup="9" dimension="15"/>
    <map measureGroup="9" dimension="17"/>
    <map measureGroup="9" dimension="18"/>
    <map measureGroup="9" dimension="19"/>
    <map measureGroup="9" dimension="20"/>
    <map measureGroup="9" dimension="21"/>
    <map measureGroup="9" dimension="22"/>
    <map measureGroup="9" dimension="23"/>
    <map measureGroup="9" dimension="24"/>
    <map measureGroup="9" dimension="25"/>
    <map measureGroup="9" dimension="27"/>
    <map measureGroup="9" dimension="28"/>
    <map measureGroup="9" dimension="34"/>
    <map measureGroup="10" dimension="0"/>
    <map measureGroup="10" dimension="1"/>
    <map measureGroup="10" dimension="2"/>
    <map measureGroup="10" dimension="3"/>
    <map measureGroup="10" dimension="5"/>
    <map measureGroup="10" dimension="6"/>
    <map measureGroup="10" dimension="7"/>
    <map measureGroup="10" dimension="8"/>
    <map measureGroup="10" dimension="9"/>
    <map measureGroup="10" dimension="10"/>
    <map measureGroup="10" dimension="12"/>
    <map measureGroup="10" dimension="13"/>
    <map measureGroup="10" dimension="14"/>
    <map measureGroup="10" dimension="15"/>
    <map measureGroup="10" dimension="17"/>
    <map measureGroup="10" dimension="18"/>
    <map measureGroup="10" dimension="19"/>
    <map measureGroup="10" dimension="20"/>
    <map measureGroup="10" dimension="21"/>
    <map measureGroup="10" dimension="22"/>
    <map measureGroup="10" dimension="23"/>
    <map measureGroup="10" dimension="24"/>
    <map measureGroup="10" dimension="25"/>
    <map measureGroup="10" dimension="27"/>
    <map measureGroup="10" dimension="28"/>
    <map measureGroup="10" dimension="34"/>
    <map measureGroup="11" dimension="11"/>
    <map measureGroup="12" dimension="0"/>
    <map measureGroup="12" dimension="1"/>
    <map measureGroup="12" dimension="2"/>
    <map measureGroup="12" dimension="3"/>
    <map measureGroup="12" dimension="5"/>
    <map measureGroup="12" dimension="6"/>
    <map measureGroup="12" dimension="7"/>
    <map measureGroup="12" dimension="8"/>
    <map measureGroup="12" dimension="9"/>
    <map measureGroup="12" dimension="10"/>
    <map measureGroup="12" dimension="12"/>
    <map measureGroup="12" dimension="13"/>
    <map measureGroup="12" dimension="14"/>
    <map measureGroup="12" dimension="15"/>
    <map measureGroup="12" dimension="17"/>
    <map measureGroup="12" dimension="18"/>
    <map measureGroup="12" dimension="19"/>
    <map measureGroup="12" dimension="20"/>
    <map measureGroup="12" dimension="21"/>
    <map measureGroup="12" dimension="22"/>
    <map measureGroup="12" dimension="23"/>
    <map measureGroup="12" dimension="24"/>
    <map measureGroup="12" dimension="25"/>
    <map measureGroup="12" dimension="27"/>
    <map measureGroup="12" dimension="28"/>
    <map measureGroup="12" dimension="34"/>
    <map measureGroup="13" dimension="0"/>
    <map measureGroup="13" dimension="1"/>
    <map measureGroup="13" dimension="2"/>
    <map measureGroup="13" dimension="3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2"/>
    <map measureGroup="13" dimension="13"/>
    <map measureGroup="13" dimension="14"/>
    <map measureGroup="13" dimension="15"/>
    <map measureGroup="13" dimension="17"/>
    <map measureGroup="13" dimension="18"/>
    <map measureGroup="13" dimension="19"/>
    <map measureGroup="13" dimension="20"/>
    <map measureGroup="13" dimension="21"/>
    <map measureGroup="13" dimension="22"/>
    <map measureGroup="13" dimension="23"/>
    <map measureGroup="13" dimension="24"/>
    <map measureGroup="13" dimension="25"/>
    <map measureGroup="13" dimension="27"/>
    <map measureGroup="13" dimension="28"/>
    <map measureGroup="13" dimension="34"/>
    <map measureGroup="14" dimension="0"/>
    <map measureGroup="14" dimension="1"/>
    <map measureGroup="14" dimension="2"/>
    <map measureGroup="14" dimension="3"/>
    <map measureGroup="14" dimension="5"/>
    <map measureGroup="14" dimension="6"/>
    <map measureGroup="14" dimension="7"/>
    <map measureGroup="14" dimension="8"/>
    <map measureGroup="14" dimension="9"/>
    <map measureGroup="14" dimension="10"/>
    <map measureGroup="14" dimension="12"/>
    <map measureGroup="14" dimension="13"/>
    <map measureGroup="14" dimension="14"/>
    <map measureGroup="14" dimension="15"/>
    <map measureGroup="14" dimension="17"/>
    <map measureGroup="14" dimension="18"/>
    <map measureGroup="14" dimension="19"/>
    <map measureGroup="14" dimension="20"/>
    <map measureGroup="14" dimension="21"/>
    <map measureGroup="14" dimension="22"/>
    <map measureGroup="14" dimension="23"/>
    <map measureGroup="14" dimension="24"/>
    <map measureGroup="14" dimension="25"/>
    <map measureGroup="14" dimension="27"/>
    <map measureGroup="14" dimension="28"/>
    <map measureGroup="14" dimension="34"/>
    <map measureGroup="15" dimension="0"/>
    <map measureGroup="15" dimension="1"/>
    <map measureGroup="15" dimension="2"/>
    <map measureGroup="15" dimension="3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2"/>
    <map measureGroup="15" dimension="13"/>
    <map measureGroup="15" dimension="14"/>
    <map measureGroup="15" dimension="15"/>
    <map measureGroup="15" dimension="17"/>
    <map measureGroup="15" dimension="18"/>
    <map measureGroup="15" dimension="19"/>
    <map measureGroup="15" dimension="20"/>
    <map measureGroup="15" dimension="21"/>
    <map measureGroup="15" dimension="22"/>
    <map measureGroup="15" dimension="23"/>
    <map measureGroup="15" dimension="24"/>
    <map measureGroup="15" dimension="25"/>
    <map measureGroup="15" dimension="27"/>
    <map measureGroup="15" dimension="28"/>
    <map measureGroup="15" dimension="34"/>
    <map measureGroup="16" dimension="16"/>
    <map measureGroup="17" dimension="17"/>
    <map measureGroup="17" dimension="21"/>
    <map measureGroup="17" dimension="22"/>
    <map measureGroup="18" dimension="0"/>
    <map measureGroup="18" dimension="1"/>
    <map measureGroup="18" dimension="2"/>
    <map measureGroup="18" dimension="3"/>
    <map measureGroup="18" dimension="5"/>
    <map measureGroup="18" dimension="6"/>
    <map measureGroup="18" dimension="7"/>
    <map measureGroup="18" dimension="8"/>
    <map measureGroup="18" dimension="9"/>
    <map measureGroup="18" dimension="10"/>
    <map measureGroup="18" dimension="12"/>
    <map measureGroup="18" dimension="13"/>
    <map measureGroup="18" dimension="14"/>
    <map measureGroup="18" dimension="15"/>
    <map measureGroup="18" dimension="17"/>
    <map measureGroup="18" dimension="18"/>
    <map measureGroup="18" dimension="19"/>
    <map measureGroup="18" dimension="20"/>
    <map measureGroup="18" dimension="21"/>
    <map measureGroup="18" dimension="22"/>
    <map measureGroup="18" dimension="23"/>
    <map measureGroup="18" dimension="24"/>
    <map measureGroup="18" dimension="25"/>
    <map measureGroup="18" dimension="27"/>
    <map measureGroup="18" dimension="28"/>
    <map measureGroup="18" dimension="34"/>
    <map measureGroup="19" dimension="0"/>
    <map measureGroup="19" dimension="1"/>
    <map measureGroup="19" dimension="2"/>
    <map measureGroup="19" dimension="3"/>
    <map measureGroup="19" dimension="5"/>
    <map measureGroup="19" dimension="6"/>
    <map measureGroup="19" dimension="7"/>
    <map measureGroup="19" dimension="8"/>
    <map measureGroup="19" dimension="9"/>
    <map measureGroup="19" dimension="10"/>
    <map measureGroup="19" dimension="12"/>
    <map measureGroup="19" dimension="13"/>
    <map measureGroup="19" dimension="14"/>
    <map measureGroup="19" dimension="15"/>
    <map measureGroup="19" dimension="17"/>
    <map measureGroup="19" dimension="18"/>
    <map measureGroup="19" dimension="19"/>
    <map measureGroup="19" dimension="20"/>
    <map measureGroup="19" dimension="21"/>
    <map measureGroup="19" dimension="22"/>
    <map measureGroup="19" dimension="23"/>
    <map measureGroup="19" dimension="24"/>
    <map measureGroup="19" dimension="25"/>
    <map measureGroup="19" dimension="27"/>
    <map measureGroup="19" dimension="28"/>
    <map measureGroup="19" dimension="34"/>
    <map measureGroup="20" dimension="20"/>
    <map measureGroup="21" dimension="21"/>
    <map measureGroup="22" dimension="22"/>
    <map measureGroup="23" dimension="23"/>
    <map measureGroup="24" dimension="24"/>
    <map measureGroup="25" dimension="25"/>
    <map measureGroup="26" dimension="26"/>
    <map measureGroup="27" dimension="27"/>
    <map measureGroup="28" dimension="0"/>
    <map measureGroup="28" dimension="1"/>
    <map measureGroup="28" dimension="2"/>
    <map measureGroup="28" dimension="3"/>
    <map measureGroup="28" dimension="5"/>
    <map measureGroup="28" dimension="6"/>
    <map measureGroup="28" dimension="7"/>
    <map measureGroup="28" dimension="8"/>
    <map measureGroup="28" dimension="9"/>
    <map measureGroup="28" dimension="10"/>
    <map measureGroup="28" dimension="12"/>
    <map measureGroup="28" dimension="13"/>
    <map measureGroup="28" dimension="14"/>
    <map measureGroup="28" dimension="15"/>
    <map measureGroup="28" dimension="17"/>
    <map measureGroup="28" dimension="18"/>
    <map measureGroup="28" dimension="19"/>
    <map measureGroup="28" dimension="20"/>
    <map measureGroup="28" dimension="21"/>
    <map measureGroup="28" dimension="22"/>
    <map measureGroup="28" dimension="23"/>
    <map measureGroup="28" dimension="24"/>
    <map measureGroup="28" dimension="25"/>
    <map measureGroup="28" dimension="27"/>
    <map measureGroup="28" dimension="28"/>
    <map measureGroup="28" dimension="34"/>
    <map measureGroup="29" dimension="29"/>
    <map measureGroup="31" dimension="31"/>
    <map measureGroup="32" dimension="26"/>
    <map measureGroup="32" dimension="32"/>
    <map measureGroup="33" dimension="33"/>
    <map measureGroup="34" dimension="3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5.591554282408" backgroundQuery="1" createdVersion="8" refreshedVersion="8" minRefreshableVersion="3" recordCount="0" supportSubquery="1" supportAdvancedDrill="1" xr:uid="{E0F5A661-8F7A-4712-A359-D545822080E6}">
  <cacheSource type="external" connectionId="2"/>
  <cacheFields count="13">
    <cacheField name="[BI metrics].[Fin_Period].[Fin_Period]" caption="Fin_Period" numFmtId="0" hierarchy="44" level="1">
      <sharedItems count="208">
        <s v="[BI metrics].[Fin_Period].&amp;[202401]" c="202401"/>
        <s v="[BI metrics].[Fin_Period].&amp;[202402]" c="202402"/>
        <s v="[BI metrics].[Fin_Period].&amp;[202403]" c="202403"/>
        <s v="[BI metrics].[Fin_Period].&amp;[202404]" c="202404"/>
        <s v="[BI metrics].[Fin_Period].&amp;[202405]" c="202405"/>
        <s v="[BI metrics].[Fin_Period].&amp;[202406]" c="202406"/>
        <s v="[BI metrics].[Fin_Period].&amp;[202407]" c="202407"/>
        <s v="[BI metrics].[Fin_Period].&amp;[202408]" c="202408"/>
        <s v="[BI metrics].[Fin_Period].&amp;[202409]" c="202409"/>
        <s v="[BI metrics].[Fin_Period].&amp;[202410]" c="202410"/>
        <s v="[BI metrics].[Fin_Period].&amp;[202411]" c="202411"/>
        <s v="[BI metrics].[Fin_Period].&amp;[202412]" c="202412"/>
        <s v="[BI metrics].[Fin_Period].&amp;[202413]" c="202413"/>
        <s v="[BI metrics].[Fin_Period].&amp;[202414]" c="202414"/>
        <s v="[BI metrics].[Fin_Period].&amp;[202415]" c="202415"/>
        <s v="[BI metrics].[Fin_Period].&amp;[202416]" c="202416"/>
        <s v="[BI metrics].[Fin_Period].&amp;[202417]" c="202417"/>
        <s v="[BI metrics].[Fin_Period].&amp;[202418]" c="202418"/>
        <s v="[BI metrics].[Fin_Period].&amp;[202419]" c="202419"/>
        <s v="[BI metrics].[Fin_Period].&amp;[202420]" c="202420"/>
        <s v="[BI metrics].[Fin_Period].&amp;[202421]" c="202421"/>
        <s v="[BI metrics].[Fin_Period].&amp;[202422]" c="202422"/>
        <s v="[BI metrics].[Fin_Period].&amp;[202423]" c="202423"/>
        <s v="[BI metrics].[Fin_Period].&amp;[202424]" c="202424"/>
        <s v="[BI metrics].[Fin_Period].&amp;[202425]" c="202425"/>
        <s v="[BI metrics].[Fin_Period].&amp;[202426]" c="202426"/>
        <s v="[BI metrics].[Fin_Period].&amp;[202427]" c="202427"/>
        <s v="[BI metrics].[Fin_Period].&amp;[202428]" c="202428"/>
        <s v="[BI metrics].[Fin_Period].&amp;[202429]" c="202429"/>
        <s v="[BI metrics].[Fin_Period].&amp;[202430]" c="202430"/>
        <s v="[BI metrics].[Fin_Period].&amp;[202431]" c="202431"/>
        <s v="[BI metrics].[Fin_Period].&amp;[202432]" c="202432"/>
        <s v="[BI metrics].[Fin_Period].&amp;[202433]" c="202433"/>
        <s v="[BI metrics].[Fin_Period].&amp;[202434]" c="202434"/>
        <s v="[BI metrics].[Fin_Period].&amp;[202435]" c="202435"/>
        <s v="[BI metrics].[Fin_Period].&amp;[202436]" c="202436"/>
        <s v="[BI metrics].[Fin_Period].&amp;[202437]" c="202437"/>
        <s v="[BI metrics].[Fin_Period].&amp;[202438]" c="202438"/>
        <s v="[BI metrics].[Fin_Period].&amp;[202439]" c="202439"/>
        <s v="[BI metrics].[Fin_Period].&amp;[202440]" c="202440"/>
        <s v="[BI metrics].[Fin_Period].&amp;[202441]" c="202441"/>
        <s v="[BI metrics].[Fin_Period].&amp;[202442]" c="202442"/>
        <s v="[BI metrics].[Fin_Period].&amp;[202443]" c="202443"/>
        <s v="[BI metrics].[Fin_Period].&amp;[202444]" c="202444"/>
        <s v="[BI metrics].[Fin_Period].&amp;[202445]" c="202445"/>
        <s v="[BI metrics].[Fin_Period].&amp;[202446]" c="202446"/>
        <s v="[BI metrics].[Fin_Period].&amp;[202447]" c="202447"/>
        <s v="[BI metrics].[Fin_Period].&amp;[202448]" c="202448"/>
        <s v="[BI metrics].[Fin_Period].&amp;[202449]" c="202449"/>
        <s v="[BI metrics].[Fin_Period].&amp;[202450]" c="202450"/>
        <s v="[BI metrics].[Fin_Period].&amp;[202451]" c="202451"/>
        <s v="[BI metrics].[Fin_Period].&amp;[202452]" c="202452"/>
        <s v="[BI metrics].[Fin_Period].&amp;[202501]" c="202501"/>
        <s v="[BI metrics].[Fin_Period].&amp;[202502]" c="202502"/>
        <s v="[BI metrics].[Fin_Period].&amp;[202503]" c="202503"/>
        <s v="[BI metrics].[Fin_Period].&amp;[202504]" c="202504"/>
        <s v="[BI metrics].[Fin_Period].&amp;[202505]" c="202505"/>
        <s v="[BI metrics].[Fin_Period].&amp;[202506]" c="202506"/>
        <s v="[BI metrics].[Fin_Period].&amp;[202507]" c="202507"/>
        <s v="[BI metrics].[Fin_Period].&amp;[202508]" c="202508"/>
        <s v="[BI metrics].[Fin_Period].&amp;[202509]" c="202509"/>
        <s v="[BI metrics].[Fin_Period].&amp;[202510]" c="202510"/>
        <s v="[BI metrics].[Fin_Period].&amp;[202511]" c="202511"/>
        <s v="[BI metrics].[Fin_Period].&amp;[202512]" c="202512"/>
        <s v="[BI metrics].[Fin_Period].&amp;[202513]" c="202513"/>
        <s v="[BI metrics].[Fin_Period].&amp;[202514]" c="202514"/>
        <s v="[BI metrics].[Fin_Period].&amp;[202515]" c="202515"/>
        <s v="[BI metrics].[Fin_Period].&amp;[202516]" c="202516"/>
        <s v="[BI metrics].[Fin_Period].&amp;[202517]" c="202517"/>
        <s v="[BI metrics].[Fin_Period].&amp;[202518]" c="202518"/>
        <s v="[BI metrics].[Fin_Period].&amp;[202519]" c="202519"/>
        <s v="[BI metrics].[Fin_Period].&amp;[202520]" c="202520"/>
        <s v="[BI metrics].[Fin_Period].&amp;[202521]" c="202521"/>
        <s v="[BI metrics].[Fin_Period].&amp;[202522]" c="202522"/>
        <s v="[BI metrics].[Fin_Period].&amp;[202523]" c="202523"/>
        <s v="[BI metrics].[Fin_Period].&amp;[202524]" c="202524"/>
        <s v="[BI metrics].[Fin_Period].&amp;[202525]" c="202525"/>
        <s v="[BI metrics].[Fin_Period].&amp;[202526]" c="202526"/>
        <s v="[BI metrics].[Fin_Period].&amp;[202527]" c="202527"/>
        <s v="[BI metrics].[Fin_Period].&amp;[202528]" c="202528"/>
        <s v="[BI metrics].[Fin_Period].&amp;[202529]" c="202529"/>
        <s v="[BI metrics].[Fin_Period].&amp;[202530]" c="202530"/>
        <s v="[BI metrics].[Fin_Period].&amp;[202531]" c="202531"/>
        <s v="[BI metrics].[Fin_Period].&amp;[202532]" c="202532"/>
        <s v="[BI metrics].[Fin_Period].&amp;[202533]" c="202533"/>
        <s v="[BI metrics].[Fin_Period].&amp;[202534]" c="202534"/>
        <s v="[BI metrics].[Fin_Period].&amp;[202535]" c="202535"/>
        <s v="[BI metrics].[Fin_Period].&amp;[202536]" c="202536"/>
        <s v="[BI metrics].[Fin_Period].&amp;[202537]" c="202537"/>
        <s v="[BI metrics].[Fin_Period].&amp;[202538]" c="202538"/>
        <s v="[BI metrics].[Fin_Period].&amp;[202539]" c="202539"/>
        <s v="[BI metrics].[Fin_Period].&amp;[202540]" c="202540"/>
        <s v="[BI metrics].[Fin_Period].&amp;[202541]" c="202541"/>
        <s v="[BI metrics].[Fin_Period].&amp;[202542]" c="202542"/>
        <s v="[BI metrics].[Fin_Period].&amp;[202543]" c="202543"/>
        <s v="[BI metrics].[Fin_Period].&amp;[202544]" c="202544"/>
        <s v="[BI metrics].[Fin_Period].&amp;[202545]" c="202545"/>
        <s v="[BI metrics].[Fin_Period].&amp;[202546]" c="202546"/>
        <s v="[BI metrics].[Fin_Period].&amp;[202547]" c="202547"/>
        <s v="[BI metrics].[Fin_Period].&amp;[202548]" c="202548"/>
        <s v="[BI metrics].[Fin_Period].&amp;[202549]" c="202549"/>
        <s v="[BI metrics].[Fin_Period].&amp;[202550]" c="202550"/>
        <s v="[BI metrics].[Fin_Period].&amp;[202551]" c="202551"/>
        <s v="[BI metrics].[Fin_Period].&amp;[202552]" c="202552"/>
        <s v="[BI metrics].[Fin_Period].&amp;[202601]" c="202601"/>
        <s v="[BI metrics].[Fin_Period].&amp;[202602]" c="202602"/>
        <s v="[BI metrics].[Fin_Period].&amp;[202603]" c="202603"/>
        <s v="[BI metrics].[Fin_Period].&amp;[202604]" c="202604"/>
        <s v="[BI metrics].[Fin_Period].&amp;[202605]" c="202605"/>
        <s v="[BI metrics].[Fin_Period].&amp;[202606]" c="202606"/>
        <s v="[BI metrics].[Fin_Period].&amp;[202607]" c="202607"/>
        <s v="[BI metrics].[Fin_Period].&amp;[202608]" c="202608"/>
        <s v="[BI metrics].[Fin_Period].&amp;[202609]" c="202609"/>
        <s v="[BI metrics].[Fin_Period].&amp;[202610]" c="202610"/>
        <s v="[BI metrics].[Fin_Period].&amp;[202611]" c="202611"/>
        <s v="[BI metrics].[Fin_Period].&amp;[202612]" c="202612"/>
        <s v="[BI metrics].[Fin_Period].&amp;[202613]" c="202613"/>
        <s v="[BI metrics].[Fin_Period].&amp;[202614]" c="202614"/>
        <s v="[BI metrics].[Fin_Period].&amp;[202615]" c="202615"/>
        <s v="[BI metrics].[Fin_Period].&amp;[202616]" c="202616"/>
        <s v="[BI metrics].[Fin_Period].&amp;[202617]" c="202617"/>
        <s v="[BI metrics].[Fin_Period].&amp;[202618]" c="202618"/>
        <s v="[BI metrics].[Fin_Period].&amp;[202619]" c="202619"/>
        <s v="[BI metrics].[Fin_Period].&amp;[202620]" c="202620"/>
        <s v="[BI metrics].[Fin_Period].&amp;[202621]" c="202621"/>
        <s v="[BI metrics].[Fin_Period].&amp;[202622]" c="202622"/>
        <s v="[BI metrics].[Fin_Period].&amp;[202623]" c="202623"/>
        <s v="[BI metrics].[Fin_Period].&amp;[202624]" c="202624"/>
        <s v="[BI metrics].[Fin_Period].&amp;[202625]" c="202625"/>
        <s v="[BI metrics].[Fin_Period].&amp;[202626]" c="202626"/>
        <s v="[BI metrics].[Fin_Period].&amp;[202627]" c="202627"/>
        <s v="[BI metrics].[Fin_Period].&amp;[202628]" c="202628"/>
        <s v="[BI metrics].[Fin_Period].&amp;[202629]" c="202629"/>
        <s v="[BI metrics].[Fin_Period].&amp;[202630]" c="202630"/>
        <s v="[BI metrics].[Fin_Period].&amp;[202631]" c="202631"/>
        <s v="[BI metrics].[Fin_Period].&amp;[202632]" c="202632"/>
        <s v="[BI metrics].[Fin_Period].&amp;[202633]" c="202633"/>
        <s v="[BI metrics].[Fin_Period].&amp;[202634]" c="202634"/>
        <s v="[BI metrics].[Fin_Period].&amp;[202635]" c="202635"/>
        <s v="[BI metrics].[Fin_Period].&amp;[202636]" c="202636"/>
        <s v="[BI metrics].[Fin_Period].&amp;[202637]" c="202637"/>
        <s v="[BI metrics].[Fin_Period].&amp;[202638]" c="202638"/>
        <s v="[BI metrics].[Fin_Period].&amp;[202639]" c="202639"/>
        <s v="[BI metrics].[Fin_Period].&amp;[202640]" c="202640"/>
        <s v="[BI metrics].[Fin_Period].&amp;[202641]" c="202641"/>
        <s v="[BI metrics].[Fin_Period].&amp;[202642]" c="202642"/>
        <s v="[BI metrics].[Fin_Period].&amp;[202643]" c="202643"/>
        <s v="[BI metrics].[Fin_Period].&amp;[202644]" c="202644"/>
        <s v="[BI metrics].[Fin_Period].&amp;[202645]" c="202645"/>
        <s v="[BI metrics].[Fin_Period].&amp;[202646]" c="202646"/>
        <s v="[BI metrics].[Fin_Period].&amp;[202647]" c="202647"/>
        <s v="[BI metrics].[Fin_Period].&amp;[202648]" c="202648"/>
        <s v="[BI metrics].[Fin_Period].&amp;[202649]" c="202649"/>
        <s v="[BI metrics].[Fin_Period].&amp;[202650]" c="202650"/>
        <s v="[BI metrics].[Fin_Period].&amp;[202651]" c="202651"/>
        <s v="[BI metrics].[Fin_Period].&amp;[202652]" c="202652"/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  <s v="[BI metrics].[Fin_Period].&amp;[202708]" c="202708"/>
        <s v="[BI metrics].[Fin_Period].&amp;[202709]" c="202709"/>
        <s v="[BI metrics].[Fin_Period].&amp;[202710]" c="202710"/>
        <s v="[BI metrics].[Fin_Period].&amp;[202711]" c="202711"/>
        <s v="[BI metrics].[Fin_Period].&amp;[202712]" c="202712"/>
        <s v="[BI metrics].[Fin_Period].&amp;[202713]" c="202713"/>
        <s v="[BI metrics].[Fin_Period].&amp;[202714]" c="202714"/>
        <s v="[BI metrics].[Fin_Period].&amp;[202715]" c="202715"/>
        <s v="[BI metrics].[Fin_Period].&amp;[202716]" c="202716"/>
        <s v="[BI metrics].[Fin_Period].&amp;[202717]" c="202717"/>
        <s v="[BI metrics].[Fin_Period].&amp;[202718]" c="202718"/>
        <s v="[BI metrics].[Fin_Period].&amp;[202719]" c="202719"/>
        <s v="[BI metrics].[Fin_Period].&amp;[202720]" c="202720"/>
        <s v="[BI metrics].[Fin_Period].&amp;[202721]" c="202721"/>
        <s v="[BI metrics].[Fin_Period].&amp;[202722]" c="202722"/>
        <s v="[BI metrics].[Fin_Period].&amp;[202723]" c="202723"/>
        <s v="[BI metrics].[Fin_Period].&amp;[202724]" c="202724"/>
        <s v="[BI metrics].[Fin_Period].&amp;[202725]" c="202725"/>
        <s v="[BI metrics].[Fin_Period].&amp;[202726]" c="202726"/>
        <s v="[BI metrics].[Fin_Period].&amp;[202727]" c="202727"/>
        <s v="[BI metrics].[Fin_Period].&amp;[202728]" c="202728"/>
        <s v="[BI metrics].[Fin_Period].&amp;[202729]" c="202729"/>
        <s v="[BI metrics].[Fin_Period].&amp;[202730]" c="202730"/>
        <s v="[BI metrics].[Fin_Period].&amp;[202731]" c="202731"/>
        <s v="[BI metrics].[Fin_Period].&amp;[202732]" c="202732"/>
        <s v="[BI metrics].[Fin_Period].&amp;[202733]" c="202733"/>
        <s v="[BI metrics].[Fin_Period].&amp;[202734]" c="202734"/>
        <s v="[BI metrics].[Fin_Period].&amp;[202735]" c="202735"/>
        <s v="[BI metrics].[Fin_Period].&amp;[202736]" c="202736"/>
        <s v="[BI metrics].[Fin_Period].&amp;[202737]" c="202737"/>
        <s v="[BI metrics].[Fin_Period].&amp;[202738]" c="202738"/>
        <s v="[BI metrics].[Fin_Period].&amp;[202739]" c="202739"/>
        <s v="[BI metrics].[Fin_Period].&amp;[202740]" c="202740"/>
        <s v="[BI metrics].[Fin_Period].&amp;[202741]" c="202741"/>
        <s v="[BI metrics].[Fin_Period].&amp;[202742]" c="202742"/>
        <s v="[BI metrics].[Fin_Period].&amp;[202743]" c="202743"/>
        <s v="[BI metrics].[Fin_Period].&amp;[202744]" c="202744"/>
        <s v="[BI metrics].[Fin_Period].&amp;[202745]" c="202745"/>
        <s v="[BI metrics].[Fin_Period].&amp;[202746]" c="202746"/>
        <s v="[BI metrics].[Fin_Period].&amp;[202747]" c="202747"/>
        <s v="[BI metrics].[Fin_Period].&amp;[202748]" c="202748"/>
        <s v="[BI metrics].[Fin_Period].&amp;[202749]" c="202749"/>
        <s v="[BI metrics].[Fin_Period].&amp;[202750]" c="202750"/>
        <s v="[BI metrics].[Fin_Period].&amp;[202751]" c="202751"/>
        <s v="[BI metrics].[Fin_Period].&amp;[202752]" c="202752"/>
      </sharedItems>
    </cacheField>
    <cacheField name="[BI metrics].[TimePeriod].[TimePeriod]" caption="TimePeriod" numFmtId="0" hierarchy="60" level="1">
      <sharedItems containsSemiMixedTypes="0" containsString="0"/>
    </cacheField>
    <cacheField name="[BI Item].[Item_Country].[Item_Country]" caption="Item_Country" numFmtId="0" hierarchy="22" level="1">
      <sharedItems containsSemiMixedTypes="0" containsString="0"/>
    </cacheField>
    <cacheField name="[BI Item].[Division].[Division]" caption="Division" numFmtId="0" hierarchy="17" level="1">
      <sharedItems containsSemiMixedTypes="0" containsString="0"/>
    </cacheField>
    <cacheField name="[BI Store].[Branch_Type].[Branch_Type]" caption="Branch_Type" numFmtId="0" hierarchy="69" level="1">
      <sharedItems containsSemiMixedTypes="0" containsString="0"/>
    </cacheField>
    <cacheField name="[BI Store].[Store_Country].[Store_Country]" caption="Store_Country" numFmtId="0" hierarchy="75" level="1">
      <sharedItems containsSemiMixedTypes="0" containsString="0"/>
    </cacheField>
    <cacheField name="[BI vw_BudgetByItemCategory].[Country].[Country]" caption="Country" numFmtId="0" hierarchy="92" level="1">
      <sharedItems containsSemiMixedTypes="0" containsString="0"/>
    </cacheField>
    <cacheField name="[TimePeriodSort].[TimePeriod].[TimePeriod]" caption="TimePeriod" numFmtId="0" hierarchy="284" level="1">
      <sharedItems containsSemiMixedTypes="0" containsString="0"/>
    </cacheField>
    <cacheField name="[BI vw_WeeklyWrittenSalesMetrics].[Branch_Type].[Branch_Type]" caption="Branch_Type" numFmtId="0" hierarchy="199" level="1">
      <sharedItems containsSemiMixedTypes="0" containsString="0"/>
    </cacheField>
    <cacheField name="[BI vw_WeeklyWrittenSalesMetrics].[Division].[Division]" caption="Division" numFmtId="0" hierarchy="209" level="1">
      <sharedItems count="2">
        <s v="[BI vw_WeeklyWrittenSalesMetrics].[Division].&amp;[Furniture]" c="Furniture"/>
        <s v="[BI vw_WeeklyWrittenSalesMetrics].[Division].&amp;[Homewares]" c="Homewares"/>
      </sharedItems>
    </cacheField>
    <cacheField name="[BI vw_WeeklyWrittenSalesMetrics].[Country].[Country]" caption="Country" numFmtId="0" hierarchy="207" level="1">
      <sharedItems containsSemiMixedTypes="0" containsString="0"/>
    </cacheField>
    <cacheField name="[BI vw_WeeklyWrittenSalesMetrics].[Channel].[Channel]" caption="Channel" numFmtId="0" hierarchy="205" level="1">
      <sharedItems count="4">
        <s v="[BI vw_WeeklyWrittenSalesMetrics].[Channel].&amp;" c=""/>
        <s v="[BI vw_WeeklyWrittenSalesMetrics].[Channel].&amp;[Dropship]" c="Dropship"/>
        <s v="[BI vw_WeeklyWrittenSalesMetrics].[Channel].&amp;[In Store]" c="In Store"/>
        <s v="[BI vw_WeeklyWrittenSalesMetrics].[Channel].&amp;[Online]" c="Online"/>
      </sharedItems>
    </cacheField>
    <cacheField name="[Measures].[R-Sales TY $]" caption="R-Sales TY $" numFmtId="0" hierarchy="350" level="32767"/>
  </cacheFields>
  <cacheHierarchies count="579">
    <cacheHierarchy uniqueName="[BI ForecastClass].[BranchType]" caption="BranchType" attribute="1" defaultMemberUniqueName="[BI ForecastClass].[BranchType].[All]" allUniqueName="[BI ForecastClass].[BranchType].[All]" dimensionUniqueName="[BI ForecastClass]" displayFolder="" count="0" memberValueDatatype="130" unbalanced="0"/>
    <cacheHierarchy uniqueName="[BI ForecastClass].[Channel]" caption="Channel" attribute="1" defaultMemberUniqueName="[BI ForecastClass].[Channel].[All]" allUniqueName="[BI ForecastClass].[Channel].[All]" dimensionUniqueName="[BI ForecastClass]" displayFolder="" count="0" memberValueDatatype="130" unbalanced="0"/>
    <cacheHierarchy uniqueName="[BI ForecastClass].[Class]" caption="Class" attribute="1" defaultMemberUniqueName="[BI ForecastClass].[Class].[All]" allUniqueName="[BI ForecastClass].[Class].[All]" dimensionUniqueName="[BI ForecastClass]" displayFolder="" count="0" memberValueDatatype="130" unbalanced="0"/>
    <cacheHierarchy uniqueName="[BI ForecastClass].[Country]" caption="Country" attribute="1" defaultMemberUniqueName="[BI ForecastClass].[Country].[All]" allUniqueName="[BI ForecastClass].[Country].[All]" dimensionUniqueName="[BI ForecastClass]" displayFolder="" count="0" memberValueDatatype="130" unbalanced="0"/>
    <cacheHierarchy uniqueName="[BI ForecastClass].[DepartmentDesc]" caption="DepartmentDesc" attribute="1" defaultMemberUniqueName="[BI ForecastClass].[DepartmentDesc].[All]" allUniqueName="[BI ForecastClass].[DepartmentDesc].[All]" dimensionUniqueName="[BI ForecastClass]" displayFolder="" count="0" memberValueDatatype="130" unbalanced="0"/>
    <cacheHierarchy uniqueName="[BI ForecastClass].[Division]" caption="Division" attribute="1" defaultMemberUniqueName="[BI ForecastClass].[Division].[All]" allUniqueName="[BI ForecastClass].[Division].[All]" dimensionUniqueName="[BI ForecastClass]" displayFolder="" count="0" memberValueDatatype="130" unbalanced="0"/>
    <cacheHierarchy uniqueName="[BI ForecastClass].[Period]" caption="Period" attribute="1" defaultMemberUniqueName="[BI ForecastClass].[Period].[All]" allUniqueName="[BI ForecastClass].[Period].[All]" dimensionUniqueName="[BI ForecastClass]" displayFolder="" count="0" memberValueDatatype="20" unbalanced="0"/>
    <cacheHierarchy uniqueName="[BI ForecastClass].[Storekey]" caption="Storekey" attribute="1" defaultMemberUniqueName="[BI ForecastClass].[Storekey].[All]" allUniqueName="[BI ForecastClass].[Storekey].[All]" dimensionUniqueName="[BI ForecastClass]" displayFolder="" count="0" memberValueDatatype="20" unbalanced="0"/>
    <cacheHierarchy uniqueName="[BI ForecastClass].[SubDepartmentDesc]" caption="SubDepartmentDesc" attribute="1" defaultMemberUniqueName="[BI ForecastClass].[SubDepartmentDesc].[All]" allUniqueName="[BI ForecastClass].[SubDepartmentDesc].[All]" dimensionUniqueName="[BI ForecastClass]" displayFolder="" count="0" memberValueDatatype="130" unbalanced="0"/>
    <cacheHierarchy uniqueName="[BI Item].[AddedDate]" caption="AddedDate" attribute="1" time="1" defaultMemberUniqueName="[BI Item].[AddedDate].[All]" allUniqueName="[BI Item].[AddedDate].[All]" dimensionUniqueName="[BI Item]" displayFolder="" count="0" memberValueDatatype="7" unbalanced="0"/>
    <cacheHierarchy uniqueName="[BI Item].[AUtoNZWholesale]" caption="AUtoNZWholesale" attribute="1" defaultMemberUniqueName="[BI Item].[AUtoNZWholesale].[All]" allUniqueName="[BI Item].[AUtoNZWholesale].[All]" dimensionUniqueName="[BI Item]" displayFolder="" count="0" memberValueDatatype="5" unbalanced="0"/>
    <cacheHierarchy uniqueName="[BI Item].[Base_SKU]" caption="Base_SKU" attribute="1" defaultMemberUniqueName="[BI Item].[Base_SKU].[All]" allUniqueName="[BI Item].[Base_SKU].[All]" dimensionUniqueName="[BI Item]" displayFolder="" count="0" memberValueDatatype="130" unbalanced="0"/>
    <cacheHierarchy uniqueName="[BI Item].[Class]" caption="Class" attribute="1" defaultMemberUniqueName="[BI Item].[Class].[All]" allUniqueName="[BI Item].[Class].[All]" dimensionUniqueName="[BI Item]" displayFolder="" count="0" memberValueDatatype="20" unbalanced="0"/>
    <cacheHierarchy uniqueName="[BI Item].[Cost]" caption="Cost" attribute="1" defaultMemberUniqueName="[BI Item].[Cost].[All]" allUniqueName="[BI Item].[Cost].[All]" dimensionUniqueName="[BI Item]" displayFolder="" count="0" memberValueDatatype="6" unbalanced="0"/>
    <cacheHierarchy uniqueName="[BI Item].[CostAveage]" caption="CostAveage" attribute="1" defaultMemberUniqueName="[BI Item].[CostAveage].[All]" allUniqueName="[BI Item].[CostAveage].[All]" dimensionUniqueName="[BI Item]" displayFolder="" count="0" memberValueDatatype="6" unbalanced="0"/>
    <cacheHierarchy uniqueName="[BI Item].[DepartmentDesc]" caption="DepartmentDesc" attribute="1" defaultMemberUniqueName="[BI Item].[DepartmentDesc].[All]" allUniqueName="[BI Item].[DepartmentDesc].[All]" dimensionUniqueName="[BI Item]" displayFolder="" count="0" memberValueDatatype="130" unbalanced="0"/>
    <cacheHierarchy uniqueName="[BI Item].[Description]" caption="Description" attribute="1" defaultMemberUniqueName="[BI Item].[Description].[All]" allUniqueName="[BI Item].[Description].[All]" dimensionUniqueName="[BI Item]" displayFolder="" count="0" memberValueDatatype="130" unbalanced="0"/>
    <cacheHierarchy uniqueName="[BI Item].[Division]" caption="Division" attribute="1" defaultMemberUniqueName="[BI Item].[Division].[All]" allUniqueName="[BI Item].[Division].[All]" dimensionUniqueName="[BI Item]" displayFolder="" count="2" memberValueDatatype="130" unbalanced="0">
      <fieldsUsage count="2">
        <fieldUsage x="-1"/>
        <fieldUsage x="3"/>
      </fieldsUsage>
    </cacheHierarchy>
    <cacheHierarchy uniqueName="[BI Item].[InActive]" caption="InActive" attribute="1" defaultMemberUniqueName="[BI Item].[InActive].[All]" allUniqueName="[BI Item].[InActive].[All]" dimensionUniqueName="[BI Item]" displayFolder="" count="0" memberValueDatatype="11" unbalanced="0"/>
    <cacheHierarchy uniqueName="[BI Item].[Infinity_UPC]" caption="Infinity_UPC" attribute="1" defaultMemberUniqueName="[BI Item].[Infinity_UPC].[All]" allUniqueName="[BI Item].[Infinity_UPC].[All]" dimensionUniqueName="[BI Item]" displayFolder="" count="0" memberValueDatatype="130" unbalanced="0"/>
    <cacheHierarchy uniqueName="[BI Item].[IsChanged]" caption="IsChanged" attribute="1" defaultMemberUniqueName="[BI Item].[IsChanged].[All]" allUniqueName="[BI Item].[IsChanged].[All]" dimensionUniqueName="[BI Item]" displayFolder="" count="0" memberValueDatatype="11" unbalanced="0"/>
    <cacheHierarchy uniqueName="[BI Item].[Item_Class_Desc]" caption="Item_Class_Desc" attribute="1" defaultMemberUniqueName="[BI Item].[Item_Class_Desc].[All]" allUniqueName="[BI Item].[Item_Class_Desc].[All]" dimensionUniqueName="[BI Item]" displayFolder="" count="0" memberValueDatatype="130" unbalanced="0"/>
    <cacheHierarchy uniqueName="[BI Item].[Item_Country]" caption="Item_Country" attribute="1" defaultMemberUniqueName="[BI Item].[Item_Country].[All]" allUniqueName="[BI Item].[Item_Country].[All]" dimensionUniqueName="[BI Item]" displayFolder="" count="2" memberValueDatatype="130" unbalanced="0">
      <fieldsUsage count="2">
        <fieldUsage x="-1"/>
        <fieldUsage x="2"/>
      </fieldsUsage>
    </cacheHierarchy>
    <cacheHierarchy uniqueName="[BI Item].[Item_Type]" caption="Item_Type" attribute="1" defaultMemberUniqueName="[BI Item].[Item_Type].[All]" allUniqueName="[BI Item].[Item_Type].[All]" dimensionUniqueName="[BI Item]" displayFolder="" count="0" memberValueDatatype="130" unbalanced="0"/>
    <cacheHierarchy uniqueName="[BI Item].[ItemKey]" caption="ItemKey" attribute="1" defaultMemberUniqueName="[BI Item].[ItemKey].[All]" allUniqueName="[BI Item].[ItemKey].[All]" dimensionUniqueName="[BI Item]" displayFolder="" count="0" memberValueDatatype="20" unbalanced="0"/>
    <cacheHierarchy uniqueName="[BI Item].[NonStock]" caption="NonStock" attribute="1" defaultMemberUniqueName="[BI Item].[NonStock].[All]" allUniqueName="[BI Item].[NonStock].[All]" dimensionUniqueName="[BI Item]" displayFolder="" count="0" memberValueDatatype="11" unbalanced="0"/>
    <cacheHierarchy uniqueName="[BI Item].[Price]" caption="Price" attribute="1" defaultMemberUniqueName="[BI Item].[Price].[All]" allUniqueName="[BI Item].[Price].[All]" dimensionUniqueName="[BI Item]" displayFolder="" count="0" memberValueDatatype="6" unbalanced="0"/>
    <cacheHierarchy uniqueName="[BI Item].[Product_Cate_Key]" caption="Product_Cate_Key" attribute="1" defaultMemberUniqueName="[BI Item].[Product_Cate_Key].[All]" allUniqueName="[BI Item].[Product_Cate_Key].[All]" dimensionUniqueName="[BI Item]" displayFolder="" count="0" memberValueDatatype="20" unbalanced="0"/>
    <cacheHierarchy uniqueName="[BI Item].[Product_Status]" caption="Product_Status" attribute="1" defaultMemberUniqueName="[BI Item].[Product_Status].[All]" allUniqueName="[BI Item].[Product_Status].[All]" dimensionUniqueName="[BI Item]" displayFolder="" count="0" memberValueDatatype="130" unbalanced="0"/>
    <cacheHierarchy uniqueName="[BI Item].[Product_Sub_Cate_Key]" caption="Product_Sub_Cate_Key" attribute="1" defaultMemberUniqueName="[BI Item].[Product_Sub_Cate_Key].[All]" allUniqueName="[BI Item].[Product_Sub_Cate_Key].[All]" dimensionUniqueName="[BI Item]" displayFolder="" count="0" memberValueDatatype="20" unbalanced="0"/>
    <cacheHierarchy uniqueName="[BI Item].[PurchaseCost]" caption="PurchaseCost" attribute="1" defaultMemberUniqueName="[BI Item].[PurchaseCost].[All]" allUniqueName="[BI Item].[PurchaseCost].[All]" dimensionUniqueName="[BI Item]" displayFolder="" count="0" memberValueDatatype="6" unbalanced="0"/>
    <cacheHierarchy uniqueName="[BI Item].[PurchaseQty]" caption="PurchaseQty" attribute="1" defaultMemberUniqueName="[BI Item].[PurchaseQty].[All]" allUniqueName="[BI Item].[PurchaseQty].[All]" dimensionUniqueName="[BI Item]" displayFolder="" count="0" memberValueDatatype="5" unbalanced="0"/>
    <cacheHierarchy uniqueName="[BI Item].[Range]" caption="Range" attribute="1" defaultMemberUniqueName="[BI Item].[Range].[All]" allUniqueName="[BI Item].[Range].[All]" dimensionUniqueName="[BI Item]" displayFolder="" count="0" memberValueDatatype="130" unbalanced="0"/>
    <cacheHierarchy uniqueName="[BI Item].[Season]" caption="Season" attribute="1" defaultMemberUniqueName="[BI Item].[Season].[All]" allUniqueName="[BI Item].[Season].[All]" dimensionUniqueName="[BI Item]" displayFolder="" count="0" memberValueDatatype="130" unbalanced="0"/>
    <cacheHierarchy uniqueName="[BI Item].[SellingQty]" caption="SellingQty" attribute="1" defaultMemberUniqueName="[BI Item].[SellingQty].[All]" allUniqueName="[BI Item].[SellingQty].[All]" dimensionUniqueName="[BI Item]" displayFolder="" count="0" memberValueDatatype="5" unbalanced="0"/>
    <cacheHierarchy uniqueName="[BI Item].[StockType]" caption="StockType" attribute="1" defaultMemberUniqueName="[BI Item].[StockType].[All]" allUniqueName="[BI Item].[StockType].[All]" dimensionUniqueName="[BI Item]" displayFolder="" count="0" memberValueDatatype="130" unbalanced="0"/>
    <cacheHierarchy uniqueName="[BI Item].[SubDepartmentDesc]" caption="SubDepartmentDesc" attribute="1" defaultMemberUniqueName="[BI Item].[SubDepartmentDesc].[All]" allUniqueName="[BI Item].[SubDepartmentDesc].[All]" dimensionUniqueName="[BI Item]" displayFolder="" count="0" memberValueDatatype="130" unbalanced="0"/>
    <cacheHierarchy uniqueName="[BI Item].[Supplier_Code]" caption="Supplier_Code" attribute="1" defaultMemberUniqueName="[BI Item].[Supplier_Code].[All]" allUniqueName="[BI Item].[Supplier_Code].[All]" dimensionUniqueName="[BI Item]" displayFolder="" count="0" memberValueDatatype="130" unbalanced="0"/>
    <cacheHierarchy uniqueName="[BI Item].[TaxType]" caption="TaxType" attribute="1" defaultMemberUniqueName="[BI Item].[TaxType].[All]" allUniqueName="[BI Item].[TaxType].[All]" dimensionUniqueName="[BI Item]" displayFolder="" count="0" memberValueDatatype="130" unbalanced="0"/>
    <cacheHierarchy uniqueName="[BI Item].[Unit]" caption="Unit" attribute="1" defaultMemberUniqueName="[BI Item].[Unit].[All]" allUniqueName="[BI Item].[Unit].[All]" dimensionUniqueName="[BI Item]" displayFolder="" count="0" memberValueDatatype="130" unbalanced="0"/>
    <cacheHierarchy uniqueName="[BI Item].[UpdatedDate]" caption="UpdatedDate" attribute="1" time="1" defaultMemberUniqueName="[BI Item].[UpdatedDate].[All]" allUniqueName="[BI Item].[UpdatedDate].[All]" dimensionUniqueName="[BI Item]" displayFolder="" count="0" memberValueDatatype="7" unbalanced="0"/>
    <cacheHierarchy uniqueName="[BI Item].[Wholesale]" caption="Wholesale" attribute="1" defaultMemberUniqueName="[BI Item].[Wholesale].[All]" allUniqueName="[BI Item].[Wholesale].[All]" dimensionUniqueName="[BI Item]" displayFolder="" count="0" memberValueDatatype="5" unbalanced="0"/>
    <cacheHierarchy uniqueName="[BI metrics].[Current Date]" caption="Current Date" attribute="1" time="1" defaultMemberUniqueName="[BI metrics].[Current Date].[All]" allUniqueName="[BI metrics].[Current Date].[All]" dimensionUniqueName="[BI metrics]" displayFolder="" count="0" memberValueDatatype="7" unbalanced="0"/>
    <cacheHierarchy uniqueName="[BI metrics].[Date]" caption="Date" attribute="1" time="1" defaultMemberUniqueName="[BI metrics].[Date].[All]" allUniqueName="[BI metrics].[Date].[All]" dimensionUniqueName="[BI metrics]" displayFolder="" count="0" memberValueDatatype="7" unbalanced="0"/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0"/>
      </fieldsUsage>
    </cacheHierarchy>
    <cacheHierarchy uniqueName="[BI metrics].[finPeriod_Before]" caption="finPeriod_Before" attribute="1" defaultMemberUniqueName="[BI metrics].[finPeriod_Before].[All]" allUniqueName="[BI metrics].[finPeriod_Before].[All]" dimensionUniqueName="[BI metrics]" displayFolder="" count="0" memberValueDatatype="130" unbalanced="0"/>
    <cacheHierarchy uniqueName="[BI metrics].[finPeriod_Before_Trend]" caption="finPeriod_Before_Trend" attribute="1" defaultMemberUniqueName="[BI metrics].[finPeriod_Before_Trend].[All]" allUniqueName="[BI metrics].[finPeriod_Before_Trend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2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20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20" unbalanced="0"/>
    <cacheHierarchy uniqueName="[BI metrics].[Min_Year]" caption="Min_Year" attribute="1" time="1" defaultMemberUniqueName="[BI metrics].[Min_Year].[All]" allUniqueName="[BI metrics].[Min_Year].[All]" dimensionUniqueName="[BI metrics]" displayFolder="" count="0" memberValueDatatype="7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1"/>
      </fieldsUsage>
    </cacheHierarchy>
    <cacheHierarchy uniqueName="[BI metrics].[TimePeriodSort]" caption="TimePeriodSort" attribute="1" defaultMemberUniqueName="[BI metrics].[TimePeriodSort].[All]" allUniqueName="[BI metrics].[TimePeriodSort].[All]" dimensionUniqueName="[BI metrics]" displayFolder="" count="0" memberValueDatatype="20" unbalanced="0"/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 Int]" caption="Year Int" attribute="1" defaultMemberUniqueName="[BI metrics].[Year Int].[All]" allUniqueName="[BI metrics].[Year Int].[All]" dimensionUniqueName="[BI metrics]" displayFolder="" count="0" memberValueDatatype="2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metrics].[Year_New]" caption="Year_New" attribute="1" defaultMemberUniqueName="[BI metrics].[Year_New].[All]" allUniqueName="[BI metrics].[Year_New].[All]" dimensionUniqueName="[BI metrics]" displayFolder="" count="0" memberValueDatatype="20" unbalanced="0"/>
    <cacheHierarchy uniqueName="[BI Store].[Area_Leader]" caption="Area_Leader" attribute="1" defaultMemberUniqueName="[BI Store].[Area_Leader].[All]" allUniqueName="[BI Store].[Area_Leader].[All]" dimensionUniqueName="[BI Store]" displayFolder="" count="0" memberValueDatatype="130" unbalanced="0"/>
    <cacheHierarchy uniqueName="[BI Store].[Area_Leader_New]" caption="Area_Leader_New" attribute="1" defaultMemberUniqueName="[BI Store].[Area_Leader_New].[All]" allUniqueName="[BI Store].[Area_Leader_New].[All]" dimensionUniqueName="[BI Store]" displayFolder="" count="0" memberValueDatatype="130" unbalanced="0"/>
    <cacheHierarchy uniqueName="[BI Store].[Branch_Type]" caption="Branch_Type" attribute="1" defaultMemberUniqueName="[BI Store].[Branch_Type].[All]" allUniqueName="[BI Store].[Branch_Type].[All]" dimensionUniqueName="[BI Store]" displayFolder="" count="2" memberValueDatatype="130" unbalanced="0">
      <fieldsUsage count="2">
        <fieldUsage x="-1"/>
        <fieldUsage x="4"/>
      </fieldsUsage>
    </cacheHierarchy>
    <cacheHierarchy uniqueName="[BI Store].[FreedomArea]" caption="FreedomArea" attribute="1" defaultMemberUniqueName="[BI Store].[FreedomArea].[All]" allUniqueName="[BI Store].[FreedomArea].[All]" dimensionUniqueName="[BI Store]" displayFolder="" count="0" memberValueDatatype="5" unbalanced="0"/>
    <cacheHierarchy uniqueName="[BI Store].[IsDC]" caption="IsDC" attribute="1" defaultMemberUniqueName="[BI Store].[IsDC].[All]" allUniqueName="[BI Store].[IsDC].[All]" dimensionUniqueName="[BI Store]" displayFolder="" count="0" memberValueDatatype="11" unbalanced="0"/>
    <cacheHierarchy uniqueName="[BI Store].[IsHO]" caption="IsHO" attribute="1" defaultMemberUniqueName="[BI Store].[IsHO].[All]" allUniqueName="[BI Store].[IsHO].[All]" dimensionUniqueName="[BI Store]" displayFolder="" count="0" memberValueDatatype="11" unbalanced="0"/>
    <cacheHierarchy uniqueName="[BI Store].[Store State Sort]" caption="Store State Sort" attribute="1" defaultMemberUniqueName="[BI Store].[Store State Sort].[All]" allUniqueName="[BI Store].[Store State Sort].[All]" dimensionUniqueName="[BI Store]" displayFolder="" count="0" memberValueDatatype="20" unbalanced="0"/>
    <cacheHierarchy uniqueName="[BI Store].[Store_Code]" caption="Store_Code" attribute="1" defaultMemberUniqueName="[BI Store].[Store_Code].[All]" allUniqueName="[BI Store].[Store_Code].[All]" dimensionUniqueName="[BI Store]" displayFolder="" count="0" memberValueDatatype="130" unbalanced="0"/>
    <cacheHierarchy uniqueName="[BI Store].[Store_Country]" caption="Store_Country" attribute="1" defaultMemberUniqueName="[BI Store].[Store_Country].[All]" allUniqueName="[BI Store].[Store_Country].[All]" dimensionUniqueName="[BI Store]" displayFolder="" count="2" memberValueDatatype="130" unbalanced="0">
      <fieldsUsage count="2">
        <fieldUsage x="-1"/>
        <fieldUsage x="5"/>
      </fieldsUsage>
    </cacheHierarchy>
    <cacheHierarchy uniqueName="[BI Store].[Store_Name]" caption="Store_Name" attribute="1" defaultMemberUniqueName="[BI Store].[Store_Name].[All]" allUniqueName="[BI Store].[Store_Name].[All]" dimensionUniqueName="[BI Store]" displayFolder="" count="0" memberValueDatatype="130" unbalanced="0"/>
    <cacheHierarchy uniqueName="[BI Store].[Store_State]" caption="Store_State" attribute="1" defaultMemberUniqueName="[BI Store].[Store_State].[All]" allUniqueName="[BI Store].[Store_State].[All]" dimensionUniqueName="[BI Store]" displayFolder="" count="0" memberValueDatatype="130" unbalanced="0"/>
    <cacheHierarchy uniqueName="[BI Store].[Store_Type]" caption="Store_Type" attribute="1" defaultMemberUniqueName="[BI Store].[Store_Type].[All]" allUniqueName="[BI Store].[Store_Type].[All]" dimensionUniqueName="[BI Store]" displayFolder="" count="0" memberValueDatatype="130" unbalanced="0"/>
    <cacheHierarchy uniqueName="[BI Store].[StoreKey]" caption="StoreKey" attribute="1" defaultMemberUniqueName="[BI Store].[StoreKey].[All]" allUniqueName="[BI Store].[StoreKey].[All]" dimensionUniqueName="[BI Store]" displayFolder="" count="0" memberValueDatatype="130" unbalanced="0"/>
    <cacheHierarchy uniqueName="[BI Store].[SubLeasedArea]" caption="SubLeasedArea" attribute="1" defaultMemberUniqueName="[BI Store].[SubLeasedArea].[All]" allUniqueName="[BI Store].[SubLeasedArea].[All]" dimensionUniqueName="[BI Store]" displayFolder="" count="0" memberValueDatatype="5" unbalanced="0"/>
    <cacheHierarchy uniqueName="[BI Store].[SubLeasedCompany]" caption="SubLeasedCompany" attribute="1" defaultMemberUniqueName="[BI Store].[SubLeasedCompany].[All]" allUniqueName="[BI Store].[SubLeasedCompany].[All]" dimensionUniqueName="[BI Store]" displayFolder="" count="0" memberValueDatatype="130" unbalanced="0"/>
    <cacheHierarchy uniqueName="[BI Store].[TotalArea]" caption="TotalArea" attribute="1" defaultMemberUniqueName="[BI Store].[TotalArea].[All]" allUniqueName="[BI Store].[TotalArea].[All]" dimensionUniqueName="[BI Store]" displayFolder="" count="0" memberValueDatatype="5" unbalanced="0"/>
    <cacheHierarchy uniqueName="[BI Store State Sort].[Sort No]" caption="Sort No" attribute="1" defaultMemberUniqueName="[BI Store State Sort].[Sort No].[All]" allUniqueName="[BI Store State Sort].[Sort No].[All]" dimensionUniqueName="[BI Store State Sort]" displayFolder="" count="0" memberValueDatatype="20" unbalanced="0"/>
    <cacheHierarchy uniqueName="[BI Store State Sort].[State Name]" caption="State Name" attribute="1" defaultMemberUniqueName="[BI Store State Sort].[State Name].[All]" allUniqueName="[BI Store State Sort].[State Name].[All]" dimensionUniqueName="[BI Store State Sort]" displayFolder="" count="0" memberValueDatatype="130" unbalanced="0"/>
    <cacheHierarchy uniqueName="[BI vw_BudgetByItemCategory].[BudgetDollar]" caption="BudgetDollar" attribute="1" defaultMemberUniqueName="[BI vw_BudgetByItemCategory].[BudgetDollar].[All]" allUniqueName="[BI vw_BudgetByItemCategory].[BudgetDollar].[All]" dimensionUniqueName="[BI vw_BudgetByItemCategory]" displayFolder="" count="0" memberValueDatatype="20" unbalanced="0"/>
    <cacheHierarchy uniqueName="[BI vw_BudgetByItemCategory].[BudgetGMDollar]" caption="BudgetGMDollar" attribute="1" defaultMemberUniqueName="[BI vw_BudgetByItemCategory].[BudgetGMDollar].[All]" allUniqueName="[BI vw_BudgetByItemCategory].[BudgetGMDollar].[All]" dimensionUniqueName="[BI vw_BudgetByItemCategory]" displayFolder="" count="0" memberValueDatatype="20" unbalanced="0"/>
    <cacheHierarchy uniqueName="[BI vw_BudgetByItemCategory].[BudgetMarkDown]" caption="BudgetMarkDown" attribute="1" defaultMemberUniqueName="[BI vw_BudgetByItemCategory].[BudgetMarkDown].[All]" allUniqueName="[BI vw_BudgetByItemCategory].[BudgetMarkDown].[All]" dimensionUniqueName="[BI vw_BudgetByItemCategory]" displayFolder="" count="0" memberValueDatatype="20" unbalanced="0"/>
    <cacheHierarchy uniqueName="[BI vw_BudgetByItemCategory].[BudgetPeriod]" caption="BudgetPeriod" attribute="1" defaultMemberUniqueName="[BI vw_BudgetByItemCategory].[BudgetPeriod].[All]" allUniqueName="[BI vw_BudgetByItemCategory].[BudgetPeriod].[All]" dimensionUniqueName="[BI vw_BudgetByItemCategory]" displayFolder="" count="0" memberValueDatatype="20" unbalanced="0"/>
    <cacheHierarchy uniqueName="[BI vw_BudgetByItemCategory].[BudgetWeek]" caption="BudgetWeek" attribute="1" defaultMemberUniqueName="[BI vw_BudgetByItemCategory].[BudgetWeek].[All]" allUniqueName="[BI vw_BudgetByItemCategory].[BudgetWeek].[All]" dimensionUniqueName="[BI vw_BudgetByItemCategory]" displayFolder="" count="0" memberValueDatatype="20" unbalanced="0"/>
    <cacheHierarchy uniqueName="[BI vw_BudgetByItemCategory].[BudgetYear]" caption="BudgetYear" attribute="1" defaultMemberUniqueName="[BI vw_BudgetByItemCategory].[BudgetYear].[All]" allUniqueName="[BI vw_BudgetByItemCategory].[BudgetYear].[All]" dimensionUniqueName="[BI vw_BudgetByItemCategory]" displayFolder="" count="0" memberValueDatatype="20" unbalanced="0"/>
    <cacheHierarchy uniqueName="[BI vw_BudgetByItemCategory].[Channel]" caption="Channel" attribute="1" defaultMemberUniqueName="[BI vw_BudgetByItemCategory].[Channel].[All]" allUniqueName="[BI vw_BudgetByItemCategory].[Channel].[All]" dimensionUniqueName="[BI vw_BudgetByItemCategory]" displayFolder="" count="0" memberValueDatatype="130" unbalanced="0"/>
    <cacheHierarchy uniqueName="[BI vw_BudgetByItemCategory].[Country]" caption="Country" attribute="1" defaultMemberUniqueName="[BI vw_BudgetByItemCategory].[Country].[All]" allUniqueName="[BI vw_BudgetByItemCategory].[Country].[All]" dimensionUniqueName="[BI vw_BudgetByItemCategory]" displayFolder="" count="2" memberValueDatatype="130" unbalanced="0">
      <fieldsUsage count="2">
        <fieldUsage x="-1"/>
        <fieldUsage x="6"/>
      </fieldsUsage>
    </cacheHierarchy>
    <cacheHierarchy uniqueName="[BI vw_BudgetByItemCategory].[DepartmentDesc]" caption="DepartmentDesc" attribute="1" defaultMemberUniqueName="[BI vw_BudgetByItemCategory].[DepartmentDesc].[All]" allUniqueName="[BI vw_BudgetByItemCategory].[DepartmentDesc].[All]" dimensionUniqueName="[BI vw_BudgetByItemCategory]" displayFolder="" count="0" memberValueDatatype="130" unbalanced="0"/>
    <cacheHierarchy uniqueName="[BI vw_BudgetByItemCategory].[Division]" caption="Division" attribute="1" defaultMemberUniqueName="[BI vw_BudgetByItemCategory].[Division].[All]" allUniqueName="[BI vw_BudgetByItemCategory].[Division].[All]" dimensionUniqueName="[BI vw_BudgetByItemCategory]" displayFolder="" count="0" memberValueDatatype="130" unbalanced="0"/>
    <cacheHierarchy uniqueName="[BI vw_BudgetByItemCategory].[JoinKey]" caption="JoinKey" attribute="1" defaultMemberUniqueName="[BI vw_BudgetByItemCategory].[JoinKey].[All]" allUniqueName="[BI vw_BudgetByItemCategory].[JoinKey].[All]" dimensionUniqueName="[BI vw_BudgetByItemCategory]" displayFolder="" count="0" memberValueDatatype="130" unbalanced="0"/>
    <cacheHierarchy uniqueName="[BI vw_BudgetByItemCategory].[Sale$ Pure]" caption="Sale$ Pure" attribute="1" defaultMemberUniqueName="[BI vw_BudgetByItemCategory].[Sale$ Pure].[All]" allUniqueName="[BI vw_BudgetByItemCategory].[Sale$ Pure].[All]" dimensionUniqueName="[BI vw_BudgetByItemCategory]" displayFolder="" count="0" memberValueDatatype="20" unbalanced="0"/>
    <cacheHierarchy uniqueName="[BI vw_BudgetByItemCategory].[Sales GM%]" caption="Sales GM%" attribute="1" defaultMemberUniqueName="[BI vw_BudgetByItemCategory].[Sales GM%].[All]" allUniqueName="[BI vw_BudgetByItemCategory].[Sales GM%].[All]" dimensionUniqueName="[BI vw_BudgetByItemCategory]" displayFolder="" count="0" memberValueDatatype="20" unbalanced="0"/>
    <cacheHierarchy uniqueName="[BI vw_BudgetByItemCategory].[Sales GM% Pure]" caption="Sales GM% Pure" attribute="1" defaultMemberUniqueName="[BI vw_BudgetByItemCategory].[Sales GM% Pure].[All]" allUniqueName="[BI vw_BudgetByItemCategory].[Sales GM% Pure].[All]" dimensionUniqueName="[BI vw_BudgetByItemCategory]" displayFolder="" count="0" memberValueDatatype="20" unbalanced="0"/>
    <cacheHierarchy uniqueName="[BI vw_BudgetByItemCategory].[StoreType]" caption="StoreType" attribute="1" defaultMemberUniqueName="[BI vw_BudgetByItemCategory].[StoreType].[All]" allUniqueName="[BI vw_BudgetByItemCategory].[StoreType].[All]" dimensionUniqueName="[BI vw_BudgetByItemCategory]" displayFolder="" count="0" memberValueDatatype="130" unbalanced="0"/>
    <cacheHierarchy uniqueName="[BI vw_BudgetByItemCategory].[SubDepartmentDesc]" caption="SubDepartmentDesc" attribute="1" defaultMemberUniqueName="[BI vw_BudgetByItemCategory].[SubDepartmentDesc].[All]" allUniqueName="[BI vw_BudgetByItemCategory].[SubDepartmentDesc].[All]" dimensionUniqueName="[BI vw_BudgetByItemCategory]" displayFolder="" count="0" memberValueDatatype="130" unbalanced="0"/>
    <cacheHierarchy uniqueName="[BI vw_BudgetByStore].[BudgetDollar]" caption="BudgetDollar" attribute="1" defaultMemberUniqueName="[BI vw_BudgetByStore].[BudgetDollar].[All]" allUniqueName="[BI vw_BudgetByStore].[BudgetDollar].[All]" dimensionUniqueName="[BI vw_BudgetByStore]" displayFolder="" count="0" memberValueDatatype="5" unbalanced="0"/>
    <cacheHierarchy uniqueName="[BI vw_BudgetByStore].[BudgetPeriod]" caption="BudgetPeriod" attribute="1" defaultMemberUniqueName="[BI vw_BudgetByStore].[BudgetPeriod].[All]" allUniqueName="[BI vw_BudgetByStore].[BudgetPeriod].[All]" dimensionUniqueName="[BI vw_BudgetByStore]" displayFolder="" count="0" memberValueDatatype="20" unbalanced="0"/>
    <cacheHierarchy uniqueName="[BI vw_BudgetByStore].[BudgetWeek]" caption="BudgetWeek" attribute="1" defaultMemberUniqueName="[BI vw_BudgetByStore].[BudgetWeek].[All]" allUniqueName="[BI vw_BudgetByStore].[BudgetWeek].[All]" dimensionUniqueName="[BI vw_BudgetByStore]" displayFolder="" count="0" memberValueDatatype="20" unbalanced="0"/>
    <cacheHierarchy uniqueName="[BI vw_BudgetByStore].[BudgetYear]" caption="BudgetYear" attribute="1" defaultMemberUniqueName="[BI vw_BudgetByStore].[BudgetYear].[All]" allUniqueName="[BI vw_BudgetByStore].[BudgetYear].[All]" dimensionUniqueName="[BI vw_BudgetByStore]" displayFolder="" count="0" memberValueDatatype="20" unbalanced="0"/>
    <cacheHierarchy uniqueName="[BI vw_BudgetByStore].[Channel]" caption="Channel" attribute="1" defaultMemberUniqueName="[BI vw_BudgetByStore].[Channel].[All]" allUniqueName="[BI vw_BudgetByStore].[Channel].[All]" dimensionUniqueName="[BI vw_BudgetByStore]" displayFolder="" count="0" memberValueDatatype="130" unbalanced="0"/>
    <cacheHierarchy uniqueName="[BI vw_BudgetByStore].[Country]" caption="Country" attribute="1" defaultMemberUniqueName="[BI vw_BudgetByStore].[Country].[All]" allUniqueName="[BI vw_BudgetByStore].[Country].[All]" dimensionUniqueName="[BI vw_BudgetByStore]" displayFolder="" count="0" memberValueDatatype="130" unbalanced="0"/>
    <cacheHierarchy uniqueName="[BI vw_BudgetByStore].[Division]" caption="Division" attribute="1" defaultMemberUniqueName="[BI vw_BudgetByStore].[Division].[All]" allUniqueName="[BI vw_BudgetByStore].[Division].[All]" dimensionUniqueName="[BI vw_BudgetByStore]" displayFolder="" count="0" memberValueDatatype="130" unbalanced="0"/>
    <cacheHierarchy uniqueName="[BI vw_BudgetByStore].[JoinKey]" caption="JoinKey" attribute="1" defaultMemberUniqueName="[BI vw_BudgetByStore].[JoinKey].[All]" allUniqueName="[BI vw_BudgetByStore].[JoinKey].[All]" dimensionUniqueName="[BI vw_BudgetByStore]" displayFolder="" count="0" memberValueDatatype="130" unbalanced="0"/>
    <cacheHierarchy uniqueName="[BI vw_BudgetByStore].[Store]" caption="Store" attribute="1" defaultMemberUniqueName="[BI vw_BudgetByStore].[Store].[All]" allUniqueName="[BI vw_BudgetByStore].[Store].[All]" dimensionUniqueName="[BI vw_BudgetByStore]" displayFolder="" count="0" memberValueDatatype="130" unbalanced="0"/>
    <cacheHierarchy uniqueName="[BI vw_BudgetByStore].[StoreKey]" caption="StoreKey" attribute="1" defaultMemberUniqueName="[BI vw_BudgetByStore].[StoreKey].[All]" allUniqueName="[BI vw_BudgetByStore].[StoreKey].[All]" dimensionUniqueName="[BI vw_BudgetByStore]" displayFolder="" count="0" memberValueDatatype="130" unbalanced="0"/>
    <cacheHierarchy uniqueName="[BI vw_BudgetByWeek].[BudgetPeriod]" caption="BudgetPeriod" attribute="1" defaultMemberUniqueName="[BI vw_BudgetByWeek].[BudgetPeriod].[All]" allUniqueName="[BI vw_BudgetByWeek].[BudgetPeriod].[All]" dimensionUniqueName="[BI vw_BudgetByWeek]" displayFolder="" count="0" memberValueDatatype="20" unbalanced="0"/>
    <cacheHierarchy uniqueName="[BI vw_BudgetByWeek].[BudgetWeek]" caption="BudgetWeek" attribute="1" defaultMemberUniqueName="[BI vw_BudgetByWeek].[BudgetWeek].[All]" allUniqueName="[BI vw_BudgetByWeek].[BudgetWeek].[All]" dimensionUniqueName="[BI vw_BudgetByWeek]" displayFolder="" count="0" memberValueDatatype="20" unbalanced="0"/>
    <cacheHierarchy uniqueName="[BI vw_BudgetByWeek].[BudgetYear]" caption="BudgetYear" attribute="1" defaultMemberUniqueName="[BI vw_BudgetByWeek].[BudgetYear].[All]" allUniqueName="[BI vw_BudgetByWeek].[BudgetYear].[All]" dimensionUniqueName="[BI vw_BudgetByWeek]" displayFolder="" count="0" memberValueDatatype="20" unbalanced="0"/>
    <cacheHierarchy uniqueName="[BI vw_BudgetByWeek].[Channel]" caption="Channel" attribute="1" defaultMemberUniqueName="[BI vw_BudgetByWeek].[Channel].[All]" allUniqueName="[BI vw_BudgetByWeek].[Channel].[All]" dimensionUniqueName="[BI vw_BudgetByWeek]" displayFolder="" count="0" memberValueDatatype="130" unbalanced="0"/>
    <cacheHierarchy uniqueName="[BI vw_BudgetByWeek].[Country]" caption="Country" attribute="1" defaultMemberUniqueName="[BI vw_BudgetByWeek].[Country].[All]" allUniqueName="[BI vw_BudgetByWeek].[Country].[All]" dimensionUniqueName="[BI vw_BudgetByWeek]" displayFolder="" count="0" memberValueDatatype="130" unbalanced="0"/>
    <cacheHierarchy uniqueName="[BI vw_BudgetByWeek].[FootTrafficBudget]" caption="FootTrafficBudget" attribute="1" defaultMemberUniqueName="[BI vw_BudgetByWeek].[FootTrafficBudget].[All]" allUniqueName="[BI vw_BudgetByWeek].[FootTrafficBudget].[All]" dimensionUniqueName="[BI vw_BudgetByWeek]" displayFolder="" count="0" memberValueDatatype="5" unbalanced="0"/>
    <cacheHierarchy uniqueName="[BI vw_BudgetByWeek].[ID]" caption="ID" attribute="1" defaultMemberUniqueName="[BI vw_BudgetByWeek].[ID].[All]" allUniqueName="[BI vw_BudgetByWeek].[ID].[All]" dimensionUniqueName="[BI vw_BudgetByWeek]" displayFolder="" count="0" memberValueDatatype="20" unbalanced="0"/>
    <cacheHierarchy uniqueName="[BI vw_BudgetByWeek].[joinKey]" caption="joinKey" attribute="1" defaultMemberUniqueName="[BI vw_BudgetByWeek].[joinKey].[All]" allUniqueName="[BI vw_BudgetByWeek].[joinKey].[All]" dimensionUniqueName="[BI vw_BudgetByWeek]" displayFolder="" count="0" memberValueDatatype="130" unbalanced="0"/>
    <cacheHierarchy uniqueName="[BI vw_BudgetByWeek].[NumberOfTransactionBudget]" caption="NumberOfTransactionBudget" attribute="1" defaultMemberUniqueName="[BI vw_BudgetByWeek].[NumberOfTransactionBudget].[All]" allUniqueName="[BI vw_BudgetByWeek].[NumberOfTransactionBudget].[All]" dimensionUniqueName="[BI vw_BudgetByWeek]" displayFolder="" count="0" memberValueDatatype="5" unbalanced="0"/>
    <cacheHierarchy uniqueName="[BI vw_BudgetByWeek].[Store]" caption="Store" attribute="1" defaultMemberUniqueName="[BI vw_BudgetByWeek].[Store].[All]" allUniqueName="[BI vw_BudgetByWeek].[Store].[All]" dimensionUniqueName="[BI vw_BudgetByWeek]" displayFolder="" count="0" memberValueDatatype="130" unbalanced="0"/>
    <cacheHierarchy uniqueName="[BI vw_BudgetDigital].[1P Sales]" caption="1P Sales" attribute="1" defaultMemberUniqueName="[BI vw_BudgetDigital].[1P Sales].[All]" allUniqueName="[BI vw_BudgetDigital].[1P Sales].[All]" dimensionUniqueName="[BI vw_BudgetDigital]" displayFolder="" count="0" memberValueDatatype="5" unbalanced="0"/>
    <cacheHierarchy uniqueName="[BI vw_BudgetDigital].[3P Sales]" caption="3P Sales" attribute="1" defaultMemberUniqueName="[BI vw_BudgetDigital].[3P Sales].[All]" allUniqueName="[BI vw_BudgetDigital].[3P Sales].[All]" dimensionUniqueName="[BI vw_BudgetDigital]" displayFolder="" count="0" memberValueDatatype="5" unbalanced="0"/>
    <cacheHierarchy uniqueName="[BI vw_BudgetDigital].[BudgetPeriod]" caption="BudgetPeriod" attribute="1" defaultMemberUniqueName="[BI vw_BudgetDigital].[BudgetPeriod].[All]" allUniqueName="[BI vw_BudgetDigital].[BudgetPeriod].[All]" dimensionUniqueName="[BI vw_BudgetDigital]" displayFolder="" count="0" memberValueDatatype="20" unbalanced="0"/>
    <cacheHierarchy uniqueName="[BI vw_BudgetDigital].[BudgetWeek]" caption="BudgetWeek" attribute="1" defaultMemberUniqueName="[BI vw_BudgetDigital].[BudgetWeek].[All]" allUniqueName="[BI vw_BudgetDigital].[BudgetWeek].[All]" dimensionUniqueName="[BI vw_BudgetDigital]" displayFolder="" count="0" memberValueDatatype="20" unbalanced="0"/>
    <cacheHierarchy uniqueName="[BI vw_BudgetDigital].[BudgetYear]" caption="BudgetYear" attribute="1" defaultMemberUniqueName="[BI vw_BudgetDigital].[BudgetYear].[All]" allUniqueName="[BI vw_BudgetDigital].[BudgetYear].[All]" dimensionUniqueName="[BI vw_BudgetDigital]" displayFolder="" count="0" memberValueDatatype="20" unbalanced="0"/>
    <cacheHierarchy uniqueName="[BI vw_BudgetDigital].[Country]" caption="Country" attribute="1" defaultMemberUniqueName="[BI vw_BudgetDigital].[Country].[All]" allUniqueName="[BI vw_BudgetDigital].[Country].[All]" dimensionUniqueName="[BI vw_BudgetDigital]" displayFolder="" count="0" memberValueDatatype="130" unbalanced="0"/>
    <cacheHierarchy uniqueName="[BI vw_BudgetDigital].[ID]" caption="ID" attribute="1" defaultMemberUniqueName="[BI vw_BudgetDigital].[ID].[All]" allUniqueName="[BI vw_BudgetDigital].[ID].[All]" dimensionUniqueName="[BI vw_BudgetDigital]" displayFolder="" count="0" memberValueDatatype="20" unbalanced="0"/>
    <cacheHierarchy uniqueName="[BI vw_BudgetDigital].[Key]" caption="Key" attribute="1" defaultMemberUniqueName="[BI vw_BudgetDigital].[Key].[All]" allUniqueName="[BI vw_BudgetDigital].[Key].[All]" dimensionUniqueName="[BI vw_BudgetDigital]" displayFolder="" count="0" memberValueDatatype="130" unbalanced="0"/>
    <cacheHierarchy uniqueName="[BI vw_BudgetDigital].[Online ATV]" caption="Online ATV" attribute="1" defaultMemberUniqueName="[BI vw_BudgetDigital].[Online ATV].[All]" allUniqueName="[BI vw_BudgetDigital].[Online ATV].[All]" dimensionUniqueName="[BI vw_BudgetDigital]" displayFolder="" count="0" memberValueDatatype="5" unbalanced="0"/>
    <cacheHierarchy uniqueName="[BI vw_BudgetDigital].[Online CR]" caption="Online CR" attribute="1" defaultMemberUniqueName="[BI vw_BudgetDigital].[Online CR].[All]" allUniqueName="[BI vw_BudgetDigital].[Online CR].[All]" dimensionUniqueName="[BI vw_BudgetDigital]" displayFolder="" count="0" memberValueDatatype="5" unbalanced="0"/>
    <cacheHierarchy uniqueName="[BI vw_BudgetDigital].[Online Traffic]" caption="Online Traffic" attribute="1" defaultMemberUniqueName="[BI vw_BudgetDigital].[Online Traffic].[All]" allUniqueName="[BI vw_BudgetDigital].[Online Traffic].[All]" dimensionUniqueName="[BI vw_BudgetDigital]" displayFolder="" count="0" memberValueDatatype="5" unbalanced="0"/>
    <cacheHierarchy uniqueName="[BI vw_BudgetDigital].[Total Sales]" caption="Total Sales" attribute="1" defaultMemberUniqueName="[BI vw_BudgetDigital].[Total Sales].[All]" allUniqueName="[BI vw_BudgetDigital].[Total Sales].[All]" dimensionUniqueName="[BI vw_BudgetDigital]" displayFolder="" count="0" memberValueDatatype="5" unbalanced="0"/>
    <cacheHierarchy uniqueName="[BI vw_BudgetDigital].[Trans Nbr]" caption="Trans Nbr" attribute="1" defaultMemberUniqueName="[BI vw_BudgetDigital].[Trans Nbr].[All]" allUniqueName="[BI vw_BudgetDigital].[Trans Nbr].[All]" dimensionUniqueName="[BI vw_BudgetDigital]" displayFolder="" count="0" memberValueDatatype="5" unbalanced="0"/>
    <cacheHierarchy uniqueName="[BI vw_BudgetOnlineByStore].[BudgetPeriod]" caption="BudgetPeriod" attribute="1" defaultMemberUniqueName="[BI vw_BudgetOnlineByStore].[BudgetPeriod].[All]" allUniqueName="[BI vw_BudgetOnlineByStore].[BudgetPeriod].[All]" dimensionUniqueName="[BI vw_BudgetOnlineByStore]" displayFolder="" count="0" memberValueDatatype="20" unbalanced="0"/>
    <cacheHierarchy uniqueName="[BI vw_BudgetOnlineByStore].[BudgetWeek]" caption="BudgetWeek" attribute="1" defaultMemberUniqueName="[BI vw_BudgetOnlineByStore].[BudgetWeek].[All]" allUniqueName="[BI vw_BudgetOnlineByStore].[BudgetWeek].[All]" dimensionUniqueName="[BI vw_BudgetOnlineByStore]" displayFolder="" count="0" memberValueDatatype="20" unbalanced="0"/>
    <cacheHierarchy uniqueName="[BI vw_BudgetOnlineByStore].[BudgetYear]" caption="BudgetYear" attribute="1" defaultMemberUniqueName="[BI vw_BudgetOnlineByStore].[BudgetYear].[All]" allUniqueName="[BI vw_BudgetOnlineByStore].[BudgetYear].[All]" dimensionUniqueName="[BI vw_BudgetOnlineByStore]" displayFolder="" count="0" memberValueDatatype="20" unbalanced="0"/>
    <cacheHierarchy uniqueName="[BI vw_BudgetOnlineByStore].[DropshipBudget]" caption="DropshipBudget" attribute="1" defaultMemberUniqueName="[BI vw_BudgetOnlineByStore].[DropshipBudget].[All]" allUniqueName="[BI vw_BudgetOnlineByStore].[DropshipBudget].[All]" dimensionUniqueName="[BI vw_BudgetOnlineByStore]" displayFolder="" count="0" memberValueDatatype="6" unbalanced="0"/>
    <cacheHierarchy uniqueName="[BI vw_BudgetOnlineByStore].[JoinKey]" caption="JoinKey" attribute="1" defaultMemberUniqueName="[BI vw_BudgetOnlineByStore].[JoinKey].[All]" allUniqueName="[BI vw_BudgetOnlineByStore].[JoinKey].[All]" dimensionUniqueName="[BI vw_BudgetOnlineByStore]" displayFolder="" count="0" memberValueDatatype="130" unbalanced="0"/>
    <cacheHierarchy uniqueName="[BI vw_BudgetOnlineByStore].[NOT_Budget]" caption="NOT_Budget" attribute="1" defaultMemberUniqueName="[BI vw_BudgetOnlineByStore].[NOT_Budget].[All]" allUniqueName="[BI vw_BudgetOnlineByStore].[NOT_Budget].[All]" dimensionUniqueName="[BI vw_BudgetOnlineByStore]" displayFolder="" count="0" memberValueDatatype="5" unbalanced="0"/>
    <cacheHierarchy uniqueName="[BI vw_BudgetOnlineByStore].[SalesClassification]" caption="SalesClassification" attribute="1" defaultMemberUniqueName="[BI vw_BudgetOnlineByStore].[SalesClassification].[All]" allUniqueName="[BI vw_BudgetOnlineByStore].[SalesClassification].[All]" dimensionUniqueName="[BI vw_BudgetOnlineByStore]" displayFolder="" count="0" memberValueDatatype="130" unbalanced="0"/>
    <cacheHierarchy uniqueName="[BI vw_BudgetOnlineByStore].[Store]" caption="Store" attribute="1" defaultMemberUniqueName="[BI vw_BudgetOnlineByStore].[Store].[All]" allUniqueName="[BI vw_BudgetOnlineByStore].[Store].[All]" dimensionUniqueName="[BI vw_BudgetOnlineByStore]" displayFolder="" count="0" memberValueDatatype="130" unbalanced="0"/>
    <cacheHierarchy uniqueName="[BI vw_BudgetOnlineByStore].[TotalOnlineBudget]" caption="TotalOnlineBudget" attribute="1" defaultMemberUniqueName="[BI vw_BudgetOnlineByStore].[TotalOnlineBudget].[All]" allUniqueName="[BI vw_BudgetOnlineByStore].[TotalOnlineBudget].[All]" dimensionUniqueName="[BI vw_BudgetOnlineByStore]" displayFolder="" count="0" memberValueDatatype="6" unbalanced="0"/>
    <cacheHierarchy uniqueName="[BI vw_DropshipBudget].[BudgetDollar]" caption="BudgetDollar" attribute="1" defaultMemberUniqueName="[BI vw_DropshipBudget].[BudgetDollar].[All]" allUniqueName="[BI vw_DropshipBudget].[BudgetDollar].[All]" dimensionUniqueName="[BI vw_DropshipBudget]" displayFolder="" count="0" memberValueDatatype="5" unbalanced="0"/>
    <cacheHierarchy uniqueName="[BI vw_DropshipBudget].[BudgetPeriod]" caption="BudgetPeriod" attribute="1" defaultMemberUniqueName="[BI vw_DropshipBudget].[BudgetPeriod].[All]" allUniqueName="[BI vw_DropshipBudget].[BudgetPeriod].[All]" dimensionUniqueName="[BI vw_DropshipBudget]" displayFolder="" count="0" memberValueDatatype="20" unbalanced="0"/>
    <cacheHierarchy uniqueName="[BI vw_DropshipBudget].[Department]" caption="Department" attribute="1" defaultMemberUniqueName="[BI vw_DropshipBudget].[Department].[All]" allUniqueName="[BI vw_DropshipBudget].[Department].[All]" dimensionUniqueName="[BI vw_DropshipBudget]" displayFolder="" count="0" memberValueDatatype="20" unbalanced="0"/>
    <cacheHierarchy uniqueName="[BI vw_DropshipBudget].[DepartmentDesc]" caption="DepartmentDesc" attribute="1" defaultMemberUniqueName="[BI vw_DropshipBudget].[DepartmentDesc].[All]" allUniqueName="[BI vw_DropshipBudget].[DepartmentDesc].[All]" dimensionUniqueName="[BI vw_DropshipBudget]" displayFolder="" count="0" memberValueDatatype="130" unbalanced="0"/>
    <cacheHierarchy uniqueName="[BI vw_DropshipBudget].[Division]" caption="Division" attribute="1" defaultMemberUniqueName="[BI vw_DropshipBudget].[Division].[All]" allUniqueName="[BI vw_DropshipBudget].[Division].[All]" dimensionUniqueName="[BI vw_DropshipBudget]" displayFolder="" count="0" memberValueDatatype="130" unbalanced="0"/>
    <cacheHierarchy uniqueName="[BI vw_DropshipBudget].[JoinKey]" caption="JoinKey" attribute="1" defaultMemberUniqueName="[BI vw_DropshipBudget].[JoinKey].[All]" allUniqueName="[BI vw_DropshipBudget].[JoinKey].[All]" dimensionUniqueName="[BI vw_DropshipBudget]" displayFolder="" count="0" memberValueDatatype="130" unbalanced="0"/>
    <cacheHierarchy uniqueName="[BI vw_Items].[Class]" caption="Class" attribute="1" defaultMemberUniqueName="[BI vw_Items].[Class].[All]" allUniqueName="[BI vw_Items].[Class].[All]" dimensionUniqueName="[BI vw_Items]" displayFolder="" count="0" memberValueDatatype="20" unbalanced="0"/>
    <cacheHierarchy uniqueName="[BI vw_Items].[ClassDesc]" caption="ClassDesc" attribute="1" defaultMemberUniqueName="[BI vw_Items].[ClassDesc].[All]" allUniqueName="[BI vw_Items].[ClassDesc].[All]" dimensionUniqueName="[BI vw_Items]" displayFolder="" count="0" memberValueDatatype="130" unbalanced="0"/>
    <cacheHierarchy uniqueName="[BI vw_Items].[department]" caption="department" attribute="1" defaultMemberUniqueName="[BI vw_Items].[department].[All]" allUniqueName="[BI vw_Items].[department].[All]" dimensionUniqueName="[BI vw_Items]" displayFolder="" count="0" memberValueDatatype="20" unbalanced="0"/>
    <cacheHierarchy uniqueName="[BI vw_Items].[DepartmentDesc]" caption="DepartmentDesc" attribute="1" defaultMemberUniqueName="[BI vw_Items].[DepartmentDesc].[All]" allUniqueName="[BI vw_Items].[DepartmentDesc].[All]" dimensionUniqueName="[BI vw_Items]" displayFolder="" count="0" memberValueDatatype="130" unbalanced="0"/>
    <cacheHierarchy uniqueName="[BI vw_Items].[Division]" caption="Division" attribute="1" defaultMemberUniqueName="[BI vw_Items].[Division].[All]" allUniqueName="[BI vw_Items].[Division].[All]" dimensionUniqueName="[BI vw_Items]" displayFolder="" count="0" memberValueDatatype="130" unbalanced="0"/>
    <cacheHierarchy uniqueName="[BI vw_Items].[FOB Port]" caption="FOB Port" attribute="1" defaultMemberUniqueName="[BI vw_Items].[FOB Port].[All]" allUniqueName="[BI vw_Items].[FOB Port].[All]" dimensionUniqueName="[BI vw_Items]" displayFolder="" count="0" memberValueDatatype="130" unbalanced="0"/>
    <cacheHierarchy uniqueName="[BI vw_Items].[Forecast Birth Date AU]" caption="Forecast Birth Date AU" attribute="1" defaultMemberUniqueName="[BI vw_Items].[Forecast Birth Date AU].[All]" allUniqueName="[BI vw_Items].[Forecast Birth Date AU].[All]" dimensionUniqueName="[BI vw_Items]" displayFolder="" count="0" memberValueDatatype="130" unbalanced="0"/>
    <cacheHierarchy uniqueName="[BI vw_Items].[Forecast Birth Date NZ]" caption="Forecast Birth Date NZ" attribute="1" defaultMemberUniqueName="[BI vw_Items].[Forecast Birth Date NZ].[All]" allUniqueName="[BI vw_Items].[Forecast Birth Date NZ].[All]" dimensionUniqueName="[BI vw_Items]" displayFolder="" count="0" memberValueDatatype="130" unbalanced="0"/>
    <cacheHierarchy uniqueName="[BI vw_Items].[IsComponent]" caption="IsComponent" attribute="1" defaultMemberUniqueName="[BI vw_Items].[IsComponent].[All]" allUniqueName="[BI vw_Items].[IsComponent].[All]" dimensionUniqueName="[BI vw_Items]" displayFolder="" count="0" memberValueDatatype="130" unbalanced="0"/>
    <cacheHierarchy uniqueName="[BI vw_Items].[ItemDescription]" caption="ItemDescription" attribute="1" defaultMemberUniqueName="[BI vw_Items].[ItemDescription].[All]" allUniqueName="[BI vw_Items].[ItemDescription].[All]" dimensionUniqueName="[BI vw_Items]" displayFolder="" count="0" memberValueDatatype="130" unbalanced="0"/>
    <cacheHierarchy uniqueName="[BI vw_Items].[ProductStatus]" caption="ProductStatus" attribute="1" defaultMemberUniqueName="[BI vw_Items].[ProductStatus].[All]" allUniqueName="[BI vw_Items].[ProductStatus].[All]" dimensionUniqueName="[BI vw_Items]" displayFolder="" count="0" memberValueDatatype="130" unbalanced="0"/>
    <cacheHierarchy uniqueName="[BI vw_Items].[ProductStatusNZ]" caption="ProductStatusNZ" attribute="1" defaultMemberUniqueName="[BI vw_Items].[ProductStatusNZ].[All]" allUniqueName="[BI vw_Items].[ProductStatusNZ].[All]" dimensionUniqueName="[BI vw_Items]" displayFolder="" count="0" memberValueDatatype="130" unbalanced="0"/>
    <cacheHierarchy uniqueName="[BI vw_Items].[PurchaseQTY]" caption="PurchaseQTY" attribute="1" defaultMemberUniqueName="[BI vw_Items].[PurchaseQTY].[All]" allUniqueName="[BI vw_Items].[PurchaseQTY].[All]" dimensionUniqueName="[BI vw_Items]" displayFolder="" count="0" memberValueDatatype="6" unbalanced="0"/>
    <cacheHierarchy uniqueName="[BI vw_Items].[Range]" caption="Range" attribute="1" defaultMemberUniqueName="[BI vw_Items].[Range].[All]" allUniqueName="[BI vw_Items].[Range].[All]" dimensionUniqueName="[BI vw_Items]" displayFolder="" count="0" memberValueDatatype="130" unbalanced="0"/>
    <cacheHierarchy uniqueName="[BI vw_Items].[Season_AUS]" caption="Season_AUS" attribute="1" defaultMemberUniqueName="[BI vw_Items].[Season_AUS].[All]" allUniqueName="[BI vw_Items].[Season_AUS].[All]" dimensionUniqueName="[BI vw_Items]" displayFolder="" count="0" memberValueDatatype="130" unbalanced="0"/>
    <cacheHierarchy uniqueName="[BI vw_Items].[Season_NZ]" caption="Season_NZ" attribute="1" defaultMemberUniqueName="[BI vw_Items].[Season_NZ].[All]" allUniqueName="[BI vw_Items].[Season_NZ].[All]" dimensionUniqueName="[BI vw_Items]" displayFolder="" count="0" memberValueDatatype="130" unbalanced="0"/>
    <cacheHierarchy uniqueName="[BI vw_Items].[SKU]" caption="SKU" attribute="1" defaultMemberUniqueName="[BI vw_Items].[SKU].[All]" allUniqueName="[BI vw_Items].[SKU].[All]" dimensionUniqueName="[BI vw_Items]" displayFolder="" count="0" memberValueDatatype="20" unbalanced="0"/>
    <cacheHierarchy uniqueName="[BI vw_Items].[Stock Type_AUS]" caption="Stock Type_AUS" attribute="1" defaultMemberUniqueName="[BI vw_Items].[Stock Type_AUS].[All]" allUniqueName="[BI vw_Items].[Stock Type_AUS].[All]" dimensionUniqueName="[BI vw_Items]" displayFolder="" count="0" memberValueDatatype="130" unbalanced="0"/>
    <cacheHierarchy uniqueName="[BI vw_Items].[SubDepartment]" caption="SubDepartment" attribute="1" defaultMemberUniqueName="[BI vw_Items].[SubDepartment].[All]" allUniqueName="[BI vw_Items].[SubDepartment].[All]" dimensionUniqueName="[BI vw_Items]" displayFolder="" count="0" memberValueDatatype="20" unbalanced="0"/>
    <cacheHierarchy uniqueName="[BI vw_Items].[SubDepartmentDesc]" caption="SubDepartmentDesc" attribute="1" defaultMemberUniqueName="[BI vw_Items].[SubDepartmentDesc].[All]" allUniqueName="[BI vw_Items].[SubDepartmentDesc].[All]" dimensionUniqueName="[BI vw_Items]" displayFolder="" count="0" memberValueDatatype="130" unbalanced="0"/>
    <cacheHierarchy uniqueName="[BI vw_Items].[Supplier Cost]" caption="Supplier Cost" attribute="1" defaultMemberUniqueName="[BI vw_Items].[Supplier Cost].[All]" allUniqueName="[BI vw_Items].[Supplier Cost].[All]" dimensionUniqueName="[BI vw_Items]" displayFolder="" count="0" memberValueDatatype="130" unbalanced="0"/>
    <cacheHierarchy uniqueName="[BI vw_Items].[supplier_code]" caption="supplier_code" attribute="1" defaultMemberUniqueName="[BI vw_Items].[supplier_code].[All]" allUniqueName="[BI vw_Items].[supplier_code].[All]" dimensionUniqueName="[BI vw_Items]" displayFolder="" count="0" memberValueDatatype="130" unbalanced="0"/>
    <cacheHierarchy uniqueName="[BI vw_WeeklyItemSales].[Country]" caption="Country" attribute="1" defaultMemberUniqueName="[BI vw_WeeklyItemSales].[Country].[All]" allUniqueName="[BI vw_WeeklyItemSales].[Country].[All]" dimensionUniqueName="[BI vw_WeeklyItemSales]" displayFolder="" count="0" memberValueDatatype="130" unbalanced="0"/>
    <cacheHierarchy uniqueName="[BI vw_WeeklyItemSales].[finPeriod]" caption="finPeriod" attribute="1" defaultMemberUniqueName="[BI vw_WeeklyItemSales].[finPeriod].[All]" allUniqueName="[BI vw_WeeklyItemSales].[finPeriod].[All]" dimensionUniqueName="[BI vw_WeeklyItemSales]" displayFolder="" count="0" memberValueDatatype="130" unbalanced="0"/>
    <cacheHierarchy uniqueName="[BI vw_WeeklyItemSales].[FirstWeek-Year]" caption="FirstWeek-Year" attribute="1" defaultMemberUniqueName="[BI vw_WeeklyItemSales].[FirstWeek-Year].[All]" allUniqueName="[BI vw_WeeklyItemSales].[FirstWeek-Year].[All]" dimensionUniqueName="[BI vw_WeeklyItemSales]" displayFolder="" count="0" memberValueDatatype="130" unbalanced="0"/>
    <cacheHierarchy uniqueName="[BI vw_WeeklyItemSales].[ItemKey]" caption="ItemKey" attribute="1" defaultMemberUniqueName="[BI vw_WeeklyItemSales].[ItemKey].[All]" allUniqueName="[BI vw_WeeklyItemSales].[ItemKey].[All]" dimensionUniqueName="[BI vw_WeeklyItemSales]" displayFolder="" count="0" memberValueDatatype="20" unbalanced="0"/>
    <cacheHierarchy uniqueName="[BI vw_WeeklyItemSales].[JoinKey]" caption="JoinKey" attribute="1" defaultMemberUniqueName="[BI vw_WeeklyItemSales].[JoinKey].[All]" allUniqueName="[BI vw_WeeklyItemSales].[JoinKey].[All]" dimensionUniqueName="[BI vw_WeeklyItemSales]" displayFolder="" count="0" memberValueDatatype="130" unbalanced="0"/>
    <cacheHierarchy uniqueName="[BI vw_WeeklyItemSales].[Quantity]" caption="Quantity" attribute="1" defaultMemberUniqueName="[BI vw_WeeklyItemSales].[Quantity].[All]" allUniqueName="[BI vw_WeeklyItemSales].[Quantity].[All]" dimensionUniqueName="[BI vw_WeeklyItemSales]" displayFolder="" count="0" memberValueDatatype="6" unbalanced="0"/>
    <cacheHierarchy uniqueName="[BI vw_WeeklyItemSales].[SalesClassification]" caption="SalesClassification" attribute="1" defaultMemberUniqueName="[BI vw_WeeklyItemSales].[SalesClassification].[All]" allUniqueName="[BI vw_WeeklyItemSales].[SalesClassification].[All]" dimensionUniqueName="[BI vw_WeeklyItemSales]" displayFolder="" count="0" memberValueDatatype="130" unbalanced="0"/>
    <cacheHierarchy uniqueName="[BI vw_WeeklyItemSales].[SalesCost]" caption="SalesCost" attribute="1" defaultMemberUniqueName="[BI vw_WeeklyItemSales].[SalesCost].[All]" allUniqueName="[BI vw_WeeklyItemSales].[SalesCost].[All]" dimensionUniqueName="[BI vw_WeeklyItemSales]" displayFolder="" count="0" memberValueDatatype="5" unbalanced="0"/>
    <cacheHierarchy uniqueName="[BI vw_WeeklyItemSales].[SalesRetail]" caption="SalesRetail" attribute="1" defaultMemberUniqueName="[BI vw_WeeklyItemSales].[SalesRetail].[All]" allUniqueName="[BI vw_WeeklyItemSales].[SalesRetail].[All]" dimensionUniqueName="[BI vw_WeeklyItemSales]" displayFolder="" count="0" memberValueDatatype="5" unbalanced="0"/>
    <cacheHierarchy uniqueName="[BI vw_WeeklyItemSales].[StoreKey]" caption="StoreKey" attribute="1" defaultMemberUniqueName="[BI vw_WeeklyItemSales].[StoreKey].[All]" allUniqueName="[BI vw_WeeklyItemSales].[StoreKey].[All]" dimensionUniqueName="[BI vw_WeeklyItemSales]" displayFolder="" count="0" memberValueDatatype="130" unbalanced="0"/>
    <cacheHierarchy uniqueName="[BI vw_WeeklyStoreATV].[division]" caption="division" attribute="1" defaultMemberUniqueName="[BI vw_WeeklyStoreATV].[division].[All]" allUniqueName="[BI vw_WeeklyStoreATV].[division].[All]" dimensionUniqueName="[BI vw_WeeklyStoreATV]" displayFolder="" count="0" memberValueDatatype="130" unbalanced="0"/>
    <cacheHierarchy uniqueName="[BI vw_WeeklyStoreATV].[FinOrderNumber]" caption="FinOrderNumber" attribute="1" defaultMemberUniqueName="[BI vw_WeeklyStoreATV].[FinOrderNumber].[All]" allUniqueName="[BI vw_WeeklyStoreATV].[FinOrderNumber].[All]" dimensionUniqueName="[BI vw_WeeklyStoreATV]" displayFolder="" count="0" memberValueDatatype="130" unbalanced="0"/>
    <cacheHierarchy uniqueName="[BI vw_WeeklyStoreATV].[FinPeriod]" caption="FinPeriod" attribute="1" defaultMemberUniqueName="[BI vw_WeeklyStoreATV].[FinPeriod].[All]" allUniqueName="[BI vw_WeeklyStoreATV].[FinPeriod].[All]" dimensionUniqueName="[BI vw_WeeklyStoreATV]" displayFolder="" count="0" memberValueDatatype="20" unbalanced="0"/>
    <cacheHierarchy uniqueName="[BI vw_WeeklyStoreATV].[JoinKey]" caption="JoinKey" attribute="1" defaultMemberUniqueName="[BI vw_WeeklyStoreATV].[JoinKey].[All]" allUniqueName="[BI vw_WeeklyStoreATV].[JoinKey].[All]" dimensionUniqueName="[BI vw_WeeklyStoreATV]" displayFolder="" count="0" memberValueDatatype="130" unbalanced="0"/>
    <cacheHierarchy uniqueName="[BI vw_WeeklyStoreATV].[NumTrans]" caption="NumTrans" attribute="1" defaultMemberUniqueName="[BI vw_WeeklyStoreATV].[NumTrans].[All]" allUniqueName="[BI vw_WeeklyStoreATV].[NumTrans].[All]" dimensionUniqueName="[BI vw_WeeklyStoreATV]" displayFolder="" count="0" memberValueDatatype="20" unbalanced="0"/>
    <cacheHierarchy uniqueName="[BI vw_WeeklyStoreATV].[NumTrans2]" caption="NumTrans2" attribute="1" defaultMemberUniqueName="[BI vw_WeeklyStoreATV].[NumTrans2].[All]" allUniqueName="[BI vw_WeeklyStoreATV].[NumTrans2].[All]" dimensionUniqueName="[BI vw_WeeklyStoreATV]" displayFolder="" count="0" memberValueDatatype="130" unbalanced="0"/>
    <cacheHierarchy uniqueName="[BI vw_WeeklyStoreATV].[OrderNumber]" caption="OrderNumber" attribute="1" defaultMemberUniqueName="[BI vw_WeeklyStoreATV].[OrderNumber].[All]" allUniqueName="[BI vw_WeeklyStoreATV].[OrderNumber].[All]" dimensionUniqueName="[BI vw_WeeklyStoreATV]" displayFolder="" count="0" memberValueDatatype="130" unbalanced="0"/>
    <cacheHierarchy uniqueName="[BI vw_WeeklyStoreATV].[SalesClassification]" caption="SalesClassification" attribute="1" defaultMemberUniqueName="[BI vw_WeeklyStoreATV].[SalesClassification].[All]" allUniqueName="[BI vw_WeeklyStoreATV].[SalesClassification].[All]" dimensionUniqueName="[BI vw_WeeklyStoreATV]" displayFolder="" count="0" memberValueDatatype="130" unbalanced="0"/>
    <cacheHierarchy uniqueName="[BI vw_WeeklyStoreATV].[SalesRetail]" caption="SalesRetail" attribute="1" defaultMemberUniqueName="[BI vw_WeeklyStoreATV].[SalesRetail].[All]" allUniqueName="[BI vw_WeeklyStoreATV].[SalesRetail].[All]" dimensionUniqueName="[BI vw_WeeklyStoreATV]" displayFolder="" count="0" memberValueDatatype="20" unbalanced="0"/>
    <cacheHierarchy uniqueName="[BI vw_WeeklyStoreATV].[Store_Country]" caption="Store_Country" attribute="1" defaultMemberUniqueName="[BI vw_WeeklyStoreATV].[Store_Country].[All]" allUniqueName="[BI vw_WeeklyStoreATV].[Store_Country].[All]" dimensionUniqueName="[BI vw_WeeklyStoreATV]" displayFolder="" count="0" memberValueDatatype="130" unbalanced="0"/>
    <cacheHierarchy uniqueName="[BI vw_WeeklyStoreATV].[StoreKey]" caption="StoreKey" attribute="1" defaultMemberUniqueName="[BI vw_WeeklyStoreATV].[StoreKey].[All]" allUniqueName="[BI vw_WeeklyStoreATV].[StoreKey].[All]" dimensionUniqueName="[BI vw_WeeklyStoreATV]" displayFolder="" count="0" memberValueDatatype="130" unbalanced="0"/>
    <cacheHierarchy uniqueName="[BI vw_WeeklyStoreTraffic].[Country]" caption="Country" attribute="1" defaultMemberUniqueName="[BI vw_WeeklyStoreTraffic].[Country].[All]" allUniqueName="[BI vw_WeeklyStoreTraffic].[Country].[All]" dimensionUniqueName="[BI vw_WeeklyStoreTraffic]" displayFolder="" count="0" memberValueDatatype="130" unbalanced="0"/>
    <cacheHierarchy uniqueName="[BI vw_WeeklyStoreTraffic].[finPeriod]" caption="finPeriod" attribute="1" defaultMemberUniqueName="[BI vw_WeeklyStoreTraffic].[finPeriod].[All]" allUniqueName="[BI vw_WeeklyStoreTraffic].[finPeriod].[All]" dimensionUniqueName="[BI vw_WeeklyStoreTraffic]" displayFolder="" count="0" memberValueDatatype="130" unbalanced="0"/>
    <cacheHierarchy uniqueName="[BI vw_WeeklyStoreTraffic].[JoinKey]" caption="JoinKey" attribute="1" defaultMemberUniqueName="[BI vw_WeeklyStoreTraffic].[JoinKey].[All]" allUniqueName="[BI vw_WeeklyStoreTraffic].[JoinKey].[All]" dimensionUniqueName="[BI vw_WeeklyStoreTraffic]" displayFolder="" count="0" memberValueDatatype="130" unbalanced="0"/>
    <cacheHierarchy uniqueName="[BI vw_WeeklyStoreTraffic].[Store]" caption="Store" attribute="1" defaultMemberUniqueName="[BI vw_WeeklyStoreTraffic].[Store].[All]" allUniqueName="[BI vw_WeeklyStoreTraffic].[Store].[All]" dimensionUniqueName="[BI vw_WeeklyStoreTraffic]" displayFolder="" count="0" memberValueDatatype="130" unbalanced="0"/>
    <cacheHierarchy uniqueName="[BI vw_WeeklyStoreTraffic].[storekey]" caption="storekey" attribute="1" defaultMemberUniqueName="[BI vw_WeeklyStoreTraffic].[storekey].[All]" allUniqueName="[BI vw_WeeklyStoreTraffic].[storekey].[All]" dimensionUniqueName="[BI vw_WeeklyStoreTraffic]" displayFolder="" count="0" memberValueDatatype="130" unbalanced="0"/>
    <cacheHierarchy uniqueName="[BI vw_WeeklyStoreTraffic].[Traffic]" caption="Traffic" attribute="1" defaultMemberUniqueName="[BI vw_WeeklyStoreTraffic].[Traffic].[All]" allUniqueName="[BI vw_WeeklyStoreTraffic].[Traffic].[All]" dimensionUniqueName="[BI vw_WeeklyStoreTraffic]" displayFolder="" count="0" memberValueDatatype="20" unbalanced="0"/>
    <cacheHierarchy uniqueName="[BI vw_WeeklyWrittenSalesMetrics].[ATV_JoinKey]" caption="ATV_JoinKey" attribute="1" defaultMemberUniqueName="[BI vw_WeeklyWrittenSalesMetrics].[ATV_JoinKey].[All]" allUniqueName="[BI vw_WeeklyWrittenSalesMetrics].[ATV_JoinKey].[All]" dimensionUniqueName="[BI vw_WeeklyWrittenSalesMetrics]" displayFolder="" count="0" memberValueDatatype="130" unbalanced="0"/>
    <cacheHierarchy uniqueName="[BI vw_WeeklyWrittenSalesMetrics].[Branch_Type]" caption="Branch_Type" attribute="1" defaultMemberUniqueName="[BI vw_WeeklyWrittenSalesMetrics].[Branch_Type].[All]" allUniqueName="[BI vw_WeeklyWrittenSalesMetrics].[Branch_Type].[All]" dimensionUniqueName="[BI vw_WeeklyWrittenSalesMetrics]" displayFolder="" count="2" memberValueDatatype="130" unbalanced="0">
      <fieldsUsage count="2">
        <fieldUsage x="-1"/>
        <fieldUsage x="8"/>
      </fieldsUsage>
    </cacheHierarchy>
    <cacheHierarchy uniqueName="[BI vw_WeeklyWrittenSalesMetrics].[BudgetByItem_JoinKey]" caption="BudgetByItem_JoinKey" attribute="1" defaultMemberUniqueName="[BI vw_WeeklyWrittenSalesMetrics].[BudgetByItem_JoinKey].[All]" allUniqueName="[BI vw_WeeklyWrittenSalesMetrics].[BudgetByItem_JoinKey].[All]" dimensionUniqueName="[BI vw_WeeklyWrittenSalesMetrics]" displayFolder="" count="0" memberValueDatatype="130" unbalanced="0"/>
    <cacheHierarchy uniqueName="[BI vw_WeeklyWrittenSalesMetrics].[BudgetByStore_JoinKey]" caption="BudgetByStore_JoinKey" attribute="1" defaultMemberUniqueName="[BI vw_WeeklyWrittenSalesMetrics].[BudgetByStore_JoinKey].[All]" allUniqueName="[BI vw_WeeklyWrittenSalesMetrics].[BudgetByStore_JoinKey].[All]" dimensionUniqueName="[BI vw_WeeklyWrittenSalesMetrics]" displayFolder="" count="0" memberValueDatatype="130" unbalanced="0"/>
    <cacheHierarchy uniqueName="[BI vw_WeeklyWrittenSalesMetrics].[BudgetByWeek_JoinKey]" caption="BudgetByWeek_JoinKey" attribute="1" defaultMemberUniqueName="[BI vw_WeeklyWrittenSalesMetrics].[BudgetByWeek_JoinKey].[All]" allUniqueName="[BI vw_WeeklyWrittenSalesMetrics].[BudgetByWeek_JoinKey].[All]" dimensionUniqueName="[BI vw_WeeklyWrittenSalesMetrics]" displayFolder="" count="0" memberValueDatatype="130" unbalanced="0"/>
    <cacheHierarchy uniqueName="[BI vw_WeeklyWrittenSalesMetrics].[BudgetDigital_JoinKey]" caption="BudgetDigital_JoinKey" attribute="1" defaultMemberUniqueName="[BI vw_WeeklyWrittenSalesMetrics].[BudgetDigital_JoinKey].[All]" allUniqueName="[BI vw_WeeklyWrittenSalesMetrics].[BudgetDigital_JoinKey].[All]" dimensionUniqueName="[BI vw_WeeklyWrittenSalesMetrics]" displayFolder="" count="0" memberValueDatatype="130" unbalanced="0"/>
    <cacheHierarchy uniqueName="[BI vw_WeeklyWrittenSalesMetrics].[BudgetOnlineByStore_JoinKey]" caption="BudgetOnlineByStore_JoinKey" attribute="1" defaultMemberUniqueName="[BI vw_WeeklyWrittenSalesMetrics].[BudgetOnlineByStore_JoinKey].[All]" allUniqueName="[BI vw_WeeklyWrittenSalesMetrics].[BudgetOnlineByStore_JoinKey].[All]" dimensionUniqueName="[BI vw_WeeklyWrittenSalesMetrics]" displayFolder="" count="0" memberValueDatatype="130" unbalanced="0"/>
    <cacheHierarchy uniqueName="[BI vw_WeeklyWrittenSalesMetrics].[Channel]" caption="Channel" attribute="1" defaultMemberUniqueName="[BI vw_WeeklyWrittenSalesMetrics].[Channel].[All]" allUniqueName="[BI vw_WeeklyWrittenSalesMetrics].[Channel].[All]" dimensionUniqueName="[BI vw_WeeklyWrittenSalesMetrics]" displayFolder="" count="2" memberValueDatatype="130" unbalanced="0">
      <fieldsUsage count="2">
        <fieldUsage x="-1"/>
        <fieldUsage x="11"/>
      </fieldsUsage>
    </cacheHierarchy>
    <cacheHierarchy uniqueName="[BI vw_WeeklyWrittenSalesMetrics].[ClassDesc]" caption="ClassDesc" attribute="1" defaultMemberUniqueName="[BI vw_WeeklyWrittenSalesMetrics].[ClassDesc].[All]" allUniqueName="[BI vw_WeeklyWrittenSalesMetrics].[ClassDesc].[All]" dimensionUniqueName="[BI vw_WeeklyWrittenSalesMetrics]" displayFolder="" count="0" memberValueDatatype="130" unbalanced="0"/>
    <cacheHierarchy uniqueName="[BI vw_WeeklyWrittenSalesMetrics].[Country]" caption="Country" attribute="1" defaultMemberUniqueName="[BI vw_WeeklyWrittenSalesMetrics].[Country].[All]" allUniqueName="[BI vw_WeeklyWrittenSalesMetrics].[Country].[All]" dimensionUniqueName="[BI vw_WeeklyWrittenSalesMetrics]" displayFolder="" count="2" memberValueDatatype="130" unbalanced="0">
      <fieldsUsage count="2">
        <fieldUsage x="-1"/>
        <fieldUsage x="10"/>
      </fieldsUsage>
    </cacheHierarchy>
    <cacheHierarchy uniqueName="[BI vw_WeeklyWrittenSalesMetrics].[DepartmentDesc]" caption="DepartmentDesc" attribute="1" defaultMemberUniqueName="[BI vw_WeeklyWrittenSalesMetrics].[DepartmentDesc].[All]" allUniqueName="[BI vw_WeeklyWrittenSalesMetrics].[DepartmentDesc].[All]" dimensionUniqueName="[BI vw_WeeklyWrittenSalesMetrics]" displayFolder="" count="0" memberValueDatatype="130" unbalanced="0"/>
    <cacheHierarchy uniqueName="[BI vw_WeeklyWrittenSalesMetrics].[Division]" caption="Division" attribute="1" defaultMemberUniqueName="[BI vw_WeeklyWrittenSalesMetrics].[Division].[All]" allUniqueName="[BI vw_WeeklyWrittenSalesMetrics].[Division].[All]" dimensionUniqueName="[BI vw_WeeklyWrittenSalesMetrics]" displayFolder="" count="2" memberValueDatatype="130" unbalanced="0">
      <fieldsUsage count="2">
        <fieldUsage x="-1"/>
        <fieldUsage x="9"/>
      </fieldsUsage>
    </cacheHierarchy>
    <cacheHierarchy uniqueName="[BI vw_WeeklyWrittenSalesMetrics].[Dropship]" caption="Dropship" attribute="1" defaultMemberUniqueName="[BI vw_WeeklyWrittenSalesMetrics].[Dropship].[All]" allUniqueName="[BI vw_WeeklyWrittenSalesMetrics].[Dropship].[All]" dimensionUniqueName="[BI vw_WeeklyWrittenSalesMetrics]" displayFolder="" count="0" memberValueDatatype="130" unbalanced="0"/>
    <cacheHierarchy uniqueName="[BI vw_WeeklyWrittenSalesMetrics].[DropshipBudget_JoinKey]" caption="DropshipBudget_JoinKey" attribute="1" defaultMemberUniqueName="[BI vw_WeeklyWrittenSalesMetrics].[DropshipBudget_JoinKey].[All]" allUniqueName="[BI vw_WeeklyWrittenSalesMetrics].[DropshipBudget_JoinKey].[All]" dimensionUniqueName="[BI vw_WeeklyWrittenSalesMetrics]" displayFolder="" count="0" memberValueDatatype="130" unbalanced="0"/>
    <cacheHierarchy uniqueName="[BI vw_WeeklyWrittenSalesMetrics].[FinPeriod]" caption="FinPeriod" attribute="1" defaultMemberUniqueName="[BI vw_WeeklyWrittenSalesMetrics].[FinPeriod].[All]" allUniqueName="[BI vw_WeeklyWrittenSalesMetrics].[FinPeriod].[All]" dimensionUniqueName="[BI vw_WeeklyWrittenSalesMetrics]" displayFolder="" count="0" memberValueDatatype="20" unbalanced="0"/>
    <cacheHierarchy uniqueName="[BI vw_WeeklyWrittenSalesMetrics].[FinPeriod_2025]" caption="FinPeriod_2025" attribute="1" defaultMemberUniqueName="[BI vw_WeeklyWrittenSalesMetrics].[FinPeriod_2025].[All]" allUniqueName="[BI vw_WeeklyWrittenSalesMetrics].[FinPeriod_2025].[All]" dimensionUniqueName="[BI vw_WeeklyWrittenSalesMetrics]" displayFolder="" count="0" memberValueDatatype="130" unbalanced="0"/>
    <cacheHierarchy uniqueName="[BI vw_WeeklyWrittenSalesMetrics].[FinPeriod_LY]" caption="FinPeriod_LY" attribute="1" defaultMemberUniqueName="[BI vw_WeeklyWrittenSalesMetrics].[FinPeriod_LY].[All]" allUniqueName="[BI vw_WeeklyWrittenSalesMetrics].[FinPeriod_LY].[All]" dimensionUniqueName="[BI vw_WeeklyWrittenSalesMetrics]" displayFolder="" count="0" memberValueDatatype="20" unbalanced="0"/>
    <cacheHierarchy uniqueName="[BI vw_WeeklyWrittenSalesMetrics].[FirstWeek-Month]" caption="FirstWeek-Month" attribute="1" defaultMemberUniqueName="[BI vw_WeeklyWrittenSalesMetrics].[FirstWeek-Month].[All]" allUniqueName="[BI vw_WeeklyWrittenSalesMetrics].[FirstWeek-Month].[All]" dimensionUniqueName="[BI vw_WeeklyWrittenSalesMetrics]" displayFolder="" count="0" memberValueDatatype="20" unbalanced="0"/>
    <cacheHierarchy uniqueName="[BI vw_WeeklyWrittenSalesMetrics].[FirstWeek-QTD]" caption="FirstWeek-QTD" attribute="1" defaultMemberUniqueName="[BI vw_WeeklyWrittenSalesMetrics].[FirstWeek-QTD].[All]" allUniqueName="[BI vw_WeeklyWrittenSalesMetrics].[FirstWeek-QTD].[All]" dimensionUniqueName="[BI vw_WeeklyWrittenSalesMetrics]" displayFolder="" count="0" memberValueDatatype="20" unbalanced="0"/>
    <cacheHierarchy uniqueName="[BI vw_WeeklyWrittenSalesMetrics].[FirstWeek-Year]" caption="FirstWeek-Year" attribute="1" defaultMemberUniqueName="[BI vw_WeeklyWrittenSalesMetrics].[FirstWeek-Year].[All]" allUniqueName="[BI vw_WeeklyWrittenSalesMetrics].[FirstWeek-Year].[All]" dimensionUniqueName="[BI vw_WeeklyWrittenSalesMetrics]" displayFolder="" count="0" memberValueDatatype="20" unbalanced="0"/>
    <cacheHierarchy uniqueName="[BI vw_WeeklyWrittenSalesMetrics].[Forcast_JoinKey]" caption="Forcast_JoinKey" attribute="1" defaultMemberUniqueName="[BI vw_WeeklyWrittenSalesMetrics].[Forcast_JoinKey].[All]" allUniqueName="[BI vw_WeeklyWrittenSalesMetrics].[Forcast_JoinKey].[All]" dimensionUniqueName="[BI vw_WeeklyWrittenSalesMetrics]" displayFolder="" count="0" memberValueDatatype="130" unbalanced="0"/>
    <cacheHierarchy uniqueName="[BI vw_WeeklyWrittenSalesMetrics].[ForcastByClass_JoinKey]" caption="ForcastByClass_JoinKey" attribute="1" defaultMemberUniqueName="[BI vw_WeeklyWrittenSalesMetrics].[ForcastByClass_JoinKey].[All]" allUniqueName="[BI vw_WeeklyWrittenSalesMetrics].[ForcastByClass_JoinKey].[All]" dimensionUniqueName="[BI vw_WeeklyWrittenSalesMetrics]" displayFolder="" count="0" memberValueDatatype="130" unbalanced="0"/>
    <cacheHierarchy uniqueName="[BI vw_WeeklyWrittenSalesMetrics].[SalesatFullRet]" caption="SalesatFullRet" attribute="1" defaultMemberUniqueName="[BI vw_WeeklyWrittenSalesMetrics].[SalesatFullRet].[All]" allUniqueName="[BI vw_WeeklyWrittenSalesMetrics].[SalesatFullRet].[All]" dimensionUniqueName="[BI vw_WeeklyWrittenSalesMetrics]" displayFolder="" count="0" memberValueDatatype="5" unbalanced="0"/>
    <cacheHierarchy uniqueName="[BI vw_WeeklyWrittenSalesMetrics].[SalesClassification]" caption="SalesClassification" attribute="1" defaultMemberUniqueName="[BI vw_WeeklyWrittenSalesMetrics].[SalesClassification].[All]" allUniqueName="[BI vw_WeeklyWrittenSalesMetrics].[SalesClassification].[All]" dimensionUniqueName="[BI vw_WeeklyWrittenSalesMetrics]" displayFolder="" count="0" memberValueDatatype="130" unbalanced="0"/>
    <cacheHierarchy uniqueName="[BI vw_WeeklyWrittenSalesMetrics].[SalesCost]" caption="SalesCost" attribute="1" defaultMemberUniqueName="[BI vw_WeeklyWrittenSalesMetrics].[SalesCost].[All]" allUniqueName="[BI vw_WeeklyWrittenSalesMetrics].[SalesCost].[All]" dimensionUniqueName="[BI vw_WeeklyWrittenSalesMetrics]" displayFolder="" count="0" memberValueDatatype="5" unbalanced="0"/>
    <cacheHierarchy uniqueName="[BI vw_WeeklyWrittenSalesMetrics].[SalesGM]" caption="SalesGM" attribute="1" defaultMemberUniqueName="[BI vw_WeeklyWrittenSalesMetrics].[SalesGM].[All]" allUniqueName="[BI vw_WeeklyWrittenSalesMetrics].[SalesGM].[All]" dimensionUniqueName="[BI vw_WeeklyWrittenSalesMetrics]" displayFolder="" count="0" memberValueDatatype="5" unbalanced="0"/>
    <cacheHierarchy uniqueName="[BI vw_WeeklyWrittenSalesMetrics].[SalesRetail]" caption="SalesRetail" attribute="1" defaultMemberUniqueName="[BI vw_WeeklyWrittenSalesMetrics].[SalesRetail].[All]" allUniqueName="[BI vw_WeeklyWrittenSalesMetrics].[SalesRetail].[All]" dimensionUniqueName="[BI vw_WeeklyWrittenSalesMetrics]" displayFolder="" count="0" memberValueDatatype="5" unbalanced="0"/>
    <cacheHierarchy uniqueName="[BI vw_WeeklyWrittenSalesMetrics].[SalesType]" caption="SalesType" attribute="1" defaultMemberUniqueName="[BI vw_WeeklyWrittenSalesMetrics].[SalesType].[All]" allUniqueName="[BI vw_WeeklyWrittenSalesMetrics].[SalesType].[All]" dimensionUniqueName="[BI vw_WeeklyWrittenSalesMetrics]" displayFolder="" count="0" memberValueDatatype="130" unbalanced="0"/>
    <cacheHierarchy uniqueName="[BI vw_WeeklyWrittenSalesMetrics].[SalesUnits]" caption="SalesUnits" attribute="1" defaultMemberUniqueName="[BI vw_WeeklyWrittenSalesMetrics].[SalesUnits].[All]" allUniqueName="[BI vw_WeeklyWrittenSalesMetrics].[SalesUnits].[All]" dimensionUniqueName="[BI vw_WeeklyWrittenSalesMetrics]" displayFolder="" count="0" memberValueDatatype="5" unbalanced="0"/>
    <cacheHierarchy uniqueName="[BI vw_WeeklyWrittenSalesMetrics].[Store]" caption="Store" attribute="1" defaultMemberUniqueName="[BI vw_WeeklyWrittenSalesMetrics].[Store].[All]" allUniqueName="[BI vw_WeeklyWrittenSalesMetrics].[Store].[All]" dimensionUniqueName="[BI vw_WeeklyWrittenSalesMetrics]" displayFolder="" count="0" memberValueDatatype="130" unbalanced="0"/>
    <cacheHierarchy uniqueName="[BI vw_WeeklyWrittenSalesMetrics].[StoreKey]" caption="StoreKey" attribute="1" defaultMemberUniqueName="[BI vw_WeeklyWrittenSalesMetrics].[StoreKey].[All]" allUniqueName="[BI vw_WeeklyWrittenSalesMetrics].[StoreKey].[All]" dimensionUniqueName="[BI vw_WeeklyWrittenSalesMetrics]" displayFolder="" count="0" memberValueDatatype="20" unbalanced="0"/>
    <cacheHierarchy uniqueName="[BI vw_WeeklyWrittenSalesMetrics].[SubDepartmentDesc]" caption="SubDepartmentDesc" attribute="1" defaultMemberUniqueName="[BI vw_WeeklyWrittenSalesMetrics].[SubDepartmentDesc].[All]" allUniqueName="[BI vw_WeeklyWrittenSalesMetrics].[SubDepartmentDesc].[All]" dimensionUniqueName="[BI vw_WeeklyWrittenSalesMetrics]" displayFolder="" count="0" memberValueDatatype="130" unbalanced="0"/>
    <cacheHierarchy uniqueName="[BI vw_WeeklyWrittenSalesMetrics].[TOTRETMD]" caption="TOTRETMD" attribute="1" defaultMemberUniqueName="[BI vw_WeeklyWrittenSalesMetrics].[TOTRETMD].[All]" allUniqueName="[BI vw_WeeklyWrittenSalesMetrics].[TOTRETMD].[All]" dimensionUniqueName="[BI vw_WeeklyWrittenSalesMetrics]" displayFolder="" count="0" memberValueDatatype="5" unbalanced="0"/>
    <cacheHierarchy uniqueName="[BI vw_WeeklyWrittenSalesMetrics].[Traffic_JoinKey]" caption="Traffic_JoinKey" attribute="1" defaultMemberUniqueName="[BI vw_WeeklyWrittenSalesMetrics].[Traffic_JoinKey].[All]" allUniqueName="[BI vw_WeeklyWrittenSalesMetrics].[Traffic_JoinKey].[All]" dimensionUniqueName="[BI vw_WeeklyWrittenSalesMetrics]" displayFolder="" count="0" memberValueDatatype="130" unbalanced="0"/>
    <cacheHierarchy uniqueName="[BI vw_WeeklyWrittenSalesMetrics].[WeeklyItemSaleKey]" caption="WeeklyItemSaleKey" attribute="1" defaultMemberUniqueName="[BI vw_WeeklyWrittenSalesMetrics].[WeeklyItemSaleKey].[All]" allUniqueName="[BI vw_WeeklyWrittenSalesMetrics].[WeeklyItemSaleKey].[All]" dimensionUniqueName="[BI vw_WeeklyWrittenSalesMetrics]" displayFolder="" count="0" memberValueDatatype="130" unbalanced="0"/>
    <cacheHierarchy uniqueName="[Dim_Category].[Column_Name]" caption="Column_Name" attribute="1" defaultMemberUniqueName="[Dim_Category].[Column_Name].[All]" allUniqueName="[Dim_Category].[Column_Name].[All]" dimensionUniqueName="[Dim_Category]" displayFolder="" count="0" memberValueDatatype="130" unbalanced="0"/>
    <cacheHierarchy uniqueName="[Dim_Category].[Sort N]" caption="Sort N" attribute="1" defaultMemberUniqueName="[Dim_Category].[Sort N].[All]" allUniqueName="[Dim_Category].[Sort N].[All]" dimensionUniqueName="[Dim_Category]" displayFolder="" count="0" memberValueDatatype="20" unbalanced="0"/>
    <cacheHierarchy uniqueName="[dim_period].[Current Date]" caption="Current Date" attribute="1" time="1" defaultMemberUniqueName="[dim_period].[Current Date].[All]" allUniqueName="[dim_period].[Current Date].[All]" dimensionUniqueName="[dim_period]" displayFolder="" count="0" memberValueDatatype="7" unbalanced="0"/>
    <cacheHierarchy uniqueName="[dim_period].[Date]" caption="Date" attribute="1" time="1" defaultMemberUniqueName="[dim_period].[Date].[All]" allUniqueName="[dim_period].[Date].[All]" dimensionUniqueName="[dim_period]" displayFolder="" count="0" memberValueDatatype="7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inPeriod_BeforeToday]" caption="finPeriod_BeforeToday" attribute="1" defaultMemberUniqueName="[dim_period].[finPeriod_BeforeToday].[All]" allUniqueName="[dim_period].[finPeriod_BeforeToday].[All]" dimensionUniqueName="[dim_period]" displayFolder="" count="0" memberValueDatatype="13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Month_NumberY]" caption="Month_NumberY" attribute="1" defaultMemberUniqueName="[dim_period].[Month_NumberY].[All]" allUniqueName="[dim_period].[Month_NumberY].[All]" dimensionUniqueName="[dim_period]" displayFolder="" count="0" memberValueDatatype="2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dim_period].[Year_New]" caption="Year_New" attribute="1" defaultMemberUniqueName="[dim_period].[Year_New].[All]" allUniqueName="[dim_period].[Year_New].[All]" dimensionUniqueName="[dim_period]" displayFolder="" count="0" memberValueDatatype="20" unbalanced="0"/>
    <cacheHierarchy uniqueName="[ForcastByClass].[Branch Type]" caption="Branch Type" attribute="1" defaultMemberUniqueName="[ForcastByClass].[Branch Type].[All]" allUniqueName="[ForcastByClass].[Branch Type].[All]" dimensionUniqueName="[ForcastByClass]" displayFolder="" count="0" memberValueDatatype="130" unbalanced="0"/>
    <cacheHierarchy uniqueName="[ForcastByClass].[Class]" caption="Class" attribute="1" defaultMemberUniqueName="[ForcastByClass].[Class].[All]" allUniqueName="[ForcastByClass].[Class].[All]" dimensionUniqueName="[ForcastByClass]" displayFolder="" count="0" memberValueDatatype="130" unbalanced="0"/>
    <cacheHierarchy uniqueName="[ForcastByClass].[Country]" caption="Country" attribute="1" defaultMemberUniqueName="[ForcastByClass].[Country].[All]" allUniqueName="[ForcastByClass].[Country].[All]" dimensionUniqueName="[ForcastByClass]" displayFolder="" count="0" memberValueDatatype="130" unbalanced="0"/>
    <cacheHierarchy uniqueName="[ForcastByClass].[CountryN]" caption="CountryN" attribute="1" defaultMemberUniqueName="[ForcastByClass].[CountryN].[All]" allUniqueName="[ForcastByClass].[CountryN].[All]" dimensionUniqueName="[ForcastByClass]" displayFolder="" count="0" memberValueDatatype="130" unbalanced="0"/>
    <cacheHierarchy uniqueName="[ForcastByClass].[FClassKey]" caption="FClassKey" attribute="1" defaultMemberUniqueName="[ForcastByClass].[FClassKey].[All]" allUniqueName="[ForcastByClass].[FClassKey].[All]" dimensionUniqueName="[ForcastByClass]" displayFolder="" count="0" memberValueDatatype="130" unbalanced="0"/>
    <cacheHierarchy uniqueName="[ForcastByClass].[FinPeriod]" caption="FinPeriod" attribute="1" defaultMemberUniqueName="[ForcastByClass].[FinPeriod].[All]" allUniqueName="[ForcastByClass].[FinPeriod].[All]" dimensionUniqueName="[ForcastByClass]" displayFolder="" count="0" memberValueDatatype="130" unbalanced="0"/>
    <cacheHierarchy uniqueName="[ForcastByClass].[FinWeek]" caption="FinWeek" attribute="1" defaultMemberUniqueName="[ForcastByClass].[FinWeek].[All]" allUniqueName="[ForcastByClass].[FinWeek].[All]" dimensionUniqueName="[ForcastByClass]" displayFolder="" count="0" memberValueDatatype="20" unbalanced="0"/>
    <cacheHierarchy uniqueName="[ForcastByClass].[FinYear]" caption="FinYear" attribute="1" defaultMemberUniqueName="[ForcastByClass].[FinYear].[All]" allUniqueName="[ForcastByClass].[FinYear].[All]" dimensionUniqueName="[ForcastByClass]" displayFolder="" count="0" memberValueDatatype="130" unbalanced="0"/>
    <cacheHierarchy uniqueName="[ForcastByClass].[ForcastDollars]" caption="ForcastDollars" attribute="1" defaultMemberUniqueName="[ForcastByClass].[ForcastDollars].[All]" allUniqueName="[ForcastByClass].[ForcastDollars].[All]" dimensionUniqueName="[ForcastByClass]" displayFolder="" count="0" memberValueDatatype="5" unbalanced="0"/>
    <cacheHierarchy uniqueName="[ForcastByClass].[StoreType]" caption="StoreType" attribute="1" defaultMemberUniqueName="[ForcastByClass].[StoreType].[All]" allUniqueName="[ForcastByClass].[StoreType].[All]" dimensionUniqueName="[ForcastByClass]" displayFolder="" count="0" memberValueDatatype="130" unbalanced="0"/>
    <cacheHierarchy uniqueName="[Forecast].[Branch Type]" caption="Branch Type" attribute="1" defaultMemberUniqueName="[Forecast].[Branch Type].[All]" allUniqueName="[Forecast].[Branch Type].[All]" dimensionUniqueName="[Forecast]" displayFolder="" count="0" memberValueDatatype="130" unbalanced="0"/>
    <cacheHierarchy uniqueName="[Forecast].[Channel]" caption="Channel" attribute="1" defaultMemberUniqueName="[Forecast].[Channel].[All]" allUniqueName="[Forecast].[Channel].[All]" dimensionUniqueName="[Forecast]" displayFolder="" count="0" memberValueDatatype="130" unbalanced="0"/>
    <cacheHierarchy uniqueName="[Forecast].[Class]" caption="Class" attribute="1" defaultMemberUniqueName="[Forecast].[Class].[All]" allUniqueName="[Forecast].[Class].[All]" dimensionUniqueName="[Forecast]" displayFolder="" count="0" memberValueDatatype="130" unbalanced="0"/>
    <cacheHierarchy uniqueName="[Forecast].[Class-1]" caption="Class-1" attribute="1" defaultMemberUniqueName="[Forecast].[Class-1].[All]" allUniqueName="[Forecast].[Class-1].[All]" dimensionUniqueName="[Forecast]" displayFolder="" count="0" memberValueDatatype="130" unbalanced="0"/>
    <cacheHierarchy uniqueName="[Forecast].[Column3 - Copy]" caption="Column3 - Copy" attribute="1" defaultMemberUniqueName="[Forecast].[Column3 - Copy].[All]" allUniqueName="[Forecast].[Column3 - Copy].[All]" dimensionUniqueName="[Forecast]" displayFolder="" count="0" memberValueDatatype="130" unbalanced="0"/>
    <cacheHierarchy uniqueName="[Forecast].[Country]" caption="Country" attribute="1" defaultMemberUniqueName="[Forecast].[Country].[All]" allUniqueName="[Forecast].[Country].[All]" dimensionUniqueName="[Forecast]" displayFolder="" count="0" memberValueDatatype="130" unbalanced="0"/>
    <cacheHierarchy uniqueName="[Forecast].[CountryN]" caption="CountryN" attribute="1" defaultMemberUniqueName="[Forecast].[CountryN].[All]" allUniqueName="[Forecast].[CountryN].[All]" dimensionUniqueName="[Forecast]" displayFolder="" count="0" memberValueDatatype="130" unbalanced="0"/>
    <cacheHierarchy uniqueName="[Forecast].[FClassKey]" caption="FClassKey" attribute="1" defaultMemberUniqueName="[Forecast].[FClassKey].[All]" allUniqueName="[Forecast].[FClassKey].[All]" dimensionUniqueName="[Forecast]" displayFolder="" count="0" memberValueDatatype="130" unbalanced="0"/>
    <cacheHierarchy uniqueName="[Forecast].[Fin_Period]" caption="Fin_Period" attribute="1" defaultMemberUniqueName="[Forecast].[Fin_Period].[All]" allUniqueName="[Forecast].[Fin_Period].[All]" dimensionUniqueName="[Forecast]" displayFolder="" count="0" memberValueDatatype="20" unbalanced="0"/>
    <cacheHierarchy uniqueName="[Forecast].[FinWeek]" caption="FinWeek" attribute="1" defaultMemberUniqueName="[Forecast].[FinWeek].[All]" allUniqueName="[Forecast].[FinWeek].[All]" dimensionUniqueName="[Forecast]" displayFolder="" count="0" memberValueDatatype="20" unbalanced="0"/>
    <cacheHierarchy uniqueName="[Forecast].[ForcastDollars]" caption="ForcastDollars" attribute="1" defaultMemberUniqueName="[Forecast].[ForcastDollars].[All]" allUniqueName="[Forecast].[ForcastDollars].[All]" dimensionUniqueName="[Forecast]" displayFolder="" count="0" memberValueDatatype="5" unbalanced="0"/>
    <cacheHierarchy uniqueName="[Forecast].[GM$]" caption="GM$" attribute="1" defaultMemberUniqueName="[Forecast].[GM$].[All]" allUniqueName="[Forecast].[GM$].[All]" dimensionUniqueName="[Forecast]" displayFolder="" count="0" memberValueDatatype="5" unbalanced="0"/>
    <cacheHierarchy uniqueName="[Forecast].[GM%]" caption="GM%" attribute="1" defaultMemberUniqueName="[Forecast].[GM%].[All]" allUniqueName="[Forecast].[GM%].[All]" dimensionUniqueName="[Forecast]" displayFolder="" count="0" memberValueDatatype="5" unbalanced="0"/>
    <cacheHierarchy uniqueName="[Forecast].[Period]" caption="Period" attribute="1" defaultMemberUniqueName="[Forecast].[Period].[All]" allUniqueName="[Forecast].[Period].[All]" dimensionUniqueName="[Forecast]" displayFolder="" count="0" memberValueDatatype="130" unbalanced="0"/>
    <cacheHierarchy uniqueName="[Forecast].[StoreType]" caption="StoreType" attribute="1" defaultMemberUniqueName="[Forecast].[StoreType].[All]" allUniqueName="[Forecast].[StoreType].[All]" dimensionUniqueName="[Forecast]" displayFolder="" count="0" memberValueDatatype="130" unbalanced="0"/>
    <cacheHierarchy uniqueName="[Measure].[StoreKey]" caption="StoreKey" attribute="1" defaultMemberUniqueName="[Measure].[StoreKey].[All]" allUniqueName="[Measure].[StoreKey].[All]" dimensionUniqueName="[Measure]" displayFolder="" count="0" memberValueDatatype="130" unbalanced="0"/>
    <cacheHierarchy uniqueName="[Measure Categories].[Cat Sort]" caption="Cat Sort" attribute="1" defaultMemberUniqueName="[Measure Categories].[Cat Sort].[All]" allUniqueName="[Measure Categories].[Cat Sort].[All]" dimensionUniqueName="[Measure Categories]" displayFolder="" count="0" memberValueDatatype="20" unbalanced="0"/>
    <cacheHierarchy uniqueName="[Measure Categories].[Measure Categories]" caption="Measure Categories" attribute="1" defaultMemberUniqueName="[Measure Categories].[Measure Categories].[All]" allUniqueName="[Measure Categories].[Measure Categories].[All]" dimensionUniqueName="[Measure Categories]" displayFolder="" count="0" memberValueDatatype="130" unbalanced="0"/>
    <cacheHierarchy uniqueName="[Product Parameter].[Product Parameter]" caption="Product Parameter" attribute="1" defaultMemberUniqueName="[Product Parameter].[Product Parameter].[All]" allUniqueName="[Product Parameter].[Product Parameter].[All]" dimensionUniqueName="[Product Parameter]" displayFolder="" count="0" memberValueDatatype="130" unbalanced="0"/>
    <cacheHierarchy uniqueName="[Query1].[Column1]" caption="Column1" attribute="1" time="1" defaultMemberUniqueName="[Query1].[Column1].[All]" allUniqueName="[Query1].[Column1].[All]" dimensionUniqueName="[Query1]" displayFolder="" count="0" memberValueDatatype="7" unbalanced="0"/>
    <cacheHierarchy uniqueName="[Query2].[Column1]" caption="Column1" attribute="1" defaultMemberUniqueName="[Query2].[Column1].[All]" allUniqueName="[Query2].[Column1].[All]" dimensionUniqueName="[Query2]" displayFolder="" count="0" memberValueDatatype="13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2" memberValueDatatype="130" unbalanced="0">
      <fieldsUsage count="2">
        <fieldUsage x="-1"/>
        <fieldUsage x="7"/>
      </fieldsUsage>
    </cacheHierarchy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LocalDateTable_0d9eeced-3257-4609-8cfb-234f1d7c24d7].[Date]" caption="Date" attribute="1" time="1" defaultMemberUniqueName="[LocalDateTable_0d9eeced-3257-4609-8cfb-234f1d7c24d7].[Date].[All]" allUniqueName="[LocalDateTable_0d9eeced-3257-4609-8cfb-234f1d7c24d7].[Date].[All]" dimensionUniqueName="[LocalDateTable_0d9eeced-3257-4609-8cfb-234f1d7c24d7]" displayFolder="" count="0" memberValueDatatype="7" unbalanced="0" hidden="1"/>
    <cacheHierarchy uniqueName="[LocalDateTable_0d9eeced-3257-4609-8cfb-234f1d7c24d7].[Day]" caption="Day" attribute="1" defaultMemberUniqueName="[LocalDateTable_0d9eeced-3257-4609-8cfb-234f1d7c24d7].[Day].[All]" allUniqueName="[LocalDateTable_0d9eeced-3257-4609-8cfb-234f1d7c24d7].[Day].[All]" dimensionUniqueName="[LocalDateTable_0d9eeced-3257-4609-8cfb-234f1d7c24d7]" displayFolder="" count="0" memberValueDatatype="20" unbalanced="0" hidden="1"/>
    <cacheHierarchy uniqueName="[LocalDateTable_0d9eeced-3257-4609-8cfb-234f1d7c24d7].[Month]" caption="Month" attribute="1" defaultMemberUniqueName="[LocalDateTable_0d9eeced-3257-4609-8cfb-234f1d7c24d7].[Month].[All]" allUniqueName="[LocalDateTable_0d9eeced-3257-4609-8cfb-234f1d7c24d7].[Month].[All]" dimensionUniqueName="[LocalDateTable_0d9eeced-3257-4609-8cfb-234f1d7c24d7]" displayFolder="" count="0" memberValueDatatype="130" unbalanced="0" hidden="1"/>
    <cacheHierarchy uniqueName="[LocalDateTable_0d9eeced-3257-4609-8cfb-234f1d7c24d7].[MonthNo]" caption="MonthNo" attribute="1" defaultMemberUniqueName="[LocalDateTable_0d9eeced-3257-4609-8cfb-234f1d7c24d7].[MonthNo].[All]" allUniqueName="[LocalDateTable_0d9eeced-3257-4609-8cfb-234f1d7c24d7].[MonthNo].[All]" dimensionUniqueName="[LocalDateTable_0d9eeced-3257-4609-8cfb-234f1d7c24d7]" displayFolder="" count="0" memberValueDatatype="20" unbalanced="0" hidden="1"/>
    <cacheHierarchy uniqueName="[LocalDateTable_0d9eeced-3257-4609-8cfb-234f1d7c24d7].[Quarter]" caption="Quarter" attribute="1" defaultMemberUniqueName="[LocalDateTable_0d9eeced-3257-4609-8cfb-234f1d7c24d7].[Quarter].[All]" allUniqueName="[LocalDateTable_0d9eeced-3257-4609-8cfb-234f1d7c24d7].[Quarter].[All]" dimensionUniqueName="[LocalDateTable_0d9eeced-3257-4609-8cfb-234f1d7c24d7]" displayFolder="" count="0" memberValueDatatype="130" unbalanced="0" hidden="1"/>
    <cacheHierarchy uniqueName="[LocalDateTable_0d9eeced-3257-4609-8cfb-234f1d7c24d7].[QuarterNo]" caption="QuarterNo" attribute="1" defaultMemberUniqueName="[LocalDateTable_0d9eeced-3257-4609-8cfb-234f1d7c24d7].[QuarterNo].[All]" allUniqueName="[LocalDateTable_0d9eeced-3257-4609-8cfb-234f1d7c24d7].[QuarterNo].[All]" dimensionUniqueName="[LocalDateTable_0d9eeced-3257-4609-8cfb-234f1d7c24d7]" displayFolder="" count="0" memberValueDatatype="20" unbalanced="0" hidden="1"/>
    <cacheHierarchy uniqueName="[LocalDateTable_0d9eeced-3257-4609-8cfb-234f1d7c24d7].[Year]" caption="Year" attribute="1" defaultMemberUniqueName="[LocalDateTable_0d9eeced-3257-4609-8cfb-234f1d7c24d7].[Year].[All]" allUniqueName="[LocalDateTable_0d9eeced-3257-4609-8cfb-234f1d7c24d7].[Year].[All]" dimensionUniqueName="[LocalDateTable_0d9eeced-3257-4609-8cfb-234f1d7c24d7]" displayFolder="" count="0" memberValueDatatype="20" unbalanced="0" hidden="1"/>
    <cacheHierarchy uniqueName="[LocalDateTable_3a17192d-ec7c-4dba-ac0e-bcf6b3a6a0ff].[Date]" caption="Date" attribute="1" time="1" defaultMemberUniqueName="[LocalDateTable_3a17192d-ec7c-4dba-ac0e-bcf6b3a6a0ff].[Date].[All]" allUniqueName="[LocalDateTable_3a17192d-ec7c-4dba-ac0e-bcf6b3a6a0ff].[Date].[All]" dimensionUniqueName="[LocalDateTable_3a17192d-ec7c-4dba-ac0e-bcf6b3a6a0ff]" displayFolder="" count="0" memberValueDatatype="7" unbalanced="0" hidden="1"/>
    <cacheHierarchy uniqueName="[LocalDateTable_3a17192d-ec7c-4dba-ac0e-bcf6b3a6a0ff].[Day]" caption="Day" attribute="1" defaultMemberUniqueName="[LocalDateTable_3a17192d-ec7c-4dba-ac0e-bcf6b3a6a0ff].[Day].[All]" allUniqueName="[LocalDateTable_3a17192d-ec7c-4dba-ac0e-bcf6b3a6a0ff].[Day].[All]" dimensionUniqueName="[LocalDateTable_3a17192d-ec7c-4dba-ac0e-bcf6b3a6a0ff]" displayFolder="" count="0" memberValueDatatype="20" unbalanced="0" hidden="1"/>
    <cacheHierarchy uniqueName="[LocalDateTable_3a17192d-ec7c-4dba-ac0e-bcf6b3a6a0ff].[Month]" caption="Month" attribute="1" defaultMemberUniqueName="[LocalDateTable_3a17192d-ec7c-4dba-ac0e-bcf6b3a6a0ff].[Month].[All]" allUniqueName="[LocalDateTable_3a17192d-ec7c-4dba-ac0e-bcf6b3a6a0ff].[Month].[All]" dimensionUniqueName="[LocalDateTable_3a17192d-ec7c-4dba-ac0e-bcf6b3a6a0ff]" displayFolder="" count="0" memberValueDatatype="130" unbalanced="0" hidden="1"/>
    <cacheHierarchy uniqueName="[LocalDateTable_3a17192d-ec7c-4dba-ac0e-bcf6b3a6a0ff].[MonthNo]" caption="MonthNo" attribute="1" defaultMemberUniqueName="[LocalDateTable_3a17192d-ec7c-4dba-ac0e-bcf6b3a6a0ff].[MonthNo].[All]" allUniqueName="[LocalDateTable_3a17192d-ec7c-4dba-ac0e-bcf6b3a6a0ff].[MonthNo].[All]" dimensionUniqueName="[LocalDateTable_3a17192d-ec7c-4dba-ac0e-bcf6b3a6a0ff]" displayFolder="" count="0" memberValueDatatype="20" unbalanced="0" hidden="1"/>
    <cacheHierarchy uniqueName="[LocalDateTable_3a17192d-ec7c-4dba-ac0e-bcf6b3a6a0ff].[Quarter]" caption="Quarter" attribute="1" defaultMemberUniqueName="[LocalDateTable_3a17192d-ec7c-4dba-ac0e-bcf6b3a6a0ff].[Quarter].[All]" allUniqueName="[LocalDateTable_3a17192d-ec7c-4dba-ac0e-bcf6b3a6a0ff].[Quarter].[All]" dimensionUniqueName="[LocalDateTable_3a17192d-ec7c-4dba-ac0e-bcf6b3a6a0ff]" displayFolder="" count="0" memberValueDatatype="130" unbalanced="0" hidden="1"/>
    <cacheHierarchy uniqueName="[LocalDateTable_3a17192d-ec7c-4dba-ac0e-bcf6b3a6a0ff].[QuarterNo]" caption="QuarterNo" attribute="1" defaultMemberUniqueName="[LocalDateTable_3a17192d-ec7c-4dba-ac0e-bcf6b3a6a0ff].[QuarterNo].[All]" allUniqueName="[LocalDateTable_3a17192d-ec7c-4dba-ac0e-bcf6b3a6a0ff].[QuarterNo].[All]" dimensionUniqueName="[LocalDateTable_3a17192d-ec7c-4dba-ac0e-bcf6b3a6a0ff]" displayFolder="" count="0" memberValueDatatype="20" unbalanced="0" hidden="1"/>
    <cacheHierarchy uniqueName="[LocalDateTable_3a17192d-ec7c-4dba-ac0e-bcf6b3a6a0ff].[Year]" caption="Year" attribute="1" defaultMemberUniqueName="[LocalDateTable_3a17192d-ec7c-4dba-ac0e-bcf6b3a6a0ff].[Year].[All]" allUniqueName="[LocalDateTable_3a17192d-ec7c-4dba-ac0e-bcf6b3a6a0ff].[Year].[All]" dimensionUniqueName="[LocalDateTable_3a17192d-ec7c-4dba-ac0e-bcf6b3a6a0ff]" displayFolder="" count="0" memberValueDatatype="20" unbalanced="0" hidden="1"/>
    <cacheHierarchy uniqueName="[LocalDateTable_3f117c71-2c04-4fa5-8c23-2b2c1ab14338].[Date]" caption="Date" attribute="1" time="1" defaultMemberUniqueName="[LocalDateTable_3f117c71-2c04-4fa5-8c23-2b2c1ab14338].[Date].[All]" allUniqueName="[LocalDateTable_3f117c71-2c04-4fa5-8c23-2b2c1ab14338].[Date].[All]" dimensionUniqueName="[LocalDateTable_3f117c71-2c04-4fa5-8c23-2b2c1ab14338]" displayFolder="" count="0" memberValueDatatype="7" unbalanced="0" hidden="1"/>
    <cacheHierarchy uniqueName="[LocalDateTable_3f117c71-2c04-4fa5-8c23-2b2c1ab14338].[Day]" caption="Day" attribute="1" defaultMemberUniqueName="[LocalDateTable_3f117c71-2c04-4fa5-8c23-2b2c1ab14338].[Day].[All]" allUniqueName="[LocalDateTable_3f117c71-2c04-4fa5-8c23-2b2c1ab14338].[Day].[All]" dimensionUniqueName="[LocalDateTable_3f117c71-2c04-4fa5-8c23-2b2c1ab14338]" displayFolder="" count="0" memberValueDatatype="20" unbalanced="0" hidden="1"/>
    <cacheHierarchy uniqueName="[LocalDateTable_3f117c71-2c04-4fa5-8c23-2b2c1ab14338].[Month]" caption="Month" attribute="1" defaultMemberUniqueName="[LocalDateTable_3f117c71-2c04-4fa5-8c23-2b2c1ab14338].[Month].[All]" allUniqueName="[LocalDateTable_3f117c71-2c04-4fa5-8c23-2b2c1ab14338].[Month].[All]" dimensionUniqueName="[LocalDateTable_3f117c71-2c04-4fa5-8c23-2b2c1ab14338]" displayFolder="" count="0" memberValueDatatype="130" unbalanced="0" hidden="1"/>
    <cacheHierarchy uniqueName="[LocalDateTable_3f117c71-2c04-4fa5-8c23-2b2c1ab14338].[MonthNo]" caption="MonthNo" attribute="1" defaultMemberUniqueName="[LocalDateTable_3f117c71-2c04-4fa5-8c23-2b2c1ab14338].[MonthNo].[All]" allUniqueName="[LocalDateTable_3f117c71-2c04-4fa5-8c23-2b2c1ab14338].[MonthNo].[All]" dimensionUniqueName="[LocalDateTable_3f117c71-2c04-4fa5-8c23-2b2c1ab14338]" displayFolder="" count="0" memberValueDatatype="20" unbalanced="0" hidden="1"/>
    <cacheHierarchy uniqueName="[LocalDateTable_3f117c71-2c04-4fa5-8c23-2b2c1ab14338].[Quarter]" caption="Quarter" attribute="1" defaultMemberUniqueName="[LocalDateTable_3f117c71-2c04-4fa5-8c23-2b2c1ab14338].[Quarter].[All]" allUniqueName="[LocalDateTable_3f117c71-2c04-4fa5-8c23-2b2c1ab14338].[Quarter].[All]" dimensionUniqueName="[LocalDateTable_3f117c71-2c04-4fa5-8c23-2b2c1ab14338]" displayFolder="" count="0" memberValueDatatype="130" unbalanced="0" hidden="1"/>
    <cacheHierarchy uniqueName="[LocalDateTable_3f117c71-2c04-4fa5-8c23-2b2c1ab14338].[QuarterNo]" caption="QuarterNo" attribute="1" defaultMemberUniqueName="[LocalDateTable_3f117c71-2c04-4fa5-8c23-2b2c1ab14338].[QuarterNo].[All]" allUniqueName="[LocalDateTable_3f117c71-2c04-4fa5-8c23-2b2c1ab14338].[QuarterNo].[All]" dimensionUniqueName="[LocalDateTable_3f117c71-2c04-4fa5-8c23-2b2c1ab14338]" displayFolder="" count="0" memberValueDatatype="20" unbalanced="0" hidden="1"/>
    <cacheHierarchy uniqueName="[LocalDateTable_3f117c71-2c04-4fa5-8c23-2b2c1ab14338].[Year]" caption="Year" attribute="1" defaultMemberUniqueName="[LocalDateTable_3f117c71-2c04-4fa5-8c23-2b2c1ab14338].[Year].[All]" allUniqueName="[LocalDateTable_3f117c71-2c04-4fa5-8c23-2b2c1ab14338].[Year].[All]" dimensionUniqueName="[LocalDateTable_3f117c71-2c04-4fa5-8c23-2b2c1ab14338]" displayFolder="" count="0" memberValueDatatype="20" unbalanced="0" hidden="1"/>
    <cacheHierarchy uniqueName="[LocalDateTable_66f09a5d-f864-46bc-a2f5-c0014bc05155].[Date]" caption="Date" attribute="1" time="1" defaultMemberUniqueName="[LocalDateTable_66f09a5d-f864-46bc-a2f5-c0014bc05155].[Date].[All]" allUniqueName="[LocalDateTable_66f09a5d-f864-46bc-a2f5-c0014bc05155].[Date].[All]" dimensionUniqueName="[LocalDateTable_66f09a5d-f864-46bc-a2f5-c0014bc05155]" displayFolder="" count="0" memberValueDatatype="7" unbalanced="0" hidden="1"/>
    <cacheHierarchy uniqueName="[LocalDateTable_66f09a5d-f864-46bc-a2f5-c0014bc05155].[Day]" caption="Day" attribute="1" defaultMemberUniqueName="[LocalDateTable_66f09a5d-f864-46bc-a2f5-c0014bc05155].[Day].[All]" allUniqueName="[LocalDateTable_66f09a5d-f864-46bc-a2f5-c0014bc05155].[Day].[All]" dimensionUniqueName="[LocalDateTable_66f09a5d-f864-46bc-a2f5-c0014bc05155]" displayFolder="" count="0" memberValueDatatype="20" unbalanced="0" hidden="1"/>
    <cacheHierarchy uniqueName="[LocalDateTable_66f09a5d-f864-46bc-a2f5-c0014bc05155].[Month]" caption="Month" attribute="1" defaultMemberUniqueName="[LocalDateTable_66f09a5d-f864-46bc-a2f5-c0014bc05155].[Month].[All]" allUniqueName="[LocalDateTable_66f09a5d-f864-46bc-a2f5-c0014bc05155].[Month].[All]" dimensionUniqueName="[LocalDateTable_66f09a5d-f864-46bc-a2f5-c0014bc05155]" displayFolder="" count="0" memberValueDatatype="130" unbalanced="0" hidden="1"/>
    <cacheHierarchy uniqueName="[LocalDateTable_66f09a5d-f864-46bc-a2f5-c0014bc05155].[MonthNo]" caption="MonthNo" attribute="1" defaultMemberUniqueName="[LocalDateTable_66f09a5d-f864-46bc-a2f5-c0014bc05155].[MonthNo].[All]" allUniqueName="[LocalDateTable_66f09a5d-f864-46bc-a2f5-c0014bc05155].[MonthNo].[All]" dimensionUniqueName="[LocalDateTable_66f09a5d-f864-46bc-a2f5-c0014bc05155]" displayFolder="" count="0" memberValueDatatype="20" unbalanced="0" hidden="1"/>
    <cacheHierarchy uniqueName="[LocalDateTable_66f09a5d-f864-46bc-a2f5-c0014bc05155].[Quarter]" caption="Quarter" attribute="1" defaultMemberUniqueName="[LocalDateTable_66f09a5d-f864-46bc-a2f5-c0014bc05155].[Quarter].[All]" allUniqueName="[LocalDateTable_66f09a5d-f864-46bc-a2f5-c0014bc05155].[Quarter].[All]" dimensionUniqueName="[LocalDateTable_66f09a5d-f864-46bc-a2f5-c0014bc05155]" displayFolder="" count="0" memberValueDatatype="130" unbalanced="0" hidden="1"/>
    <cacheHierarchy uniqueName="[LocalDateTable_66f09a5d-f864-46bc-a2f5-c0014bc05155].[QuarterNo]" caption="QuarterNo" attribute="1" defaultMemberUniqueName="[LocalDateTable_66f09a5d-f864-46bc-a2f5-c0014bc05155].[QuarterNo].[All]" allUniqueName="[LocalDateTable_66f09a5d-f864-46bc-a2f5-c0014bc05155].[QuarterNo].[All]" dimensionUniqueName="[LocalDateTable_66f09a5d-f864-46bc-a2f5-c0014bc05155]" displayFolder="" count="0" memberValueDatatype="20" unbalanced="0" hidden="1"/>
    <cacheHierarchy uniqueName="[LocalDateTable_66f09a5d-f864-46bc-a2f5-c0014bc05155].[Year]" caption="Year" attribute="1" defaultMemberUniqueName="[LocalDateTable_66f09a5d-f864-46bc-a2f5-c0014bc05155].[Year].[All]" allUniqueName="[LocalDateTable_66f09a5d-f864-46bc-a2f5-c0014bc05155].[Year].[All]" dimensionUniqueName="[LocalDateTable_66f09a5d-f864-46bc-a2f5-c0014bc05155]" displayFolder="" count="0" memberValueDatatype="20" unbalanced="0" hidden="1"/>
    <cacheHierarchy uniqueName="[LocalDateTable_754a5606-f042-4514-8c57-59f8f32672fc].[Date]" caption="Date" attribute="1" time="1" defaultMemberUniqueName="[LocalDateTable_754a5606-f042-4514-8c57-59f8f32672fc].[Date].[All]" allUniqueName="[LocalDateTable_754a5606-f042-4514-8c57-59f8f32672fc].[Date].[All]" dimensionUniqueName="[LocalDateTable_754a5606-f042-4514-8c57-59f8f32672fc]" displayFolder="" count="0" memberValueDatatype="7" unbalanced="0" hidden="1"/>
    <cacheHierarchy uniqueName="[LocalDateTable_754a5606-f042-4514-8c57-59f8f32672fc].[Day]" caption="Day" attribute="1" defaultMemberUniqueName="[LocalDateTable_754a5606-f042-4514-8c57-59f8f32672fc].[Day].[All]" allUniqueName="[LocalDateTable_754a5606-f042-4514-8c57-59f8f32672fc].[Day].[All]" dimensionUniqueName="[LocalDateTable_754a5606-f042-4514-8c57-59f8f32672fc]" displayFolder="" count="0" memberValueDatatype="20" unbalanced="0" hidden="1"/>
    <cacheHierarchy uniqueName="[LocalDateTable_754a5606-f042-4514-8c57-59f8f32672fc].[Month]" caption="Month" attribute="1" defaultMemberUniqueName="[LocalDateTable_754a5606-f042-4514-8c57-59f8f32672fc].[Month].[All]" allUniqueName="[LocalDateTable_754a5606-f042-4514-8c57-59f8f32672fc].[Month].[All]" dimensionUniqueName="[LocalDateTable_754a5606-f042-4514-8c57-59f8f32672fc]" displayFolder="" count="0" memberValueDatatype="130" unbalanced="0" hidden="1"/>
    <cacheHierarchy uniqueName="[LocalDateTable_754a5606-f042-4514-8c57-59f8f32672fc].[MonthNo]" caption="MonthNo" attribute="1" defaultMemberUniqueName="[LocalDateTable_754a5606-f042-4514-8c57-59f8f32672fc].[MonthNo].[All]" allUniqueName="[LocalDateTable_754a5606-f042-4514-8c57-59f8f32672fc].[MonthNo].[All]" dimensionUniqueName="[LocalDateTable_754a5606-f042-4514-8c57-59f8f32672fc]" displayFolder="" count="0" memberValueDatatype="20" unbalanced="0" hidden="1"/>
    <cacheHierarchy uniqueName="[LocalDateTable_754a5606-f042-4514-8c57-59f8f32672fc].[Quarter]" caption="Quarter" attribute="1" defaultMemberUniqueName="[LocalDateTable_754a5606-f042-4514-8c57-59f8f32672fc].[Quarter].[All]" allUniqueName="[LocalDateTable_754a5606-f042-4514-8c57-59f8f32672fc].[Quarter].[All]" dimensionUniqueName="[LocalDateTable_754a5606-f042-4514-8c57-59f8f32672fc]" displayFolder="" count="0" memberValueDatatype="130" unbalanced="0" hidden="1"/>
    <cacheHierarchy uniqueName="[LocalDateTable_754a5606-f042-4514-8c57-59f8f32672fc].[QuarterNo]" caption="QuarterNo" attribute="1" defaultMemberUniqueName="[LocalDateTable_754a5606-f042-4514-8c57-59f8f32672fc].[QuarterNo].[All]" allUniqueName="[LocalDateTable_754a5606-f042-4514-8c57-59f8f32672fc].[QuarterNo].[All]" dimensionUniqueName="[LocalDateTable_754a5606-f042-4514-8c57-59f8f32672fc]" displayFolder="" count="0" memberValueDatatype="20" unbalanced="0" hidden="1"/>
    <cacheHierarchy uniqueName="[LocalDateTable_754a5606-f042-4514-8c57-59f8f32672fc].[Year]" caption="Year" attribute="1" defaultMemberUniqueName="[LocalDateTable_754a5606-f042-4514-8c57-59f8f32672fc].[Year].[All]" allUniqueName="[LocalDateTable_754a5606-f042-4514-8c57-59f8f32672fc].[Year].[All]" dimensionUniqueName="[LocalDateTable_754a5606-f042-4514-8c57-59f8f32672fc]" displayFolder="" count="0" memberValueDatatype="20" unbalanced="0" hidden="1"/>
    <cacheHierarchy uniqueName="[LocalDateTable_9b9a9699-5b52-40e9-b4a0-c11cb55a9d61].[Date]" caption="Date" attribute="1" time="1" defaultMemberUniqueName="[LocalDateTable_9b9a9699-5b52-40e9-b4a0-c11cb55a9d61].[Date].[All]" allUniqueName="[LocalDateTable_9b9a9699-5b52-40e9-b4a0-c11cb55a9d61].[Date].[All]" dimensionUniqueName="[LocalDateTable_9b9a9699-5b52-40e9-b4a0-c11cb55a9d61]" displayFolder="" count="0" memberValueDatatype="7" unbalanced="0" hidden="1"/>
    <cacheHierarchy uniqueName="[LocalDateTable_9b9a9699-5b52-40e9-b4a0-c11cb55a9d61].[Day]" caption="Day" attribute="1" defaultMemberUniqueName="[LocalDateTable_9b9a9699-5b52-40e9-b4a0-c11cb55a9d61].[Day].[All]" allUniqueName="[LocalDateTable_9b9a9699-5b52-40e9-b4a0-c11cb55a9d61].[Day].[All]" dimensionUniqueName="[LocalDateTable_9b9a9699-5b52-40e9-b4a0-c11cb55a9d61]" displayFolder="" count="0" memberValueDatatype="20" unbalanced="0" hidden="1"/>
    <cacheHierarchy uniqueName="[LocalDateTable_9b9a9699-5b52-40e9-b4a0-c11cb55a9d61].[Month]" caption="Month" attribute="1" defaultMemberUniqueName="[LocalDateTable_9b9a9699-5b52-40e9-b4a0-c11cb55a9d61].[Month].[All]" allUniqueName="[LocalDateTable_9b9a9699-5b52-40e9-b4a0-c11cb55a9d61].[Month].[All]" dimensionUniqueName="[LocalDateTable_9b9a9699-5b52-40e9-b4a0-c11cb55a9d61]" displayFolder="" count="0" memberValueDatatype="130" unbalanced="0" hidden="1"/>
    <cacheHierarchy uniqueName="[LocalDateTable_9b9a9699-5b52-40e9-b4a0-c11cb55a9d61].[MonthNo]" caption="MonthNo" attribute="1" defaultMemberUniqueName="[LocalDateTable_9b9a9699-5b52-40e9-b4a0-c11cb55a9d61].[MonthNo].[All]" allUniqueName="[LocalDateTable_9b9a9699-5b52-40e9-b4a0-c11cb55a9d61].[MonthNo].[All]" dimensionUniqueName="[LocalDateTable_9b9a9699-5b52-40e9-b4a0-c11cb55a9d61]" displayFolder="" count="0" memberValueDatatype="20" unbalanced="0" hidden="1"/>
    <cacheHierarchy uniqueName="[LocalDateTable_9b9a9699-5b52-40e9-b4a0-c11cb55a9d61].[Quarter]" caption="Quarter" attribute="1" defaultMemberUniqueName="[LocalDateTable_9b9a9699-5b52-40e9-b4a0-c11cb55a9d61].[Quarter].[All]" allUniqueName="[LocalDateTable_9b9a9699-5b52-40e9-b4a0-c11cb55a9d61].[Quarter].[All]" dimensionUniqueName="[LocalDateTable_9b9a9699-5b52-40e9-b4a0-c11cb55a9d61]" displayFolder="" count="0" memberValueDatatype="130" unbalanced="0" hidden="1"/>
    <cacheHierarchy uniqueName="[LocalDateTable_9b9a9699-5b52-40e9-b4a0-c11cb55a9d61].[QuarterNo]" caption="QuarterNo" attribute="1" defaultMemberUniqueName="[LocalDateTable_9b9a9699-5b52-40e9-b4a0-c11cb55a9d61].[QuarterNo].[All]" allUniqueName="[LocalDateTable_9b9a9699-5b52-40e9-b4a0-c11cb55a9d61].[QuarterNo].[All]" dimensionUniqueName="[LocalDateTable_9b9a9699-5b52-40e9-b4a0-c11cb55a9d61]" displayFolder="" count="0" memberValueDatatype="20" unbalanced="0" hidden="1"/>
    <cacheHierarchy uniqueName="[LocalDateTable_9b9a9699-5b52-40e9-b4a0-c11cb55a9d61].[Year]" caption="Year" attribute="1" defaultMemberUniqueName="[LocalDateTable_9b9a9699-5b52-40e9-b4a0-c11cb55a9d61].[Year].[All]" allUniqueName="[LocalDateTable_9b9a9699-5b52-40e9-b4a0-c11cb55a9d61].[Year].[All]" dimensionUniqueName="[LocalDateTable_9b9a9699-5b52-40e9-b4a0-c11cb55a9d61]" displayFolder="" count="0" memberValueDatatype="20" unbalanced="0" hidden="1"/>
    <cacheHierarchy uniqueName="[LocalDateTable_a29de990-df00-42e6-9e8c-814d0b4b9a86].[Date]" caption="Date" attribute="1" time="1" defaultMemberUniqueName="[LocalDateTable_a29de990-df00-42e6-9e8c-814d0b4b9a86].[Date].[All]" allUniqueName="[LocalDateTable_a29de990-df00-42e6-9e8c-814d0b4b9a86].[Date].[All]" dimensionUniqueName="[LocalDateTable_a29de990-df00-42e6-9e8c-814d0b4b9a86]" displayFolder="" count="0" memberValueDatatype="7" unbalanced="0" hidden="1"/>
    <cacheHierarchy uniqueName="[LocalDateTable_a29de990-df00-42e6-9e8c-814d0b4b9a86].[Day]" caption="Day" attribute="1" defaultMemberUniqueName="[LocalDateTable_a29de990-df00-42e6-9e8c-814d0b4b9a86].[Day].[All]" allUniqueName="[LocalDateTable_a29de990-df00-42e6-9e8c-814d0b4b9a86].[Day].[All]" dimensionUniqueName="[LocalDateTable_a29de990-df00-42e6-9e8c-814d0b4b9a86]" displayFolder="" count="0" memberValueDatatype="20" unbalanced="0" hidden="1"/>
    <cacheHierarchy uniqueName="[LocalDateTable_a29de990-df00-42e6-9e8c-814d0b4b9a86].[Month]" caption="Month" attribute="1" defaultMemberUniqueName="[LocalDateTable_a29de990-df00-42e6-9e8c-814d0b4b9a86].[Month].[All]" allUniqueName="[LocalDateTable_a29de990-df00-42e6-9e8c-814d0b4b9a86].[Month].[All]" dimensionUniqueName="[LocalDateTable_a29de990-df00-42e6-9e8c-814d0b4b9a86]" displayFolder="" count="0" memberValueDatatype="130" unbalanced="0" hidden="1"/>
    <cacheHierarchy uniqueName="[LocalDateTable_a29de990-df00-42e6-9e8c-814d0b4b9a86].[MonthNo]" caption="MonthNo" attribute="1" defaultMemberUniqueName="[LocalDateTable_a29de990-df00-42e6-9e8c-814d0b4b9a86].[MonthNo].[All]" allUniqueName="[LocalDateTable_a29de990-df00-42e6-9e8c-814d0b4b9a86].[MonthNo].[All]" dimensionUniqueName="[LocalDateTable_a29de990-df00-42e6-9e8c-814d0b4b9a86]" displayFolder="" count="0" memberValueDatatype="20" unbalanced="0" hidden="1"/>
    <cacheHierarchy uniqueName="[LocalDateTable_a29de990-df00-42e6-9e8c-814d0b4b9a86].[Quarter]" caption="Quarter" attribute="1" defaultMemberUniqueName="[LocalDateTable_a29de990-df00-42e6-9e8c-814d0b4b9a86].[Quarter].[All]" allUniqueName="[LocalDateTable_a29de990-df00-42e6-9e8c-814d0b4b9a86].[Quarter].[All]" dimensionUniqueName="[LocalDateTable_a29de990-df00-42e6-9e8c-814d0b4b9a86]" displayFolder="" count="0" memberValueDatatype="130" unbalanced="0" hidden="1"/>
    <cacheHierarchy uniqueName="[LocalDateTable_a29de990-df00-42e6-9e8c-814d0b4b9a86].[QuarterNo]" caption="QuarterNo" attribute="1" defaultMemberUniqueName="[LocalDateTable_a29de990-df00-42e6-9e8c-814d0b4b9a86].[QuarterNo].[All]" allUniqueName="[LocalDateTable_a29de990-df00-42e6-9e8c-814d0b4b9a86].[QuarterNo].[All]" dimensionUniqueName="[LocalDateTable_a29de990-df00-42e6-9e8c-814d0b4b9a86]" displayFolder="" count="0" memberValueDatatype="20" unbalanced="0" hidden="1"/>
    <cacheHierarchy uniqueName="[LocalDateTable_a29de990-df00-42e6-9e8c-814d0b4b9a86].[Year]" caption="Year" attribute="1" defaultMemberUniqueName="[LocalDateTable_a29de990-df00-42e6-9e8c-814d0b4b9a86].[Year].[All]" allUniqueName="[LocalDateTable_a29de990-df00-42e6-9e8c-814d0b4b9a86].[Year].[All]" dimensionUniqueName="[LocalDateTable_a29de990-df00-42e6-9e8c-814d0b4b9a86]" displayFolder="" count="0" memberValueDatatype="20" unbalanced="0" hidden="1"/>
    <cacheHierarchy uniqueName="[LocalDateTable_e1d748f9-bc77-4c73-ba8d-fcf5ec29dd71].[Date]" caption="Date" attribute="1" time="1" defaultMemberUniqueName="[LocalDateTable_e1d748f9-bc77-4c73-ba8d-fcf5ec29dd71].[Date].[All]" allUniqueName="[LocalDateTable_e1d748f9-bc77-4c73-ba8d-fcf5ec29dd71].[Date].[All]" dimensionUniqueName="[LocalDateTable_e1d748f9-bc77-4c73-ba8d-fcf5ec29dd71]" displayFolder="" count="0" memberValueDatatype="7" unbalanced="0" hidden="1"/>
    <cacheHierarchy uniqueName="[LocalDateTable_e1d748f9-bc77-4c73-ba8d-fcf5ec29dd71].[Day]" caption="Day" attribute="1" defaultMemberUniqueName="[LocalDateTable_e1d748f9-bc77-4c73-ba8d-fcf5ec29dd71].[Day].[All]" allUniqueName="[LocalDateTable_e1d748f9-bc77-4c73-ba8d-fcf5ec29dd71].[Day].[All]" dimensionUniqueName="[LocalDateTable_e1d748f9-bc77-4c73-ba8d-fcf5ec29dd71]" displayFolder="" count="0" memberValueDatatype="20" unbalanced="0" hidden="1"/>
    <cacheHierarchy uniqueName="[LocalDateTable_e1d748f9-bc77-4c73-ba8d-fcf5ec29dd71].[Month]" caption="Month" attribute="1" defaultMemberUniqueName="[LocalDateTable_e1d748f9-bc77-4c73-ba8d-fcf5ec29dd71].[Month].[All]" allUniqueName="[LocalDateTable_e1d748f9-bc77-4c73-ba8d-fcf5ec29dd71].[Month].[All]" dimensionUniqueName="[LocalDateTable_e1d748f9-bc77-4c73-ba8d-fcf5ec29dd71]" displayFolder="" count="0" memberValueDatatype="130" unbalanced="0" hidden="1"/>
    <cacheHierarchy uniqueName="[LocalDateTable_e1d748f9-bc77-4c73-ba8d-fcf5ec29dd71].[MonthNo]" caption="MonthNo" attribute="1" defaultMemberUniqueName="[LocalDateTable_e1d748f9-bc77-4c73-ba8d-fcf5ec29dd71].[MonthNo].[All]" allUniqueName="[LocalDateTable_e1d748f9-bc77-4c73-ba8d-fcf5ec29dd71].[MonthNo].[All]" dimensionUniqueName="[LocalDateTable_e1d748f9-bc77-4c73-ba8d-fcf5ec29dd71]" displayFolder="" count="0" memberValueDatatype="20" unbalanced="0" hidden="1"/>
    <cacheHierarchy uniqueName="[LocalDateTable_e1d748f9-bc77-4c73-ba8d-fcf5ec29dd71].[Quarter]" caption="Quarter" attribute="1" defaultMemberUniqueName="[LocalDateTable_e1d748f9-bc77-4c73-ba8d-fcf5ec29dd71].[Quarter].[All]" allUniqueName="[LocalDateTable_e1d748f9-bc77-4c73-ba8d-fcf5ec29dd71].[Quarter].[All]" dimensionUniqueName="[LocalDateTable_e1d748f9-bc77-4c73-ba8d-fcf5ec29dd71]" displayFolder="" count="0" memberValueDatatype="130" unbalanced="0" hidden="1"/>
    <cacheHierarchy uniqueName="[LocalDateTable_e1d748f9-bc77-4c73-ba8d-fcf5ec29dd71].[QuarterNo]" caption="QuarterNo" attribute="1" defaultMemberUniqueName="[LocalDateTable_e1d748f9-bc77-4c73-ba8d-fcf5ec29dd71].[QuarterNo].[All]" allUniqueName="[LocalDateTable_e1d748f9-bc77-4c73-ba8d-fcf5ec29dd71].[QuarterNo].[All]" dimensionUniqueName="[LocalDateTable_e1d748f9-bc77-4c73-ba8d-fcf5ec29dd71]" displayFolder="" count="0" memberValueDatatype="20" unbalanced="0" hidden="1"/>
    <cacheHierarchy uniqueName="[LocalDateTable_e1d748f9-bc77-4c73-ba8d-fcf5ec29dd71].[Year]" caption="Year" attribute="1" defaultMemberUniqueName="[LocalDateTable_e1d748f9-bc77-4c73-ba8d-fcf5ec29dd71].[Year].[All]" allUniqueName="[LocalDateTable_e1d748f9-bc77-4c73-ba8d-fcf5ec29dd71].[Year].[All]" dimensionUniqueName="[LocalDateTable_e1d748f9-bc77-4c73-ba8d-fcf5ec29dd71]" displayFolder="" count="0" memberValueDatatype="20" unbalanced="0" hidden="1"/>
    <cacheHierarchy uniqueName="[Product Parameter].[Product Parameter Fields]" caption="Product Parameter Fields" attribute="1" defaultMemberUniqueName="[Product Parameter].[Product Parameter Fields].[All]" allUniqueName="[Product Parameter].[Product Parameter Fields].[All]" dimensionUniqueName="[Product Parameter]" displayFolder="" count="0" memberValueDatatype="130" unbalanced="0" hidden="1"/>
    <cacheHierarchy uniqueName="[Product Parameter].[Product Parameter Order]" caption="Product Parameter Order" attribute="1" defaultMemberUniqueName="[Product Parameter].[Product Parameter Order].[All]" allUniqueName="[Product Parameter].[Product Parameter Order].[All]" dimensionUniqueName="[Product Parameter]" displayFolder="" count="0" memberValueDatatype="20" unbalanced="0" hidden="1"/>
    <cacheHierarchy uniqueName="[Measures].[Total Retail Sales]" caption="Total Retail Sales" measure="1" displayFolder="" measureGroup="BI vw_WeeklyWrittenSalesMetrics" count="0"/>
    <cacheHierarchy uniqueName="[Measures].[Cancelled]" caption="Cancelled" measure="1" displayFolder="" measureGroup="BI vw_WeeklyWrittenSalesMetrics" count="0"/>
    <cacheHierarchy uniqueName="[Measures].[Return]" caption="Return" measure="1" displayFolder="" measureGroup="BI vw_WeeklyWrittenSalesMetrics" count="0"/>
    <cacheHierarchy uniqueName="[Measures].[R-SalesCost]" caption="R-SalesCost" measure="1" displayFolder="" measureGroup="BI metrics" count="0"/>
    <cacheHierarchy uniqueName="[Measures].[R-SalesatFullRet]" caption="R-SalesatFullRet" measure="1" displayFolder="" measureGroup="BI metrics" count="0"/>
    <cacheHierarchy uniqueName="[Measures].[R-GM$ TY]" caption="R-GM$ TY" measure="1" displayFolder="" measureGroup="BI metrics" count="0"/>
    <cacheHierarchy uniqueName="[Measures].[R-Sales TY $]" caption="R-Sales TY $" measure="1" displayFolder="" measureGroup="BI metrics" count="0" oneField="1">
      <fieldsUsage count="1">
        <fieldUsage x="12"/>
      </fieldsUsage>
    </cacheHierarchy>
    <cacheHierarchy uniqueName="[Measures].[R-Units TY]" caption="R-Units TY" measure="1" displayFolder="" measureGroup="BI metrics" count="0"/>
    <cacheHierarchy uniqueName="[Measures].[R-M/D$ TY]" caption="R-M/D$ TY" measure="1" displayFolder="" measureGroup="BI metrics" count="0"/>
    <cacheHierarchy uniqueName="[Measures].[R-Budget$-ItemDept]" caption="R-Budget$-ItemDept" measure="1" displayFolder="" measureGroup="BI metrics" count="0"/>
    <cacheHierarchy uniqueName="[Measures].[R-BudgetGM$-ItemDept]" caption="R-BudgetGM$-ItemDept" measure="1" displayFolder="" measureGroup="BI metrics" count="0"/>
    <cacheHierarchy uniqueName="[Measures].[R-Budget$-Store]" caption="R-Budget$-Store" measure="1" displayFolder="" measureGroup="BI metrics" count="0"/>
    <cacheHierarchy uniqueName="[Measures].[R-Units LY]" caption="R-Units LY" measure="1" displayFolder="" measureGroup="BI metrics" count="0"/>
    <cacheHierarchy uniqueName="[Measures].[R-Sales LY $]" caption="R-Sales LY $" measure="1" displayFolder="" measureGroup="BI metrics" count="0"/>
    <cacheHierarchy uniqueName="[Measures].[R-GM$ LY]" caption="R-GM$ LY" measure="1" displayFolder="" measureGroup="BI metrics" count="0"/>
    <cacheHierarchy uniqueName="[Measures].[R-Sales YoY]" caption="R-Sales YoY" measure="1" displayFolder="" measureGroup="BI metrics" count="0"/>
    <cacheHierarchy uniqueName="[Measures].[R-GM$ YoY]" caption="R-GM$ YoY" measure="1" displayFolder="" measureGroup="BI metrics" count="0"/>
    <cacheHierarchy uniqueName="[Measures].[R-Sales vs Budget]" caption="R-Sales vs Budget" measure="1" displayFolder="" measureGroup="BI metrics" count="0"/>
    <cacheHierarchy uniqueName="[Measures].[R-M/D$ LY]" caption="R-M/D$ LY" measure="1" displayFolder="" measureGroup="BI metrics" count="0"/>
    <cacheHierarchy uniqueName="[Measures].[period_test]" caption="period_test" measure="1" displayFolder="" measureGroup="BI metrics" count="0"/>
    <cacheHierarchy uniqueName="[Measures].[R-Traffic TY]" caption="R-Traffic TY" measure="1" displayFolder="" measureGroup="BI metrics" count="0"/>
    <cacheHierarchy uniqueName="[Measures].[R-ATV TY]" caption="R-ATV TY" measure="1" displayFolder="" measureGroup="BI metrics" count="0"/>
    <cacheHierarchy uniqueName="[Measures].[R Sales YoY]" caption="R Sales YoY" measure="1" displayFolder="" measureGroup="BI metrics" count="0"/>
    <cacheHierarchy uniqueName="[Measures].[R-GM$ budget TY]" caption="R-GM$ budget TY" measure="1" displayFolder="" measureGroup="BI metrics" count="0"/>
    <cacheHierarchy uniqueName="[Measures].[R-GM$ Budget LY]" caption="R-GM$ Budget LY" measure="1" displayFolder="" measureGroup="BI metrics" count="0"/>
    <cacheHierarchy uniqueName="[Measures].[R-GM vs Budget]" caption="R-GM vs Budget" measure="1" displayFolder="" measureGroup="BI metrics" count="0"/>
    <cacheHierarchy uniqueName="[Measures].[R-GM % TY]" caption="R-GM % TY" measure="1" displayFolder="" measureGroup="BI metrics" count="0"/>
    <cacheHierarchy uniqueName="[Measures].[R-GM % LY]" caption="R-GM % LY" measure="1" displayFolder="" measureGroup="BI metrics" count="0"/>
    <cacheHierarchy uniqueName="[Measures].[R-GM% Budget TY]" caption="R-GM% Budget TY" measure="1" displayFolder="" measureGroup="BI metrics" count="0"/>
    <cacheHierarchy uniqueName="[Measures].[R-M/D % TY]" caption="R-M/D % TY" measure="1" displayFolder="" measureGroup="BI metrics" count="0"/>
    <cacheHierarchy uniqueName="[Measures].[R-M/D % LY]" caption="R-M/D % LY" measure="1" displayFolder="" measureGroup="BI metrics" count="0"/>
    <cacheHierarchy uniqueName="[Measures].[R-ATV LY]" caption="R-ATV LY" measure="1" displayFolder="" measureGroup="BI metrics" count="0"/>
    <cacheHierarchy uniqueName="[Measures].[R-Traffic LY]" caption="R-Traffic LY" measure="1" displayFolder="" measureGroup="BI metrics" count="0"/>
    <cacheHierarchy uniqueName="[Measures].[R-Traffic YoY]" caption="R-Traffic YoY" measure="1" displayFolder="" measureGroup="BI metrics" count="0"/>
    <cacheHierarchy uniqueName="[Measures].[R-Store Trans LY]" caption="R-Store Trans LY" measure="1" displayFolder="" measureGroup="BI metrics" count="0"/>
    <cacheHierarchy uniqueName="[Measures].[R-Store Trans TY]" caption="R-Store Trans TY" measure="1" displayFolder="" measureGroup="BI metrics" count="0"/>
    <cacheHierarchy uniqueName="[Measures].[R-Conv TY]" caption="R-Conv TY" measure="1" displayFolder="" measureGroup="BI metrics" count="0"/>
    <cacheHierarchy uniqueName="[Measures].[R-Conv LY]" caption="R-Conv LY" measure="1" displayFolder="" measureGroup="BI metrics" count="0"/>
    <cacheHierarchy uniqueName="[Measures].[R-IPT TY]" caption="R-IPT TY" measure="1" displayFolder="" measureGroup="BI metrics" count="0"/>
    <cacheHierarchy uniqueName="[Measures].[R-GM% Budget LY]" caption="R-GM% Budget LY" measure="1" displayFolder="" measureGroup="BI metrics" count="0"/>
    <cacheHierarchy uniqueName="[Measures].[R-Store Trans YoY]" caption="R-Store Trans YoY" measure="1" displayFolder="" measureGroup="BI metrics" count="0"/>
    <cacheHierarchy uniqueName="[Measures].[R-Conv YoY]" caption="R-Conv YoY" measure="1" displayFolder="" measureGroup="BI metrics" count="0"/>
    <cacheHierarchy uniqueName="[Measures].[R-Sales vs Budget - ItemDept]" caption="R-Sales vs Budget - ItemDept" measure="1" displayFolder="" measureGroup="BI metrics" count="0"/>
    <cacheHierarchy uniqueName="[Measures].[R-ATV YoY]" caption="R-ATV YoY" measure="1" displayFolder="" measureGroup="BI metrics" count="0"/>
    <cacheHierarchy uniqueName="[Measures].[R-M/D$ Budget-ItemDept]" caption="R-M/D$ Budget-ItemDept" measure="1" displayFolder="" measureGroup="BI metrics" count="0"/>
    <cacheHierarchy uniqueName="[Measures].[R-M/D% Budget TY]" caption="R-M/D% Budget TY" measure="1" displayFolder="" measureGroup="BI metrics" count="0"/>
    <cacheHierarchy uniqueName="[Measures].[R-Dropship$ budget TY]" caption="R-Dropship$ budget TY" measure="1" displayFolder="" measureGroup="BI metrics" count="0"/>
    <cacheHierarchy uniqueName="[Measures].[R-GM$ Revenue budget TY]" caption="R-GM$ Revenue budget TY" measure="1" displayFolder="" measureGroup="BI metrics" count="0"/>
    <cacheHierarchy uniqueName="[Measures].[GM$ Revenue Budget TY]" caption="GM$ Revenue Budget TY" measure="1" displayFolder="" measureGroup="BI metrics" count="0"/>
    <cacheHierarchy uniqueName="[Measures].[R-Sales vs Plan]" caption="R-Sales vs Plan" measure="1" displayFolder="" measureGroup="BI metrics" count="0"/>
    <cacheHierarchy uniqueName="[Measures].[R-Cancellation TY $]" caption="R-Cancellation TY $" measure="1" displayFolder="" measureGroup="BI metrics" count="0"/>
    <cacheHierarchy uniqueName="[Measures].[R-Return TY $]" caption="R-Return TY $" measure="1" displayFolder="" measureGroup="BI metrics" count="0"/>
    <cacheHierarchy uniqueName="[Measures].[R-Sales TY $1]" caption="R-Sales TY $1" measure="1" displayFolder="" measureGroup="BI metrics" count="0"/>
    <cacheHierarchy uniqueName="[Measures].[R-Budget ATV Online]" caption="R-Budget ATV Online" measure="1" displayFolder="" measureGroup="BI metrics" count="0"/>
    <cacheHierarchy uniqueName="[Measures].[R-Budget Traffic Online]" caption="R-Budget Traffic Online" measure="1" displayFolder="" measureGroup="BI metrics" count="0"/>
    <cacheHierarchy uniqueName="[Measures].[R-Budget Store Trans Online]" caption="R-Budget Store Trans Online" measure="1" displayFolder="" measureGroup="BI metrics" count="0"/>
    <cacheHierarchy uniqueName="[Measures].[R-Budget Conv Online]" caption="R-Budget Conv Online" measure="1" displayFolder="" measureGroup="BI metrics" count="0"/>
    <cacheHierarchy uniqueName="[Measures].[R-M/D$ YoY]" caption="R-M/D$ YoY" measure="1" displayFolder="" measureGroup="BI metrics" count="0"/>
    <cacheHierarchy uniqueName="[Measures].[R-M/D vs Budget]" caption="R-M/D vs Budget" measure="1" displayFolder="" measureGroup="BI metrics" count="0"/>
    <cacheHierarchy uniqueName="[Measures].[R-Traffic Budget Online]" caption="R-Traffic Budget Online" measure="1" displayFolder="" measureGroup="BI metrics" count="0"/>
    <cacheHierarchy uniqueName="[Measures].[R-Traffic vs Budget]" caption="R-Traffic vs Budget" measure="1" displayFolder="" measureGroup="BI metrics" count="0"/>
    <cacheHierarchy uniqueName="[Measures].[R-Store Trans Budget Online]" caption="R-Store Trans Budget Online" measure="1" displayFolder="" measureGroup="BI metrics" count="0"/>
    <cacheHierarchy uniqueName="[Measures].[R-Store Trans vs Budget]" caption="R-Store Trans vs Budget" measure="1" displayFolder="" measureGroup="BI metrics" count="0"/>
    <cacheHierarchy uniqueName="[Measures].[R-Conv Budget Online]" caption="R-Conv Budget Online" measure="1" displayFolder="" measureGroup="BI metrics" count="0"/>
    <cacheHierarchy uniqueName="[Measures].[R-Conv vs Budget]" caption="R-Conv vs Budget" measure="1" displayFolder="" measureGroup="BI metrics" count="0"/>
    <cacheHierarchy uniqueName="[Measures].[R-ATV Budget Online]" caption="R-ATV Budget Online" measure="1" displayFolder="" measureGroup="BI metrics" count="0"/>
    <cacheHierarchy uniqueName="[Measures].[R-ATV vs Budget]" caption="R-ATV vs Budget" measure="1" displayFolder="" measureGroup="BI metrics" count="0"/>
    <cacheHierarchy uniqueName="[Measures].[R-Conv LY1]" caption="R-Conv LY1" measure="1" displayFolder="" measureGroup="BI metrics" count="0"/>
    <cacheHierarchy uniqueName="[Measures].[R-Conv TY1]" caption="R-Conv TY1" measure="1" displayFolder="" measureGroup="BI metrics" count="0"/>
    <cacheHierarchy uniqueName="[Measures].[R-ASP TY]" caption="R-ASP TY" measure="1" displayFolder="" measureGroup="BI metrics" count="0"/>
    <cacheHierarchy uniqueName="[Measures].[ASP LY]" caption="ASP LY" measure="1" displayFolder="" measureGroup="BI metrics" count="0"/>
    <cacheHierarchy uniqueName="[Measures].[R-ASP LY]" caption="R-ASP LY" measure="1" displayFolder="" measureGroup="BI metrics" count="0"/>
    <cacheHierarchy uniqueName="[Measures].[R-Sales TY In Store$]" caption="R-Sales TY In Store$" measure="1" displayFolder="aa_New Measures" measureGroup="BI metrics" count="0"/>
    <cacheHierarchy uniqueName="[Measures].[R-Sales TY Dropship$]" caption="R-Sales TY Dropship$" measure="1" displayFolder="aa_New Measures" measureGroup="BI metrics" count="0"/>
    <cacheHierarchy uniqueName="[Measures].[R-Sales TY Online$]" caption="R-Sales TY Online$" measure="1" displayFolder="aa_New Measures" measureGroup="BI metrics" count="0"/>
    <cacheHierarchy uniqueName="[Measures].[R-Sales TY Dropship Budget$]" caption="R-Sales TY Dropship Budget$" measure="1" displayFolder="aa_New Measures" measureGroup="BI metrics" count="0"/>
    <cacheHierarchy uniqueName="[Measures].[R-Sales TY In Store Budget$]" caption="R-Sales TY In Store Budget$" measure="1" displayFolder="aa_New Measures" measureGroup="BI metrics" count="0"/>
    <cacheHierarchy uniqueName="[Measures].[R-Sales TY Online Budget$]" caption="R-Sales TY Online Budget$" measure="1" displayFolder="aa_New Measures" measureGroup="BI metrics" count="0"/>
    <cacheHierarchy uniqueName="[Measures].[Delta Dropship]" caption="Delta Dropship" measure="1" displayFolder="aa_New Measures" measureGroup="BI metrics" count="0"/>
    <cacheHierarchy uniqueName="[Measures].[Delta Total]" caption="Delta Total" measure="1" displayFolder="aa_New Measures" measureGroup="BI metrics" count="0"/>
    <cacheHierarchy uniqueName="[Measures].[Delta In Store + Online]" caption="Delta In Store + Online" measure="1" displayFolder="aa_New Measures" measureGroup="BI metrics" count="0"/>
    <cacheHierarchy uniqueName="[Measures].[Delta Online]" caption="Delta Online" measure="1" displayFolder="aa_New Measures" measureGroup="BI metrics" count="0"/>
    <cacheHierarchy uniqueName="[Measures].[%Var Total]" caption="%Var Total" measure="1" displayFolder="aa_New Measures" measureGroup="BI metrics" count="0"/>
    <cacheHierarchy uniqueName="[Measures].[%Var In Store + Online]" caption="%Var In Store + Online" measure="1" displayFolder="aa_New Measures" measureGroup="BI metrics" count="0"/>
    <cacheHierarchy uniqueName="[Measures].[%Var Online]" caption="%Var Online" measure="1" displayFolder="aa_New Measures" measureGroup="BI metrics" count="0"/>
    <cacheHierarchy uniqueName="[Measures].[%Var Dropship]" caption="%Var Dropship" measure="1" displayFolder="aa_New Measures" measureGroup="BI metrics" count="0"/>
    <cacheHierarchy uniqueName="[Measures].[R-Sales TY In Store + Online$]" caption="R-Sales TY In Store + Online$" measure="1" displayFolder="aa_New Measures" measureGroup="BI metrics" count="0"/>
    <cacheHierarchy uniqueName="[Measures].[R-Sales TY In Store + Online Budget$]" caption="R-Sales TY In Store + Online Budget$" measure="1" displayFolder="aa_New Measures" measureGroup="BI metrics" count="0"/>
    <cacheHierarchy uniqueName="[Measures].[Delta In Store]" caption="Delta In Store" measure="1" displayFolder="aa_New Measures" measureGroup="BI metrics" count="0"/>
    <cacheHierarchy uniqueName="[Measures].[%Var In Store]" caption="%Var In Store" measure="1" displayFolder="aa_New Measures" measureGroup="BI metrics" count="0"/>
    <cacheHierarchy uniqueName="[Measures].[Sales TY In Store$]" caption="Sales TY In Store$" measure="1" displayFolder="aa_New Measures" measureGroup="BI metrics" count="0"/>
    <cacheHierarchy uniqueName="[Measures].[Sales TY Total$]" caption="Sales TY Total$" measure="1" displayFolder="aa_New Measures" measureGroup="BI metrics" count="0"/>
    <cacheHierarchy uniqueName="[Measures].[Sales TY Instore + Online$]" caption="Sales TY Instore + Online$" measure="1" displayFolder="aa_New Measures" measureGroup="BI metrics" count="0"/>
    <cacheHierarchy uniqueName="[Measures].[Sales TY Dropship$]" caption="Sales TY Dropship$" measure="1" displayFolder="aa_New Measures" measureGroup="BI metrics" count="0"/>
    <cacheHierarchy uniqueName="[Measures].[Budget TY Total$]" caption="Budget TY Total$" measure="1" displayFolder="aa_New Measures" measureGroup="BI metrics" count="0"/>
    <cacheHierarchy uniqueName="[Measures].[Budget TY In Store$]" caption="Budget TY In Store$" measure="1" displayFolder="aa_New Measures" measureGroup="BI metrics" count="0"/>
    <cacheHierarchy uniqueName="[Measures].[Budget TY Dropship$]" caption="Budget TY Dropship$" measure="1" displayFolder="aa_New Measures" measureGroup="BI metrics" count="0"/>
    <cacheHierarchy uniqueName="[Measures].[Budget TY Instore + Online$]" caption="Budget TY Instore + Online$" measure="1" displayFolder="aa_New Measures" measureGroup="BI metrics" count="0"/>
    <cacheHierarchy uniqueName="[Measures].[Delta1 Total]" caption="Delta1 Total" measure="1" displayFolder="aa_New Measures" measureGroup="BI metrics" count="0"/>
    <cacheHierarchy uniqueName="[Measures].[Delta1 In Store]" caption="Delta1 In Store" measure="1" displayFolder="aa_New Measures" measureGroup="BI metrics" count="0"/>
    <cacheHierarchy uniqueName="[Measures].[Delta1 In Store + Online]" caption="Delta1 In Store + Online" measure="1" displayFolder="aa_New Measures" measureGroup="BI metrics" count="0"/>
    <cacheHierarchy uniqueName="[Measures].[Delta1 In Dropship]" caption="Delta1 In Dropship" measure="1" displayFolder="aa_New Measures" measureGroup="BI metrics" count="0"/>
    <cacheHierarchy uniqueName="[Measures].[%Var1 Total]" caption="%Var1 Total" measure="1" displayFolder="aa_New Measures" measureGroup="BI metrics" count="0"/>
    <cacheHierarchy uniqueName="[Measures].[%Var1 In Store]" caption="%Var1 In Store" measure="1" displayFolder="aa_New Measures" measureGroup="BI metrics" count="0"/>
    <cacheHierarchy uniqueName="[Measures].[%Var1 In Store + Online]" caption="%Var1 In Store + Online" measure="1" displayFolder="aa_New Measures" measureGroup="BI metrics" count="0"/>
    <cacheHierarchy uniqueName="[Measures].[%Var1 Dropship]" caption="%Var1 Dropship" measure="1" displayFolder="aa_New Measures" measureGroup="BI metrics" count="0"/>
    <cacheHierarchy uniqueName="[Measures].[Total Budget]" caption="Total Budget" measure="1" displayFolder="" measureGroup="BI vw_BudgetByStore" count="0"/>
    <cacheHierarchy uniqueName="[Measures].[R-Budget$-Store1]" caption="R-Budget$-Store1" measure="1" displayFolder="" measureGroup="BI vw_BudgetByStore" count="0"/>
    <cacheHierarchy uniqueName="[Measures].[Total Budget1]" caption="Total Budget1" measure="1" displayFolder="" measureGroup="BI vw_BudgetByStore" count="0"/>
    <cacheHierarchy uniqueName="[Measures].[Sales/Budget KPIs]" caption="Sales/Budget KPIs" measure="1" displayFolder="" measureGroup="BI vw_BudgetByStore" count="0"/>
    <cacheHierarchy uniqueName="[Measures].[Sales/Budget Color]" caption="Sales/Budget Color" measure="1" displayFolder="" measureGroup="BI vw_BudgetByStore" count="0"/>
    <cacheHierarchy uniqueName="[Measures].[Sales TY/LY KPIs]" caption="Sales TY/LY KPIs" measure="1" displayFolder="" measureGroup="BI vw_BudgetByStore" count="0"/>
    <cacheHierarchy uniqueName="[Measures].[Sales TY/LY Color]" caption="Sales TY/LY Color" measure="1" displayFolder="" measureGroup="BI vw_BudgetByStore" count="0"/>
    <cacheHierarchy uniqueName="[Measures].[GM KPIs]" caption="GM KPIs" measure="1" displayFolder="" measureGroup="BI vw_BudgetByStore" count="0"/>
    <cacheHierarchy uniqueName="[Measures].[GM TY/LY Color]" caption="GM TY/LY Color" measure="1" displayFolder="" measureGroup="BI vw_BudgetByStore" count="0"/>
    <cacheHierarchy uniqueName="[Measures].[R-Budget-ItemDept Y/N]" caption="R-Budget-ItemDept Y/N" measure="1" displayFolder="" measureGroup="BI vw_BudgetByItemCategory" count="0"/>
    <cacheHierarchy uniqueName="[Measures].[R-Sales vs Budget-ItemDept Y/N]" caption="R-Sales vs Budget-ItemDept Y/N" measure="1" displayFolder="" measureGroup="BI vw_BudgetByItemCategory" count="0"/>
    <cacheHierarchy uniqueName="[Measures].[Rank]" caption="Rank" measure="1" displayFolder="" measureGroup="BI vw_WeeklyItemSales" count="0"/>
    <cacheHierarchy uniqueName="[Measures].[Store Trans]" caption="Store Trans" measure="1" displayFolder="" measureGroup="BI vw_WeeklyStoreATV" count="0"/>
    <cacheHierarchy uniqueName="[Measures].[Sales TY $]" caption="Sales TY $" measure="1" displayFolder="" measureGroup="Measure" count="0"/>
    <cacheHierarchy uniqueName="[Measures].[This Year]" caption="This Year" measure="1" displayFolder="" measureGroup="Measure" count="0"/>
    <cacheHierarchy uniqueName="[Measures].[Sales LY $]" caption="Sales LY $" measure="1" displayFolder="" measureGroup="Measure" count="0"/>
    <cacheHierarchy uniqueName="[Measures].[GM$ TY]" caption="GM$ TY" measure="1" displayFolder="" measureGroup="Measure" count="0"/>
    <cacheHierarchy uniqueName="[Measures].[GM$ LY]" caption="GM$ LY" measure="1" displayFolder="" measureGroup="Measure" count="0"/>
    <cacheHierarchy uniqueName="[Measures].[M/D$ TY]" caption="M/D$ TY" measure="1" displayFolder="" measureGroup="Measure" count="0"/>
    <cacheHierarchy uniqueName="[Measures].[M/D LY $]" caption="M/D LY $" measure="1" displayFolder="" measureGroup="Measure" count="0"/>
    <cacheHierarchy uniqueName="[Measures].[Budget$-Store]" caption="Budget$-Store" measure="1" displayFolder="" measureGroup="Measure" count="0"/>
    <cacheHierarchy uniqueName="[Measures].[ATV TY]" caption="ATV TY" measure="1" displayFolder="" measureGroup="Measure" count="0"/>
    <cacheHierarchy uniqueName="[Measures].[ATV LY $]" caption="ATV LY $" measure="1" displayFolder="" measureGroup="Measure" count="0"/>
    <cacheHierarchy uniqueName="[Measures].[BudgetDollar-ItemDept]" caption="BudgetDollar-ItemDept" measure="1" displayFolder="" measureGroup="Measure" count="0"/>
    <cacheHierarchy uniqueName="[Measures].[BudgetGMDollar-ItemDept]" caption="BudgetGMDollar-ItemDept" measure="1" displayFolder="" measureGroup="Measure" count="0"/>
    <cacheHierarchy uniqueName="[Measures].[GM$ YoY]" caption="GM$ YoY" measure="1" displayFolder="" measureGroup="Measure" count="0"/>
    <cacheHierarchy uniqueName="[Measures].[Sales vs Budget]" caption="Sales vs Budget" measure="1" displayFolder="" measureGroup="Measure" count="0"/>
    <cacheHierarchy uniqueName="[Measures].[Sales YoY]" caption="Sales YoY" measure="1" displayFolder="" measureGroup="Measure" count="0"/>
    <cacheHierarchy uniqueName="[Measures].[SalesatFullRet]" caption="SalesatFullRet" measure="1" displayFolder="" measureGroup="Measure" count="0"/>
    <cacheHierarchy uniqueName="[Measures].[SalesCost]" caption="SalesCost" measure="1" displayFolder="" measureGroup="Measure" count="0"/>
    <cacheHierarchy uniqueName="[Measures].[Traffic TY]" caption="Traffic TY" measure="1" displayFolder="" measureGroup="Measure" count="0"/>
    <cacheHierarchy uniqueName="[Measures].[Units TY]" caption="Units TY" measure="1" displayFolder="" measureGroup="Measure" count="0"/>
    <cacheHierarchy uniqueName="[Measures].[Units LY]" caption="Units LY" measure="1" displayFolder="" measureGroup="Measure" count="0"/>
    <cacheHierarchy uniqueName="[Measures].[Rolling 12 months Sales]" caption="Rolling 12 months Sales" measure="1" displayFolder="" measureGroup="Measure" count="0"/>
    <cacheHierarchy uniqueName="[Measures].[Rolling 12 months GM]" caption="Rolling 12 months GM" measure="1" displayFolder="" measureGroup="Measure" count="0"/>
    <cacheHierarchy uniqueName="[Measures].[Rolling 12 months M/D]" caption="Rolling 12 months M/D" measure="1" displayFolder="" measureGroup="Measure" count="0"/>
    <cacheHierarchy uniqueName="[Measures].[Transaction TY]" caption="Transaction TY" measure="1" displayFolder="" measureGroup="Measure" count="0"/>
    <cacheHierarchy uniqueName="[Measures].[Transactions LY]" caption="Transactions LY" measure="1" displayFolder="" measureGroup="Measure" count="0"/>
    <cacheHierarchy uniqueName="[Measures].[Transaction YOY]" caption="Transaction YOY" measure="1" displayFolder="" measureGroup="Measure" count="0"/>
    <cacheHierarchy uniqueName="[Measures].[GM$ Budget TY]" caption="GM$ Budget TY" measure="1" displayFolder="" measureGroup="Measure" count="0"/>
    <cacheHierarchy uniqueName="[Measures].[GM$ Budget LY]" caption="GM$ Budget LY" measure="1" displayFolder="" measureGroup="Measure" count="0"/>
    <cacheHierarchy uniqueName="[Measures].[GM vs Budget $]" caption="GM vs Budget $" measure="1" displayFolder="" measureGroup="Measure" count="0"/>
    <cacheHierarchy uniqueName="[Measures].[Measure]" caption="Measure" measure="1" displayFolder="" measureGroup="Measure" count="0"/>
    <cacheHierarchy uniqueName="[Measures].[GM % TY]" caption="GM % TY" measure="1" displayFolder="" measureGroup="Measure" count="0"/>
    <cacheHierarchy uniqueName="[Measures].[GM % LY]" caption="GM % LY" measure="1" displayFolder="" measureGroup="Measure" count="0"/>
    <cacheHierarchy uniqueName="[Measures].[GM% Budget]" caption="GM% Budget" measure="1" displayFolder="" measureGroup="Measure" count="0"/>
    <cacheHierarchy uniqueName="[Measures].[Measure 2]" caption="Measure 2" measure="1" displayFolder="" measureGroup="Measure" count="0"/>
    <cacheHierarchy uniqueName="[Measures].[M/D % TY]" caption="M/D % TY" measure="1" displayFolder="" measureGroup="Measure" count="0"/>
    <cacheHierarchy uniqueName="[Measures].[M/D % LY]" caption="M/D % LY" measure="1" displayFolder="" measureGroup="Measure" count="0"/>
    <cacheHierarchy uniqueName="[Measures].[Dropship$ Budget TY]" caption="Dropship$ Budget TY" measure="1" displayFolder="" measureGroup="Measure" count="0"/>
    <cacheHierarchy uniqueName="[Measures].[Rolling 12 months R-Sale $ TY]" caption="Rolling 12 months R-Sale $ TY" measure="1" displayFolder="" measureGroup="Measure" count="0"/>
    <cacheHierarchy uniqueName="[Measures].[Rolling 12 months Traffic YoY]" caption="Rolling 12 months Traffic YoY" measure="1" displayFolder="" measureGroup="Measure" count="0"/>
    <cacheHierarchy uniqueName="[Measures].[Rolling 12 months ATV YoY]" caption="Rolling 12 months ATV YoY" measure="1" displayFolder="" measureGroup="Measure" count="0"/>
    <cacheHierarchy uniqueName="[Measures].[Rolling 12 months Conv YoY]" caption="Rolling 12 months Conv YoY" measure="1" displayFolder="" measureGroup="Measure" count="0"/>
    <cacheHierarchy uniqueName="[Measures].[Rolling 12 months Store Trans YoY]" caption="Rolling 12 months Store Trans YoY" measure="1" displayFolder="" measureGroup="Measure" count="0"/>
    <cacheHierarchy uniqueName="[Measures].[LastRefreshedSydney]" caption="LastRefreshedSydney" measure="1" displayFolder="" measureGroup="Measure" count="0"/>
    <cacheHierarchy uniqueName="[Measures].[R-Sales Forecast TY]" caption="R-Sales Forecast TY" measure="1" displayFolder="" measureGroup="ForcastByClass" count="0"/>
    <cacheHierarchy uniqueName="[Measures].[Actual Select]" caption="Actual Select" measure="1" displayFolder="" measureGroup="Dim_Category" count="0"/>
    <cacheHierarchy uniqueName="[Measures].[Actual select1]" caption="Actual select1" measure="1" displayFolder="" measureGroup="Dim_Category" count="0"/>
    <cacheHierarchy uniqueName="[Measures].[Week Sales]" caption="Week Sales" measure="1" displayFolder="" measureGroup="Dim_Category" count="0"/>
    <cacheHierarchy uniqueName="[Measures].[MTD Sales]" caption="MTD Sales" measure="1" displayFolder="" measureGroup="Dim_Category" count="0"/>
    <cacheHierarchy uniqueName="[Measures].[YTD Sales]" caption="YTD Sales" measure="1" displayFolder="" measureGroup="Dim_Category" count="0"/>
    <cacheHierarchy uniqueName="[Measures].[Week Budget]" caption="Week Budget" measure="1" displayFolder="" measureGroup="Dim_Category" count="0"/>
    <cacheHierarchy uniqueName="[Measures].[MTD Budget]" caption="MTD Budget" measure="1" displayFolder="" measureGroup="Dim_Category" count="0"/>
    <cacheHierarchy uniqueName="[Measures].[YTD Budget]" caption="YTD Budget" measure="1" displayFolder="" measureGroup="Dim_Category" count="0"/>
    <cacheHierarchy uniqueName="[Measures].[SelectorNum]" caption="SelectorNum" measure="1" displayFolder="" measureGroup="Dim_Category" count="0"/>
    <cacheHierarchy uniqueName="[Measures].[Sales Select]" caption="Sales Select" measure="1" displayFolder="" measureGroup="Dim_Category" count="0"/>
    <cacheHierarchy uniqueName="[Measures].[Budget Select]" caption="Budget Select" measure="1" displayFolder="" measureGroup="Dim_Category" count="0"/>
    <cacheHierarchy uniqueName="[Measures].[TodayWeek]" caption="TodayWeek" measure="1" displayFolder="" measureGroup="Dim_Category" count="0"/>
    <cacheHierarchy uniqueName="[Measures].[MTD Sales Filter]" caption="MTD Sales Filter" measure="1" displayFolder="" measureGroup="Dim_Category" count="0"/>
    <cacheHierarchy uniqueName="[Measures].[Week Sales LY]" caption="Week Sales LY" measure="1" displayFolder="" measureGroup="Dim_Category" count="0"/>
    <cacheHierarchy uniqueName="[Measures].[MTD Sales LY]" caption="MTD Sales LY" measure="1" displayFolder="" measureGroup="Dim_Category" count="0"/>
    <cacheHierarchy uniqueName="[Measures].[YTD Sales LY]" caption="YTD Sales LY" measure="1" displayFolder="" measureGroup="Dim_Category" count="0"/>
    <cacheHierarchy uniqueName="[Measures].[Sales LY Select]" caption="Sales LY Select" measure="1" displayFolder="" measureGroup="Dim_Category" count="0"/>
    <cacheHierarchy uniqueName="[Measures].[GM TY Week]" caption="GM TY Week" measure="1" displayFolder="" measureGroup="Dim_Category" count="0"/>
    <cacheHierarchy uniqueName="[Measures].[GM TY MTD]" caption="GM TY MTD" measure="1" displayFolder="" measureGroup="Dim_Category" count="0"/>
    <cacheHierarchy uniqueName="[Measures].[GM TY YTD]" caption="GM TY YTD" measure="1" displayFolder="" measureGroup="Dim_Category" count="0"/>
    <cacheHierarchy uniqueName="[Measures].[GM TY Select]" caption="GM TY Select" measure="1" displayFolder="" measureGroup="Dim_Category" count="0"/>
    <cacheHierarchy uniqueName="[Measures].[Sales Categories]" caption="Sales Categories" measure="1" displayFolder="" measureGroup="Measure Categories" count="0"/>
    <cacheHierarchy uniqueName="[Measures].[Sales Categories 1]" caption="Sales Categories 1" measure="1" displayFolder="" measureGroup="Measure Categories" count="0"/>
    <cacheHierarchy uniqueName="[Measures].[Sales Title]" caption="Sales Title" measure="1" displayFolder="" measureGroup="Measure Categories" count="0"/>
    <cacheHierarchy uniqueName="[Measures].[Traffic KPIs]" caption="Traffic KPIs" measure="1" displayFolder="" measureGroup="Measure Tooltip" count="0"/>
    <cacheHierarchy uniqueName="[Measures].[Traffic TY/LY Color]" caption="Traffic TY/LY Color" measure="1" displayFolder="" measureGroup="Measure Tooltip" count="0"/>
    <cacheHierarchy uniqueName="[Measures].[Store Trans KPIs]" caption="Store Trans KPIs" measure="1" displayFolder="" measureGroup="Measure Tooltip" count="0"/>
    <cacheHierarchy uniqueName="[Measures].[Store Trans TY/LY Color]" caption="Store Trans TY/LY Color" measure="1" displayFolder="" measureGroup="Measure Tooltip" count="0"/>
    <cacheHierarchy uniqueName="[Measures].[Conv KPIs]" caption="Conv KPIs" measure="1" displayFolder="" measureGroup="Measure Tooltip" count="0"/>
    <cacheHierarchy uniqueName="[Measures].[Conv TY/LY Color]" caption="Conv TY/LY Color" measure="1" displayFolder="" measureGroup="Measure Tooltip" count="0"/>
    <cacheHierarchy uniqueName="[Measures].[ATV KPIs]" caption="ATV KPIs" measure="1" displayFolder="" measureGroup="Measure Tooltip" count="0"/>
    <cacheHierarchy uniqueName="[Measures].[ATV TY/LY Color]" caption="ATV TY/LY Color" measure="1" displayFolder="" measureGroup="Measure Tooltip" count="0"/>
    <cacheHierarchy uniqueName="[Measures].[Measure 4]" caption="Measure 4" measure="1" displayFolder="" measureGroup="Measure Tooltip" count="0"/>
    <cacheHierarchy uniqueName="[Measures].[R-M/D$ Budget Color]" caption="R-M/D$ Budget Color" measure="1" displayFolder="" measureGroup="Measure Tooltip" count="0"/>
    <cacheHierarchy uniqueName="[Measures].[R-Sales$ Budget Color]" caption="R-Sales$ Budget Color" measure="1" displayFolder="" measureGroup="Measure Tooltip" count="0"/>
    <cacheHierarchy uniqueName="[Measures].[R-GM TY Color]" caption="R-GM TY Color" measure="1" displayFolder="" measureGroup="Measure Tooltip" count="0"/>
    <cacheHierarchy uniqueName="[Measures].[R-Store Trans Color]" caption="R-Store Trans Color" measure="1" displayFolder="" measureGroup="Measure Tooltip" count="0"/>
    <cacheHierarchy uniqueName="[Measures].[R-Traffic Color]" caption="R-Traffic Color" measure="1" displayFolder="" measureGroup="Measure Tooltip" count="0"/>
    <cacheHierarchy uniqueName="[Measures].[R-COnv Color]" caption="R-COnv Color" measure="1" displayFolder="" measureGroup="Measure Tooltip" count="0"/>
    <cacheHierarchy uniqueName="[Measures].[R-ATV Color]" caption="R-ATV Color" measure="1" displayFolder="" measureGroup="Measure Tooltip" count="0"/>
    <cacheHierarchy uniqueName="[Measures].[R-M/D$% Budget Color]" caption="R-M/D$% Budget Color" measure="1" displayFolder="" measureGroup="Measure Tooltip" count="0"/>
    <cacheHierarchy uniqueName="[Measures].[R-Traffic Budget Color]" caption="R-Traffic Budget Color" measure="1" displayFolder="" measureGroup="Measure Tooltip" count="0"/>
    <cacheHierarchy uniqueName="[Measures].[R-Store Trans Budget Color]" caption="R-Store Trans Budget Color" measure="1" displayFolder="" measureGroup="Measure Tooltip" count="0"/>
    <cacheHierarchy uniqueName="[Measures].[R-Conv Budget Color]" caption="R-Conv Budget Color" measure="1" displayFolder="" measureGroup="Measure Tooltip" count="0"/>
    <cacheHierarchy uniqueName="[Measures].[R-ATV Budget Color]" caption="R-ATV Budget Color" measure="1" displayFolder="" measureGroup="Measure Tooltip" count="0"/>
    <cacheHierarchy uniqueName="[Measures].[R-Sales TY/LY Color]" caption="R-Sales TY/LY Color" measure="1" displayFolder="" measureGroup="Measure Tooltip" count="0"/>
    <cacheHierarchy uniqueName="[Measures].[R-Sales$ Plan Color]" caption="R-Sales$ Plan Color" measure="1" displayFolder="" measureGroup="Measure Tooltip" count="0"/>
    <cacheHierarchy uniqueName="[Measures].[R-GM % TY Color]" caption="R-GM % TY Color" measure="1" displayFolder="" measureGroup="Measure Tooltip" count="0"/>
    <cacheHierarchy uniqueName="[Measures].[R-Budget$-Online-Store]" caption="R-Budget$-Online-Store" measure="1" displayFolder="" measureGroup="BI vw_BudgetOnlineByStore" count="0"/>
    <cacheHierarchy uniqueName="[Measures].[R-Budget-Online Store Y/N]" caption="R-Budget-Online Store Y/N" measure="1" displayFolder="" measureGroup="BI vw_BudgetOnlineByStore" count="0"/>
    <cacheHierarchy uniqueName="[Measures].[R-Budget Y/N]" caption="R-Budget Y/N" measure="1" displayFolder="" measureGroup="BI vw_BudgetOnlineByStore" count="0"/>
    <cacheHierarchy uniqueName="[Measures].[Product Dynamic Title]" caption="Product Dynamic Title" measure="1" displayFolder="" measureGroup="Product Parameter" count="0"/>
    <cacheHierarchy uniqueName="[Measures].[Budget Online]" caption="Budget Online" measure="1" displayFolder="" measureGroup="BI vw_BudgetDigital" count="0"/>
    <cacheHierarchy uniqueName="[Measures].[R-Budget Online TY]" caption="R-Budget Online TY" measure="1" displayFolder="" measureGroup="BI vw_BudgetDigital" count="0"/>
    <cacheHierarchy uniqueName="[Measures].[Store Trans Budget]" caption="Store Trans Budget" measure="1" displayFolder="" measureGroup="BI vw_BudgetByWeek" count="0"/>
    <cacheHierarchy uniqueName="[Measures].[R-Store Trans InStore Budget]" caption="R-Store Trans InStore Budget" measure="1" displayFolder="" measureGroup="BI vw_BudgetByWeek" count="0"/>
    <cacheHierarchy uniqueName="[Measures].[Traffic Budget]" caption="Traffic Budget" measure="1" displayFolder="" measureGroup="BI vw_BudgetByWeek" count="0"/>
    <cacheHierarchy uniqueName="[Measures].[R-Traffic InStore Budget]" caption="R-Traffic InStore Budget" measure="1" displayFolder="" measureGroup="BI vw_BudgetByWeek" count="0"/>
    <cacheHierarchy uniqueName="[Measures].[R-Conv Instore Budget]" caption="R-Conv Instore Budget" measure="1" displayFolder="" measureGroup="BI vw_BudgetByWeek" count="0"/>
    <cacheHierarchy uniqueName="[Measures].[R-Budget InStore]" caption="R-Budget InStore" measure="1" displayFolder="" measureGroup="BI vw_BudgetByWeek" count="0"/>
    <cacheHierarchy uniqueName="[Measures].[R-Traffic Budget Channel]" caption="R-Traffic Budget Channel" measure="1" displayFolder="" measureGroup="BI vw_BudgetByWeek" count="0"/>
    <cacheHierarchy uniqueName="[Measures].[R-Conv Budget Channel]" caption="R-Conv Budget Channel" measure="1" displayFolder="" measureGroup="BI vw_BudgetByWeek" count="0"/>
    <cacheHierarchy uniqueName="[Measures].[R-Store trans Budget Channel]" caption="R-Store trans Budget Channel" measure="1" displayFolder="" measureGroup="BI vw_BudgetByWeek" count="0"/>
    <cacheHierarchy uniqueName="[Measures].[R-ATV InStore Budget Cal]" caption="R-ATV InStore Budget Cal" measure="1" displayFolder="" measureGroup="BI vw_BudgetByWeek" count="0"/>
    <cacheHierarchy uniqueName="[Measures].[R-ATV Budget Channel]" caption="R-ATV Budget Channel" measure="1" displayFolder="" measureGroup="BI vw_BudgetByWeek" count="0"/>
    <cacheHierarchy uniqueName="[Measures].[R-GM Plan TY]" caption="R-GM Plan TY" measure="1" displayFolder="" measureGroup="Forecast" count="0"/>
    <cacheHierarchy uniqueName="[Measures].[R-GM vs Plan]" caption="R-GM vs Plan" measure="1" displayFolder="" measureGroup="Forecast" count="0"/>
    <cacheHierarchy uniqueName="[Measures].[R-GM %]" caption="R-GM %" measure="1" displayFolder="" measureGroup="Forecast" count="0"/>
    <cacheHierarchy uniqueName="[Measures].[R-Sales Plan TY]" caption="R-Sales Plan TY" measure="1" displayFolder="" measureGroup="Forecast" count="0"/>
    <cacheHierarchy uniqueName="[Measures].[R-GM Plan %]" caption="R-GM Plan %" measure="1" displayFolder="" measureGroup="Forecast" count="0"/>
    <cacheHierarchy uniqueName="[Measures].[R-Sales Plan TY-K]" caption="R-Sales Plan TY-K" measure="1" displayFolder="" measureGroup="Forecast" count="0"/>
    <cacheHierarchy uniqueName="[Measures].[__Default measure]" caption="__Default measure" measure="1" displayFolder="" count="0" hidden="1"/>
  </cacheHierarchies>
  <kpis count="0"/>
  <dimensions count="35">
    <dimension name="BI ForecastClass" uniqueName="[BI ForecastClass]" caption="BI ForecastClass"/>
    <dimension name="BI Item" uniqueName="[BI Item]" caption="BI Item"/>
    <dimension name="BI metrics" uniqueName="[BI metrics]" caption="BI metrics"/>
    <dimension name="BI Store" uniqueName="[BI Store]" caption="BI Store"/>
    <dimension name="BI Store State Sort" uniqueName="[BI Store State Sort]" caption="BI Store State Sort"/>
    <dimension name="BI vw_BudgetByItemCategory" uniqueName="[BI vw_BudgetByItemCategory]" caption="BI vw_BudgetByItemCategory"/>
    <dimension name="BI vw_BudgetByStore" uniqueName="[BI vw_BudgetByStore]" caption="BI vw_BudgetByStore"/>
    <dimension name="BI vw_BudgetByWeek" uniqueName="[BI vw_BudgetByWeek]" caption="BI vw_BudgetByWeek"/>
    <dimension name="BI vw_BudgetDigital" uniqueName="[BI vw_BudgetDigital]" caption="BI vw_BudgetDigital"/>
    <dimension name="BI vw_BudgetOnlineByStore" uniqueName="[BI vw_BudgetOnlineByStore]" caption="BI vw_BudgetOnlineByStore"/>
    <dimension name="BI vw_DropshipBudget" uniqueName="[BI vw_DropshipBudget]" caption="BI vw_DropshipBudget"/>
    <dimension name="BI vw_Items" uniqueName="[BI vw_Items]" caption="BI vw_Items"/>
    <dimension name="BI vw_WeeklyItemSales" uniqueName="[BI vw_WeeklyItemSales]" caption="BI vw_WeeklyItemSales"/>
    <dimension name="BI vw_WeeklyStoreATV" uniqueName="[BI vw_WeeklyStoreATV]" caption="BI vw_WeeklyStoreATV"/>
    <dimension name="BI vw_WeeklyStoreTraffic" uniqueName="[BI vw_WeeklyStoreTraffic]" caption="BI vw_WeeklyStoreTraffic"/>
    <dimension name="BI vw_WeeklyWrittenSalesMetrics" uniqueName="[BI vw_WeeklyWrittenSalesMetrics]" caption="BI vw_WeeklyWrittenSalesMetrics"/>
    <dimension name="Dim_Category" uniqueName="[Dim_Category]" caption="Dim_Category"/>
    <dimension name="dim_period" uniqueName="[dim_period]" caption="dim_period"/>
    <dimension name="ForcastByClass" uniqueName="[ForcastByClass]" caption="ForcastByClass"/>
    <dimension name="Forecast" uniqueName="[Forecast]" caption="Forecast"/>
    <dimension name="LocalDateTable_0d9eeced-3257-4609-8cfb-234f1d7c24d7" uniqueName="[LocalDateTable_0d9eeced-3257-4609-8cfb-234f1d7c24d7]" caption="LocalDateTable_0d9eeced-3257-4609-8cfb-234f1d7c24d7"/>
    <dimension name="LocalDateTable_3a17192d-ec7c-4dba-ac0e-bcf6b3a6a0ff" uniqueName="[LocalDateTable_3a17192d-ec7c-4dba-ac0e-bcf6b3a6a0ff]" caption="LocalDateTable_3a17192d-ec7c-4dba-ac0e-bcf6b3a6a0ff"/>
    <dimension name="LocalDateTable_3f117c71-2c04-4fa5-8c23-2b2c1ab14338" uniqueName="[LocalDateTable_3f117c71-2c04-4fa5-8c23-2b2c1ab14338]" caption="LocalDateTable_3f117c71-2c04-4fa5-8c23-2b2c1ab14338"/>
    <dimension name="LocalDateTable_66f09a5d-f864-46bc-a2f5-c0014bc05155" uniqueName="[LocalDateTable_66f09a5d-f864-46bc-a2f5-c0014bc05155]" caption="LocalDateTable_66f09a5d-f864-46bc-a2f5-c0014bc05155"/>
    <dimension name="LocalDateTable_754a5606-f042-4514-8c57-59f8f32672fc" uniqueName="[LocalDateTable_754a5606-f042-4514-8c57-59f8f32672fc]" caption="LocalDateTable_754a5606-f042-4514-8c57-59f8f32672fc"/>
    <dimension name="LocalDateTable_9b9a9699-5b52-40e9-b4a0-c11cb55a9d61" uniqueName="[LocalDateTable_9b9a9699-5b52-40e9-b4a0-c11cb55a9d61]" caption="LocalDateTable_9b9a9699-5b52-40e9-b4a0-c11cb55a9d61"/>
    <dimension name="LocalDateTable_a29de990-df00-42e6-9e8c-814d0b4b9a86" uniqueName="[LocalDateTable_a29de990-df00-42e6-9e8c-814d0b4b9a86]" caption="LocalDateTable_a29de990-df00-42e6-9e8c-814d0b4b9a86"/>
    <dimension name="LocalDateTable_e1d748f9-bc77-4c73-ba8d-fcf5ec29dd71" uniqueName="[LocalDateTable_e1d748f9-bc77-4c73-ba8d-fcf5ec29dd71]" caption="LocalDateTable_e1d748f9-bc77-4c73-ba8d-fcf5ec29dd71"/>
    <dimension name="Measure" uniqueName="[Measure]" caption="Measure"/>
    <dimension name="Measure Categories" uniqueName="[Measure Categories]" caption="Measure Categories"/>
    <dimension measure="1" name="Measures" uniqueName="[Measures]" caption="Measures"/>
    <dimension name="Product Parameter" uniqueName="[Product Parameter]" caption="Product Parameter"/>
    <dimension name="Query1" uniqueName="[Query1]" caption="Query1"/>
    <dimension name="Query2" uniqueName="[Query2]" caption="Query2"/>
    <dimension name="TimePeriodSort" uniqueName="[TimePeriodSort]" caption="TimePeriodSort"/>
  </dimensions>
  <measureGroups count="35">
    <measureGroup name="BI ForecastClass" caption="BI ForecastClass"/>
    <measureGroup name="BI Item" caption="BI Item"/>
    <measureGroup name="BI metrics" caption="BI metrics"/>
    <measureGroup name="BI Store" caption="BI Store"/>
    <measureGroup name="BI Store State Sort" caption="BI Store State Sort"/>
    <measureGroup name="BI vw_BudgetByItemCategory" caption="BI vw_BudgetByItemCategory"/>
    <measureGroup name="BI vw_BudgetByStore" caption="BI vw_BudgetByStore"/>
    <measureGroup name="BI vw_BudgetByWeek" caption="BI vw_BudgetByWeek"/>
    <measureGroup name="BI vw_BudgetDigital" caption="BI vw_BudgetDigital"/>
    <measureGroup name="BI vw_BudgetOnlineByStore" caption="BI vw_BudgetOnlineByStore"/>
    <measureGroup name="BI vw_DropshipBudget" caption="BI vw_DropshipBudget"/>
    <measureGroup name="BI vw_Items" caption="BI vw_Items"/>
    <measureGroup name="BI vw_WeeklyItemSales" caption="BI vw_WeeklyItemSales"/>
    <measureGroup name="BI vw_WeeklyStoreATV" caption="BI vw_WeeklyStoreATV"/>
    <measureGroup name="BI vw_WeeklyStoreTraffic" caption="BI vw_WeeklyStoreTraffic"/>
    <measureGroup name="BI vw_WeeklyWrittenSalesMetrics" caption="BI vw_WeeklyWrittenSalesMetrics"/>
    <measureGroup name="Dim_Category" caption="Dim_Category"/>
    <measureGroup name="dim_period" caption="dim_period"/>
    <measureGroup name="ForcastByClass" caption="ForcastByClass"/>
    <measureGroup name="Forecast" caption="Forecast"/>
    <measureGroup name="LocalDateTable_0d9eeced-3257-4609-8cfb-234f1d7c24d7" caption="LocalDateTable_0d9eeced-3257-4609-8cfb-234f1d7c24d7"/>
    <measureGroup name="LocalDateTable_3a17192d-ec7c-4dba-ac0e-bcf6b3a6a0ff" caption="LocalDateTable_3a17192d-ec7c-4dba-ac0e-bcf6b3a6a0ff"/>
    <measureGroup name="LocalDateTable_3f117c71-2c04-4fa5-8c23-2b2c1ab14338" caption="LocalDateTable_3f117c71-2c04-4fa5-8c23-2b2c1ab14338"/>
    <measureGroup name="LocalDateTable_66f09a5d-f864-46bc-a2f5-c0014bc05155" caption="LocalDateTable_66f09a5d-f864-46bc-a2f5-c0014bc05155"/>
    <measureGroup name="LocalDateTable_754a5606-f042-4514-8c57-59f8f32672fc" caption="LocalDateTable_754a5606-f042-4514-8c57-59f8f32672fc"/>
    <measureGroup name="LocalDateTable_9b9a9699-5b52-40e9-b4a0-c11cb55a9d61" caption="LocalDateTable_9b9a9699-5b52-40e9-b4a0-c11cb55a9d61"/>
    <measureGroup name="LocalDateTable_a29de990-df00-42e6-9e8c-814d0b4b9a86" caption="LocalDateTable_a29de990-df00-42e6-9e8c-814d0b4b9a86"/>
    <measureGroup name="LocalDateTable_e1d748f9-bc77-4c73-ba8d-fcf5ec29dd71" caption="LocalDateTable_e1d748f9-bc77-4c73-ba8d-fcf5ec29dd71"/>
    <measureGroup name="Measure" caption="Measure"/>
    <measureGroup name="Measure Categories" caption="Measure Categories"/>
    <measureGroup name="Measure Tooltip" caption="Measure Tooltip"/>
    <measureGroup name="Product Parameter" caption="Product Parameter"/>
    <measureGroup name="Query1" caption="Query1"/>
    <measureGroup name="Query2" caption="Query2"/>
    <measureGroup name="TimePeriodSort" caption="TimePeriodSort"/>
  </measureGroups>
  <maps count="41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2"/>
    <map measureGroup="0" dimension="13"/>
    <map measureGroup="0" dimension="14"/>
    <map measureGroup="0" dimension="15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34"/>
    <map measureGroup="1" dimension="1"/>
    <map measureGroup="1" dimension="23"/>
    <map measureGroup="1" dimension="25"/>
    <map measureGroup="2" dimension="2"/>
    <map measureGroup="2" dimension="20"/>
    <map measureGroup="2" dimension="24"/>
    <map measureGroup="2" dimension="27"/>
    <map measureGroup="2" dimension="34"/>
    <map measureGroup="3" dimension="0"/>
    <map measureGroup="3" dimension="1"/>
    <map measureGroup="3" dimension="2"/>
    <map measureGroup="3" dimension="3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2"/>
    <map measureGroup="3" dimension="13"/>
    <map measureGroup="3" dimension="14"/>
    <map measureGroup="3" dimension="15"/>
    <map measureGroup="3" dimension="17"/>
    <map measureGroup="3" dimension="18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8"/>
    <map measureGroup="3" dimension="34"/>
    <map measureGroup="4" dimension="4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2"/>
    <map measureGroup="5" dimension="13"/>
    <map measureGroup="5" dimension="14"/>
    <map measureGroup="5" dimension="15"/>
    <map measureGroup="5" dimension="17"/>
    <map measureGroup="5" dimension="18"/>
    <map measureGroup="5" dimension="19"/>
    <map measureGroup="5" dimension="20"/>
    <map measureGroup="5" dimension="21"/>
    <map measureGroup="5" dimension="22"/>
    <map measureGroup="5" dimension="23"/>
    <map measureGroup="5" dimension="24"/>
    <map measureGroup="5" dimension="25"/>
    <map measureGroup="5" dimension="27"/>
    <map measureGroup="5" dimension="28"/>
    <map measureGroup="5" dimension="34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  <map measureGroup="6" dimension="8"/>
    <map measureGroup="6" dimension="9"/>
    <map measureGroup="6" dimension="10"/>
    <map measureGroup="6" dimension="12"/>
    <map measureGroup="6" dimension="13"/>
    <map measureGroup="6" dimension="14"/>
    <map measureGroup="6" dimension="15"/>
    <map measureGroup="6" dimension="17"/>
    <map measureGroup="6" dimension="18"/>
    <map measureGroup="6" dimension="19"/>
    <map measureGroup="6" dimension="20"/>
    <map measureGroup="6" dimension="21"/>
    <map measureGroup="6" dimension="22"/>
    <map measureGroup="6" dimension="23"/>
    <map measureGroup="6" dimension="24"/>
    <map measureGroup="6" dimension="25"/>
    <map measureGroup="6" dimension="27"/>
    <map measureGroup="6" dimension="28"/>
    <map measureGroup="6" dimension="34"/>
    <map measureGroup="7" dimension="0"/>
    <map measureGroup="7" dimension="1"/>
    <map measureGroup="7" dimension="2"/>
    <map measureGroup="7" dimension="3"/>
    <map measureGroup="7" dimension="5"/>
    <map measureGroup="7" dimension="6"/>
    <map measureGroup="7" dimension="7"/>
    <map measureGroup="7" dimension="8"/>
    <map measureGroup="7" dimension="9"/>
    <map measureGroup="7" dimension="10"/>
    <map measureGroup="7" dimension="12"/>
    <map measureGroup="7" dimension="13"/>
    <map measureGroup="7" dimension="14"/>
    <map measureGroup="7" dimension="15"/>
    <map measureGroup="7" dimension="17"/>
    <map measureGroup="7" dimension="18"/>
    <map measureGroup="7" dimension="19"/>
    <map measureGroup="7" dimension="20"/>
    <map measureGroup="7" dimension="21"/>
    <map measureGroup="7" dimension="22"/>
    <map measureGroup="7" dimension="23"/>
    <map measureGroup="7" dimension="24"/>
    <map measureGroup="7" dimension="25"/>
    <map measureGroup="7" dimension="27"/>
    <map measureGroup="7" dimension="28"/>
    <map measureGroup="7" dimension="34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8" dimension="12"/>
    <map measureGroup="8" dimension="13"/>
    <map measureGroup="8" dimension="14"/>
    <map measureGroup="8" dimension="15"/>
    <map measureGroup="8" dimension="17"/>
    <map measureGroup="8" dimension="18"/>
    <map measureGroup="8" dimension="19"/>
    <map measureGroup="8" dimension="20"/>
    <map measureGroup="8" dimension="21"/>
    <map measureGroup="8" dimension="22"/>
    <map measureGroup="8" dimension="23"/>
    <map measureGroup="8" dimension="24"/>
    <map measureGroup="8" dimension="25"/>
    <map measureGroup="8" dimension="27"/>
    <map measureGroup="8" dimension="28"/>
    <map measureGroup="8" dimension="34"/>
    <map measureGroup="9" dimension="0"/>
    <map measureGroup="9" dimension="1"/>
    <map measureGroup="9" dimension="2"/>
    <map measureGroup="9" dimension="3"/>
    <map measureGroup="9" dimension="5"/>
    <map measureGroup="9" dimension="6"/>
    <map measureGroup="9" dimension="7"/>
    <map measureGroup="9" dimension="8"/>
    <map measureGroup="9" dimension="9"/>
    <map measureGroup="9" dimension="10"/>
    <map measureGroup="9" dimension="12"/>
    <map measureGroup="9" dimension="13"/>
    <map measureGroup="9" dimension="14"/>
    <map measureGroup="9" dimension="15"/>
    <map measureGroup="9" dimension="17"/>
    <map measureGroup="9" dimension="18"/>
    <map measureGroup="9" dimension="19"/>
    <map measureGroup="9" dimension="20"/>
    <map measureGroup="9" dimension="21"/>
    <map measureGroup="9" dimension="22"/>
    <map measureGroup="9" dimension="23"/>
    <map measureGroup="9" dimension="24"/>
    <map measureGroup="9" dimension="25"/>
    <map measureGroup="9" dimension="27"/>
    <map measureGroup="9" dimension="28"/>
    <map measureGroup="9" dimension="34"/>
    <map measureGroup="10" dimension="0"/>
    <map measureGroup="10" dimension="1"/>
    <map measureGroup="10" dimension="2"/>
    <map measureGroup="10" dimension="3"/>
    <map measureGroup="10" dimension="5"/>
    <map measureGroup="10" dimension="6"/>
    <map measureGroup="10" dimension="7"/>
    <map measureGroup="10" dimension="8"/>
    <map measureGroup="10" dimension="9"/>
    <map measureGroup="10" dimension="10"/>
    <map measureGroup="10" dimension="12"/>
    <map measureGroup="10" dimension="13"/>
    <map measureGroup="10" dimension="14"/>
    <map measureGroup="10" dimension="15"/>
    <map measureGroup="10" dimension="17"/>
    <map measureGroup="10" dimension="18"/>
    <map measureGroup="10" dimension="19"/>
    <map measureGroup="10" dimension="20"/>
    <map measureGroup="10" dimension="21"/>
    <map measureGroup="10" dimension="22"/>
    <map measureGroup="10" dimension="23"/>
    <map measureGroup="10" dimension="24"/>
    <map measureGroup="10" dimension="25"/>
    <map measureGroup="10" dimension="27"/>
    <map measureGroup="10" dimension="28"/>
    <map measureGroup="10" dimension="34"/>
    <map measureGroup="11" dimension="11"/>
    <map measureGroup="12" dimension="0"/>
    <map measureGroup="12" dimension="1"/>
    <map measureGroup="12" dimension="2"/>
    <map measureGroup="12" dimension="3"/>
    <map measureGroup="12" dimension="5"/>
    <map measureGroup="12" dimension="6"/>
    <map measureGroup="12" dimension="7"/>
    <map measureGroup="12" dimension="8"/>
    <map measureGroup="12" dimension="9"/>
    <map measureGroup="12" dimension="10"/>
    <map measureGroup="12" dimension="12"/>
    <map measureGroup="12" dimension="13"/>
    <map measureGroup="12" dimension="14"/>
    <map measureGroup="12" dimension="15"/>
    <map measureGroup="12" dimension="17"/>
    <map measureGroup="12" dimension="18"/>
    <map measureGroup="12" dimension="19"/>
    <map measureGroup="12" dimension="20"/>
    <map measureGroup="12" dimension="21"/>
    <map measureGroup="12" dimension="22"/>
    <map measureGroup="12" dimension="23"/>
    <map measureGroup="12" dimension="24"/>
    <map measureGroup="12" dimension="25"/>
    <map measureGroup="12" dimension="27"/>
    <map measureGroup="12" dimension="28"/>
    <map measureGroup="12" dimension="34"/>
    <map measureGroup="13" dimension="0"/>
    <map measureGroup="13" dimension="1"/>
    <map measureGroup="13" dimension="2"/>
    <map measureGroup="13" dimension="3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2"/>
    <map measureGroup="13" dimension="13"/>
    <map measureGroup="13" dimension="14"/>
    <map measureGroup="13" dimension="15"/>
    <map measureGroup="13" dimension="17"/>
    <map measureGroup="13" dimension="18"/>
    <map measureGroup="13" dimension="19"/>
    <map measureGroup="13" dimension="20"/>
    <map measureGroup="13" dimension="21"/>
    <map measureGroup="13" dimension="22"/>
    <map measureGroup="13" dimension="23"/>
    <map measureGroup="13" dimension="24"/>
    <map measureGroup="13" dimension="25"/>
    <map measureGroup="13" dimension="27"/>
    <map measureGroup="13" dimension="28"/>
    <map measureGroup="13" dimension="34"/>
    <map measureGroup="14" dimension="0"/>
    <map measureGroup="14" dimension="1"/>
    <map measureGroup="14" dimension="2"/>
    <map measureGroup="14" dimension="3"/>
    <map measureGroup="14" dimension="5"/>
    <map measureGroup="14" dimension="6"/>
    <map measureGroup="14" dimension="7"/>
    <map measureGroup="14" dimension="8"/>
    <map measureGroup="14" dimension="9"/>
    <map measureGroup="14" dimension="10"/>
    <map measureGroup="14" dimension="12"/>
    <map measureGroup="14" dimension="13"/>
    <map measureGroup="14" dimension="14"/>
    <map measureGroup="14" dimension="15"/>
    <map measureGroup="14" dimension="17"/>
    <map measureGroup="14" dimension="18"/>
    <map measureGroup="14" dimension="19"/>
    <map measureGroup="14" dimension="20"/>
    <map measureGroup="14" dimension="21"/>
    <map measureGroup="14" dimension="22"/>
    <map measureGroup="14" dimension="23"/>
    <map measureGroup="14" dimension="24"/>
    <map measureGroup="14" dimension="25"/>
    <map measureGroup="14" dimension="27"/>
    <map measureGroup="14" dimension="28"/>
    <map measureGroup="14" dimension="34"/>
    <map measureGroup="15" dimension="0"/>
    <map measureGroup="15" dimension="1"/>
    <map measureGroup="15" dimension="2"/>
    <map measureGroup="15" dimension="3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2"/>
    <map measureGroup="15" dimension="13"/>
    <map measureGroup="15" dimension="14"/>
    <map measureGroup="15" dimension="15"/>
    <map measureGroup="15" dimension="17"/>
    <map measureGroup="15" dimension="18"/>
    <map measureGroup="15" dimension="19"/>
    <map measureGroup="15" dimension="20"/>
    <map measureGroup="15" dimension="21"/>
    <map measureGroup="15" dimension="22"/>
    <map measureGroup="15" dimension="23"/>
    <map measureGroup="15" dimension="24"/>
    <map measureGroup="15" dimension="25"/>
    <map measureGroup="15" dimension="27"/>
    <map measureGroup="15" dimension="28"/>
    <map measureGroup="15" dimension="34"/>
    <map measureGroup="16" dimension="16"/>
    <map measureGroup="17" dimension="17"/>
    <map measureGroup="17" dimension="21"/>
    <map measureGroup="17" dimension="22"/>
    <map measureGroup="18" dimension="0"/>
    <map measureGroup="18" dimension="1"/>
    <map measureGroup="18" dimension="2"/>
    <map measureGroup="18" dimension="3"/>
    <map measureGroup="18" dimension="5"/>
    <map measureGroup="18" dimension="6"/>
    <map measureGroup="18" dimension="7"/>
    <map measureGroup="18" dimension="8"/>
    <map measureGroup="18" dimension="9"/>
    <map measureGroup="18" dimension="10"/>
    <map measureGroup="18" dimension="12"/>
    <map measureGroup="18" dimension="13"/>
    <map measureGroup="18" dimension="14"/>
    <map measureGroup="18" dimension="15"/>
    <map measureGroup="18" dimension="17"/>
    <map measureGroup="18" dimension="18"/>
    <map measureGroup="18" dimension="19"/>
    <map measureGroup="18" dimension="20"/>
    <map measureGroup="18" dimension="21"/>
    <map measureGroup="18" dimension="22"/>
    <map measureGroup="18" dimension="23"/>
    <map measureGroup="18" dimension="24"/>
    <map measureGroup="18" dimension="25"/>
    <map measureGroup="18" dimension="27"/>
    <map measureGroup="18" dimension="28"/>
    <map measureGroup="18" dimension="34"/>
    <map measureGroup="19" dimension="0"/>
    <map measureGroup="19" dimension="1"/>
    <map measureGroup="19" dimension="2"/>
    <map measureGroup="19" dimension="3"/>
    <map measureGroup="19" dimension="5"/>
    <map measureGroup="19" dimension="6"/>
    <map measureGroup="19" dimension="7"/>
    <map measureGroup="19" dimension="8"/>
    <map measureGroup="19" dimension="9"/>
    <map measureGroup="19" dimension="10"/>
    <map measureGroup="19" dimension="12"/>
    <map measureGroup="19" dimension="13"/>
    <map measureGroup="19" dimension="14"/>
    <map measureGroup="19" dimension="15"/>
    <map measureGroup="19" dimension="17"/>
    <map measureGroup="19" dimension="18"/>
    <map measureGroup="19" dimension="19"/>
    <map measureGroup="19" dimension="20"/>
    <map measureGroup="19" dimension="21"/>
    <map measureGroup="19" dimension="22"/>
    <map measureGroup="19" dimension="23"/>
    <map measureGroup="19" dimension="24"/>
    <map measureGroup="19" dimension="25"/>
    <map measureGroup="19" dimension="27"/>
    <map measureGroup="19" dimension="28"/>
    <map measureGroup="19" dimension="34"/>
    <map measureGroup="20" dimension="20"/>
    <map measureGroup="21" dimension="21"/>
    <map measureGroup="22" dimension="22"/>
    <map measureGroup="23" dimension="23"/>
    <map measureGroup="24" dimension="24"/>
    <map measureGroup="25" dimension="25"/>
    <map measureGroup="26" dimension="26"/>
    <map measureGroup="27" dimension="27"/>
    <map measureGroup="28" dimension="0"/>
    <map measureGroup="28" dimension="1"/>
    <map measureGroup="28" dimension="2"/>
    <map measureGroup="28" dimension="3"/>
    <map measureGroup="28" dimension="5"/>
    <map measureGroup="28" dimension="6"/>
    <map measureGroup="28" dimension="7"/>
    <map measureGroup="28" dimension="8"/>
    <map measureGroup="28" dimension="9"/>
    <map measureGroup="28" dimension="10"/>
    <map measureGroup="28" dimension="12"/>
    <map measureGroup="28" dimension="13"/>
    <map measureGroup="28" dimension="14"/>
    <map measureGroup="28" dimension="15"/>
    <map measureGroup="28" dimension="17"/>
    <map measureGroup="28" dimension="18"/>
    <map measureGroup="28" dimension="19"/>
    <map measureGroup="28" dimension="20"/>
    <map measureGroup="28" dimension="21"/>
    <map measureGroup="28" dimension="22"/>
    <map measureGroup="28" dimension="23"/>
    <map measureGroup="28" dimension="24"/>
    <map measureGroup="28" dimension="25"/>
    <map measureGroup="28" dimension="27"/>
    <map measureGroup="28" dimension="28"/>
    <map measureGroup="28" dimension="34"/>
    <map measureGroup="29" dimension="29"/>
    <map measureGroup="31" dimension="31"/>
    <map measureGroup="32" dimension="26"/>
    <map measureGroup="32" dimension="32"/>
    <map measureGroup="33" dimension="33"/>
    <map measureGroup="34" dimension="3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5.591599189815" backgroundQuery="1" createdVersion="8" refreshedVersion="8" minRefreshableVersion="3" recordCount="0" supportSubquery="1" supportAdvancedDrill="1" xr:uid="{13F16524-8950-4832-8D4F-8ABE5321A499}">
  <cacheSource type="external" connectionId="2"/>
  <cacheFields count="13">
    <cacheField name="[BI metrics].[Fin_Period].[Fin_Period]" caption="Fin_Period" numFmtId="0" hierarchy="44" level="1">
      <sharedItems count="208">
        <s v="[BI metrics].[Fin_Period].&amp;[202401]" c="202401"/>
        <s v="[BI metrics].[Fin_Period].&amp;[202402]" c="202402"/>
        <s v="[BI metrics].[Fin_Period].&amp;[202403]" c="202403"/>
        <s v="[BI metrics].[Fin_Period].&amp;[202404]" c="202404"/>
        <s v="[BI metrics].[Fin_Period].&amp;[202405]" c="202405"/>
        <s v="[BI metrics].[Fin_Period].&amp;[202406]" c="202406"/>
        <s v="[BI metrics].[Fin_Period].&amp;[202407]" c="202407"/>
        <s v="[BI metrics].[Fin_Period].&amp;[202408]" c="202408"/>
        <s v="[BI metrics].[Fin_Period].&amp;[202409]" c="202409"/>
        <s v="[BI metrics].[Fin_Period].&amp;[202410]" c="202410"/>
        <s v="[BI metrics].[Fin_Period].&amp;[202411]" c="202411"/>
        <s v="[BI metrics].[Fin_Period].&amp;[202412]" c="202412"/>
        <s v="[BI metrics].[Fin_Period].&amp;[202413]" c="202413"/>
        <s v="[BI metrics].[Fin_Period].&amp;[202414]" c="202414"/>
        <s v="[BI metrics].[Fin_Period].&amp;[202415]" c="202415"/>
        <s v="[BI metrics].[Fin_Period].&amp;[202416]" c="202416"/>
        <s v="[BI metrics].[Fin_Period].&amp;[202417]" c="202417"/>
        <s v="[BI metrics].[Fin_Period].&amp;[202418]" c="202418"/>
        <s v="[BI metrics].[Fin_Period].&amp;[202419]" c="202419"/>
        <s v="[BI metrics].[Fin_Period].&amp;[202420]" c="202420"/>
        <s v="[BI metrics].[Fin_Period].&amp;[202421]" c="202421"/>
        <s v="[BI metrics].[Fin_Period].&amp;[202422]" c="202422"/>
        <s v="[BI metrics].[Fin_Period].&amp;[202423]" c="202423"/>
        <s v="[BI metrics].[Fin_Period].&amp;[202424]" c="202424"/>
        <s v="[BI metrics].[Fin_Period].&amp;[202425]" c="202425"/>
        <s v="[BI metrics].[Fin_Period].&amp;[202426]" c="202426"/>
        <s v="[BI metrics].[Fin_Period].&amp;[202427]" c="202427"/>
        <s v="[BI metrics].[Fin_Period].&amp;[202428]" c="202428"/>
        <s v="[BI metrics].[Fin_Period].&amp;[202429]" c="202429"/>
        <s v="[BI metrics].[Fin_Period].&amp;[202430]" c="202430"/>
        <s v="[BI metrics].[Fin_Period].&amp;[202431]" c="202431"/>
        <s v="[BI metrics].[Fin_Period].&amp;[202432]" c="202432"/>
        <s v="[BI metrics].[Fin_Period].&amp;[202433]" c="202433"/>
        <s v="[BI metrics].[Fin_Period].&amp;[202434]" c="202434"/>
        <s v="[BI metrics].[Fin_Period].&amp;[202435]" c="202435"/>
        <s v="[BI metrics].[Fin_Period].&amp;[202436]" c="202436"/>
        <s v="[BI metrics].[Fin_Period].&amp;[202437]" c="202437"/>
        <s v="[BI metrics].[Fin_Period].&amp;[202438]" c="202438"/>
        <s v="[BI metrics].[Fin_Period].&amp;[202439]" c="202439"/>
        <s v="[BI metrics].[Fin_Period].&amp;[202440]" c="202440"/>
        <s v="[BI metrics].[Fin_Period].&amp;[202441]" c="202441"/>
        <s v="[BI metrics].[Fin_Period].&amp;[202442]" c="202442"/>
        <s v="[BI metrics].[Fin_Period].&amp;[202443]" c="202443"/>
        <s v="[BI metrics].[Fin_Period].&amp;[202444]" c="202444"/>
        <s v="[BI metrics].[Fin_Period].&amp;[202445]" c="202445"/>
        <s v="[BI metrics].[Fin_Period].&amp;[202446]" c="202446"/>
        <s v="[BI metrics].[Fin_Period].&amp;[202447]" c="202447"/>
        <s v="[BI metrics].[Fin_Period].&amp;[202448]" c="202448"/>
        <s v="[BI metrics].[Fin_Period].&amp;[202449]" c="202449"/>
        <s v="[BI metrics].[Fin_Period].&amp;[202450]" c="202450"/>
        <s v="[BI metrics].[Fin_Period].&amp;[202451]" c="202451"/>
        <s v="[BI metrics].[Fin_Period].&amp;[202452]" c="202452"/>
        <s v="[BI metrics].[Fin_Period].&amp;[202501]" c="202501"/>
        <s v="[BI metrics].[Fin_Period].&amp;[202502]" c="202502"/>
        <s v="[BI metrics].[Fin_Period].&amp;[202503]" c="202503"/>
        <s v="[BI metrics].[Fin_Period].&amp;[202504]" c="202504"/>
        <s v="[BI metrics].[Fin_Period].&amp;[202505]" c="202505"/>
        <s v="[BI metrics].[Fin_Period].&amp;[202506]" c="202506"/>
        <s v="[BI metrics].[Fin_Period].&amp;[202507]" c="202507"/>
        <s v="[BI metrics].[Fin_Period].&amp;[202508]" c="202508"/>
        <s v="[BI metrics].[Fin_Period].&amp;[202509]" c="202509"/>
        <s v="[BI metrics].[Fin_Period].&amp;[202510]" c="202510"/>
        <s v="[BI metrics].[Fin_Period].&amp;[202511]" c="202511"/>
        <s v="[BI metrics].[Fin_Period].&amp;[202512]" c="202512"/>
        <s v="[BI metrics].[Fin_Period].&amp;[202513]" c="202513"/>
        <s v="[BI metrics].[Fin_Period].&amp;[202514]" c="202514"/>
        <s v="[BI metrics].[Fin_Period].&amp;[202515]" c="202515"/>
        <s v="[BI metrics].[Fin_Period].&amp;[202516]" c="202516"/>
        <s v="[BI metrics].[Fin_Period].&amp;[202517]" c="202517"/>
        <s v="[BI metrics].[Fin_Period].&amp;[202518]" c="202518"/>
        <s v="[BI metrics].[Fin_Period].&amp;[202519]" c="202519"/>
        <s v="[BI metrics].[Fin_Period].&amp;[202520]" c="202520"/>
        <s v="[BI metrics].[Fin_Period].&amp;[202521]" c="202521"/>
        <s v="[BI metrics].[Fin_Period].&amp;[202522]" c="202522"/>
        <s v="[BI metrics].[Fin_Period].&amp;[202523]" c="202523"/>
        <s v="[BI metrics].[Fin_Period].&amp;[202524]" c="202524"/>
        <s v="[BI metrics].[Fin_Period].&amp;[202525]" c="202525"/>
        <s v="[BI metrics].[Fin_Period].&amp;[202526]" c="202526"/>
        <s v="[BI metrics].[Fin_Period].&amp;[202527]" c="202527"/>
        <s v="[BI metrics].[Fin_Period].&amp;[202528]" c="202528"/>
        <s v="[BI metrics].[Fin_Period].&amp;[202529]" c="202529"/>
        <s v="[BI metrics].[Fin_Period].&amp;[202530]" c="202530"/>
        <s v="[BI metrics].[Fin_Period].&amp;[202531]" c="202531"/>
        <s v="[BI metrics].[Fin_Period].&amp;[202532]" c="202532"/>
        <s v="[BI metrics].[Fin_Period].&amp;[202533]" c="202533"/>
        <s v="[BI metrics].[Fin_Period].&amp;[202534]" c="202534"/>
        <s v="[BI metrics].[Fin_Period].&amp;[202535]" c="202535"/>
        <s v="[BI metrics].[Fin_Period].&amp;[202536]" c="202536"/>
        <s v="[BI metrics].[Fin_Period].&amp;[202537]" c="202537"/>
        <s v="[BI metrics].[Fin_Period].&amp;[202538]" c="202538"/>
        <s v="[BI metrics].[Fin_Period].&amp;[202539]" c="202539"/>
        <s v="[BI metrics].[Fin_Period].&amp;[202540]" c="202540"/>
        <s v="[BI metrics].[Fin_Period].&amp;[202541]" c="202541"/>
        <s v="[BI metrics].[Fin_Period].&amp;[202542]" c="202542"/>
        <s v="[BI metrics].[Fin_Period].&amp;[202543]" c="202543"/>
        <s v="[BI metrics].[Fin_Period].&amp;[202544]" c="202544"/>
        <s v="[BI metrics].[Fin_Period].&amp;[202545]" c="202545"/>
        <s v="[BI metrics].[Fin_Period].&amp;[202546]" c="202546"/>
        <s v="[BI metrics].[Fin_Period].&amp;[202547]" c="202547"/>
        <s v="[BI metrics].[Fin_Period].&amp;[202548]" c="202548"/>
        <s v="[BI metrics].[Fin_Period].&amp;[202549]" c="202549"/>
        <s v="[BI metrics].[Fin_Period].&amp;[202550]" c="202550"/>
        <s v="[BI metrics].[Fin_Period].&amp;[202551]" c="202551"/>
        <s v="[BI metrics].[Fin_Period].&amp;[202552]" c="202552"/>
        <s v="[BI metrics].[Fin_Period].&amp;[202601]" c="202601"/>
        <s v="[BI metrics].[Fin_Period].&amp;[202602]" c="202602"/>
        <s v="[BI metrics].[Fin_Period].&amp;[202603]" c="202603"/>
        <s v="[BI metrics].[Fin_Period].&amp;[202604]" c="202604"/>
        <s v="[BI metrics].[Fin_Period].&amp;[202605]" c="202605"/>
        <s v="[BI metrics].[Fin_Period].&amp;[202606]" c="202606"/>
        <s v="[BI metrics].[Fin_Period].&amp;[202607]" c="202607"/>
        <s v="[BI metrics].[Fin_Period].&amp;[202608]" c="202608"/>
        <s v="[BI metrics].[Fin_Period].&amp;[202609]" c="202609"/>
        <s v="[BI metrics].[Fin_Period].&amp;[202610]" c="202610"/>
        <s v="[BI metrics].[Fin_Period].&amp;[202611]" c="202611"/>
        <s v="[BI metrics].[Fin_Period].&amp;[202612]" c="202612"/>
        <s v="[BI metrics].[Fin_Period].&amp;[202613]" c="202613"/>
        <s v="[BI metrics].[Fin_Period].&amp;[202614]" c="202614"/>
        <s v="[BI metrics].[Fin_Period].&amp;[202615]" c="202615"/>
        <s v="[BI metrics].[Fin_Period].&amp;[202616]" c="202616"/>
        <s v="[BI metrics].[Fin_Period].&amp;[202617]" c="202617"/>
        <s v="[BI metrics].[Fin_Period].&amp;[202618]" c="202618"/>
        <s v="[BI metrics].[Fin_Period].&amp;[202619]" c="202619"/>
        <s v="[BI metrics].[Fin_Period].&amp;[202620]" c="202620"/>
        <s v="[BI metrics].[Fin_Period].&amp;[202621]" c="202621"/>
        <s v="[BI metrics].[Fin_Period].&amp;[202622]" c="202622"/>
        <s v="[BI metrics].[Fin_Period].&amp;[202623]" c="202623"/>
        <s v="[BI metrics].[Fin_Period].&amp;[202624]" c="202624"/>
        <s v="[BI metrics].[Fin_Period].&amp;[202625]" c="202625"/>
        <s v="[BI metrics].[Fin_Period].&amp;[202626]" c="202626"/>
        <s v="[BI metrics].[Fin_Period].&amp;[202627]" c="202627"/>
        <s v="[BI metrics].[Fin_Period].&amp;[202628]" c="202628"/>
        <s v="[BI metrics].[Fin_Period].&amp;[202629]" c="202629"/>
        <s v="[BI metrics].[Fin_Period].&amp;[202630]" c="202630"/>
        <s v="[BI metrics].[Fin_Period].&amp;[202631]" c="202631"/>
        <s v="[BI metrics].[Fin_Period].&amp;[202632]" c="202632"/>
        <s v="[BI metrics].[Fin_Period].&amp;[202633]" c="202633"/>
        <s v="[BI metrics].[Fin_Period].&amp;[202634]" c="202634"/>
        <s v="[BI metrics].[Fin_Period].&amp;[202635]" c="202635"/>
        <s v="[BI metrics].[Fin_Period].&amp;[202636]" c="202636"/>
        <s v="[BI metrics].[Fin_Period].&amp;[202637]" c="202637"/>
        <s v="[BI metrics].[Fin_Period].&amp;[202638]" c="202638"/>
        <s v="[BI metrics].[Fin_Period].&amp;[202639]" c="202639"/>
        <s v="[BI metrics].[Fin_Period].&amp;[202640]" c="202640"/>
        <s v="[BI metrics].[Fin_Period].&amp;[202641]" c="202641"/>
        <s v="[BI metrics].[Fin_Period].&amp;[202642]" c="202642"/>
        <s v="[BI metrics].[Fin_Period].&amp;[202643]" c="202643"/>
        <s v="[BI metrics].[Fin_Period].&amp;[202644]" c="202644"/>
        <s v="[BI metrics].[Fin_Period].&amp;[202645]" c="202645"/>
        <s v="[BI metrics].[Fin_Period].&amp;[202646]" c="202646"/>
        <s v="[BI metrics].[Fin_Period].&amp;[202647]" c="202647"/>
        <s v="[BI metrics].[Fin_Period].&amp;[202648]" c="202648"/>
        <s v="[BI metrics].[Fin_Period].&amp;[202649]" c="202649"/>
        <s v="[BI metrics].[Fin_Period].&amp;[202650]" c="202650"/>
        <s v="[BI metrics].[Fin_Period].&amp;[202651]" c="202651"/>
        <s v="[BI metrics].[Fin_Period].&amp;[202652]" c="202652"/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  <s v="[BI metrics].[Fin_Period].&amp;[202708]" c="202708"/>
        <s v="[BI metrics].[Fin_Period].&amp;[202709]" c="202709"/>
        <s v="[BI metrics].[Fin_Period].&amp;[202710]" c="202710"/>
        <s v="[BI metrics].[Fin_Period].&amp;[202711]" c="202711"/>
        <s v="[BI metrics].[Fin_Period].&amp;[202712]" c="202712"/>
        <s v="[BI metrics].[Fin_Period].&amp;[202713]" c="202713"/>
        <s v="[BI metrics].[Fin_Period].&amp;[202714]" c="202714"/>
        <s v="[BI metrics].[Fin_Period].&amp;[202715]" c="202715"/>
        <s v="[BI metrics].[Fin_Period].&amp;[202716]" c="202716"/>
        <s v="[BI metrics].[Fin_Period].&amp;[202717]" c="202717"/>
        <s v="[BI metrics].[Fin_Period].&amp;[202718]" c="202718"/>
        <s v="[BI metrics].[Fin_Period].&amp;[202719]" c="202719"/>
        <s v="[BI metrics].[Fin_Period].&amp;[202720]" c="202720"/>
        <s v="[BI metrics].[Fin_Period].&amp;[202721]" c="202721"/>
        <s v="[BI metrics].[Fin_Period].&amp;[202722]" c="202722"/>
        <s v="[BI metrics].[Fin_Period].&amp;[202723]" c="202723"/>
        <s v="[BI metrics].[Fin_Period].&amp;[202724]" c="202724"/>
        <s v="[BI metrics].[Fin_Period].&amp;[202725]" c="202725"/>
        <s v="[BI metrics].[Fin_Period].&amp;[202726]" c="202726"/>
        <s v="[BI metrics].[Fin_Period].&amp;[202727]" c="202727"/>
        <s v="[BI metrics].[Fin_Period].&amp;[202728]" c="202728"/>
        <s v="[BI metrics].[Fin_Period].&amp;[202729]" c="202729"/>
        <s v="[BI metrics].[Fin_Period].&amp;[202730]" c="202730"/>
        <s v="[BI metrics].[Fin_Period].&amp;[202731]" c="202731"/>
        <s v="[BI metrics].[Fin_Period].&amp;[202732]" c="202732"/>
        <s v="[BI metrics].[Fin_Period].&amp;[202733]" c="202733"/>
        <s v="[BI metrics].[Fin_Period].&amp;[202734]" c="202734"/>
        <s v="[BI metrics].[Fin_Period].&amp;[202735]" c="202735"/>
        <s v="[BI metrics].[Fin_Period].&amp;[202736]" c="202736"/>
        <s v="[BI metrics].[Fin_Period].&amp;[202737]" c="202737"/>
        <s v="[BI metrics].[Fin_Period].&amp;[202738]" c="202738"/>
        <s v="[BI metrics].[Fin_Period].&amp;[202739]" c="202739"/>
        <s v="[BI metrics].[Fin_Period].&amp;[202740]" c="202740"/>
        <s v="[BI metrics].[Fin_Period].&amp;[202741]" c="202741"/>
        <s v="[BI metrics].[Fin_Period].&amp;[202742]" c="202742"/>
        <s v="[BI metrics].[Fin_Period].&amp;[202743]" c="202743"/>
        <s v="[BI metrics].[Fin_Period].&amp;[202744]" c="202744"/>
        <s v="[BI metrics].[Fin_Period].&amp;[202745]" c="202745"/>
        <s v="[BI metrics].[Fin_Period].&amp;[202746]" c="202746"/>
        <s v="[BI metrics].[Fin_Period].&amp;[202747]" c="202747"/>
        <s v="[BI metrics].[Fin_Period].&amp;[202748]" c="202748"/>
        <s v="[BI metrics].[Fin_Period].&amp;[202749]" c="202749"/>
        <s v="[BI metrics].[Fin_Period].&amp;[202750]" c="202750"/>
        <s v="[BI metrics].[Fin_Period].&amp;[202751]" c="202751"/>
        <s v="[BI metrics].[Fin_Period].&amp;[202752]" c="202752"/>
      </sharedItems>
    </cacheField>
    <cacheField name="[BI metrics].[TimePeriod].[TimePeriod]" caption="TimePeriod" numFmtId="0" hierarchy="60" level="1">
      <sharedItems containsSemiMixedTypes="0" containsString="0"/>
    </cacheField>
    <cacheField name="[BI Item].[Item_Country].[Item_Country]" caption="Item_Country" numFmtId="0" hierarchy="22" level="1">
      <sharedItems containsSemiMixedTypes="0" containsString="0"/>
    </cacheField>
    <cacheField name="[BI Item].[Division].[Division]" caption="Division" numFmtId="0" hierarchy="17" level="1">
      <sharedItems containsSemiMixedTypes="0" containsString="0"/>
    </cacheField>
    <cacheField name="[BI Store].[Branch_Type].[Branch_Type]" caption="Branch_Type" numFmtId="0" hierarchy="69" level="1">
      <sharedItems containsSemiMixedTypes="0" containsString="0"/>
    </cacheField>
    <cacheField name="[BI Store].[Store_Country].[Store_Country]" caption="Store_Country" numFmtId="0" hierarchy="75" level="1">
      <sharedItems containsSemiMixedTypes="0" containsString="0"/>
    </cacheField>
    <cacheField name="[BI vw_BudgetByItemCategory].[Country].[Country]" caption="Country" numFmtId="0" hierarchy="92" level="1">
      <sharedItems containsSemiMixedTypes="0" containsString="0"/>
    </cacheField>
    <cacheField name="[TimePeriodSort].[TimePeriod].[TimePeriod]" caption="TimePeriod" numFmtId="0" hierarchy="284" level="1">
      <sharedItems containsSemiMixedTypes="0" containsString="0"/>
    </cacheField>
    <cacheField name="[BI vw_WeeklyWrittenSalesMetrics].[Branch_Type].[Branch_Type]" caption="Branch_Type" numFmtId="0" hierarchy="199" level="1">
      <sharedItems containsSemiMixedTypes="0" containsString="0"/>
    </cacheField>
    <cacheField name="[BI vw_WeeklyWrittenSalesMetrics].[Division].[Division]" caption="Division" numFmtId="0" hierarchy="209" level="1">
      <sharedItems count="2">
        <s v="[BI vw_WeeklyWrittenSalesMetrics].[Division].&amp;[Furniture]" c="Furniture"/>
        <s v="[BI vw_WeeklyWrittenSalesMetrics].[Division].&amp;[Homewares]" c="Homewares"/>
      </sharedItems>
    </cacheField>
    <cacheField name="[BI vw_WeeklyWrittenSalesMetrics].[Country].[Country]" caption="Country" numFmtId="0" hierarchy="207" level="1">
      <sharedItems containsSemiMixedTypes="0" containsString="0"/>
    </cacheField>
    <cacheField name="[BI vw_WeeklyWrittenSalesMetrics].[Channel].[Channel]" caption="Channel" numFmtId="0" hierarchy="205" level="1">
      <sharedItems count="2">
        <s v="[BI vw_WeeklyWrittenSalesMetrics].[Channel].&amp;[In Store]" c="In Store"/>
        <s v="[BI vw_WeeklyWrittenSalesMetrics].[Channel].&amp;[Online]" c="Online"/>
      </sharedItems>
    </cacheField>
    <cacheField name="[Measures].[R-GM$ TY]" caption="R-GM$ TY" numFmtId="0" hierarchy="349" level="32767"/>
  </cacheFields>
  <cacheHierarchies count="579">
    <cacheHierarchy uniqueName="[BI ForecastClass].[BranchType]" caption="BranchType" attribute="1" defaultMemberUniqueName="[BI ForecastClass].[BranchType].[All]" allUniqueName="[BI ForecastClass].[BranchType].[All]" dimensionUniqueName="[BI ForecastClass]" displayFolder="" count="0" memberValueDatatype="130" unbalanced="0"/>
    <cacheHierarchy uniqueName="[BI ForecastClass].[Channel]" caption="Channel" attribute="1" defaultMemberUniqueName="[BI ForecastClass].[Channel].[All]" allUniqueName="[BI ForecastClass].[Channel].[All]" dimensionUniqueName="[BI ForecastClass]" displayFolder="" count="0" memberValueDatatype="130" unbalanced="0"/>
    <cacheHierarchy uniqueName="[BI ForecastClass].[Class]" caption="Class" attribute="1" defaultMemberUniqueName="[BI ForecastClass].[Class].[All]" allUniqueName="[BI ForecastClass].[Class].[All]" dimensionUniqueName="[BI ForecastClass]" displayFolder="" count="0" memberValueDatatype="130" unbalanced="0"/>
    <cacheHierarchy uniqueName="[BI ForecastClass].[Country]" caption="Country" attribute="1" defaultMemberUniqueName="[BI ForecastClass].[Country].[All]" allUniqueName="[BI ForecastClass].[Country].[All]" dimensionUniqueName="[BI ForecastClass]" displayFolder="" count="0" memberValueDatatype="130" unbalanced="0"/>
    <cacheHierarchy uniqueName="[BI ForecastClass].[DepartmentDesc]" caption="DepartmentDesc" attribute="1" defaultMemberUniqueName="[BI ForecastClass].[DepartmentDesc].[All]" allUniqueName="[BI ForecastClass].[DepartmentDesc].[All]" dimensionUniqueName="[BI ForecastClass]" displayFolder="" count="0" memberValueDatatype="130" unbalanced="0"/>
    <cacheHierarchy uniqueName="[BI ForecastClass].[Division]" caption="Division" attribute="1" defaultMemberUniqueName="[BI ForecastClass].[Division].[All]" allUniqueName="[BI ForecastClass].[Division].[All]" dimensionUniqueName="[BI ForecastClass]" displayFolder="" count="0" memberValueDatatype="130" unbalanced="0"/>
    <cacheHierarchy uniqueName="[BI ForecastClass].[Period]" caption="Period" attribute="1" defaultMemberUniqueName="[BI ForecastClass].[Period].[All]" allUniqueName="[BI ForecastClass].[Period].[All]" dimensionUniqueName="[BI ForecastClass]" displayFolder="" count="0" memberValueDatatype="20" unbalanced="0"/>
    <cacheHierarchy uniqueName="[BI ForecastClass].[Storekey]" caption="Storekey" attribute="1" defaultMemberUniqueName="[BI ForecastClass].[Storekey].[All]" allUniqueName="[BI ForecastClass].[Storekey].[All]" dimensionUniqueName="[BI ForecastClass]" displayFolder="" count="0" memberValueDatatype="20" unbalanced="0"/>
    <cacheHierarchy uniqueName="[BI ForecastClass].[SubDepartmentDesc]" caption="SubDepartmentDesc" attribute="1" defaultMemberUniqueName="[BI ForecastClass].[SubDepartmentDesc].[All]" allUniqueName="[BI ForecastClass].[SubDepartmentDesc].[All]" dimensionUniqueName="[BI ForecastClass]" displayFolder="" count="0" memberValueDatatype="130" unbalanced="0"/>
    <cacheHierarchy uniqueName="[BI Item].[AddedDate]" caption="AddedDate" attribute="1" time="1" defaultMemberUniqueName="[BI Item].[AddedDate].[All]" allUniqueName="[BI Item].[AddedDate].[All]" dimensionUniqueName="[BI Item]" displayFolder="" count="0" memberValueDatatype="7" unbalanced="0"/>
    <cacheHierarchy uniqueName="[BI Item].[AUtoNZWholesale]" caption="AUtoNZWholesale" attribute="1" defaultMemberUniqueName="[BI Item].[AUtoNZWholesale].[All]" allUniqueName="[BI Item].[AUtoNZWholesale].[All]" dimensionUniqueName="[BI Item]" displayFolder="" count="0" memberValueDatatype="5" unbalanced="0"/>
    <cacheHierarchy uniqueName="[BI Item].[Base_SKU]" caption="Base_SKU" attribute="1" defaultMemberUniqueName="[BI Item].[Base_SKU].[All]" allUniqueName="[BI Item].[Base_SKU].[All]" dimensionUniqueName="[BI Item]" displayFolder="" count="0" memberValueDatatype="130" unbalanced="0"/>
    <cacheHierarchy uniqueName="[BI Item].[Class]" caption="Class" attribute="1" defaultMemberUniqueName="[BI Item].[Class].[All]" allUniqueName="[BI Item].[Class].[All]" dimensionUniqueName="[BI Item]" displayFolder="" count="0" memberValueDatatype="20" unbalanced="0"/>
    <cacheHierarchy uniqueName="[BI Item].[Cost]" caption="Cost" attribute="1" defaultMemberUniqueName="[BI Item].[Cost].[All]" allUniqueName="[BI Item].[Cost].[All]" dimensionUniqueName="[BI Item]" displayFolder="" count="0" memberValueDatatype="6" unbalanced="0"/>
    <cacheHierarchy uniqueName="[BI Item].[CostAveage]" caption="CostAveage" attribute="1" defaultMemberUniqueName="[BI Item].[CostAveage].[All]" allUniqueName="[BI Item].[CostAveage].[All]" dimensionUniqueName="[BI Item]" displayFolder="" count="0" memberValueDatatype="6" unbalanced="0"/>
    <cacheHierarchy uniqueName="[BI Item].[DepartmentDesc]" caption="DepartmentDesc" attribute="1" defaultMemberUniqueName="[BI Item].[DepartmentDesc].[All]" allUniqueName="[BI Item].[DepartmentDesc].[All]" dimensionUniqueName="[BI Item]" displayFolder="" count="0" memberValueDatatype="130" unbalanced="0"/>
    <cacheHierarchy uniqueName="[BI Item].[Description]" caption="Description" attribute="1" defaultMemberUniqueName="[BI Item].[Description].[All]" allUniqueName="[BI Item].[Description].[All]" dimensionUniqueName="[BI Item]" displayFolder="" count="0" memberValueDatatype="130" unbalanced="0"/>
    <cacheHierarchy uniqueName="[BI Item].[Division]" caption="Division" attribute="1" defaultMemberUniqueName="[BI Item].[Division].[All]" allUniqueName="[BI Item].[Division].[All]" dimensionUniqueName="[BI Item]" displayFolder="" count="2" memberValueDatatype="130" unbalanced="0">
      <fieldsUsage count="2">
        <fieldUsage x="-1"/>
        <fieldUsage x="3"/>
      </fieldsUsage>
    </cacheHierarchy>
    <cacheHierarchy uniqueName="[BI Item].[InActive]" caption="InActive" attribute="1" defaultMemberUniqueName="[BI Item].[InActive].[All]" allUniqueName="[BI Item].[InActive].[All]" dimensionUniqueName="[BI Item]" displayFolder="" count="0" memberValueDatatype="11" unbalanced="0"/>
    <cacheHierarchy uniqueName="[BI Item].[Infinity_UPC]" caption="Infinity_UPC" attribute="1" defaultMemberUniqueName="[BI Item].[Infinity_UPC].[All]" allUniqueName="[BI Item].[Infinity_UPC].[All]" dimensionUniqueName="[BI Item]" displayFolder="" count="0" memberValueDatatype="130" unbalanced="0"/>
    <cacheHierarchy uniqueName="[BI Item].[IsChanged]" caption="IsChanged" attribute="1" defaultMemberUniqueName="[BI Item].[IsChanged].[All]" allUniqueName="[BI Item].[IsChanged].[All]" dimensionUniqueName="[BI Item]" displayFolder="" count="0" memberValueDatatype="11" unbalanced="0"/>
    <cacheHierarchy uniqueName="[BI Item].[Item_Class_Desc]" caption="Item_Class_Desc" attribute="1" defaultMemberUniqueName="[BI Item].[Item_Class_Desc].[All]" allUniqueName="[BI Item].[Item_Class_Desc].[All]" dimensionUniqueName="[BI Item]" displayFolder="" count="0" memberValueDatatype="130" unbalanced="0"/>
    <cacheHierarchy uniqueName="[BI Item].[Item_Country]" caption="Item_Country" attribute="1" defaultMemberUniqueName="[BI Item].[Item_Country].[All]" allUniqueName="[BI Item].[Item_Country].[All]" dimensionUniqueName="[BI Item]" displayFolder="" count="2" memberValueDatatype="130" unbalanced="0">
      <fieldsUsage count="2">
        <fieldUsage x="-1"/>
        <fieldUsage x="2"/>
      </fieldsUsage>
    </cacheHierarchy>
    <cacheHierarchy uniqueName="[BI Item].[Item_Type]" caption="Item_Type" attribute="1" defaultMemberUniqueName="[BI Item].[Item_Type].[All]" allUniqueName="[BI Item].[Item_Type].[All]" dimensionUniqueName="[BI Item]" displayFolder="" count="0" memberValueDatatype="130" unbalanced="0"/>
    <cacheHierarchy uniqueName="[BI Item].[ItemKey]" caption="ItemKey" attribute="1" defaultMemberUniqueName="[BI Item].[ItemKey].[All]" allUniqueName="[BI Item].[ItemKey].[All]" dimensionUniqueName="[BI Item]" displayFolder="" count="0" memberValueDatatype="20" unbalanced="0"/>
    <cacheHierarchy uniqueName="[BI Item].[NonStock]" caption="NonStock" attribute="1" defaultMemberUniqueName="[BI Item].[NonStock].[All]" allUniqueName="[BI Item].[NonStock].[All]" dimensionUniqueName="[BI Item]" displayFolder="" count="0" memberValueDatatype="11" unbalanced="0"/>
    <cacheHierarchy uniqueName="[BI Item].[Price]" caption="Price" attribute="1" defaultMemberUniqueName="[BI Item].[Price].[All]" allUniqueName="[BI Item].[Price].[All]" dimensionUniqueName="[BI Item]" displayFolder="" count="0" memberValueDatatype="6" unbalanced="0"/>
    <cacheHierarchy uniqueName="[BI Item].[Product_Cate_Key]" caption="Product_Cate_Key" attribute="1" defaultMemberUniqueName="[BI Item].[Product_Cate_Key].[All]" allUniqueName="[BI Item].[Product_Cate_Key].[All]" dimensionUniqueName="[BI Item]" displayFolder="" count="0" memberValueDatatype="20" unbalanced="0"/>
    <cacheHierarchy uniqueName="[BI Item].[Product_Status]" caption="Product_Status" attribute="1" defaultMemberUniqueName="[BI Item].[Product_Status].[All]" allUniqueName="[BI Item].[Product_Status].[All]" dimensionUniqueName="[BI Item]" displayFolder="" count="0" memberValueDatatype="130" unbalanced="0"/>
    <cacheHierarchy uniqueName="[BI Item].[Product_Sub_Cate_Key]" caption="Product_Sub_Cate_Key" attribute="1" defaultMemberUniqueName="[BI Item].[Product_Sub_Cate_Key].[All]" allUniqueName="[BI Item].[Product_Sub_Cate_Key].[All]" dimensionUniqueName="[BI Item]" displayFolder="" count="0" memberValueDatatype="20" unbalanced="0"/>
    <cacheHierarchy uniqueName="[BI Item].[PurchaseCost]" caption="PurchaseCost" attribute="1" defaultMemberUniqueName="[BI Item].[PurchaseCost].[All]" allUniqueName="[BI Item].[PurchaseCost].[All]" dimensionUniqueName="[BI Item]" displayFolder="" count="0" memberValueDatatype="6" unbalanced="0"/>
    <cacheHierarchy uniqueName="[BI Item].[PurchaseQty]" caption="PurchaseQty" attribute="1" defaultMemberUniqueName="[BI Item].[PurchaseQty].[All]" allUniqueName="[BI Item].[PurchaseQty].[All]" dimensionUniqueName="[BI Item]" displayFolder="" count="0" memberValueDatatype="5" unbalanced="0"/>
    <cacheHierarchy uniqueName="[BI Item].[Range]" caption="Range" attribute="1" defaultMemberUniqueName="[BI Item].[Range].[All]" allUniqueName="[BI Item].[Range].[All]" dimensionUniqueName="[BI Item]" displayFolder="" count="0" memberValueDatatype="130" unbalanced="0"/>
    <cacheHierarchy uniqueName="[BI Item].[Season]" caption="Season" attribute="1" defaultMemberUniqueName="[BI Item].[Season].[All]" allUniqueName="[BI Item].[Season].[All]" dimensionUniqueName="[BI Item]" displayFolder="" count="0" memberValueDatatype="130" unbalanced="0"/>
    <cacheHierarchy uniqueName="[BI Item].[SellingQty]" caption="SellingQty" attribute="1" defaultMemberUniqueName="[BI Item].[SellingQty].[All]" allUniqueName="[BI Item].[SellingQty].[All]" dimensionUniqueName="[BI Item]" displayFolder="" count="0" memberValueDatatype="5" unbalanced="0"/>
    <cacheHierarchy uniqueName="[BI Item].[StockType]" caption="StockType" attribute="1" defaultMemberUniqueName="[BI Item].[StockType].[All]" allUniqueName="[BI Item].[StockType].[All]" dimensionUniqueName="[BI Item]" displayFolder="" count="0" memberValueDatatype="130" unbalanced="0"/>
    <cacheHierarchy uniqueName="[BI Item].[SubDepartmentDesc]" caption="SubDepartmentDesc" attribute="1" defaultMemberUniqueName="[BI Item].[SubDepartmentDesc].[All]" allUniqueName="[BI Item].[SubDepartmentDesc].[All]" dimensionUniqueName="[BI Item]" displayFolder="" count="0" memberValueDatatype="130" unbalanced="0"/>
    <cacheHierarchy uniqueName="[BI Item].[Supplier_Code]" caption="Supplier_Code" attribute="1" defaultMemberUniqueName="[BI Item].[Supplier_Code].[All]" allUniqueName="[BI Item].[Supplier_Code].[All]" dimensionUniqueName="[BI Item]" displayFolder="" count="0" memberValueDatatype="130" unbalanced="0"/>
    <cacheHierarchy uniqueName="[BI Item].[TaxType]" caption="TaxType" attribute="1" defaultMemberUniqueName="[BI Item].[TaxType].[All]" allUniqueName="[BI Item].[TaxType].[All]" dimensionUniqueName="[BI Item]" displayFolder="" count="0" memberValueDatatype="130" unbalanced="0"/>
    <cacheHierarchy uniqueName="[BI Item].[Unit]" caption="Unit" attribute="1" defaultMemberUniqueName="[BI Item].[Unit].[All]" allUniqueName="[BI Item].[Unit].[All]" dimensionUniqueName="[BI Item]" displayFolder="" count="0" memberValueDatatype="130" unbalanced="0"/>
    <cacheHierarchy uniqueName="[BI Item].[UpdatedDate]" caption="UpdatedDate" attribute="1" time="1" defaultMemberUniqueName="[BI Item].[UpdatedDate].[All]" allUniqueName="[BI Item].[UpdatedDate].[All]" dimensionUniqueName="[BI Item]" displayFolder="" count="0" memberValueDatatype="7" unbalanced="0"/>
    <cacheHierarchy uniqueName="[BI Item].[Wholesale]" caption="Wholesale" attribute="1" defaultMemberUniqueName="[BI Item].[Wholesale].[All]" allUniqueName="[BI Item].[Wholesale].[All]" dimensionUniqueName="[BI Item]" displayFolder="" count="0" memberValueDatatype="5" unbalanced="0"/>
    <cacheHierarchy uniqueName="[BI metrics].[Current Date]" caption="Current Date" attribute="1" time="1" defaultMemberUniqueName="[BI metrics].[Current Date].[All]" allUniqueName="[BI metrics].[Current Date].[All]" dimensionUniqueName="[BI metrics]" displayFolder="" count="0" memberValueDatatype="7" unbalanced="0"/>
    <cacheHierarchy uniqueName="[BI metrics].[Date]" caption="Date" attribute="1" time="1" defaultMemberUniqueName="[BI metrics].[Date].[All]" allUniqueName="[BI metrics].[Date].[All]" dimensionUniqueName="[BI metrics]" displayFolder="" count="0" memberValueDatatype="7" unbalanced="0"/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0"/>
      </fieldsUsage>
    </cacheHierarchy>
    <cacheHierarchy uniqueName="[BI metrics].[finPeriod_Before]" caption="finPeriod_Before" attribute="1" defaultMemberUniqueName="[BI metrics].[finPeriod_Before].[All]" allUniqueName="[BI metrics].[finPeriod_Before].[All]" dimensionUniqueName="[BI metrics]" displayFolder="" count="0" memberValueDatatype="130" unbalanced="0"/>
    <cacheHierarchy uniqueName="[BI metrics].[finPeriod_Before_Trend]" caption="finPeriod_Before_Trend" attribute="1" defaultMemberUniqueName="[BI metrics].[finPeriod_Before_Trend].[All]" allUniqueName="[BI metrics].[finPeriod_Before_Trend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2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20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20" unbalanced="0"/>
    <cacheHierarchy uniqueName="[BI metrics].[Min_Year]" caption="Min_Year" attribute="1" time="1" defaultMemberUniqueName="[BI metrics].[Min_Year].[All]" allUniqueName="[BI metrics].[Min_Year].[All]" dimensionUniqueName="[BI metrics]" displayFolder="" count="0" memberValueDatatype="7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1"/>
      </fieldsUsage>
    </cacheHierarchy>
    <cacheHierarchy uniqueName="[BI metrics].[TimePeriodSort]" caption="TimePeriodSort" attribute="1" defaultMemberUniqueName="[BI metrics].[TimePeriodSort].[All]" allUniqueName="[BI metrics].[TimePeriodSort].[All]" dimensionUniqueName="[BI metrics]" displayFolder="" count="0" memberValueDatatype="20" unbalanced="0"/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 Int]" caption="Year Int" attribute="1" defaultMemberUniqueName="[BI metrics].[Year Int].[All]" allUniqueName="[BI metrics].[Year Int].[All]" dimensionUniqueName="[BI metrics]" displayFolder="" count="0" memberValueDatatype="2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metrics].[Year_New]" caption="Year_New" attribute="1" defaultMemberUniqueName="[BI metrics].[Year_New].[All]" allUniqueName="[BI metrics].[Year_New].[All]" dimensionUniqueName="[BI metrics]" displayFolder="" count="0" memberValueDatatype="20" unbalanced="0"/>
    <cacheHierarchy uniqueName="[BI Store].[Area_Leader]" caption="Area_Leader" attribute="1" defaultMemberUniqueName="[BI Store].[Area_Leader].[All]" allUniqueName="[BI Store].[Area_Leader].[All]" dimensionUniqueName="[BI Store]" displayFolder="" count="0" memberValueDatatype="130" unbalanced="0"/>
    <cacheHierarchy uniqueName="[BI Store].[Area_Leader_New]" caption="Area_Leader_New" attribute="1" defaultMemberUniqueName="[BI Store].[Area_Leader_New].[All]" allUniqueName="[BI Store].[Area_Leader_New].[All]" dimensionUniqueName="[BI Store]" displayFolder="" count="0" memberValueDatatype="130" unbalanced="0"/>
    <cacheHierarchy uniqueName="[BI Store].[Branch_Type]" caption="Branch_Type" attribute="1" defaultMemberUniqueName="[BI Store].[Branch_Type].[All]" allUniqueName="[BI Store].[Branch_Type].[All]" dimensionUniqueName="[BI Store]" displayFolder="" count="2" memberValueDatatype="130" unbalanced="0">
      <fieldsUsage count="2">
        <fieldUsage x="-1"/>
        <fieldUsage x="4"/>
      </fieldsUsage>
    </cacheHierarchy>
    <cacheHierarchy uniqueName="[BI Store].[FreedomArea]" caption="FreedomArea" attribute="1" defaultMemberUniqueName="[BI Store].[FreedomArea].[All]" allUniqueName="[BI Store].[FreedomArea].[All]" dimensionUniqueName="[BI Store]" displayFolder="" count="0" memberValueDatatype="5" unbalanced="0"/>
    <cacheHierarchy uniqueName="[BI Store].[IsDC]" caption="IsDC" attribute="1" defaultMemberUniqueName="[BI Store].[IsDC].[All]" allUniqueName="[BI Store].[IsDC].[All]" dimensionUniqueName="[BI Store]" displayFolder="" count="0" memberValueDatatype="11" unbalanced="0"/>
    <cacheHierarchy uniqueName="[BI Store].[IsHO]" caption="IsHO" attribute="1" defaultMemberUniqueName="[BI Store].[IsHO].[All]" allUniqueName="[BI Store].[IsHO].[All]" dimensionUniqueName="[BI Store]" displayFolder="" count="0" memberValueDatatype="11" unbalanced="0"/>
    <cacheHierarchy uniqueName="[BI Store].[Store State Sort]" caption="Store State Sort" attribute="1" defaultMemberUniqueName="[BI Store].[Store State Sort].[All]" allUniqueName="[BI Store].[Store State Sort].[All]" dimensionUniqueName="[BI Store]" displayFolder="" count="0" memberValueDatatype="20" unbalanced="0"/>
    <cacheHierarchy uniqueName="[BI Store].[Store_Code]" caption="Store_Code" attribute="1" defaultMemberUniqueName="[BI Store].[Store_Code].[All]" allUniqueName="[BI Store].[Store_Code].[All]" dimensionUniqueName="[BI Store]" displayFolder="" count="0" memberValueDatatype="130" unbalanced="0"/>
    <cacheHierarchy uniqueName="[BI Store].[Store_Country]" caption="Store_Country" attribute="1" defaultMemberUniqueName="[BI Store].[Store_Country].[All]" allUniqueName="[BI Store].[Store_Country].[All]" dimensionUniqueName="[BI Store]" displayFolder="" count="2" memberValueDatatype="130" unbalanced="0">
      <fieldsUsage count="2">
        <fieldUsage x="-1"/>
        <fieldUsage x="5"/>
      </fieldsUsage>
    </cacheHierarchy>
    <cacheHierarchy uniqueName="[BI Store].[Store_Name]" caption="Store_Name" attribute="1" defaultMemberUniqueName="[BI Store].[Store_Name].[All]" allUniqueName="[BI Store].[Store_Name].[All]" dimensionUniqueName="[BI Store]" displayFolder="" count="0" memberValueDatatype="130" unbalanced="0"/>
    <cacheHierarchy uniqueName="[BI Store].[Store_State]" caption="Store_State" attribute="1" defaultMemberUniqueName="[BI Store].[Store_State].[All]" allUniqueName="[BI Store].[Store_State].[All]" dimensionUniqueName="[BI Store]" displayFolder="" count="0" memberValueDatatype="130" unbalanced="0"/>
    <cacheHierarchy uniqueName="[BI Store].[Store_Type]" caption="Store_Type" attribute="1" defaultMemberUniqueName="[BI Store].[Store_Type].[All]" allUniqueName="[BI Store].[Store_Type].[All]" dimensionUniqueName="[BI Store]" displayFolder="" count="0" memberValueDatatype="130" unbalanced="0"/>
    <cacheHierarchy uniqueName="[BI Store].[StoreKey]" caption="StoreKey" attribute="1" defaultMemberUniqueName="[BI Store].[StoreKey].[All]" allUniqueName="[BI Store].[StoreKey].[All]" dimensionUniqueName="[BI Store]" displayFolder="" count="0" memberValueDatatype="130" unbalanced="0"/>
    <cacheHierarchy uniqueName="[BI Store].[SubLeasedArea]" caption="SubLeasedArea" attribute="1" defaultMemberUniqueName="[BI Store].[SubLeasedArea].[All]" allUniqueName="[BI Store].[SubLeasedArea].[All]" dimensionUniqueName="[BI Store]" displayFolder="" count="0" memberValueDatatype="5" unbalanced="0"/>
    <cacheHierarchy uniqueName="[BI Store].[SubLeasedCompany]" caption="SubLeasedCompany" attribute="1" defaultMemberUniqueName="[BI Store].[SubLeasedCompany].[All]" allUniqueName="[BI Store].[SubLeasedCompany].[All]" dimensionUniqueName="[BI Store]" displayFolder="" count="0" memberValueDatatype="130" unbalanced="0"/>
    <cacheHierarchy uniqueName="[BI Store].[TotalArea]" caption="TotalArea" attribute="1" defaultMemberUniqueName="[BI Store].[TotalArea].[All]" allUniqueName="[BI Store].[TotalArea].[All]" dimensionUniqueName="[BI Store]" displayFolder="" count="0" memberValueDatatype="5" unbalanced="0"/>
    <cacheHierarchy uniqueName="[BI Store State Sort].[Sort No]" caption="Sort No" attribute="1" defaultMemberUniqueName="[BI Store State Sort].[Sort No].[All]" allUniqueName="[BI Store State Sort].[Sort No].[All]" dimensionUniqueName="[BI Store State Sort]" displayFolder="" count="0" memberValueDatatype="20" unbalanced="0"/>
    <cacheHierarchy uniqueName="[BI Store State Sort].[State Name]" caption="State Name" attribute="1" defaultMemberUniqueName="[BI Store State Sort].[State Name].[All]" allUniqueName="[BI Store State Sort].[State Name].[All]" dimensionUniqueName="[BI Store State Sort]" displayFolder="" count="0" memberValueDatatype="130" unbalanced="0"/>
    <cacheHierarchy uniqueName="[BI vw_BudgetByItemCategory].[BudgetDollar]" caption="BudgetDollar" attribute="1" defaultMemberUniqueName="[BI vw_BudgetByItemCategory].[BudgetDollar].[All]" allUniqueName="[BI vw_BudgetByItemCategory].[BudgetDollar].[All]" dimensionUniqueName="[BI vw_BudgetByItemCategory]" displayFolder="" count="0" memberValueDatatype="20" unbalanced="0"/>
    <cacheHierarchy uniqueName="[BI vw_BudgetByItemCategory].[BudgetGMDollar]" caption="BudgetGMDollar" attribute="1" defaultMemberUniqueName="[BI vw_BudgetByItemCategory].[BudgetGMDollar].[All]" allUniqueName="[BI vw_BudgetByItemCategory].[BudgetGMDollar].[All]" dimensionUniqueName="[BI vw_BudgetByItemCategory]" displayFolder="" count="0" memberValueDatatype="20" unbalanced="0"/>
    <cacheHierarchy uniqueName="[BI vw_BudgetByItemCategory].[BudgetMarkDown]" caption="BudgetMarkDown" attribute="1" defaultMemberUniqueName="[BI vw_BudgetByItemCategory].[BudgetMarkDown].[All]" allUniqueName="[BI vw_BudgetByItemCategory].[BudgetMarkDown].[All]" dimensionUniqueName="[BI vw_BudgetByItemCategory]" displayFolder="" count="0" memberValueDatatype="20" unbalanced="0"/>
    <cacheHierarchy uniqueName="[BI vw_BudgetByItemCategory].[BudgetPeriod]" caption="BudgetPeriod" attribute="1" defaultMemberUniqueName="[BI vw_BudgetByItemCategory].[BudgetPeriod].[All]" allUniqueName="[BI vw_BudgetByItemCategory].[BudgetPeriod].[All]" dimensionUniqueName="[BI vw_BudgetByItemCategory]" displayFolder="" count="0" memberValueDatatype="20" unbalanced="0"/>
    <cacheHierarchy uniqueName="[BI vw_BudgetByItemCategory].[BudgetWeek]" caption="BudgetWeek" attribute="1" defaultMemberUniqueName="[BI vw_BudgetByItemCategory].[BudgetWeek].[All]" allUniqueName="[BI vw_BudgetByItemCategory].[BudgetWeek].[All]" dimensionUniqueName="[BI vw_BudgetByItemCategory]" displayFolder="" count="0" memberValueDatatype="20" unbalanced="0"/>
    <cacheHierarchy uniqueName="[BI vw_BudgetByItemCategory].[BudgetYear]" caption="BudgetYear" attribute="1" defaultMemberUniqueName="[BI vw_BudgetByItemCategory].[BudgetYear].[All]" allUniqueName="[BI vw_BudgetByItemCategory].[BudgetYear].[All]" dimensionUniqueName="[BI vw_BudgetByItemCategory]" displayFolder="" count="0" memberValueDatatype="20" unbalanced="0"/>
    <cacheHierarchy uniqueName="[BI vw_BudgetByItemCategory].[Channel]" caption="Channel" attribute="1" defaultMemberUniqueName="[BI vw_BudgetByItemCategory].[Channel].[All]" allUniqueName="[BI vw_BudgetByItemCategory].[Channel].[All]" dimensionUniqueName="[BI vw_BudgetByItemCategory]" displayFolder="" count="0" memberValueDatatype="130" unbalanced="0"/>
    <cacheHierarchy uniqueName="[BI vw_BudgetByItemCategory].[Country]" caption="Country" attribute="1" defaultMemberUniqueName="[BI vw_BudgetByItemCategory].[Country].[All]" allUniqueName="[BI vw_BudgetByItemCategory].[Country].[All]" dimensionUniqueName="[BI vw_BudgetByItemCategory]" displayFolder="" count="2" memberValueDatatype="130" unbalanced="0">
      <fieldsUsage count="2">
        <fieldUsage x="-1"/>
        <fieldUsage x="6"/>
      </fieldsUsage>
    </cacheHierarchy>
    <cacheHierarchy uniqueName="[BI vw_BudgetByItemCategory].[DepartmentDesc]" caption="DepartmentDesc" attribute="1" defaultMemberUniqueName="[BI vw_BudgetByItemCategory].[DepartmentDesc].[All]" allUniqueName="[BI vw_BudgetByItemCategory].[DepartmentDesc].[All]" dimensionUniqueName="[BI vw_BudgetByItemCategory]" displayFolder="" count="0" memberValueDatatype="130" unbalanced="0"/>
    <cacheHierarchy uniqueName="[BI vw_BudgetByItemCategory].[Division]" caption="Division" attribute="1" defaultMemberUniqueName="[BI vw_BudgetByItemCategory].[Division].[All]" allUniqueName="[BI vw_BudgetByItemCategory].[Division].[All]" dimensionUniqueName="[BI vw_BudgetByItemCategory]" displayFolder="" count="0" memberValueDatatype="130" unbalanced="0"/>
    <cacheHierarchy uniqueName="[BI vw_BudgetByItemCategory].[JoinKey]" caption="JoinKey" attribute="1" defaultMemberUniqueName="[BI vw_BudgetByItemCategory].[JoinKey].[All]" allUniqueName="[BI vw_BudgetByItemCategory].[JoinKey].[All]" dimensionUniqueName="[BI vw_BudgetByItemCategory]" displayFolder="" count="0" memberValueDatatype="130" unbalanced="0"/>
    <cacheHierarchy uniqueName="[BI vw_BudgetByItemCategory].[Sale$ Pure]" caption="Sale$ Pure" attribute="1" defaultMemberUniqueName="[BI vw_BudgetByItemCategory].[Sale$ Pure].[All]" allUniqueName="[BI vw_BudgetByItemCategory].[Sale$ Pure].[All]" dimensionUniqueName="[BI vw_BudgetByItemCategory]" displayFolder="" count="0" memberValueDatatype="20" unbalanced="0"/>
    <cacheHierarchy uniqueName="[BI vw_BudgetByItemCategory].[Sales GM%]" caption="Sales GM%" attribute="1" defaultMemberUniqueName="[BI vw_BudgetByItemCategory].[Sales GM%].[All]" allUniqueName="[BI vw_BudgetByItemCategory].[Sales GM%].[All]" dimensionUniqueName="[BI vw_BudgetByItemCategory]" displayFolder="" count="0" memberValueDatatype="20" unbalanced="0"/>
    <cacheHierarchy uniqueName="[BI vw_BudgetByItemCategory].[Sales GM% Pure]" caption="Sales GM% Pure" attribute="1" defaultMemberUniqueName="[BI vw_BudgetByItemCategory].[Sales GM% Pure].[All]" allUniqueName="[BI vw_BudgetByItemCategory].[Sales GM% Pure].[All]" dimensionUniqueName="[BI vw_BudgetByItemCategory]" displayFolder="" count="0" memberValueDatatype="20" unbalanced="0"/>
    <cacheHierarchy uniqueName="[BI vw_BudgetByItemCategory].[StoreType]" caption="StoreType" attribute="1" defaultMemberUniqueName="[BI vw_BudgetByItemCategory].[StoreType].[All]" allUniqueName="[BI vw_BudgetByItemCategory].[StoreType].[All]" dimensionUniqueName="[BI vw_BudgetByItemCategory]" displayFolder="" count="0" memberValueDatatype="130" unbalanced="0"/>
    <cacheHierarchy uniqueName="[BI vw_BudgetByItemCategory].[SubDepartmentDesc]" caption="SubDepartmentDesc" attribute="1" defaultMemberUniqueName="[BI vw_BudgetByItemCategory].[SubDepartmentDesc].[All]" allUniqueName="[BI vw_BudgetByItemCategory].[SubDepartmentDesc].[All]" dimensionUniqueName="[BI vw_BudgetByItemCategory]" displayFolder="" count="0" memberValueDatatype="130" unbalanced="0"/>
    <cacheHierarchy uniqueName="[BI vw_BudgetByStore].[BudgetDollar]" caption="BudgetDollar" attribute="1" defaultMemberUniqueName="[BI vw_BudgetByStore].[BudgetDollar].[All]" allUniqueName="[BI vw_BudgetByStore].[BudgetDollar].[All]" dimensionUniqueName="[BI vw_BudgetByStore]" displayFolder="" count="0" memberValueDatatype="5" unbalanced="0"/>
    <cacheHierarchy uniqueName="[BI vw_BudgetByStore].[BudgetPeriod]" caption="BudgetPeriod" attribute="1" defaultMemberUniqueName="[BI vw_BudgetByStore].[BudgetPeriod].[All]" allUniqueName="[BI vw_BudgetByStore].[BudgetPeriod].[All]" dimensionUniqueName="[BI vw_BudgetByStore]" displayFolder="" count="0" memberValueDatatype="20" unbalanced="0"/>
    <cacheHierarchy uniqueName="[BI vw_BudgetByStore].[BudgetWeek]" caption="BudgetWeek" attribute="1" defaultMemberUniqueName="[BI vw_BudgetByStore].[BudgetWeek].[All]" allUniqueName="[BI vw_BudgetByStore].[BudgetWeek].[All]" dimensionUniqueName="[BI vw_BudgetByStore]" displayFolder="" count="0" memberValueDatatype="20" unbalanced="0"/>
    <cacheHierarchy uniqueName="[BI vw_BudgetByStore].[BudgetYear]" caption="BudgetYear" attribute="1" defaultMemberUniqueName="[BI vw_BudgetByStore].[BudgetYear].[All]" allUniqueName="[BI vw_BudgetByStore].[BudgetYear].[All]" dimensionUniqueName="[BI vw_BudgetByStore]" displayFolder="" count="0" memberValueDatatype="20" unbalanced="0"/>
    <cacheHierarchy uniqueName="[BI vw_BudgetByStore].[Channel]" caption="Channel" attribute="1" defaultMemberUniqueName="[BI vw_BudgetByStore].[Channel].[All]" allUniqueName="[BI vw_BudgetByStore].[Channel].[All]" dimensionUniqueName="[BI vw_BudgetByStore]" displayFolder="" count="0" memberValueDatatype="130" unbalanced="0"/>
    <cacheHierarchy uniqueName="[BI vw_BudgetByStore].[Country]" caption="Country" attribute="1" defaultMemberUniqueName="[BI vw_BudgetByStore].[Country].[All]" allUniqueName="[BI vw_BudgetByStore].[Country].[All]" dimensionUniqueName="[BI vw_BudgetByStore]" displayFolder="" count="0" memberValueDatatype="130" unbalanced="0"/>
    <cacheHierarchy uniqueName="[BI vw_BudgetByStore].[Division]" caption="Division" attribute="1" defaultMemberUniqueName="[BI vw_BudgetByStore].[Division].[All]" allUniqueName="[BI vw_BudgetByStore].[Division].[All]" dimensionUniqueName="[BI vw_BudgetByStore]" displayFolder="" count="0" memberValueDatatype="130" unbalanced="0"/>
    <cacheHierarchy uniqueName="[BI vw_BudgetByStore].[JoinKey]" caption="JoinKey" attribute="1" defaultMemberUniqueName="[BI vw_BudgetByStore].[JoinKey].[All]" allUniqueName="[BI vw_BudgetByStore].[JoinKey].[All]" dimensionUniqueName="[BI vw_BudgetByStore]" displayFolder="" count="0" memberValueDatatype="130" unbalanced="0"/>
    <cacheHierarchy uniqueName="[BI vw_BudgetByStore].[Store]" caption="Store" attribute="1" defaultMemberUniqueName="[BI vw_BudgetByStore].[Store].[All]" allUniqueName="[BI vw_BudgetByStore].[Store].[All]" dimensionUniqueName="[BI vw_BudgetByStore]" displayFolder="" count="0" memberValueDatatype="130" unbalanced="0"/>
    <cacheHierarchy uniqueName="[BI vw_BudgetByStore].[StoreKey]" caption="StoreKey" attribute="1" defaultMemberUniqueName="[BI vw_BudgetByStore].[StoreKey].[All]" allUniqueName="[BI vw_BudgetByStore].[StoreKey].[All]" dimensionUniqueName="[BI vw_BudgetByStore]" displayFolder="" count="0" memberValueDatatype="130" unbalanced="0"/>
    <cacheHierarchy uniqueName="[BI vw_BudgetByWeek].[BudgetPeriod]" caption="BudgetPeriod" attribute="1" defaultMemberUniqueName="[BI vw_BudgetByWeek].[BudgetPeriod].[All]" allUniqueName="[BI vw_BudgetByWeek].[BudgetPeriod].[All]" dimensionUniqueName="[BI vw_BudgetByWeek]" displayFolder="" count="0" memberValueDatatype="20" unbalanced="0"/>
    <cacheHierarchy uniqueName="[BI vw_BudgetByWeek].[BudgetWeek]" caption="BudgetWeek" attribute="1" defaultMemberUniqueName="[BI vw_BudgetByWeek].[BudgetWeek].[All]" allUniqueName="[BI vw_BudgetByWeek].[BudgetWeek].[All]" dimensionUniqueName="[BI vw_BudgetByWeek]" displayFolder="" count="0" memberValueDatatype="20" unbalanced="0"/>
    <cacheHierarchy uniqueName="[BI vw_BudgetByWeek].[BudgetYear]" caption="BudgetYear" attribute="1" defaultMemberUniqueName="[BI vw_BudgetByWeek].[BudgetYear].[All]" allUniqueName="[BI vw_BudgetByWeek].[BudgetYear].[All]" dimensionUniqueName="[BI vw_BudgetByWeek]" displayFolder="" count="0" memberValueDatatype="20" unbalanced="0"/>
    <cacheHierarchy uniqueName="[BI vw_BudgetByWeek].[Channel]" caption="Channel" attribute="1" defaultMemberUniqueName="[BI vw_BudgetByWeek].[Channel].[All]" allUniqueName="[BI vw_BudgetByWeek].[Channel].[All]" dimensionUniqueName="[BI vw_BudgetByWeek]" displayFolder="" count="0" memberValueDatatype="130" unbalanced="0"/>
    <cacheHierarchy uniqueName="[BI vw_BudgetByWeek].[Country]" caption="Country" attribute="1" defaultMemberUniqueName="[BI vw_BudgetByWeek].[Country].[All]" allUniqueName="[BI vw_BudgetByWeek].[Country].[All]" dimensionUniqueName="[BI vw_BudgetByWeek]" displayFolder="" count="0" memberValueDatatype="130" unbalanced="0"/>
    <cacheHierarchy uniqueName="[BI vw_BudgetByWeek].[FootTrafficBudget]" caption="FootTrafficBudget" attribute="1" defaultMemberUniqueName="[BI vw_BudgetByWeek].[FootTrafficBudget].[All]" allUniqueName="[BI vw_BudgetByWeek].[FootTrafficBudget].[All]" dimensionUniqueName="[BI vw_BudgetByWeek]" displayFolder="" count="0" memberValueDatatype="5" unbalanced="0"/>
    <cacheHierarchy uniqueName="[BI vw_BudgetByWeek].[ID]" caption="ID" attribute="1" defaultMemberUniqueName="[BI vw_BudgetByWeek].[ID].[All]" allUniqueName="[BI vw_BudgetByWeek].[ID].[All]" dimensionUniqueName="[BI vw_BudgetByWeek]" displayFolder="" count="0" memberValueDatatype="20" unbalanced="0"/>
    <cacheHierarchy uniqueName="[BI vw_BudgetByWeek].[joinKey]" caption="joinKey" attribute="1" defaultMemberUniqueName="[BI vw_BudgetByWeek].[joinKey].[All]" allUniqueName="[BI vw_BudgetByWeek].[joinKey].[All]" dimensionUniqueName="[BI vw_BudgetByWeek]" displayFolder="" count="0" memberValueDatatype="130" unbalanced="0"/>
    <cacheHierarchy uniqueName="[BI vw_BudgetByWeek].[NumberOfTransactionBudget]" caption="NumberOfTransactionBudget" attribute="1" defaultMemberUniqueName="[BI vw_BudgetByWeek].[NumberOfTransactionBudget].[All]" allUniqueName="[BI vw_BudgetByWeek].[NumberOfTransactionBudget].[All]" dimensionUniqueName="[BI vw_BudgetByWeek]" displayFolder="" count="0" memberValueDatatype="5" unbalanced="0"/>
    <cacheHierarchy uniqueName="[BI vw_BudgetByWeek].[Store]" caption="Store" attribute="1" defaultMemberUniqueName="[BI vw_BudgetByWeek].[Store].[All]" allUniqueName="[BI vw_BudgetByWeek].[Store].[All]" dimensionUniqueName="[BI vw_BudgetByWeek]" displayFolder="" count="0" memberValueDatatype="130" unbalanced="0"/>
    <cacheHierarchy uniqueName="[BI vw_BudgetDigital].[1P Sales]" caption="1P Sales" attribute="1" defaultMemberUniqueName="[BI vw_BudgetDigital].[1P Sales].[All]" allUniqueName="[BI vw_BudgetDigital].[1P Sales].[All]" dimensionUniqueName="[BI vw_BudgetDigital]" displayFolder="" count="0" memberValueDatatype="5" unbalanced="0"/>
    <cacheHierarchy uniqueName="[BI vw_BudgetDigital].[3P Sales]" caption="3P Sales" attribute="1" defaultMemberUniqueName="[BI vw_BudgetDigital].[3P Sales].[All]" allUniqueName="[BI vw_BudgetDigital].[3P Sales].[All]" dimensionUniqueName="[BI vw_BudgetDigital]" displayFolder="" count="0" memberValueDatatype="5" unbalanced="0"/>
    <cacheHierarchy uniqueName="[BI vw_BudgetDigital].[BudgetPeriod]" caption="BudgetPeriod" attribute="1" defaultMemberUniqueName="[BI vw_BudgetDigital].[BudgetPeriod].[All]" allUniqueName="[BI vw_BudgetDigital].[BudgetPeriod].[All]" dimensionUniqueName="[BI vw_BudgetDigital]" displayFolder="" count="0" memberValueDatatype="20" unbalanced="0"/>
    <cacheHierarchy uniqueName="[BI vw_BudgetDigital].[BudgetWeek]" caption="BudgetWeek" attribute="1" defaultMemberUniqueName="[BI vw_BudgetDigital].[BudgetWeek].[All]" allUniqueName="[BI vw_BudgetDigital].[BudgetWeek].[All]" dimensionUniqueName="[BI vw_BudgetDigital]" displayFolder="" count="0" memberValueDatatype="20" unbalanced="0"/>
    <cacheHierarchy uniqueName="[BI vw_BudgetDigital].[BudgetYear]" caption="BudgetYear" attribute="1" defaultMemberUniqueName="[BI vw_BudgetDigital].[BudgetYear].[All]" allUniqueName="[BI vw_BudgetDigital].[BudgetYear].[All]" dimensionUniqueName="[BI vw_BudgetDigital]" displayFolder="" count="0" memberValueDatatype="20" unbalanced="0"/>
    <cacheHierarchy uniqueName="[BI vw_BudgetDigital].[Country]" caption="Country" attribute="1" defaultMemberUniqueName="[BI vw_BudgetDigital].[Country].[All]" allUniqueName="[BI vw_BudgetDigital].[Country].[All]" dimensionUniqueName="[BI vw_BudgetDigital]" displayFolder="" count="0" memberValueDatatype="130" unbalanced="0"/>
    <cacheHierarchy uniqueName="[BI vw_BudgetDigital].[ID]" caption="ID" attribute="1" defaultMemberUniqueName="[BI vw_BudgetDigital].[ID].[All]" allUniqueName="[BI vw_BudgetDigital].[ID].[All]" dimensionUniqueName="[BI vw_BudgetDigital]" displayFolder="" count="0" memberValueDatatype="20" unbalanced="0"/>
    <cacheHierarchy uniqueName="[BI vw_BudgetDigital].[Key]" caption="Key" attribute="1" defaultMemberUniqueName="[BI vw_BudgetDigital].[Key].[All]" allUniqueName="[BI vw_BudgetDigital].[Key].[All]" dimensionUniqueName="[BI vw_BudgetDigital]" displayFolder="" count="0" memberValueDatatype="130" unbalanced="0"/>
    <cacheHierarchy uniqueName="[BI vw_BudgetDigital].[Online ATV]" caption="Online ATV" attribute="1" defaultMemberUniqueName="[BI vw_BudgetDigital].[Online ATV].[All]" allUniqueName="[BI vw_BudgetDigital].[Online ATV].[All]" dimensionUniqueName="[BI vw_BudgetDigital]" displayFolder="" count="0" memberValueDatatype="5" unbalanced="0"/>
    <cacheHierarchy uniqueName="[BI vw_BudgetDigital].[Online CR]" caption="Online CR" attribute="1" defaultMemberUniqueName="[BI vw_BudgetDigital].[Online CR].[All]" allUniqueName="[BI vw_BudgetDigital].[Online CR].[All]" dimensionUniqueName="[BI vw_BudgetDigital]" displayFolder="" count="0" memberValueDatatype="5" unbalanced="0"/>
    <cacheHierarchy uniqueName="[BI vw_BudgetDigital].[Online Traffic]" caption="Online Traffic" attribute="1" defaultMemberUniqueName="[BI vw_BudgetDigital].[Online Traffic].[All]" allUniqueName="[BI vw_BudgetDigital].[Online Traffic].[All]" dimensionUniqueName="[BI vw_BudgetDigital]" displayFolder="" count="0" memberValueDatatype="5" unbalanced="0"/>
    <cacheHierarchy uniqueName="[BI vw_BudgetDigital].[Total Sales]" caption="Total Sales" attribute="1" defaultMemberUniqueName="[BI vw_BudgetDigital].[Total Sales].[All]" allUniqueName="[BI vw_BudgetDigital].[Total Sales].[All]" dimensionUniqueName="[BI vw_BudgetDigital]" displayFolder="" count="0" memberValueDatatype="5" unbalanced="0"/>
    <cacheHierarchy uniqueName="[BI vw_BudgetDigital].[Trans Nbr]" caption="Trans Nbr" attribute="1" defaultMemberUniqueName="[BI vw_BudgetDigital].[Trans Nbr].[All]" allUniqueName="[BI vw_BudgetDigital].[Trans Nbr].[All]" dimensionUniqueName="[BI vw_BudgetDigital]" displayFolder="" count="0" memberValueDatatype="5" unbalanced="0"/>
    <cacheHierarchy uniqueName="[BI vw_BudgetOnlineByStore].[BudgetPeriod]" caption="BudgetPeriod" attribute="1" defaultMemberUniqueName="[BI vw_BudgetOnlineByStore].[BudgetPeriod].[All]" allUniqueName="[BI vw_BudgetOnlineByStore].[BudgetPeriod].[All]" dimensionUniqueName="[BI vw_BudgetOnlineByStore]" displayFolder="" count="0" memberValueDatatype="20" unbalanced="0"/>
    <cacheHierarchy uniqueName="[BI vw_BudgetOnlineByStore].[BudgetWeek]" caption="BudgetWeek" attribute="1" defaultMemberUniqueName="[BI vw_BudgetOnlineByStore].[BudgetWeek].[All]" allUniqueName="[BI vw_BudgetOnlineByStore].[BudgetWeek].[All]" dimensionUniqueName="[BI vw_BudgetOnlineByStore]" displayFolder="" count="0" memberValueDatatype="20" unbalanced="0"/>
    <cacheHierarchy uniqueName="[BI vw_BudgetOnlineByStore].[BudgetYear]" caption="BudgetYear" attribute="1" defaultMemberUniqueName="[BI vw_BudgetOnlineByStore].[BudgetYear].[All]" allUniqueName="[BI vw_BudgetOnlineByStore].[BudgetYear].[All]" dimensionUniqueName="[BI vw_BudgetOnlineByStore]" displayFolder="" count="0" memberValueDatatype="20" unbalanced="0"/>
    <cacheHierarchy uniqueName="[BI vw_BudgetOnlineByStore].[DropshipBudget]" caption="DropshipBudget" attribute="1" defaultMemberUniqueName="[BI vw_BudgetOnlineByStore].[DropshipBudget].[All]" allUniqueName="[BI vw_BudgetOnlineByStore].[DropshipBudget].[All]" dimensionUniqueName="[BI vw_BudgetOnlineByStore]" displayFolder="" count="0" memberValueDatatype="6" unbalanced="0"/>
    <cacheHierarchy uniqueName="[BI vw_BudgetOnlineByStore].[JoinKey]" caption="JoinKey" attribute="1" defaultMemberUniqueName="[BI vw_BudgetOnlineByStore].[JoinKey].[All]" allUniqueName="[BI vw_BudgetOnlineByStore].[JoinKey].[All]" dimensionUniqueName="[BI vw_BudgetOnlineByStore]" displayFolder="" count="0" memberValueDatatype="130" unbalanced="0"/>
    <cacheHierarchy uniqueName="[BI vw_BudgetOnlineByStore].[NOT_Budget]" caption="NOT_Budget" attribute="1" defaultMemberUniqueName="[BI vw_BudgetOnlineByStore].[NOT_Budget].[All]" allUniqueName="[BI vw_BudgetOnlineByStore].[NOT_Budget].[All]" dimensionUniqueName="[BI vw_BudgetOnlineByStore]" displayFolder="" count="0" memberValueDatatype="5" unbalanced="0"/>
    <cacheHierarchy uniqueName="[BI vw_BudgetOnlineByStore].[SalesClassification]" caption="SalesClassification" attribute="1" defaultMemberUniqueName="[BI vw_BudgetOnlineByStore].[SalesClassification].[All]" allUniqueName="[BI vw_BudgetOnlineByStore].[SalesClassification].[All]" dimensionUniqueName="[BI vw_BudgetOnlineByStore]" displayFolder="" count="0" memberValueDatatype="130" unbalanced="0"/>
    <cacheHierarchy uniqueName="[BI vw_BudgetOnlineByStore].[Store]" caption="Store" attribute="1" defaultMemberUniqueName="[BI vw_BudgetOnlineByStore].[Store].[All]" allUniqueName="[BI vw_BudgetOnlineByStore].[Store].[All]" dimensionUniqueName="[BI vw_BudgetOnlineByStore]" displayFolder="" count="0" memberValueDatatype="130" unbalanced="0"/>
    <cacheHierarchy uniqueName="[BI vw_BudgetOnlineByStore].[TotalOnlineBudget]" caption="TotalOnlineBudget" attribute="1" defaultMemberUniqueName="[BI vw_BudgetOnlineByStore].[TotalOnlineBudget].[All]" allUniqueName="[BI vw_BudgetOnlineByStore].[TotalOnlineBudget].[All]" dimensionUniqueName="[BI vw_BudgetOnlineByStore]" displayFolder="" count="0" memberValueDatatype="6" unbalanced="0"/>
    <cacheHierarchy uniqueName="[BI vw_DropshipBudget].[BudgetDollar]" caption="BudgetDollar" attribute="1" defaultMemberUniqueName="[BI vw_DropshipBudget].[BudgetDollar].[All]" allUniqueName="[BI vw_DropshipBudget].[BudgetDollar].[All]" dimensionUniqueName="[BI vw_DropshipBudget]" displayFolder="" count="0" memberValueDatatype="5" unbalanced="0"/>
    <cacheHierarchy uniqueName="[BI vw_DropshipBudget].[BudgetPeriod]" caption="BudgetPeriod" attribute="1" defaultMemberUniqueName="[BI vw_DropshipBudget].[BudgetPeriod].[All]" allUniqueName="[BI vw_DropshipBudget].[BudgetPeriod].[All]" dimensionUniqueName="[BI vw_DropshipBudget]" displayFolder="" count="0" memberValueDatatype="20" unbalanced="0"/>
    <cacheHierarchy uniqueName="[BI vw_DropshipBudget].[Department]" caption="Department" attribute="1" defaultMemberUniqueName="[BI vw_DropshipBudget].[Department].[All]" allUniqueName="[BI vw_DropshipBudget].[Department].[All]" dimensionUniqueName="[BI vw_DropshipBudget]" displayFolder="" count="0" memberValueDatatype="20" unbalanced="0"/>
    <cacheHierarchy uniqueName="[BI vw_DropshipBudget].[DepartmentDesc]" caption="DepartmentDesc" attribute="1" defaultMemberUniqueName="[BI vw_DropshipBudget].[DepartmentDesc].[All]" allUniqueName="[BI vw_DropshipBudget].[DepartmentDesc].[All]" dimensionUniqueName="[BI vw_DropshipBudget]" displayFolder="" count="0" memberValueDatatype="130" unbalanced="0"/>
    <cacheHierarchy uniqueName="[BI vw_DropshipBudget].[Division]" caption="Division" attribute="1" defaultMemberUniqueName="[BI vw_DropshipBudget].[Division].[All]" allUniqueName="[BI vw_DropshipBudget].[Division].[All]" dimensionUniqueName="[BI vw_DropshipBudget]" displayFolder="" count="0" memberValueDatatype="130" unbalanced="0"/>
    <cacheHierarchy uniqueName="[BI vw_DropshipBudget].[JoinKey]" caption="JoinKey" attribute="1" defaultMemberUniqueName="[BI vw_DropshipBudget].[JoinKey].[All]" allUniqueName="[BI vw_DropshipBudget].[JoinKey].[All]" dimensionUniqueName="[BI vw_DropshipBudget]" displayFolder="" count="0" memberValueDatatype="130" unbalanced="0"/>
    <cacheHierarchy uniqueName="[BI vw_Items].[Class]" caption="Class" attribute="1" defaultMemberUniqueName="[BI vw_Items].[Class].[All]" allUniqueName="[BI vw_Items].[Class].[All]" dimensionUniqueName="[BI vw_Items]" displayFolder="" count="0" memberValueDatatype="20" unbalanced="0"/>
    <cacheHierarchy uniqueName="[BI vw_Items].[ClassDesc]" caption="ClassDesc" attribute="1" defaultMemberUniqueName="[BI vw_Items].[ClassDesc].[All]" allUniqueName="[BI vw_Items].[ClassDesc].[All]" dimensionUniqueName="[BI vw_Items]" displayFolder="" count="0" memberValueDatatype="130" unbalanced="0"/>
    <cacheHierarchy uniqueName="[BI vw_Items].[department]" caption="department" attribute="1" defaultMemberUniqueName="[BI vw_Items].[department].[All]" allUniqueName="[BI vw_Items].[department].[All]" dimensionUniqueName="[BI vw_Items]" displayFolder="" count="0" memberValueDatatype="20" unbalanced="0"/>
    <cacheHierarchy uniqueName="[BI vw_Items].[DepartmentDesc]" caption="DepartmentDesc" attribute="1" defaultMemberUniqueName="[BI vw_Items].[DepartmentDesc].[All]" allUniqueName="[BI vw_Items].[DepartmentDesc].[All]" dimensionUniqueName="[BI vw_Items]" displayFolder="" count="0" memberValueDatatype="130" unbalanced="0"/>
    <cacheHierarchy uniqueName="[BI vw_Items].[Division]" caption="Division" attribute="1" defaultMemberUniqueName="[BI vw_Items].[Division].[All]" allUniqueName="[BI vw_Items].[Division].[All]" dimensionUniqueName="[BI vw_Items]" displayFolder="" count="0" memberValueDatatype="130" unbalanced="0"/>
    <cacheHierarchy uniqueName="[BI vw_Items].[FOB Port]" caption="FOB Port" attribute="1" defaultMemberUniqueName="[BI vw_Items].[FOB Port].[All]" allUniqueName="[BI vw_Items].[FOB Port].[All]" dimensionUniqueName="[BI vw_Items]" displayFolder="" count="0" memberValueDatatype="130" unbalanced="0"/>
    <cacheHierarchy uniqueName="[BI vw_Items].[Forecast Birth Date AU]" caption="Forecast Birth Date AU" attribute="1" defaultMemberUniqueName="[BI vw_Items].[Forecast Birth Date AU].[All]" allUniqueName="[BI vw_Items].[Forecast Birth Date AU].[All]" dimensionUniqueName="[BI vw_Items]" displayFolder="" count="0" memberValueDatatype="130" unbalanced="0"/>
    <cacheHierarchy uniqueName="[BI vw_Items].[Forecast Birth Date NZ]" caption="Forecast Birth Date NZ" attribute="1" defaultMemberUniqueName="[BI vw_Items].[Forecast Birth Date NZ].[All]" allUniqueName="[BI vw_Items].[Forecast Birth Date NZ].[All]" dimensionUniqueName="[BI vw_Items]" displayFolder="" count="0" memberValueDatatype="130" unbalanced="0"/>
    <cacheHierarchy uniqueName="[BI vw_Items].[IsComponent]" caption="IsComponent" attribute="1" defaultMemberUniqueName="[BI vw_Items].[IsComponent].[All]" allUniqueName="[BI vw_Items].[IsComponent].[All]" dimensionUniqueName="[BI vw_Items]" displayFolder="" count="0" memberValueDatatype="130" unbalanced="0"/>
    <cacheHierarchy uniqueName="[BI vw_Items].[ItemDescription]" caption="ItemDescription" attribute="1" defaultMemberUniqueName="[BI vw_Items].[ItemDescription].[All]" allUniqueName="[BI vw_Items].[ItemDescription].[All]" dimensionUniqueName="[BI vw_Items]" displayFolder="" count="0" memberValueDatatype="130" unbalanced="0"/>
    <cacheHierarchy uniqueName="[BI vw_Items].[ProductStatus]" caption="ProductStatus" attribute="1" defaultMemberUniqueName="[BI vw_Items].[ProductStatus].[All]" allUniqueName="[BI vw_Items].[ProductStatus].[All]" dimensionUniqueName="[BI vw_Items]" displayFolder="" count="0" memberValueDatatype="130" unbalanced="0"/>
    <cacheHierarchy uniqueName="[BI vw_Items].[ProductStatusNZ]" caption="ProductStatusNZ" attribute="1" defaultMemberUniqueName="[BI vw_Items].[ProductStatusNZ].[All]" allUniqueName="[BI vw_Items].[ProductStatusNZ].[All]" dimensionUniqueName="[BI vw_Items]" displayFolder="" count="0" memberValueDatatype="130" unbalanced="0"/>
    <cacheHierarchy uniqueName="[BI vw_Items].[PurchaseQTY]" caption="PurchaseQTY" attribute="1" defaultMemberUniqueName="[BI vw_Items].[PurchaseQTY].[All]" allUniqueName="[BI vw_Items].[PurchaseQTY].[All]" dimensionUniqueName="[BI vw_Items]" displayFolder="" count="0" memberValueDatatype="6" unbalanced="0"/>
    <cacheHierarchy uniqueName="[BI vw_Items].[Range]" caption="Range" attribute="1" defaultMemberUniqueName="[BI vw_Items].[Range].[All]" allUniqueName="[BI vw_Items].[Range].[All]" dimensionUniqueName="[BI vw_Items]" displayFolder="" count="0" memberValueDatatype="130" unbalanced="0"/>
    <cacheHierarchy uniqueName="[BI vw_Items].[Season_AUS]" caption="Season_AUS" attribute="1" defaultMemberUniqueName="[BI vw_Items].[Season_AUS].[All]" allUniqueName="[BI vw_Items].[Season_AUS].[All]" dimensionUniqueName="[BI vw_Items]" displayFolder="" count="0" memberValueDatatype="130" unbalanced="0"/>
    <cacheHierarchy uniqueName="[BI vw_Items].[Season_NZ]" caption="Season_NZ" attribute="1" defaultMemberUniqueName="[BI vw_Items].[Season_NZ].[All]" allUniqueName="[BI vw_Items].[Season_NZ].[All]" dimensionUniqueName="[BI vw_Items]" displayFolder="" count="0" memberValueDatatype="130" unbalanced="0"/>
    <cacheHierarchy uniqueName="[BI vw_Items].[SKU]" caption="SKU" attribute="1" defaultMemberUniqueName="[BI vw_Items].[SKU].[All]" allUniqueName="[BI vw_Items].[SKU].[All]" dimensionUniqueName="[BI vw_Items]" displayFolder="" count="0" memberValueDatatype="20" unbalanced="0"/>
    <cacheHierarchy uniqueName="[BI vw_Items].[Stock Type_AUS]" caption="Stock Type_AUS" attribute="1" defaultMemberUniqueName="[BI vw_Items].[Stock Type_AUS].[All]" allUniqueName="[BI vw_Items].[Stock Type_AUS].[All]" dimensionUniqueName="[BI vw_Items]" displayFolder="" count="0" memberValueDatatype="130" unbalanced="0"/>
    <cacheHierarchy uniqueName="[BI vw_Items].[SubDepartment]" caption="SubDepartment" attribute="1" defaultMemberUniqueName="[BI vw_Items].[SubDepartment].[All]" allUniqueName="[BI vw_Items].[SubDepartment].[All]" dimensionUniqueName="[BI vw_Items]" displayFolder="" count="0" memberValueDatatype="20" unbalanced="0"/>
    <cacheHierarchy uniqueName="[BI vw_Items].[SubDepartmentDesc]" caption="SubDepartmentDesc" attribute="1" defaultMemberUniqueName="[BI vw_Items].[SubDepartmentDesc].[All]" allUniqueName="[BI vw_Items].[SubDepartmentDesc].[All]" dimensionUniqueName="[BI vw_Items]" displayFolder="" count="0" memberValueDatatype="130" unbalanced="0"/>
    <cacheHierarchy uniqueName="[BI vw_Items].[Supplier Cost]" caption="Supplier Cost" attribute="1" defaultMemberUniqueName="[BI vw_Items].[Supplier Cost].[All]" allUniqueName="[BI vw_Items].[Supplier Cost].[All]" dimensionUniqueName="[BI vw_Items]" displayFolder="" count="0" memberValueDatatype="130" unbalanced="0"/>
    <cacheHierarchy uniqueName="[BI vw_Items].[supplier_code]" caption="supplier_code" attribute="1" defaultMemberUniqueName="[BI vw_Items].[supplier_code].[All]" allUniqueName="[BI vw_Items].[supplier_code].[All]" dimensionUniqueName="[BI vw_Items]" displayFolder="" count="0" memberValueDatatype="130" unbalanced="0"/>
    <cacheHierarchy uniqueName="[BI vw_WeeklyItemSales].[Country]" caption="Country" attribute="1" defaultMemberUniqueName="[BI vw_WeeklyItemSales].[Country].[All]" allUniqueName="[BI vw_WeeklyItemSales].[Country].[All]" dimensionUniqueName="[BI vw_WeeklyItemSales]" displayFolder="" count="0" memberValueDatatype="130" unbalanced="0"/>
    <cacheHierarchy uniqueName="[BI vw_WeeklyItemSales].[finPeriod]" caption="finPeriod" attribute="1" defaultMemberUniqueName="[BI vw_WeeklyItemSales].[finPeriod].[All]" allUniqueName="[BI vw_WeeklyItemSales].[finPeriod].[All]" dimensionUniqueName="[BI vw_WeeklyItemSales]" displayFolder="" count="0" memberValueDatatype="130" unbalanced="0"/>
    <cacheHierarchy uniqueName="[BI vw_WeeklyItemSales].[FirstWeek-Year]" caption="FirstWeek-Year" attribute="1" defaultMemberUniqueName="[BI vw_WeeklyItemSales].[FirstWeek-Year].[All]" allUniqueName="[BI vw_WeeklyItemSales].[FirstWeek-Year].[All]" dimensionUniqueName="[BI vw_WeeklyItemSales]" displayFolder="" count="0" memberValueDatatype="130" unbalanced="0"/>
    <cacheHierarchy uniqueName="[BI vw_WeeklyItemSales].[ItemKey]" caption="ItemKey" attribute="1" defaultMemberUniqueName="[BI vw_WeeklyItemSales].[ItemKey].[All]" allUniqueName="[BI vw_WeeklyItemSales].[ItemKey].[All]" dimensionUniqueName="[BI vw_WeeklyItemSales]" displayFolder="" count="0" memberValueDatatype="20" unbalanced="0"/>
    <cacheHierarchy uniqueName="[BI vw_WeeklyItemSales].[JoinKey]" caption="JoinKey" attribute="1" defaultMemberUniqueName="[BI vw_WeeklyItemSales].[JoinKey].[All]" allUniqueName="[BI vw_WeeklyItemSales].[JoinKey].[All]" dimensionUniqueName="[BI vw_WeeklyItemSales]" displayFolder="" count="0" memberValueDatatype="130" unbalanced="0"/>
    <cacheHierarchy uniqueName="[BI vw_WeeklyItemSales].[Quantity]" caption="Quantity" attribute="1" defaultMemberUniqueName="[BI vw_WeeklyItemSales].[Quantity].[All]" allUniqueName="[BI vw_WeeklyItemSales].[Quantity].[All]" dimensionUniqueName="[BI vw_WeeklyItemSales]" displayFolder="" count="0" memberValueDatatype="6" unbalanced="0"/>
    <cacheHierarchy uniqueName="[BI vw_WeeklyItemSales].[SalesClassification]" caption="SalesClassification" attribute="1" defaultMemberUniqueName="[BI vw_WeeklyItemSales].[SalesClassification].[All]" allUniqueName="[BI vw_WeeklyItemSales].[SalesClassification].[All]" dimensionUniqueName="[BI vw_WeeklyItemSales]" displayFolder="" count="0" memberValueDatatype="130" unbalanced="0"/>
    <cacheHierarchy uniqueName="[BI vw_WeeklyItemSales].[SalesCost]" caption="SalesCost" attribute="1" defaultMemberUniqueName="[BI vw_WeeklyItemSales].[SalesCost].[All]" allUniqueName="[BI vw_WeeklyItemSales].[SalesCost].[All]" dimensionUniqueName="[BI vw_WeeklyItemSales]" displayFolder="" count="0" memberValueDatatype="5" unbalanced="0"/>
    <cacheHierarchy uniqueName="[BI vw_WeeklyItemSales].[SalesRetail]" caption="SalesRetail" attribute="1" defaultMemberUniqueName="[BI vw_WeeklyItemSales].[SalesRetail].[All]" allUniqueName="[BI vw_WeeklyItemSales].[SalesRetail].[All]" dimensionUniqueName="[BI vw_WeeklyItemSales]" displayFolder="" count="0" memberValueDatatype="5" unbalanced="0"/>
    <cacheHierarchy uniqueName="[BI vw_WeeklyItemSales].[StoreKey]" caption="StoreKey" attribute="1" defaultMemberUniqueName="[BI vw_WeeklyItemSales].[StoreKey].[All]" allUniqueName="[BI vw_WeeklyItemSales].[StoreKey].[All]" dimensionUniqueName="[BI vw_WeeklyItemSales]" displayFolder="" count="0" memberValueDatatype="130" unbalanced="0"/>
    <cacheHierarchy uniqueName="[BI vw_WeeklyStoreATV].[division]" caption="division" attribute="1" defaultMemberUniqueName="[BI vw_WeeklyStoreATV].[division].[All]" allUniqueName="[BI vw_WeeklyStoreATV].[division].[All]" dimensionUniqueName="[BI vw_WeeklyStoreATV]" displayFolder="" count="0" memberValueDatatype="130" unbalanced="0"/>
    <cacheHierarchy uniqueName="[BI vw_WeeklyStoreATV].[FinOrderNumber]" caption="FinOrderNumber" attribute="1" defaultMemberUniqueName="[BI vw_WeeklyStoreATV].[FinOrderNumber].[All]" allUniqueName="[BI vw_WeeklyStoreATV].[FinOrderNumber].[All]" dimensionUniqueName="[BI vw_WeeklyStoreATV]" displayFolder="" count="0" memberValueDatatype="130" unbalanced="0"/>
    <cacheHierarchy uniqueName="[BI vw_WeeklyStoreATV].[FinPeriod]" caption="FinPeriod" attribute="1" defaultMemberUniqueName="[BI vw_WeeklyStoreATV].[FinPeriod].[All]" allUniqueName="[BI vw_WeeklyStoreATV].[FinPeriod].[All]" dimensionUniqueName="[BI vw_WeeklyStoreATV]" displayFolder="" count="0" memberValueDatatype="20" unbalanced="0"/>
    <cacheHierarchy uniqueName="[BI vw_WeeklyStoreATV].[JoinKey]" caption="JoinKey" attribute="1" defaultMemberUniqueName="[BI vw_WeeklyStoreATV].[JoinKey].[All]" allUniqueName="[BI vw_WeeklyStoreATV].[JoinKey].[All]" dimensionUniqueName="[BI vw_WeeklyStoreATV]" displayFolder="" count="0" memberValueDatatype="130" unbalanced="0"/>
    <cacheHierarchy uniqueName="[BI vw_WeeklyStoreATV].[NumTrans]" caption="NumTrans" attribute="1" defaultMemberUniqueName="[BI vw_WeeklyStoreATV].[NumTrans].[All]" allUniqueName="[BI vw_WeeklyStoreATV].[NumTrans].[All]" dimensionUniqueName="[BI vw_WeeklyStoreATV]" displayFolder="" count="0" memberValueDatatype="20" unbalanced="0"/>
    <cacheHierarchy uniqueName="[BI vw_WeeklyStoreATV].[NumTrans2]" caption="NumTrans2" attribute="1" defaultMemberUniqueName="[BI vw_WeeklyStoreATV].[NumTrans2].[All]" allUniqueName="[BI vw_WeeklyStoreATV].[NumTrans2].[All]" dimensionUniqueName="[BI vw_WeeklyStoreATV]" displayFolder="" count="0" memberValueDatatype="130" unbalanced="0"/>
    <cacheHierarchy uniqueName="[BI vw_WeeklyStoreATV].[OrderNumber]" caption="OrderNumber" attribute="1" defaultMemberUniqueName="[BI vw_WeeklyStoreATV].[OrderNumber].[All]" allUniqueName="[BI vw_WeeklyStoreATV].[OrderNumber].[All]" dimensionUniqueName="[BI vw_WeeklyStoreATV]" displayFolder="" count="0" memberValueDatatype="130" unbalanced="0"/>
    <cacheHierarchy uniqueName="[BI vw_WeeklyStoreATV].[SalesClassification]" caption="SalesClassification" attribute="1" defaultMemberUniqueName="[BI vw_WeeklyStoreATV].[SalesClassification].[All]" allUniqueName="[BI vw_WeeklyStoreATV].[SalesClassification].[All]" dimensionUniqueName="[BI vw_WeeklyStoreATV]" displayFolder="" count="0" memberValueDatatype="130" unbalanced="0"/>
    <cacheHierarchy uniqueName="[BI vw_WeeklyStoreATV].[SalesRetail]" caption="SalesRetail" attribute="1" defaultMemberUniqueName="[BI vw_WeeklyStoreATV].[SalesRetail].[All]" allUniqueName="[BI vw_WeeklyStoreATV].[SalesRetail].[All]" dimensionUniqueName="[BI vw_WeeklyStoreATV]" displayFolder="" count="0" memberValueDatatype="20" unbalanced="0"/>
    <cacheHierarchy uniqueName="[BI vw_WeeklyStoreATV].[Store_Country]" caption="Store_Country" attribute="1" defaultMemberUniqueName="[BI vw_WeeklyStoreATV].[Store_Country].[All]" allUniqueName="[BI vw_WeeklyStoreATV].[Store_Country].[All]" dimensionUniqueName="[BI vw_WeeklyStoreATV]" displayFolder="" count="0" memberValueDatatype="130" unbalanced="0"/>
    <cacheHierarchy uniqueName="[BI vw_WeeklyStoreATV].[StoreKey]" caption="StoreKey" attribute="1" defaultMemberUniqueName="[BI vw_WeeklyStoreATV].[StoreKey].[All]" allUniqueName="[BI vw_WeeklyStoreATV].[StoreKey].[All]" dimensionUniqueName="[BI vw_WeeklyStoreATV]" displayFolder="" count="0" memberValueDatatype="130" unbalanced="0"/>
    <cacheHierarchy uniqueName="[BI vw_WeeklyStoreTraffic].[Country]" caption="Country" attribute="1" defaultMemberUniqueName="[BI vw_WeeklyStoreTraffic].[Country].[All]" allUniqueName="[BI vw_WeeklyStoreTraffic].[Country].[All]" dimensionUniqueName="[BI vw_WeeklyStoreTraffic]" displayFolder="" count="0" memberValueDatatype="130" unbalanced="0"/>
    <cacheHierarchy uniqueName="[BI vw_WeeklyStoreTraffic].[finPeriod]" caption="finPeriod" attribute="1" defaultMemberUniqueName="[BI vw_WeeklyStoreTraffic].[finPeriod].[All]" allUniqueName="[BI vw_WeeklyStoreTraffic].[finPeriod].[All]" dimensionUniqueName="[BI vw_WeeklyStoreTraffic]" displayFolder="" count="0" memberValueDatatype="130" unbalanced="0"/>
    <cacheHierarchy uniqueName="[BI vw_WeeklyStoreTraffic].[JoinKey]" caption="JoinKey" attribute="1" defaultMemberUniqueName="[BI vw_WeeklyStoreTraffic].[JoinKey].[All]" allUniqueName="[BI vw_WeeklyStoreTraffic].[JoinKey].[All]" dimensionUniqueName="[BI vw_WeeklyStoreTraffic]" displayFolder="" count="0" memberValueDatatype="130" unbalanced="0"/>
    <cacheHierarchy uniqueName="[BI vw_WeeklyStoreTraffic].[Store]" caption="Store" attribute="1" defaultMemberUniqueName="[BI vw_WeeklyStoreTraffic].[Store].[All]" allUniqueName="[BI vw_WeeklyStoreTraffic].[Store].[All]" dimensionUniqueName="[BI vw_WeeklyStoreTraffic]" displayFolder="" count="0" memberValueDatatype="130" unbalanced="0"/>
    <cacheHierarchy uniqueName="[BI vw_WeeklyStoreTraffic].[storekey]" caption="storekey" attribute="1" defaultMemberUniqueName="[BI vw_WeeklyStoreTraffic].[storekey].[All]" allUniqueName="[BI vw_WeeklyStoreTraffic].[storekey].[All]" dimensionUniqueName="[BI vw_WeeklyStoreTraffic]" displayFolder="" count="0" memberValueDatatype="130" unbalanced="0"/>
    <cacheHierarchy uniqueName="[BI vw_WeeklyStoreTraffic].[Traffic]" caption="Traffic" attribute="1" defaultMemberUniqueName="[BI vw_WeeklyStoreTraffic].[Traffic].[All]" allUniqueName="[BI vw_WeeklyStoreTraffic].[Traffic].[All]" dimensionUniqueName="[BI vw_WeeklyStoreTraffic]" displayFolder="" count="0" memberValueDatatype="20" unbalanced="0"/>
    <cacheHierarchy uniqueName="[BI vw_WeeklyWrittenSalesMetrics].[ATV_JoinKey]" caption="ATV_JoinKey" attribute="1" defaultMemberUniqueName="[BI vw_WeeklyWrittenSalesMetrics].[ATV_JoinKey].[All]" allUniqueName="[BI vw_WeeklyWrittenSalesMetrics].[ATV_JoinKey].[All]" dimensionUniqueName="[BI vw_WeeklyWrittenSalesMetrics]" displayFolder="" count="0" memberValueDatatype="130" unbalanced="0"/>
    <cacheHierarchy uniqueName="[BI vw_WeeklyWrittenSalesMetrics].[Branch_Type]" caption="Branch_Type" attribute="1" defaultMemberUniqueName="[BI vw_WeeklyWrittenSalesMetrics].[Branch_Type].[All]" allUniqueName="[BI vw_WeeklyWrittenSalesMetrics].[Branch_Type].[All]" dimensionUniqueName="[BI vw_WeeklyWrittenSalesMetrics]" displayFolder="" count="2" memberValueDatatype="130" unbalanced="0">
      <fieldsUsage count="2">
        <fieldUsage x="-1"/>
        <fieldUsage x="8"/>
      </fieldsUsage>
    </cacheHierarchy>
    <cacheHierarchy uniqueName="[BI vw_WeeklyWrittenSalesMetrics].[BudgetByItem_JoinKey]" caption="BudgetByItem_JoinKey" attribute="1" defaultMemberUniqueName="[BI vw_WeeklyWrittenSalesMetrics].[BudgetByItem_JoinKey].[All]" allUniqueName="[BI vw_WeeklyWrittenSalesMetrics].[BudgetByItem_JoinKey].[All]" dimensionUniqueName="[BI vw_WeeklyWrittenSalesMetrics]" displayFolder="" count="0" memberValueDatatype="130" unbalanced="0"/>
    <cacheHierarchy uniqueName="[BI vw_WeeklyWrittenSalesMetrics].[BudgetByStore_JoinKey]" caption="BudgetByStore_JoinKey" attribute="1" defaultMemberUniqueName="[BI vw_WeeklyWrittenSalesMetrics].[BudgetByStore_JoinKey].[All]" allUniqueName="[BI vw_WeeklyWrittenSalesMetrics].[BudgetByStore_JoinKey].[All]" dimensionUniqueName="[BI vw_WeeklyWrittenSalesMetrics]" displayFolder="" count="0" memberValueDatatype="130" unbalanced="0"/>
    <cacheHierarchy uniqueName="[BI vw_WeeklyWrittenSalesMetrics].[BudgetByWeek_JoinKey]" caption="BudgetByWeek_JoinKey" attribute="1" defaultMemberUniqueName="[BI vw_WeeklyWrittenSalesMetrics].[BudgetByWeek_JoinKey].[All]" allUniqueName="[BI vw_WeeklyWrittenSalesMetrics].[BudgetByWeek_JoinKey].[All]" dimensionUniqueName="[BI vw_WeeklyWrittenSalesMetrics]" displayFolder="" count="0" memberValueDatatype="130" unbalanced="0"/>
    <cacheHierarchy uniqueName="[BI vw_WeeklyWrittenSalesMetrics].[BudgetDigital_JoinKey]" caption="BudgetDigital_JoinKey" attribute="1" defaultMemberUniqueName="[BI vw_WeeklyWrittenSalesMetrics].[BudgetDigital_JoinKey].[All]" allUniqueName="[BI vw_WeeklyWrittenSalesMetrics].[BudgetDigital_JoinKey].[All]" dimensionUniqueName="[BI vw_WeeklyWrittenSalesMetrics]" displayFolder="" count="0" memberValueDatatype="130" unbalanced="0"/>
    <cacheHierarchy uniqueName="[BI vw_WeeklyWrittenSalesMetrics].[BudgetOnlineByStore_JoinKey]" caption="BudgetOnlineByStore_JoinKey" attribute="1" defaultMemberUniqueName="[BI vw_WeeklyWrittenSalesMetrics].[BudgetOnlineByStore_JoinKey].[All]" allUniqueName="[BI vw_WeeklyWrittenSalesMetrics].[BudgetOnlineByStore_JoinKey].[All]" dimensionUniqueName="[BI vw_WeeklyWrittenSalesMetrics]" displayFolder="" count="0" memberValueDatatype="130" unbalanced="0"/>
    <cacheHierarchy uniqueName="[BI vw_WeeklyWrittenSalesMetrics].[Channel]" caption="Channel" attribute="1" defaultMemberUniqueName="[BI vw_WeeklyWrittenSalesMetrics].[Channel].[All]" allUniqueName="[BI vw_WeeklyWrittenSalesMetrics].[Channel].[All]" dimensionUniqueName="[BI vw_WeeklyWrittenSalesMetrics]" displayFolder="" count="2" memberValueDatatype="130" unbalanced="0">
      <fieldsUsage count="2">
        <fieldUsage x="-1"/>
        <fieldUsage x="11"/>
      </fieldsUsage>
    </cacheHierarchy>
    <cacheHierarchy uniqueName="[BI vw_WeeklyWrittenSalesMetrics].[ClassDesc]" caption="ClassDesc" attribute="1" defaultMemberUniqueName="[BI vw_WeeklyWrittenSalesMetrics].[ClassDesc].[All]" allUniqueName="[BI vw_WeeklyWrittenSalesMetrics].[ClassDesc].[All]" dimensionUniqueName="[BI vw_WeeklyWrittenSalesMetrics]" displayFolder="" count="0" memberValueDatatype="130" unbalanced="0"/>
    <cacheHierarchy uniqueName="[BI vw_WeeklyWrittenSalesMetrics].[Country]" caption="Country" attribute="1" defaultMemberUniqueName="[BI vw_WeeklyWrittenSalesMetrics].[Country].[All]" allUniqueName="[BI vw_WeeklyWrittenSalesMetrics].[Country].[All]" dimensionUniqueName="[BI vw_WeeklyWrittenSalesMetrics]" displayFolder="" count="2" memberValueDatatype="130" unbalanced="0">
      <fieldsUsage count="2">
        <fieldUsage x="-1"/>
        <fieldUsage x="10"/>
      </fieldsUsage>
    </cacheHierarchy>
    <cacheHierarchy uniqueName="[BI vw_WeeklyWrittenSalesMetrics].[DepartmentDesc]" caption="DepartmentDesc" attribute="1" defaultMemberUniqueName="[BI vw_WeeklyWrittenSalesMetrics].[DepartmentDesc].[All]" allUniqueName="[BI vw_WeeklyWrittenSalesMetrics].[DepartmentDesc].[All]" dimensionUniqueName="[BI vw_WeeklyWrittenSalesMetrics]" displayFolder="" count="0" memberValueDatatype="130" unbalanced="0"/>
    <cacheHierarchy uniqueName="[BI vw_WeeklyWrittenSalesMetrics].[Division]" caption="Division" attribute="1" defaultMemberUniqueName="[BI vw_WeeklyWrittenSalesMetrics].[Division].[All]" allUniqueName="[BI vw_WeeklyWrittenSalesMetrics].[Division].[All]" dimensionUniqueName="[BI vw_WeeklyWrittenSalesMetrics]" displayFolder="" count="2" memberValueDatatype="130" unbalanced="0">
      <fieldsUsage count="2">
        <fieldUsage x="-1"/>
        <fieldUsage x="9"/>
      </fieldsUsage>
    </cacheHierarchy>
    <cacheHierarchy uniqueName="[BI vw_WeeklyWrittenSalesMetrics].[Dropship]" caption="Dropship" attribute="1" defaultMemberUniqueName="[BI vw_WeeklyWrittenSalesMetrics].[Dropship].[All]" allUniqueName="[BI vw_WeeklyWrittenSalesMetrics].[Dropship].[All]" dimensionUniqueName="[BI vw_WeeklyWrittenSalesMetrics]" displayFolder="" count="0" memberValueDatatype="130" unbalanced="0"/>
    <cacheHierarchy uniqueName="[BI vw_WeeklyWrittenSalesMetrics].[DropshipBudget_JoinKey]" caption="DropshipBudget_JoinKey" attribute="1" defaultMemberUniqueName="[BI vw_WeeklyWrittenSalesMetrics].[DropshipBudget_JoinKey].[All]" allUniqueName="[BI vw_WeeklyWrittenSalesMetrics].[DropshipBudget_JoinKey].[All]" dimensionUniqueName="[BI vw_WeeklyWrittenSalesMetrics]" displayFolder="" count="0" memberValueDatatype="130" unbalanced="0"/>
    <cacheHierarchy uniqueName="[BI vw_WeeklyWrittenSalesMetrics].[FinPeriod]" caption="FinPeriod" attribute="1" defaultMemberUniqueName="[BI vw_WeeklyWrittenSalesMetrics].[FinPeriod].[All]" allUniqueName="[BI vw_WeeklyWrittenSalesMetrics].[FinPeriod].[All]" dimensionUniqueName="[BI vw_WeeklyWrittenSalesMetrics]" displayFolder="" count="0" memberValueDatatype="20" unbalanced="0"/>
    <cacheHierarchy uniqueName="[BI vw_WeeklyWrittenSalesMetrics].[FinPeriod_2025]" caption="FinPeriod_2025" attribute="1" defaultMemberUniqueName="[BI vw_WeeklyWrittenSalesMetrics].[FinPeriod_2025].[All]" allUniqueName="[BI vw_WeeklyWrittenSalesMetrics].[FinPeriod_2025].[All]" dimensionUniqueName="[BI vw_WeeklyWrittenSalesMetrics]" displayFolder="" count="0" memberValueDatatype="130" unbalanced="0"/>
    <cacheHierarchy uniqueName="[BI vw_WeeklyWrittenSalesMetrics].[FinPeriod_LY]" caption="FinPeriod_LY" attribute="1" defaultMemberUniqueName="[BI vw_WeeklyWrittenSalesMetrics].[FinPeriod_LY].[All]" allUniqueName="[BI vw_WeeklyWrittenSalesMetrics].[FinPeriod_LY].[All]" dimensionUniqueName="[BI vw_WeeklyWrittenSalesMetrics]" displayFolder="" count="0" memberValueDatatype="20" unbalanced="0"/>
    <cacheHierarchy uniqueName="[BI vw_WeeklyWrittenSalesMetrics].[FirstWeek-Month]" caption="FirstWeek-Month" attribute="1" defaultMemberUniqueName="[BI vw_WeeklyWrittenSalesMetrics].[FirstWeek-Month].[All]" allUniqueName="[BI vw_WeeklyWrittenSalesMetrics].[FirstWeek-Month].[All]" dimensionUniqueName="[BI vw_WeeklyWrittenSalesMetrics]" displayFolder="" count="0" memberValueDatatype="20" unbalanced="0"/>
    <cacheHierarchy uniqueName="[BI vw_WeeklyWrittenSalesMetrics].[FirstWeek-QTD]" caption="FirstWeek-QTD" attribute="1" defaultMemberUniqueName="[BI vw_WeeklyWrittenSalesMetrics].[FirstWeek-QTD].[All]" allUniqueName="[BI vw_WeeklyWrittenSalesMetrics].[FirstWeek-QTD].[All]" dimensionUniqueName="[BI vw_WeeklyWrittenSalesMetrics]" displayFolder="" count="0" memberValueDatatype="20" unbalanced="0"/>
    <cacheHierarchy uniqueName="[BI vw_WeeklyWrittenSalesMetrics].[FirstWeek-Year]" caption="FirstWeek-Year" attribute="1" defaultMemberUniqueName="[BI vw_WeeklyWrittenSalesMetrics].[FirstWeek-Year].[All]" allUniqueName="[BI vw_WeeklyWrittenSalesMetrics].[FirstWeek-Year].[All]" dimensionUniqueName="[BI vw_WeeklyWrittenSalesMetrics]" displayFolder="" count="0" memberValueDatatype="20" unbalanced="0"/>
    <cacheHierarchy uniqueName="[BI vw_WeeklyWrittenSalesMetrics].[Forcast_JoinKey]" caption="Forcast_JoinKey" attribute="1" defaultMemberUniqueName="[BI vw_WeeklyWrittenSalesMetrics].[Forcast_JoinKey].[All]" allUniqueName="[BI vw_WeeklyWrittenSalesMetrics].[Forcast_JoinKey].[All]" dimensionUniqueName="[BI vw_WeeklyWrittenSalesMetrics]" displayFolder="" count="0" memberValueDatatype="130" unbalanced="0"/>
    <cacheHierarchy uniqueName="[BI vw_WeeklyWrittenSalesMetrics].[ForcastByClass_JoinKey]" caption="ForcastByClass_JoinKey" attribute="1" defaultMemberUniqueName="[BI vw_WeeklyWrittenSalesMetrics].[ForcastByClass_JoinKey].[All]" allUniqueName="[BI vw_WeeklyWrittenSalesMetrics].[ForcastByClass_JoinKey].[All]" dimensionUniqueName="[BI vw_WeeklyWrittenSalesMetrics]" displayFolder="" count="0" memberValueDatatype="130" unbalanced="0"/>
    <cacheHierarchy uniqueName="[BI vw_WeeklyWrittenSalesMetrics].[SalesatFullRet]" caption="SalesatFullRet" attribute="1" defaultMemberUniqueName="[BI vw_WeeklyWrittenSalesMetrics].[SalesatFullRet].[All]" allUniqueName="[BI vw_WeeklyWrittenSalesMetrics].[SalesatFullRet].[All]" dimensionUniqueName="[BI vw_WeeklyWrittenSalesMetrics]" displayFolder="" count="0" memberValueDatatype="5" unbalanced="0"/>
    <cacheHierarchy uniqueName="[BI vw_WeeklyWrittenSalesMetrics].[SalesClassification]" caption="SalesClassification" attribute="1" defaultMemberUniqueName="[BI vw_WeeklyWrittenSalesMetrics].[SalesClassification].[All]" allUniqueName="[BI vw_WeeklyWrittenSalesMetrics].[SalesClassification].[All]" dimensionUniqueName="[BI vw_WeeklyWrittenSalesMetrics]" displayFolder="" count="0" memberValueDatatype="130" unbalanced="0"/>
    <cacheHierarchy uniqueName="[BI vw_WeeklyWrittenSalesMetrics].[SalesCost]" caption="SalesCost" attribute="1" defaultMemberUniqueName="[BI vw_WeeklyWrittenSalesMetrics].[SalesCost].[All]" allUniqueName="[BI vw_WeeklyWrittenSalesMetrics].[SalesCost].[All]" dimensionUniqueName="[BI vw_WeeklyWrittenSalesMetrics]" displayFolder="" count="0" memberValueDatatype="5" unbalanced="0"/>
    <cacheHierarchy uniqueName="[BI vw_WeeklyWrittenSalesMetrics].[SalesGM]" caption="SalesGM" attribute="1" defaultMemberUniqueName="[BI vw_WeeklyWrittenSalesMetrics].[SalesGM].[All]" allUniqueName="[BI vw_WeeklyWrittenSalesMetrics].[SalesGM].[All]" dimensionUniqueName="[BI vw_WeeklyWrittenSalesMetrics]" displayFolder="" count="0" memberValueDatatype="5" unbalanced="0"/>
    <cacheHierarchy uniqueName="[BI vw_WeeklyWrittenSalesMetrics].[SalesRetail]" caption="SalesRetail" attribute="1" defaultMemberUniqueName="[BI vw_WeeklyWrittenSalesMetrics].[SalesRetail].[All]" allUniqueName="[BI vw_WeeklyWrittenSalesMetrics].[SalesRetail].[All]" dimensionUniqueName="[BI vw_WeeklyWrittenSalesMetrics]" displayFolder="" count="0" memberValueDatatype="5" unbalanced="0"/>
    <cacheHierarchy uniqueName="[BI vw_WeeklyWrittenSalesMetrics].[SalesType]" caption="SalesType" attribute="1" defaultMemberUniqueName="[BI vw_WeeklyWrittenSalesMetrics].[SalesType].[All]" allUniqueName="[BI vw_WeeklyWrittenSalesMetrics].[SalesType].[All]" dimensionUniqueName="[BI vw_WeeklyWrittenSalesMetrics]" displayFolder="" count="0" memberValueDatatype="130" unbalanced="0"/>
    <cacheHierarchy uniqueName="[BI vw_WeeklyWrittenSalesMetrics].[SalesUnits]" caption="SalesUnits" attribute="1" defaultMemberUniqueName="[BI vw_WeeklyWrittenSalesMetrics].[SalesUnits].[All]" allUniqueName="[BI vw_WeeklyWrittenSalesMetrics].[SalesUnits].[All]" dimensionUniqueName="[BI vw_WeeklyWrittenSalesMetrics]" displayFolder="" count="0" memberValueDatatype="5" unbalanced="0"/>
    <cacheHierarchy uniqueName="[BI vw_WeeklyWrittenSalesMetrics].[Store]" caption="Store" attribute="1" defaultMemberUniqueName="[BI vw_WeeklyWrittenSalesMetrics].[Store].[All]" allUniqueName="[BI vw_WeeklyWrittenSalesMetrics].[Store].[All]" dimensionUniqueName="[BI vw_WeeklyWrittenSalesMetrics]" displayFolder="" count="0" memberValueDatatype="130" unbalanced="0"/>
    <cacheHierarchy uniqueName="[BI vw_WeeklyWrittenSalesMetrics].[StoreKey]" caption="StoreKey" attribute="1" defaultMemberUniqueName="[BI vw_WeeklyWrittenSalesMetrics].[StoreKey].[All]" allUniqueName="[BI vw_WeeklyWrittenSalesMetrics].[StoreKey].[All]" dimensionUniqueName="[BI vw_WeeklyWrittenSalesMetrics]" displayFolder="" count="0" memberValueDatatype="20" unbalanced="0"/>
    <cacheHierarchy uniqueName="[BI vw_WeeklyWrittenSalesMetrics].[SubDepartmentDesc]" caption="SubDepartmentDesc" attribute="1" defaultMemberUniqueName="[BI vw_WeeklyWrittenSalesMetrics].[SubDepartmentDesc].[All]" allUniqueName="[BI vw_WeeklyWrittenSalesMetrics].[SubDepartmentDesc].[All]" dimensionUniqueName="[BI vw_WeeklyWrittenSalesMetrics]" displayFolder="" count="0" memberValueDatatype="130" unbalanced="0"/>
    <cacheHierarchy uniqueName="[BI vw_WeeklyWrittenSalesMetrics].[TOTRETMD]" caption="TOTRETMD" attribute="1" defaultMemberUniqueName="[BI vw_WeeklyWrittenSalesMetrics].[TOTRETMD].[All]" allUniqueName="[BI vw_WeeklyWrittenSalesMetrics].[TOTRETMD].[All]" dimensionUniqueName="[BI vw_WeeklyWrittenSalesMetrics]" displayFolder="" count="0" memberValueDatatype="5" unbalanced="0"/>
    <cacheHierarchy uniqueName="[BI vw_WeeklyWrittenSalesMetrics].[Traffic_JoinKey]" caption="Traffic_JoinKey" attribute="1" defaultMemberUniqueName="[BI vw_WeeklyWrittenSalesMetrics].[Traffic_JoinKey].[All]" allUniqueName="[BI vw_WeeklyWrittenSalesMetrics].[Traffic_JoinKey].[All]" dimensionUniqueName="[BI vw_WeeklyWrittenSalesMetrics]" displayFolder="" count="0" memberValueDatatype="130" unbalanced="0"/>
    <cacheHierarchy uniqueName="[BI vw_WeeklyWrittenSalesMetrics].[WeeklyItemSaleKey]" caption="WeeklyItemSaleKey" attribute="1" defaultMemberUniqueName="[BI vw_WeeklyWrittenSalesMetrics].[WeeklyItemSaleKey].[All]" allUniqueName="[BI vw_WeeklyWrittenSalesMetrics].[WeeklyItemSaleKey].[All]" dimensionUniqueName="[BI vw_WeeklyWrittenSalesMetrics]" displayFolder="" count="0" memberValueDatatype="130" unbalanced="0"/>
    <cacheHierarchy uniqueName="[Dim_Category].[Column_Name]" caption="Column_Name" attribute="1" defaultMemberUniqueName="[Dim_Category].[Column_Name].[All]" allUniqueName="[Dim_Category].[Column_Name].[All]" dimensionUniqueName="[Dim_Category]" displayFolder="" count="0" memberValueDatatype="130" unbalanced="0"/>
    <cacheHierarchy uniqueName="[Dim_Category].[Sort N]" caption="Sort N" attribute="1" defaultMemberUniqueName="[Dim_Category].[Sort N].[All]" allUniqueName="[Dim_Category].[Sort N].[All]" dimensionUniqueName="[Dim_Category]" displayFolder="" count="0" memberValueDatatype="20" unbalanced="0"/>
    <cacheHierarchy uniqueName="[dim_period].[Current Date]" caption="Current Date" attribute="1" time="1" defaultMemberUniqueName="[dim_period].[Current Date].[All]" allUniqueName="[dim_period].[Current Date].[All]" dimensionUniqueName="[dim_period]" displayFolder="" count="0" memberValueDatatype="7" unbalanced="0"/>
    <cacheHierarchy uniqueName="[dim_period].[Date]" caption="Date" attribute="1" time="1" defaultMemberUniqueName="[dim_period].[Date].[All]" allUniqueName="[dim_period].[Date].[All]" dimensionUniqueName="[dim_period]" displayFolder="" count="0" memberValueDatatype="7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inPeriod_BeforeToday]" caption="finPeriod_BeforeToday" attribute="1" defaultMemberUniqueName="[dim_period].[finPeriod_BeforeToday].[All]" allUniqueName="[dim_period].[finPeriod_BeforeToday].[All]" dimensionUniqueName="[dim_period]" displayFolder="" count="0" memberValueDatatype="13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Month_NumberY]" caption="Month_NumberY" attribute="1" defaultMemberUniqueName="[dim_period].[Month_NumberY].[All]" allUniqueName="[dim_period].[Month_NumberY].[All]" dimensionUniqueName="[dim_period]" displayFolder="" count="0" memberValueDatatype="2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dim_period].[Year_New]" caption="Year_New" attribute="1" defaultMemberUniqueName="[dim_period].[Year_New].[All]" allUniqueName="[dim_period].[Year_New].[All]" dimensionUniqueName="[dim_period]" displayFolder="" count="0" memberValueDatatype="20" unbalanced="0"/>
    <cacheHierarchy uniqueName="[ForcastByClass].[Branch Type]" caption="Branch Type" attribute="1" defaultMemberUniqueName="[ForcastByClass].[Branch Type].[All]" allUniqueName="[ForcastByClass].[Branch Type].[All]" dimensionUniqueName="[ForcastByClass]" displayFolder="" count="0" memberValueDatatype="130" unbalanced="0"/>
    <cacheHierarchy uniqueName="[ForcastByClass].[Class]" caption="Class" attribute="1" defaultMemberUniqueName="[ForcastByClass].[Class].[All]" allUniqueName="[ForcastByClass].[Class].[All]" dimensionUniqueName="[ForcastByClass]" displayFolder="" count="0" memberValueDatatype="130" unbalanced="0"/>
    <cacheHierarchy uniqueName="[ForcastByClass].[Country]" caption="Country" attribute="1" defaultMemberUniqueName="[ForcastByClass].[Country].[All]" allUniqueName="[ForcastByClass].[Country].[All]" dimensionUniqueName="[ForcastByClass]" displayFolder="" count="0" memberValueDatatype="130" unbalanced="0"/>
    <cacheHierarchy uniqueName="[ForcastByClass].[CountryN]" caption="CountryN" attribute="1" defaultMemberUniqueName="[ForcastByClass].[CountryN].[All]" allUniqueName="[ForcastByClass].[CountryN].[All]" dimensionUniqueName="[ForcastByClass]" displayFolder="" count="0" memberValueDatatype="130" unbalanced="0"/>
    <cacheHierarchy uniqueName="[ForcastByClass].[FClassKey]" caption="FClassKey" attribute="1" defaultMemberUniqueName="[ForcastByClass].[FClassKey].[All]" allUniqueName="[ForcastByClass].[FClassKey].[All]" dimensionUniqueName="[ForcastByClass]" displayFolder="" count="0" memberValueDatatype="130" unbalanced="0"/>
    <cacheHierarchy uniqueName="[ForcastByClass].[FinPeriod]" caption="FinPeriod" attribute="1" defaultMemberUniqueName="[ForcastByClass].[FinPeriod].[All]" allUniqueName="[ForcastByClass].[FinPeriod].[All]" dimensionUniqueName="[ForcastByClass]" displayFolder="" count="0" memberValueDatatype="130" unbalanced="0"/>
    <cacheHierarchy uniqueName="[ForcastByClass].[FinWeek]" caption="FinWeek" attribute="1" defaultMemberUniqueName="[ForcastByClass].[FinWeek].[All]" allUniqueName="[ForcastByClass].[FinWeek].[All]" dimensionUniqueName="[ForcastByClass]" displayFolder="" count="0" memberValueDatatype="20" unbalanced="0"/>
    <cacheHierarchy uniqueName="[ForcastByClass].[FinYear]" caption="FinYear" attribute="1" defaultMemberUniqueName="[ForcastByClass].[FinYear].[All]" allUniqueName="[ForcastByClass].[FinYear].[All]" dimensionUniqueName="[ForcastByClass]" displayFolder="" count="0" memberValueDatatype="130" unbalanced="0"/>
    <cacheHierarchy uniqueName="[ForcastByClass].[ForcastDollars]" caption="ForcastDollars" attribute="1" defaultMemberUniqueName="[ForcastByClass].[ForcastDollars].[All]" allUniqueName="[ForcastByClass].[ForcastDollars].[All]" dimensionUniqueName="[ForcastByClass]" displayFolder="" count="0" memberValueDatatype="5" unbalanced="0"/>
    <cacheHierarchy uniqueName="[ForcastByClass].[StoreType]" caption="StoreType" attribute="1" defaultMemberUniqueName="[ForcastByClass].[StoreType].[All]" allUniqueName="[ForcastByClass].[StoreType].[All]" dimensionUniqueName="[ForcastByClass]" displayFolder="" count="0" memberValueDatatype="130" unbalanced="0"/>
    <cacheHierarchy uniqueName="[Forecast].[Branch Type]" caption="Branch Type" attribute="1" defaultMemberUniqueName="[Forecast].[Branch Type].[All]" allUniqueName="[Forecast].[Branch Type].[All]" dimensionUniqueName="[Forecast]" displayFolder="" count="0" memberValueDatatype="130" unbalanced="0"/>
    <cacheHierarchy uniqueName="[Forecast].[Channel]" caption="Channel" attribute="1" defaultMemberUniqueName="[Forecast].[Channel].[All]" allUniqueName="[Forecast].[Channel].[All]" dimensionUniqueName="[Forecast]" displayFolder="" count="0" memberValueDatatype="130" unbalanced="0"/>
    <cacheHierarchy uniqueName="[Forecast].[Class]" caption="Class" attribute="1" defaultMemberUniqueName="[Forecast].[Class].[All]" allUniqueName="[Forecast].[Class].[All]" dimensionUniqueName="[Forecast]" displayFolder="" count="0" memberValueDatatype="130" unbalanced="0"/>
    <cacheHierarchy uniqueName="[Forecast].[Class-1]" caption="Class-1" attribute="1" defaultMemberUniqueName="[Forecast].[Class-1].[All]" allUniqueName="[Forecast].[Class-1].[All]" dimensionUniqueName="[Forecast]" displayFolder="" count="0" memberValueDatatype="130" unbalanced="0"/>
    <cacheHierarchy uniqueName="[Forecast].[Column3 - Copy]" caption="Column3 - Copy" attribute="1" defaultMemberUniqueName="[Forecast].[Column3 - Copy].[All]" allUniqueName="[Forecast].[Column3 - Copy].[All]" dimensionUniqueName="[Forecast]" displayFolder="" count="0" memberValueDatatype="130" unbalanced="0"/>
    <cacheHierarchy uniqueName="[Forecast].[Country]" caption="Country" attribute="1" defaultMemberUniqueName="[Forecast].[Country].[All]" allUniqueName="[Forecast].[Country].[All]" dimensionUniqueName="[Forecast]" displayFolder="" count="0" memberValueDatatype="130" unbalanced="0"/>
    <cacheHierarchy uniqueName="[Forecast].[CountryN]" caption="CountryN" attribute="1" defaultMemberUniqueName="[Forecast].[CountryN].[All]" allUniqueName="[Forecast].[CountryN].[All]" dimensionUniqueName="[Forecast]" displayFolder="" count="0" memberValueDatatype="130" unbalanced="0"/>
    <cacheHierarchy uniqueName="[Forecast].[FClassKey]" caption="FClassKey" attribute="1" defaultMemberUniqueName="[Forecast].[FClassKey].[All]" allUniqueName="[Forecast].[FClassKey].[All]" dimensionUniqueName="[Forecast]" displayFolder="" count="0" memberValueDatatype="130" unbalanced="0"/>
    <cacheHierarchy uniqueName="[Forecast].[Fin_Period]" caption="Fin_Period" attribute="1" defaultMemberUniqueName="[Forecast].[Fin_Period].[All]" allUniqueName="[Forecast].[Fin_Period].[All]" dimensionUniqueName="[Forecast]" displayFolder="" count="0" memberValueDatatype="20" unbalanced="0"/>
    <cacheHierarchy uniqueName="[Forecast].[FinWeek]" caption="FinWeek" attribute="1" defaultMemberUniqueName="[Forecast].[FinWeek].[All]" allUniqueName="[Forecast].[FinWeek].[All]" dimensionUniqueName="[Forecast]" displayFolder="" count="0" memberValueDatatype="20" unbalanced="0"/>
    <cacheHierarchy uniqueName="[Forecast].[ForcastDollars]" caption="ForcastDollars" attribute="1" defaultMemberUniqueName="[Forecast].[ForcastDollars].[All]" allUniqueName="[Forecast].[ForcastDollars].[All]" dimensionUniqueName="[Forecast]" displayFolder="" count="0" memberValueDatatype="5" unbalanced="0"/>
    <cacheHierarchy uniqueName="[Forecast].[GM$]" caption="GM$" attribute="1" defaultMemberUniqueName="[Forecast].[GM$].[All]" allUniqueName="[Forecast].[GM$].[All]" dimensionUniqueName="[Forecast]" displayFolder="" count="0" memberValueDatatype="5" unbalanced="0"/>
    <cacheHierarchy uniqueName="[Forecast].[GM%]" caption="GM%" attribute="1" defaultMemberUniqueName="[Forecast].[GM%].[All]" allUniqueName="[Forecast].[GM%].[All]" dimensionUniqueName="[Forecast]" displayFolder="" count="0" memberValueDatatype="5" unbalanced="0"/>
    <cacheHierarchy uniqueName="[Forecast].[Period]" caption="Period" attribute="1" defaultMemberUniqueName="[Forecast].[Period].[All]" allUniqueName="[Forecast].[Period].[All]" dimensionUniqueName="[Forecast]" displayFolder="" count="0" memberValueDatatype="130" unbalanced="0"/>
    <cacheHierarchy uniqueName="[Forecast].[StoreType]" caption="StoreType" attribute="1" defaultMemberUniqueName="[Forecast].[StoreType].[All]" allUniqueName="[Forecast].[StoreType].[All]" dimensionUniqueName="[Forecast]" displayFolder="" count="0" memberValueDatatype="130" unbalanced="0"/>
    <cacheHierarchy uniqueName="[Measure].[StoreKey]" caption="StoreKey" attribute="1" defaultMemberUniqueName="[Measure].[StoreKey].[All]" allUniqueName="[Measure].[StoreKey].[All]" dimensionUniqueName="[Measure]" displayFolder="" count="0" memberValueDatatype="130" unbalanced="0"/>
    <cacheHierarchy uniqueName="[Measure Categories].[Cat Sort]" caption="Cat Sort" attribute="1" defaultMemberUniqueName="[Measure Categories].[Cat Sort].[All]" allUniqueName="[Measure Categories].[Cat Sort].[All]" dimensionUniqueName="[Measure Categories]" displayFolder="" count="0" memberValueDatatype="20" unbalanced="0"/>
    <cacheHierarchy uniqueName="[Measure Categories].[Measure Categories]" caption="Measure Categories" attribute="1" defaultMemberUniqueName="[Measure Categories].[Measure Categories].[All]" allUniqueName="[Measure Categories].[Measure Categories].[All]" dimensionUniqueName="[Measure Categories]" displayFolder="" count="0" memberValueDatatype="130" unbalanced="0"/>
    <cacheHierarchy uniqueName="[Product Parameter].[Product Parameter]" caption="Product Parameter" attribute="1" defaultMemberUniqueName="[Product Parameter].[Product Parameter].[All]" allUniqueName="[Product Parameter].[Product Parameter].[All]" dimensionUniqueName="[Product Parameter]" displayFolder="" count="0" memberValueDatatype="130" unbalanced="0"/>
    <cacheHierarchy uniqueName="[Query1].[Column1]" caption="Column1" attribute="1" time="1" defaultMemberUniqueName="[Query1].[Column1].[All]" allUniqueName="[Query1].[Column1].[All]" dimensionUniqueName="[Query1]" displayFolder="" count="0" memberValueDatatype="7" unbalanced="0"/>
    <cacheHierarchy uniqueName="[Query2].[Column1]" caption="Column1" attribute="1" defaultMemberUniqueName="[Query2].[Column1].[All]" allUniqueName="[Query2].[Column1].[All]" dimensionUniqueName="[Query2]" displayFolder="" count="0" memberValueDatatype="13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2" memberValueDatatype="130" unbalanced="0">
      <fieldsUsage count="2">
        <fieldUsage x="-1"/>
        <fieldUsage x="7"/>
      </fieldsUsage>
    </cacheHierarchy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LocalDateTable_0d9eeced-3257-4609-8cfb-234f1d7c24d7].[Date]" caption="Date" attribute="1" time="1" defaultMemberUniqueName="[LocalDateTable_0d9eeced-3257-4609-8cfb-234f1d7c24d7].[Date].[All]" allUniqueName="[LocalDateTable_0d9eeced-3257-4609-8cfb-234f1d7c24d7].[Date].[All]" dimensionUniqueName="[LocalDateTable_0d9eeced-3257-4609-8cfb-234f1d7c24d7]" displayFolder="" count="0" memberValueDatatype="7" unbalanced="0" hidden="1"/>
    <cacheHierarchy uniqueName="[LocalDateTable_0d9eeced-3257-4609-8cfb-234f1d7c24d7].[Day]" caption="Day" attribute="1" defaultMemberUniqueName="[LocalDateTable_0d9eeced-3257-4609-8cfb-234f1d7c24d7].[Day].[All]" allUniqueName="[LocalDateTable_0d9eeced-3257-4609-8cfb-234f1d7c24d7].[Day].[All]" dimensionUniqueName="[LocalDateTable_0d9eeced-3257-4609-8cfb-234f1d7c24d7]" displayFolder="" count="0" memberValueDatatype="20" unbalanced="0" hidden="1"/>
    <cacheHierarchy uniqueName="[LocalDateTable_0d9eeced-3257-4609-8cfb-234f1d7c24d7].[Month]" caption="Month" attribute="1" defaultMemberUniqueName="[LocalDateTable_0d9eeced-3257-4609-8cfb-234f1d7c24d7].[Month].[All]" allUniqueName="[LocalDateTable_0d9eeced-3257-4609-8cfb-234f1d7c24d7].[Month].[All]" dimensionUniqueName="[LocalDateTable_0d9eeced-3257-4609-8cfb-234f1d7c24d7]" displayFolder="" count="0" memberValueDatatype="130" unbalanced="0" hidden="1"/>
    <cacheHierarchy uniqueName="[LocalDateTable_0d9eeced-3257-4609-8cfb-234f1d7c24d7].[MonthNo]" caption="MonthNo" attribute="1" defaultMemberUniqueName="[LocalDateTable_0d9eeced-3257-4609-8cfb-234f1d7c24d7].[MonthNo].[All]" allUniqueName="[LocalDateTable_0d9eeced-3257-4609-8cfb-234f1d7c24d7].[MonthNo].[All]" dimensionUniqueName="[LocalDateTable_0d9eeced-3257-4609-8cfb-234f1d7c24d7]" displayFolder="" count="0" memberValueDatatype="20" unbalanced="0" hidden="1"/>
    <cacheHierarchy uniqueName="[LocalDateTable_0d9eeced-3257-4609-8cfb-234f1d7c24d7].[Quarter]" caption="Quarter" attribute="1" defaultMemberUniqueName="[LocalDateTable_0d9eeced-3257-4609-8cfb-234f1d7c24d7].[Quarter].[All]" allUniqueName="[LocalDateTable_0d9eeced-3257-4609-8cfb-234f1d7c24d7].[Quarter].[All]" dimensionUniqueName="[LocalDateTable_0d9eeced-3257-4609-8cfb-234f1d7c24d7]" displayFolder="" count="0" memberValueDatatype="130" unbalanced="0" hidden="1"/>
    <cacheHierarchy uniqueName="[LocalDateTable_0d9eeced-3257-4609-8cfb-234f1d7c24d7].[QuarterNo]" caption="QuarterNo" attribute="1" defaultMemberUniqueName="[LocalDateTable_0d9eeced-3257-4609-8cfb-234f1d7c24d7].[QuarterNo].[All]" allUniqueName="[LocalDateTable_0d9eeced-3257-4609-8cfb-234f1d7c24d7].[QuarterNo].[All]" dimensionUniqueName="[LocalDateTable_0d9eeced-3257-4609-8cfb-234f1d7c24d7]" displayFolder="" count="0" memberValueDatatype="20" unbalanced="0" hidden="1"/>
    <cacheHierarchy uniqueName="[LocalDateTable_0d9eeced-3257-4609-8cfb-234f1d7c24d7].[Year]" caption="Year" attribute="1" defaultMemberUniqueName="[LocalDateTable_0d9eeced-3257-4609-8cfb-234f1d7c24d7].[Year].[All]" allUniqueName="[LocalDateTable_0d9eeced-3257-4609-8cfb-234f1d7c24d7].[Year].[All]" dimensionUniqueName="[LocalDateTable_0d9eeced-3257-4609-8cfb-234f1d7c24d7]" displayFolder="" count="0" memberValueDatatype="20" unbalanced="0" hidden="1"/>
    <cacheHierarchy uniqueName="[LocalDateTable_3a17192d-ec7c-4dba-ac0e-bcf6b3a6a0ff].[Date]" caption="Date" attribute="1" time="1" defaultMemberUniqueName="[LocalDateTable_3a17192d-ec7c-4dba-ac0e-bcf6b3a6a0ff].[Date].[All]" allUniqueName="[LocalDateTable_3a17192d-ec7c-4dba-ac0e-bcf6b3a6a0ff].[Date].[All]" dimensionUniqueName="[LocalDateTable_3a17192d-ec7c-4dba-ac0e-bcf6b3a6a0ff]" displayFolder="" count="0" memberValueDatatype="7" unbalanced="0" hidden="1"/>
    <cacheHierarchy uniqueName="[LocalDateTable_3a17192d-ec7c-4dba-ac0e-bcf6b3a6a0ff].[Day]" caption="Day" attribute="1" defaultMemberUniqueName="[LocalDateTable_3a17192d-ec7c-4dba-ac0e-bcf6b3a6a0ff].[Day].[All]" allUniqueName="[LocalDateTable_3a17192d-ec7c-4dba-ac0e-bcf6b3a6a0ff].[Day].[All]" dimensionUniqueName="[LocalDateTable_3a17192d-ec7c-4dba-ac0e-bcf6b3a6a0ff]" displayFolder="" count="0" memberValueDatatype="20" unbalanced="0" hidden="1"/>
    <cacheHierarchy uniqueName="[LocalDateTable_3a17192d-ec7c-4dba-ac0e-bcf6b3a6a0ff].[Month]" caption="Month" attribute="1" defaultMemberUniqueName="[LocalDateTable_3a17192d-ec7c-4dba-ac0e-bcf6b3a6a0ff].[Month].[All]" allUniqueName="[LocalDateTable_3a17192d-ec7c-4dba-ac0e-bcf6b3a6a0ff].[Month].[All]" dimensionUniqueName="[LocalDateTable_3a17192d-ec7c-4dba-ac0e-bcf6b3a6a0ff]" displayFolder="" count="0" memberValueDatatype="130" unbalanced="0" hidden="1"/>
    <cacheHierarchy uniqueName="[LocalDateTable_3a17192d-ec7c-4dba-ac0e-bcf6b3a6a0ff].[MonthNo]" caption="MonthNo" attribute="1" defaultMemberUniqueName="[LocalDateTable_3a17192d-ec7c-4dba-ac0e-bcf6b3a6a0ff].[MonthNo].[All]" allUniqueName="[LocalDateTable_3a17192d-ec7c-4dba-ac0e-bcf6b3a6a0ff].[MonthNo].[All]" dimensionUniqueName="[LocalDateTable_3a17192d-ec7c-4dba-ac0e-bcf6b3a6a0ff]" displayFolder="" count="0" memberValueDatatype="20" unbalanced="0" hidden="1"/>
    <cacheHierarchy uniqueName="[LocalDateTable_3a17192d-ec7c-4dba-ac0e-bcf6b3a6a0ff].[Quarter]" caption="Quarter" attribute="1" defaultMemberUniqueName="[LocalDateTable_3a17192d-ec7c-4dba-ac0e-bcf6b3a6a0ff].[Quarter].[All]" allUniqueName="[LocalDateTable_3a17192d-ec7c-4dba-ac0e-bcf6b3a6a0ff].[Quarter].[All]" dimensionUniqueName="[LocalDateTable_3a17192d-ec7c-4dba-ac0e-bcf6b3a6a0ff]" displayFolder="" count="0" memberValueDatatype="130" unbalanced="0" hidden="1"/>
    <cacheHierarchy uniqueName="[LocalDateTable_3a17192d-ec7c-4dba-ac0e-bcf6b3a6a0ff].[QuarterNo]" caption="QuarterNo" attribute="1" defaultMemberUniqueName="[LocalDateTable_3a17192d-ec7c-4dba-ac0e-bcf6b3a6a0ff].[QuarterNo].[All]" allUniqueName="[LocalDateTable_3a17192d-ec7c-4dba-ac0e-bcf6b3a6a0ff].[QuarterNo].[All]" dimensionUniqueName="[LocalDateTable_3a17192d-ec7c-4dba-ac0e-bcf6b3a6a0ff]" displayFolder="" count="0" memberValueDatatype="20" unbalanced="0" hidden="1"/>
    <cacheHierarchy uniqueName="[LocalDateTable_3a17192d-ec7c-4dba-ac0e-bcf6b3a6a0ff].[Year]" caption="Year" attribute="1" defaultMemberUniqueName="[LocalDateTable_3a17192d-ec7c-4dba-ac0e-bcf6b3a6a0ff].[Year].[All]" allUniqueName="[LocalDateTable_3a17192d-ec7c-4dba-ac0e-bcf6b3a6a0ff].[Year].[All]" dimensionUniqueName="[LocalDateTable_3a17192d-ec7c-4dba-ac0e-bcf6b3a6a0ff]" displayFolder="" count="0" memberValueDatatype="20" unbalanced="0" hidden="1"/>
    <cacheHierarchy uniqueName="[LocalDateTable_3f117c71-2c04-4fa5-8c23-2b2c1ab14338].[Date]" caption="Date" attribute="1" time="1" defaultMemberUniqueName="[LocalDateTable_3f117c71-2c04-4fa5-8c23-2b2c1ab14338].[Date].[All]" allUniqueName="[LocalDateTable_3f117c71-2c04-4fa5-8c23-2b2c1ab14338].[Date].[All]" dimensionUniqueName="[LocalDateTable_3f117c71-2c04-4fa5-8c23-2b2c1ab14338]" displayFolder="" count="0" memberValueDatatype="7" unbalanced="0" hidden="1"/>
    <cacheHierarchy uniqueName="[LocalDateTable_3f117c71-2c04-4fa5-8c23-2b2c1ab14338].[Day]" caption="Day" attribute="1" defaultMemberUniqueName="[LocalDateTable_3f117c71-2c04-4fa5-8c23-2b2c1ab14338].[Day].[All]" allUniqueName="[LocalDateTable_3f117c71-2c04-4fa5-8c23-2b2c1ab14338].[Day].[All]" dimensionUniqueName="[LocalDateTable_3f117c71-2c04-4fa5-8c23-2b2c1ab14338]" displayFolder="" count="0" memberValueDatatype="20" unbalanced="0" hidden="1"/>
    <cacheHierarchy uniqueName="[LocalDateTable_3f117c71-2c04-4fa5-8c23-2b2c1ab14338].[Month]" caption="Month" attribute="1" defaultMemberUniqueName="[LocalDateTable_3f117c71-2c04-4fa5-8c23-2b2c1ab14338].[Month].[All]" allUniqueName="[LocalDateTable_3f117c71-2c04-4fa5-8c23-2b2c1ab14338].[Month].[All]" dimensionUniqueName="[LocalDateTable_3f117c71-2c04-4fa5-8c23-2b2c1ab14338]" displayFolder="" count="0" memberValueDatatype="130" unbalanced="0" hidden="1"/>
    <cacheHierarchy uniqueName="[LocalDateTable_3f117c71-2c04-4fa5-8c23-2b2c1ab14338].[MonthNo]" caption="MonthNo" attribute="1" defaultMemberUniqueName="[LocalDateTable_3f117c71-2c04-4fa5-8c23-2b2c1ab14338].[MonthNo].[All]" allUniqueName="[LocalDateTable_3f117c71-2c04-4fa5-8c23-2b2c1ab14338].[MonthNo].[All]" dimensionUniqueName="[LocalDateTable_3f117c71-2c04-4fa5-8c23-2b2c1ab14338]" displayFolder="" count="0" memberValueDatatype="20" unbalanced="0" hidden="1"/>
    <cacheHierarchy uniqueName="[LocalDateTable_3f117c71-2c04-4fa5-8c23-2b2c1ab14338].[Quarter]" caption="Quarter" attribute="1" defaultMemberUniqueName="[LocalDateTable_3f117c71-2c04-4fa5-8c23-2b2c1ab14338].[Quarter].[All]" allUniqueName="[LocalDateTable_3f117c71-2c04-4fa5-8c23-2b2c1ab14338].[Quarter].[All]" dimensionUniqueName="[LocalDateTable_3f117c71-2c04-4fa5-8c23-2b2c1ab14338]" displayFolder="" count="0" memberValueDatatype="130" unbalanced="0" hidden="1"/>
    <cacheHierarchy uniqueName="[LocalDateTable_3f117c71-2c04-4fa5-8c23-2b2c1ab14338].[QuarterNo]" caption="QuarterNo" attribute="1" defaultMemberUniqueName="[LocalDateTable_3f117c71-2c04-4fa5-8c23-2b2c1ab14338].[QuarterNo].[All]" allUniqueName="[LocalDateTable_3f117c71-2c04-4fa5-8c23-2b2c1ab14338].[QuarterNo].[All]" dimensionUniqueName="[LocalDateTable_3f117c71-2c04-4fa5-8c23-2b2c1ab14338]" displayFolder="" count="0" memberValueDatatype="20" unbalanced="0" hidden="1"/>
    <cacheHierarchy uniqueName="[LocalDateTable_3f117c71-2c04-4fa5-8c23-2b2c1ab14338].[Year]" caption="Year" attribute="1" defaultMemberUniqueName="[LocalDateTable_3f117c71-2c04-4fa5-8c23-2b2c1ab14338].[Year].[All]" allUniqueName="[LocalDateTable_3f117c71-2c04-4fa5-8c23-2b2c1ab14338].[Year].[All]" dimensionUniqueName="[LocalDateTable_3f117c71-2c04-4fa5-8c23-2b2c1ab14338]" displayFolder="" count="0" memberValueDatatype="20" unbalanced="0" hidden="1"/>
    <cacheHierarchy uniqueName="[LocalDateTable_66f09a5d-f864-46bc-a2f5-c0014bc05155].[Date]" caption="Date" attribute="1" time="1" defaultMemberUniqueName="[LocalDateTable_66f09a5d-f864-46bc-a2f5-c0014bc05155].[Date].[All]" allUniqueName="[LocalDateTable_66f09a5d-f864-46bc-a2f5-c0014bc05155].[Date].[All]" dimensionUniqueName="[LocalDateTable_66f09a5d-f864-46bc-a2f5-c0014bc05155]" displayFolder="" count="0" memberValueDatatype="7" unbalanced="0" hidden="1"/>
    <cacheHierarchy uniqueName="[LocalDateTable_66f09a5d-f864-46bc-a2f5-c0014bc05155].[Day]" caption="Day" attribute="1" defaultMemberUniqueName="[LocalDateTable_66f09a5d-f864-46bc-a2f5-c0014bc05155].[Day].[All]" allUniqueName="[LocalDateTable_66f09a5d-f864-46bc-a2f5-c0014bc05155].[Day].[All]" dimensionUniqueName="[LocalDateTable_66f09a5d-f864-46bc-a2f5-c0014bc05155]" displayFolder="" count="0" memberValueDatatype="20" unbalanced="0" hidden="1"/>
    <cacheHierarchy uniqueName="[LocalDateTable_66f09a5d-f864-46bc-a2f5-c0014bc05155].[Month]" caption="Month" attribute="1" defaultMemberUniqueName="[LocalDateTable_66f09a5d-f864-46bc-a2f5-c0014bc05155].[Month].[All]" allUniqueName="[LocalDateTable_66f09a5d-f864-46bc-a2f5-c0014bc05155].[Month].[All]" dimensionUniqueName="[LocalDateTable_66f09a5d-f864-46bc-a2f5-c0014bc05155]" displayFolder="" count="0" memberValueDatatype="130" unbalanced="0" hidden="1"/>
    <cacheHierarchy uniqueName="[LocalDateTable_66f09a5d-f864-46bc-a2f5-c0014bc05155].[MonthNo]" caption="MonthNo" attribute="1" defaultMemberUniqueName="[LocalDateTable_66f09a5d-f864-46bc-a2f5-c0014bc05155].[MonthNo].[All]" allUniqueName="[LocalDateTable_66f09a5d-f864-46bc-a2f5-c0014bc05155].[MonthNo].[All]" dimensionUniqueName="[LocalDateTable_66f09a5d-f864-46bc-a2f5-c0014bc05155]" displayFolder="" count="0" memberValueDatatype="20" unbalanced="0" hidden="1"/>
    <cacheHierarchy uniqueName="[LocalDateTable_66f09a5d-f864-46bc-a2f5-c0014bc05155].[Quarter]" caption="Quarter" attribute="1" defaultMemberUniqueName="[LocalDateTable_66f09a5d-f864-46bc-a2f5-c0014bc05155].[Quarter].[All]" allUniqueName="[LocalDateTable_66f09a5d-f864-46bc-a2f5-c0014bc05155].[Quarter].[All]" dimensionUniqueName="[LocalDateTable_66f09a5d-f864-46bc-a2f5-c0014bc05155]" displayFolder="" count="0" memberValueDatatype="130" unbalanced="0" hidden="1"/>
    <cacheHierarchy uniqueName="[LocalDateTable_66f09a5d-f864-46bc-a2f5-c0014bc05155].[QuarterNo]" caption="QuarterNo" attribute="1" defaultMemberUniqueName="[LocalDateTable_66f09a5d-f864-46bc-a2f5-c0014bc05155].[QuarterNo].[All]" allUniqueName="[LocalDateTable_66f09a5d-f864-46bc-a2f5-c0014bc05155].[QuarterNo].[All]" dimensionUniqueName="[LocalDateTable_66f09a5d-f864-46bc-a2f5-c0014bc05155]" displayFolder="" count="0" memberValueDatatype="20" unbalanced="0" hidden="1"/>
    <cacheHierarchy uniqueName="[LocalDateTable_66f09a5d-f864-46bc-a2f5-c0014bc05155].[Year]" caption="Year" attribute="1" defaultMemberUniqueName="[LocalDateTable_66f09a5d-f864-46bc-a2f5-c0014bc05155].[Year].[All]" allUniqueName="[LocalDateTable_66f09a5d-f864-46bc-a2f5-c0014bc05155].[Year].[All]" dimensionUniqueName="[LocalDateTable_66f09a5d-f864-46bc-a2f5-c0014bc05155]" displayFolder="" count="0" memberValueDatatype="20" unbalanced="0" hidden="1"/>
    <cacheHierarchy uniqueName="[LocalDateTable_754a5606-f042-4514-8c57-59f8f32672fc].[Date]" caption="Date" attribute="1" time="1" defaultMemberUniqueName="[LocalDateTable_754a5606-f042-4514-8c57-59f8f32672fc].[Date].[All]" allUniqueName="[LocalDateTable_754a5606-f042-4514-8c57-59f8f32672fc].[Date].[All]" dimensionUniqueName="[LocalDateTable_754a5606-f042-4514-8c57-59f8f32672fc]" displayFolder="" count="0" memberValueDatatype="7" unbalanced="0" hidden="1"/>
    <cacheHierarchy uniqueName="[LocalDateTable_754a5606-f042-4514-8c57-59f8f32672fc].[Day]" caption="Day" attribute="1" defaultMemberUniqueName="[LocalDateTable_754a5606-f042-4514-8c57-59f8f32672fc].[Day].[All]" allUniqueName="[LocalDateTable_754a5606-f042-4514-8c57-59f8f32672fc].[Day].[All]" dimensionUniqueName="[LocalDateTable_754a5606-f042-4514-8c57-59f8f32672fc]" displayFolder="" count="0" memberValueDatatype="20" unbalanced="0" hidden="1"/>
    <cacheHierarchy uniqueName="[LocalDateTable_754a5606-f042-4514-8c57-59f8f32672fc].[Month]" caption="Month" attribute="1" defaultMemberUniqueName="[LocalDateTable_754a5606-f042-4514-8c57-59f8f32672fc].[Month].[All]" allUniqueName="[LocalDateTable_754a5606-f042-4514-8c57-59f8f32672fc].[Month].[All]" dimensionUniqueName="[LocalDateTable_754a5606-f042-4514-8c57-59f8f32672fc]" displayFolder="" count="0" memberValueDatatype="130" unbalanced="0" hidden="1"/>
    <cacheHierarchy uniqueName="[LocalDateTable_754a5606-f042-4514-8c57-59f8f32672fc].[MonthNo]" caption="MonthNo" attribute="1" defaultMemberUniqueName="[LocalDateTable_754a5606-f042-4514-8c57-59f8f32672fc].[MonthNo].[All]" allUniqueName="[LocalDateTable_754a5606-f042-4514-8c57-59f8f32672fc].[MonthNo].[All]" dimensionUniqueName="[LocalDateTable_754a5606-f042-4514-8c57-59f8f32672fc]" displayFolder="" count="0" memberValueDatatype="20" unbalanced="0" hidden="1"/>
    <cacheHierarchy uniqueName="[LocalDateTable_754a5606-f042-4514-8c57-59f8f32672fc].[Quarter]" caption="Quarter" attribute="1" defaultMemberUniqueName="[LocalDateTable_754a5606-f042-4514-8c57-59f8f32672fc].[Quarter].[All]" allUniqueName="[LocalDateTable_754a5606-f042-4514-8c57-59f8f32672fc].[Quarter].[All]" dimensionUniqueName="[LocalDateTable_754a5606-f042-4514-8c57-59f8f32672fc]" displayFolder="" count="0" memberValueDatatype="130" unbalanced="0" hidden="1"/>
    <cacheHierarchy uniqueName="[LocalDateTable_754a5606-f042-4514-8c57-59f8f32672fc].[QuarterNo]" caption="QuarterNo" attribute="1" defaultMemberUniqueName="[LocalDateTable_754a5606-f042-4514-8c57-59f8f32672fc].[QuarterNo].[All]" allUniqueName="[LocalDateTable_754a5606-f042-4514-8c57-59f8f32672fc].[QuarterNo].[All]" dimensionUniqueName="[LocalDateTable_754a5606-f042-4514-8c57-59f8f32672fc]" displayFolder="" count="0" memberValueDatatype="20" unbalanced="0" hidden="1"/>
    <cacheHierarchy uniqueName="[LocalDateTable_754a5606-f042-4514-8c57-59f8f32672fc].[Year]" caption="Year" attribute="1" defaultMemberUniqueName="[LocalDateTable_754a5606-f042-4514-8c57-59f8f32672fc].[Year].[All]" allUniqueName="[LocalDateTable_754a5606-f042-4514-8c57-59f8f32672fc].[Year].[All]" dimensionUniqueName="[LocalDateTable_754a5606-f042-4514-8c57-59f8f32672fc]" displayFolder="" count="0" memberValueDatatype="20" unbalanced="0" hidden="1"/>
    <cacheHierarchy uniqueName="[LocalDateTable_9b9a9699-5b52-40e9-b4a0-c11cb55a9d61].[Date]" caption="Date" attribute="1" time="1" defaultMemberUniqueName="[LocalDateTable_9b9a9699-5b52-40e9-b4a0-c11cb55a9d61].[Date].[All]" allUniqueName="[LocalDateTable_9b9a9699-5b52-40e9-b4a0-c11cb55a9d61].[Date].[All]" dimensionUniqueName="[LocalDateTable_9b9a9699-5b52-40e9-b4a0-c11cb55a9d61]" displayFolder="" count="0" memberValueDatatype="7" unbalanced="0" hidden="1"/>
    <cacheHierarchy uniqueName="[LocalDateTable_9b9a9699-5b52-40e9-b4a0-c11cb55a9d61].[Day]" caption="Day" attribute="1" defaultMemberUniqueName="[LocalDateTable_9b9a9699-5b52-40e9-b4a0-c11cb55a9d61].[Day].[All]" allUniqueName="[LocalDateTable_9b9a9699-5b52-40e9-b4a0-c11cb55a9d61].[Day].[All]" dimensionUniqueName="[LocalDateTable_9b9a9699-5b52-40e9-b4a0-c11cb55a9d61]" displayFolder="" count="0" memberValueDatatype="20" unbalanced="0" hidden="1"/>
    <cacheHierarchy uniqueName="[LocalDateTable_9b9a9699-5b52-40e9-b4a0-c11cb55a9d61].[Month]" caption="Month" attribute="1" defaultMemberUniqueName="[LocalDateTable_9b9a9699-5b52-40e9-b4a0-c11cb55a9d61].[Month].[All]" allUniqueName="[LocalDateTable_9b9a9699-5b52-40e9-b4a0-c11cb55a9d61].[Month].[All]" dimensionUniqueName="[LocalDateTable_9b9a9699-5b52-40e9-b4a0-c11cb55a9d61]" displayFolder="" count="0" memberValueDatatype="130" unbalanced="0" hidden="1"/>
    <cacheHierarchy uniqueName="[LocalDateTable_9b9a9699-5b52-40e9-b4a0-c11cb55a9d61].[MonthNo]" caption="MonthNo" attribute="1" defaultMemberUniqueName="[LocalDateTable_9b9a9699-5b52-40e9-b4a0-c11cb55a9d61].[MonthNo].[All]" allUniqueName="[LocalDateTable_9b9a9699-5b52-40e9-b4a0-c11cb55a9d61].[MonthNo].[All]" dimensionUniqueName="[LocalDateTable_9b9a9699-5b52-40e9-b4a0-c11cb55a9d61]" displayFolder="" count="0" memberValueDatatype="20" unbalanced="0" hidden="1"/>
    <cacheHierarchy uniqueName="[LocalDateTable_9b9a9699-5b52-40e9-b4a0-c11cb55a9d61].[Quarter]" caption="Quarter" attribute="1" defaultMemberUniqueName="[LocalDateTable_9b9a9699-5b52-40e9-b4a0-c11cb55a9d61].[Quarter].[All]" allUniqueName="[LocalDateTable_9b9a9699-5b52-40e9-b4a0-c11cb55a9d61].[Quarter].[All]" dimensionUniqueName="[LocalDateTable_9b9a9699-5b52-40e9-b4a0-c11cb55a9d61]" displayFolder="" count="0" memberValueDatatype="130" unbalanced="0" hidden="1"/>
    <cacheHierarchy uniqueName="[LocalDateTable_9b9a9699-5b52-40e9-b4a0-c11cb55a9d61].[QuarterNo]" caption="QuarterNo" attribute="1" defaultMemberUniqueName="[LocalDateTable_9b9a9699-5b52-40e9-b4a0-c11cb55a9d61].[QuarterNo].[All]" allUniqueName="[LocalDateTable_9b9a9699-5b52-40e9-b4a0-c11cb55a9d61].[QuarterNo].[All]" dimensionUniqueName="[LocalDateTable_9b9a9699-5b52-40e9-b4a0-c11cb55a9d61]" displayFolder="" count="0" memberValueDatatype="20" unbalanced="0" hidden="1"/>
    <cacheHierarchy uniqueName="[LocalDateTable_9b9a9699-5b52-40e9-b4a0-c11cb55a9d61].[Year]" caption="Year" attribute="1" defaultMemberUniqueName="[LocalDateTable_9b9a9699-5b52-40e9-b4a0-c11cb55a9d61].[Year].[All]" allUniqueName="[LocalDateTable_9b9a9699-5b52-40e9-b4a0-c11cb55a9d61].[Year].[All]" dimensionUniqueName="[LocalDateTable_9b9a9699-5b52-40e9-b4a0-c11cb55a9d61]" displayFolder="" count="0" memberValueDatatype="20" unbalanced="0" hidden="1"/>
    <cacheHierarchy uniqueName="[LocalDateTable_a29de990-df00-42e6-9e8c-814d0b4b9a86].[Date]" caption="Date" attribute="1" time="1" defaultMemberUniqueName="[LocalDateTable_a29de990-df00-42e6-9e8c-814d0b4b9a86].[Date].[All]" allUniqueName="[LocalDateTable_a29de990-df00-42e6-9e8c-814d0b4b9a86].[Date].[All]" dimensionUniqueName="[LocalDateTable_a29de990-df00-42e6-9e8c-814d0b4b9a86]" displayFolder="" count="0" memberValueDatatype="7" unbalanced="0" hidden="1"/>
    <cacheHierarchy uniqueName="[LocalDateTable_a29de990-df00-42e6-9e8c-814d0b4b9a86].[Day]" caption="Day" attribute="1" defaultMemberUniqueName="[LocalDateTable_a29de990-df00-42e6-9e8c-814d0b4b9a86].[Day].[All]" allUniqueName="[LocalDateTable_a29de990-df00-42e6-9e8c-814d0b4b9a86].[Day].[All]" dimensionUniqueName="[LocalDateTable_a29de990-df00-42e6-9e8c-814d0b4b9a86]" displayFolder="" count="0" memberValueDatatype="20" unbalanced="0" hidden="1"/>
    <cacheHierarchy uniqueName="[LocalDateTable_a29de990-df00-42e6-9e8c-814d0b4b9a86].[Month]" caption="Month" attribute="1" defaultMemberUniqueName="[LocalDateTable_a29de990-df00-42e6-9e8c-814d0b4b9a86].[Month].[All]" allUniqueName="[LocalDateTable_a29de990-df00-42e6-9e8c-814d0b4b9a86].[Month].[All]" dimensionUniqueName="[LocalDateTable_a29de990-df00-42e6-9e8c-814d0b4b9a86]" displayFolder="" count="0" memberValueDatatype="130" unbalanced="0" hidden="1"/>
    <cacheHierarchy uniqueName="[LocalDateTable_a29de990-df00-42e6-9e8c-814d0b4b9a86].[MonthNo]" caption="MonthNo" attribute="1" defaultMemberUniqueName="[LocalDateTable_a29de990-df00-42e6-9e8c-814d0b4b9a86].[MonthNo].[All]" allUniqueName="[LocalDateTable_a29de990-df00-42e6-9e8c-814d0b4b9a86].[MonthNo].[All]" dimensionUniqueName="[LocalDateTable_a29de990-df00-42e6-9e8c-814d0b4b9a86]" displayFolder="" count="0" memberValueDatatype="20" unbalanced="0" hidden="1"/>
    <cacheHierarchy uniqueName="[LocalDateTable_a29de990-df00-42e6-9e8c-814d0b4b9a86].[Quarter]" caption="Quarter" attribute="1" defaultMemberUniqueName="[LocalDateTable_a29de990-df00-42e6-9e8c-814d0b4b9a86].[Quarter].[All]" allUniqueName="[LocalDateTable_a29de990-df00-42e6-9e8c-814d0b4b9a86].[Quarter].[All]" dimensionUniqueName="[LocalDateTable_a29de990-df00-42e6-9e8c-814d0b4b9a86]" displayFolder="" count="0" memberValueDatatype="130" unbalanced="0" hidden="1"/>
    <cacheHierarchy uniqueName="[LocalDateTable_a29de990-df00-42e6-9e8c-814d0b4b9a86].[QuarterNo]" caption="QuarterNo" attribute="1" defaultMemberUniqueName="[LocalDateTable_a29de990-df00-42e6-9e8c-814d0b4b9a86].[QuarterNo].[All]" allUniqueName="[LocalDateTable_a29de990-df00-42e6-9e8c-814d0b4b9a86].[QuarterNo].[All]" dimensionUniqueName="[LocalDateTable_a29de990-df00-42e6-9e8c-814d0b4b9a86]" displayFolder="" count="0" memberValueDatatype="20" unbalanced="0" hidden="1"/>
    <cacheHierarchy uniqueName="[LocalDateTable_a29de990-df00-42e6-9e8c-814d0b4b9a86].[Year]" caption="Year" attribute="1" defaultMemberUniqueName="[LocalDateTable_a29de990-df00-42e6-9e8c-814d0b4b9a86].[Year].[All]" allUniqueName="[LocalDateTable_a29de990-df00-42e6-9e8c-814d0b4b9a86].[Year].[All]" dimensionUniqueName="[LocalDateTable_a29de990-df00-42e6-9e8c-814d0b4b9a86]" displayFolder="" count="0" memberValueDatatype="20" unbalanced="0" hidden="1"/>
    <cacheHierarchy uniqueName="[LocalDateTable_e1d748f9-bc77-4c73-ba8d-fcf5ec29dd71].[Date]" caption="Date" attribute="1" time="1" defaultMemberUniqueName="[LocalDateTable_e1d748f9-bc77-4c73-ba8d-fcf5ec29dd71].[Date].[All]" allUniqueName="[LocalDateTable_e1d748f9-bc77-4c73-ba8d-fcf5ec29dd71].[Date].[All]" dimensionUniqueName="[LocalDateTable_e1d748f9-bc77-4c73-ba8d-fcf5ec29dd71]" displayFolder="" count="0" memberValueDatatype="7" unbalanced="0" hidden="1"/>
    <cacheHierarchy uniqueName="[LocalDateTable_e1d748f9-bc77-4c73-ba8d-fcf5ec29dd71].[Day]" caption="Day" attribute="1" defaultMemberUniqueName="[LocalDateTable_e1d748f9-bc77-4c73-ba8d-fcf5ec29dd71].[Day].[All]" allUniqueName="[LocalDateTable_e1d748f9-bc77-4c73-ba8d-fcf5ec29dd71].[Day].[All]" dimensionUniqueName="[LocalDateTable_e1d748f9-bc77-4c73-ba8d-fcf5ec29dd71]" displayFolder="" count="0" memberValueDatatype="20" unbalanced="0" hidden="1"/>
    <cacheHierarchy uniqueName="[LocalDateTable_e1d748f9-bc77-4c73-ba8d-fcf5ec29dd71].[Month]" caption="Month" attribute="1" defaultMemberUniqueName="[LocalDateTable_e1d748f9-bc77-4c73-ba8d-fcf5ec29dd71].[Month].[All]" allUniqueName="[LocalDateTable_e1d748f9-bc77-4c73-ba8d-fcf5ec29dd71].[Month].[All]" dimensionUniqueName="[LocalDateTable_e1d748f9-bc77-4c73-ba8d-fcf5ec29dd71]" displayFolder="" count="0" memberValueDatatype="130" unbalanced="0" hidden="1"/>
    <cacheHierarchy uniqueName="[LocalDateTable_e1d748f9-bc77-4c73-ba8d-fcf5ec29dd71].[MonthNo]" caption="MonthNo" attribute="1" defaultMemberUniqueName="[LocalDateTable_e1d748f9-bc77-4c73-ba8d-fcf5ec29dd71].[MonthNo].[All]" allUniqueName="[LocalDateTable_e1d748f9-bc77-4c73-ba8d-fcf5ec29dd71].[MonthNo].[All]" dimensionUniqueName="[LocalDateTable_e1d748f9-bc77-4c73-ba8d-fcf5ec29dd71]" displayFolder="" count="0" memberValueDatatype="20" unbalanced="0" hidden="1"/>
    <cacheHierarchy uniqueName="[LocalDateTable_e1d748f9-bc77-4c73-ba8d-fcf5ec29dd71].[Quarter]" caption="Quarter" attribute="1" defaultMemberUniqueName="[LocalDateTable_e1d748f9-bc77-4c73-ba8d-fcf5ec29dd71].[Quarter].[All]" allUniqueName="[LocalDateTable_e1d748f9-bc77-4c73-ba8d-fcf5ec29dd71].[Quarter].[All]" dimensionUniqueName="[LocalDateTable_e1d748f9-bc77-4c73-ba8d-fcf5ec29dd71]" displayFolder="" count="0" memberValueDatatype="130" unbalanced="0" hidden="1"/>
    <cacheHierarchy uniqueName="[LocalDateTable_e1d748f9-bc77-4c73-ba8d-fcf5ec29dd71].[QuarterNo]" caption="QuarterNo" attribute="1" defaultMemberUniqueName="[LocalDateTable_e1d748f9-bc77-4c73-ba8d-fcf5ec29dd71].[QuarterNo].[All]" allUniqueName="[LocalDateTable_e1d748f9-bc77-4c73-ba8d-fcf5ec29dd71].[QuarterNo].[All]" dimensionUniqueName="[LocalDateTable_e1d748f9-bc77-4c73-ba8d-fcf5ec29dd71]" displayFolder="" count="0" memberValueDatatype="20" unbalanced="0" hidden="1"/>
    <cacheHierarchy uniqueName="[LocalDateTable_e1d748f9-bc77-4c73-ba8d-fcf5ec29dd71].[Year]" caption="Year" attribute="1" defaultMemberUniqueName="[LocalDateTable_e1d748f9-bc77-4c73-ba8d-fcf5ec29dd71].[Year].[All]" allUniqueName="[LocalDateTable_e1d748f9-bc77-4c73-ba8d-fcf5ec29dd71].[Year].[All]" dimensionUniqueName="[LocalDateTable_e1d748f9-bc77-4c73-ba8d-fcf5ec29dd71]" displayFolder="" count="0" memberValueDatatype="20" unbalanced="0" hidden="1"/>
    <cacheHierarchy uniqueName="[Product Parameter].[Product Parameter Fields]" caption="Product Parameter Fields" attribute="1" defaultMemberUniqueName="[Product Parameter].[Product Parameter Fields].[All]" allUniqueName="[Product Parameter].[Product Parameter Fields].[All]" dimensionUniqueName="[Product Parameter]" displayFolder="" count="0" memberValueDatatype="130" unbalanced="0" hidden="1"/>
    <cacheHierarchy uniqueName="[Product Parameter].[Product Parameter Order]" caption="Product Parameter Order" attribute="1" defaultMemberUniqueName="[Product Parameter].[Product Parameter Order].[All]" allUniqueName="[Product Parameter].[Product Parameter Order].[All]" dimensionUniqueName="[Product Parameter]" displayFolder="" count="0" memberValueDatatype="20" unbalanced="0" hidden="1"/>
    <cacheHierarchy uniqueName="[Measures].[Total Retail Sales]" caption="Total Retail Sales" measure="1" displayFolder="" measureGroup="BI vw_WeeklyWrittenSalesMetrics" count="0"/>
    <cacheHierarchy uniqueName="[Measures].[Cancelled]" caption="Cancelled" measure="1" displayFolder="" measureGroup="BI vw_WeeklyWrittenSalesMetrics" count="0"/>
    <cacheHierarchy uniqueName="[Measures].[Return]" caption="Return" measure="1" displayFolder="" measureGroup="BI vw_WeeklyWrittenSalesMetrics" count="0"/>
    <cacheHierarchy uniqueName="[Measures].[R-SalesCost]" caption="R-SalesCost" measure="1" displayFolder="" measureGroup="BI metrics" count="0"/>
    <cacheHierarchy uniqueName="[Measures].[R-SalesatFullRet]" caption="R-SalesatFullRet" measure="1" displayFolder="" measureGroup="BI metrics" count="0"/>
    <cacheHierarchy uniqueName="[Measures].[R-GM$ TY]" caption="R-GM$ TY" measure="1" displayFolder="" measureGroup="BI metrics" count="0" oneField="1">
      <fieldsUsage count="1">
        <fieldUsage x="12"/>
      </fieldsUsage>
    </cacheHierarchy>
    <cacheHierarchy uniqueName="[Measures].[R-Sales TY $]" caption="R-Sales TY $" measure="1" displayFolder="" measureGroup="BI metrics" count="0"/>
    <cacheHierarchy uniqueName="[Measures].[R-Units TY]" caption="R-Units TY" measure="1" displayFolder="" measureGroup="BI metrics" count="0"/>
    <cacheHierarchy uniqueName="[Measures].[R-M/D$ TY]" caption="R-M/D$ TY" measure="1" displayFolder="" measureGroup="BI metrics" count="0"/>
    <cacheHierarchy uniqueName="[Measures].[R-Budget$-ItemDept]" caption="R-Budget$-ItemDept" measure="1" displayFolder="" measureGroup="BI metrics" count="0"/>
    <cacheHierarchy uniqueName="[Measures].[R-BudgetGM$-ItemDept]" caption="R-BudgetGM$-ItemDept" measure="1" displayFolder="" measureGroup="BI metrics" count="0"/>
    <cacheHierarchy uniqueName="[Measures].[R-Budget$-Store]" caption="R-Budget$-Store" measure="1" displayFolder="" measureGroup="BI metrics" count="0"/>
    <cacheHierarchy uniqueName="[Measures].[R-Units LY]" caption="R-Units LY" measure="1" displayFolder="" measureGroup="BI metrics" count="0"/>
    <cacheHierarchy uniqueName="[Measures].[R-Sales LY $]" caption="R-Sales LY $" measure="1" displayFolder="" measureGroup="BI metrics" count="0"/>
    <cacheHierarchy uniqueName="[Measures].[R-GM$ LY]" caption="R-GM$ LY" measure="1" displayFolder="" measureGroup="BI metrics" count="0"/>
    <cacheHierarchy uniqueName="[Measures].[R-Sales YoY]" caption="R-Sales YoY" measure="1" displayFolder="" measureGroup="BI metrics" count="0"/>
    <cacheHierarchy uniqueName="[Measures].[R-GM$ YoY]" caption="R-GM$ YoY" measure="1" displayFolder="" measureGroup="BI metrics" count="0"/>
    <cacheHierarchy uniqueName="[Measures].[R-Sales vs Budget]" caption="R-Sales vs Budget" measure="1" displayFolder="" measureGroup="BI metrics" count="0"/>
    <cacheHierarchy uniqueName="[Measures].[R-M/D$ LY]" caption="R-M/D$ LY" measure="1" displayFolder="" measureGroup="BI metrics" count="0"/>
    <cacheHierarchy uniqueName="[Measures].[period_test]" caption="period_test" measure="1" displayFolder="" measureGroup="BI metrics" count="0"/>
    <cacheHierarchy uniqueName="[Measures].[R-Traffic TY]" caption="R-Traffic TY" measure="1" displayFolder="" measureGroup="BI metrics" count="0"/>
    <cacheHierarchy uniqueName="[Measures].[R-ATV TY]" caption="R-ATV TY" measure="1" displayFolder="" measureGroup="BI metrics" count="0"/>
    <cacheHierarchy uniqueName="[Measures].[R Sales YoY]" caption="R Sales YoY" measure="1" displayFolder="" measureGroup="BI metrics" count="0"/>
    <cacheHierarchy uniqueName="[Measures].[R-GM$ budget TY]" caption="R-GM$ budget TY" measure="1" displayFolder="" measureGroup="BI metrics" count="0"/>
    <cacheHierarchy uniqueName="[Measures].[R-GM$ Budget LY]" caption="R-GM$ Budget LY" measure="1" displayFolder="" measureGroup="BI metrics" count="0"/>
    <cacheHierarchy uniqueName="[Measures].[R-GM vs Budget]" caption="R-GM vs Budget" measure="1" displayFolder="" measureGroup="BI metrics" count="0"/>
    <cacheHierarchy uniqueName="[Measures].[R-GM % TY]" caption="R-GM % TY" measure="1" displayFolder="" measureGroup="BI metrics" count="0"/>
    <cacheHierarchy uniqueName="[Measures].[R-GM % LY]" caption="R-GM % LY" measure="1" displayFolder="" measureGroup="BI metrics" count="0"/>
    <cacheHierarchy uniqueName="[Measures].[R-GM% Budget TY]" caption="R-GM% Budget TY" measure="1" displayFolder="" measureGroup="BI metrics" count="0"/>
    <cacheHierarchy uniqueName="[Measures].[R-M/D % TY]" caption="R-M/D % TY" measure="1" displayFolder="" measureGroup="BI metrics" count="0"/>
    <cacheHierarchy uniqueName="[Measures].[R-M/D % LY]" caption="R-M/D % LY" measure="1" displayFolder="" measureGroup="BI metrics" count="0"/>
    <cacheHierarchy uniqueName="[Measures].[R-ATV LY]" caption="R-ATV LY" measure="1" displayFolder="" measureGroup="BI metrics" count="0"/>
    <cacheHierarchy uniqueName="[Measures].[R-Traffic LY]" caption="R-Traffic LY" measure="1" displayFolder="" measureGroup="BI metrics" count="0"/>
    <cacheHierarchy uniqueName="[Measures].[R-Traffic YoY]" caption="R-Traffic YoY" measure="1" displayFolder="" measureGroup="BI metrics" count="0"/>
    <cacheHierarchy uniqueName="[Measures].[R-Store Trans LY]" caption="R-Store Trans LY" measure="1" displayFolder="" measureGroup="BI metrics" count="0"/>
    <cacheHierarchy uniqueName="[Measures].[R-Store Trans TY]" caption="R-Store Trans TY" measure="1" displayFolder="" measureGroup="BI metrics" count="0"/>
    <cacheHierarchy uniqueName="[Measures].[R-Conv TY]" caption="R-Conv TY" measure="1" displayFolder="" measureGroup="BI metrics" count="0"/>
    <cacheHierarchy uniqueName="[Measures].[R-Conv LY]" caption="R-Conv LY" measure="1" displayFolder="" measureGroup="BI metrics" count="0"/>
    <cacheHierarchy uniqueName="[Measures].[R-IPT TY]" caption="R-IPT TY" measure="1" displayFolder="" measureGroup="BI metrics" count="0"/>
    <cacheHierarchy uniqueName="[Measures].[R-GM% Budget LY]" caption="R-GM% Budget LY" measure="1" displayFolder="" measureGroup="BI metrics" count="0"/>
    <cacheHierarchy uniqueName="[Measures].[R-Store Trans YoY]" caption="R-Store Trans YoY" measure="1" displayFolder="" measureGroup="BI metrics" count="0"/>
    <cacheHierarchy uniqueName="[Measures].[R-Conv YoY]" caption="R-Conv YoY" measure="1" displayFolder="" measureGroup="BI metrics" count="0"/>
    <cacheHierarchy uniqueName="[Measures].[R-Sales vs Budget - ItemDept]" caption="R-Sales vs Budget - ItemDept" measure="1" displayFolder="" measureGroup="BI metrics" count="0"/>
    <cacheHierarchy uniqueName="[Measures].[R-ATV YoY]" caption="R-ATV YoY" measure="1" displayFolder="" measureGroup="BI metrics" count="0"/>
    <cacheHierarchy uniqueName="[Measures].[R-M/D$ Budget-ItemDept]" caption="R-M/D$ Budget-ItemDept" measure="1" displayFolder="" measureGroup="BI metrics" count="0"/>
    <cacheHierarchy uniqueName="[Measures].[R-M/D% Budget TY]" caption="R-M/D% Budget TY" measure="1" displayFolder="" measureGroup="BI metrics" count="0"/>
    <cacheHierarchy uniqueName="[Measures].[R-Dropship$ budget TY]" caption="R-Dropship$ budget TY" measure="1" displayFolder="" measureGroup="BI metrics" count="0"/>
    <cacheHierarchy uniqueName="[Measures].[R-GM$ Revenue budget TY]" caption="R-GM$ Revenue budget TY" measure="1" displayFolder="" measureGroup="BI metrics" count="0"/>
    <cacheHierarchy uniqueName="[Measures].[GM$ Revenue Budget TY]" caption="GM$ Revenue Budget TY" measure="1" displayFolder="" measureGroup="BI metrics" count="0"/>
    <cacheHierarchy uniqueName="[Measures].[R-Sales vs Plan]" caption="R-Sales vs Plan" measure="1" displayFolder="" measureGroup="BI metrics" count="0"/>
    <cacheHierarchy uniqueName="[Measures].[R-Cancellation TY $]" caption="R-Cancellation TY $" measure="1" displayFolder="" measureGroup="BI metrics" count="0"/>
    <cacheHierarchy uniqueName="[Measures].[R-Return TY $]" caption="R-Return TY $" measure="1" displayFolder="" measureGroup="BI metrics" count="0"/>
    <cacheHierarchy uniqueName="[Measures].[R-Sales TY $1]" caption="R-Sales TY $1" measure="1" displayFolder="" measureGroup="BI metrics" count="0"/>
    <cacheHierarchy uniqueName="[Measures].[R-Budget ATV Online]" caption="R-Budget ATV Online" measure="1" displayFolder="" measureGroup="BI metrics" count="0"/>
    <cacheHierarchy uniqueName="[Measures].[R-Budget Traffic Online]" caption="R-Budget Traffic Online" measure="1" displayFolder="" measureGroup="BI metrics" count="0"/>
    <cacheHierarchy uniqueName="[Measures].[R-Budget Store Trans Online]" caption="R-Budget Store Trans Online" measure="1" displayFolder="" measureGroup="BI metrics" count="0"/>
    <cacheHierarchy uniqueName="[Measures].[R-Budget Conv Online]" caption="R-Budget Conv Online" measure="1" displayFolder="" measureGroup="BI metrics" count="0"/>
    <cacheHierarchy uniqueName="[Measures].[R-M/D$ YoY]" caption="R-M/D$ YoY" measure="1" displayFolder="" measureGroup="BI metrics" count="0"/>
    <cacheHierarchy uniqueName="[Measures].[R-M/D vs Budget]" caption="R-M/D vs Budget" measure="1" displayFolder="" measureGroup="BI metrics" count="0"/>
    <cacheHierarchy uniqueName="[Measures].[R-Traffic Budget Online]" caption="R-Traffic Budget Online" measure="1" displayFolder="" measureGroup="BI metrics" count="0"/>
    <cacheHierarchy uniqueName="[Measures].[R-Traffic vs Budget]" caption="R-Traffic vs Budget" measure="1" displayFolder="" measureGroup="BI metrics" count="0"/>
    <cacheHierarchy uniqueName="[Measures].[R-Store Trans Budget Online]" caption="R-Store Trans Budget Online" measure="1" displayFolder="" measureGroup="BI metrics" count="0"/>
    <cacheHierarchy uniqueName="[Measures].[R-Store Trans vs Budget]" caption="R-Store Trans vs Budget" measure="1" displayFolder="" measureGroup="BI metrics" count="0"/>
    <cacheHierarchy uniqueName="[Measures].[R-Conv Budget Online]" caption="R-Conv Budget Online" measure="1" displayFolder="" measureGroup="BI metrics" count="0"/>
    <cacheHierarchy uniqueName="[Measures].[R-Conv vs Budget]" caption="R-Conv vs Budget" measure="1" displayFolder="" measureGroup="BI metrics" count="0"/>
    <cacheHierarchy uniqueName="[Measures].[R-ATV Budget Online]" caption="R-ATV Budget Online" measure="1" displayFolder="" measureGroup="BI metrics" count="0"/>
    <cacheHierarchy uniqueName="[Measures].[R-ATV vs Budget]" caption="R-ATV vs Budget" measure="1" displayFolder="" measureGroup="BI metrics" count="0"/>
    <cacheHierarchy uniqueName="[Measures].[R-Conv LY1]" caption="R-Conv LY1" measure="1" displayFolder="" measureGroup="BI metrics" count="0"/>
    <cacheHierarchy uniqueName="[Measures].[R-Conv TY1]" caption="R-Conv TY1" measure="1" displayFolder="" measureGroup="BI metrics" count="0"/>
    <cacheHierarchy uniqueName="[Measures].[R-ASP TY]" caption="R-ASP TY" measure="1" displayFolder="" measureGroup="BI metrics" count="0"/>
    <cacheHierarchy uniqueName="[Measures].[ASP LY]" caption="ASP LY" measure="1" displayFolder="" measureGroup="BI metrics" count="0"/>
    <cacheHierarchy uniqueName="[Measures].[R-ASP LY]" caption="R-ASP LY" measure="1" displayFolder="" measureGroup="BI metrics" count="0"/>
    <cacheHierarchy uniqueName="[Measures].[R-Sales TY In Store$]" caption="R-Sales TY In Store$" measure="1" displayFolder="aa_New Measures" measureGroup="BI metrics" count="0"/>
    <cacheHierarchy uniqueName="[Measures].[R-Sales TY Dropship$]" caption="R-Sales TY Dropship$" measure="1" displayFolder="aa_New Measures" measureGroup="BI metrics" count="0"/>
    <cacheHierarchy uniqueName="[Measures].[R-Sales TY Online$]" caption="R-Sales TY Online$" measure="1" displayFolder="aa_New Measures" measureGroup="BI metrics" count="0"/>
    <cacheHierarchy uniqueName="[Measures].[R-Sales TY Dropship Budget$]" caption="R-Sales TY Dropship Budget$" measure="1" displayFolder="aa_New Measures" measureGroup="BI metrics" count="0"/>
    <cacheHierarchy uniqueName="[Measures].[R-Sales TY In Store Budget$]" caption="R-Sales TY In Store Budget$" measure="1" displayFolder="aa_New Measures" measureGroup="BI metrics" count="0"/>
    <cacheHierarchy uniqueName="[Measures].[R-Sales TY Online Budget$]" caption="R-Sales TY Online Budget$" measure="1" displayFolder="aa_New Measures" measureGroup="BI metrics" count="0"/>
    <cacheHierarchy uniqueName="[Measures].[Delta Dropship]" caption="Delta Dropship" measure="1" displayFolder="aa_New Measures" measureGroup="BI metrics" count="0"/>
    <cacheHierarchy uniqueName="[Measures].[Delta Total]" caption="Delta Total" measure="1" displayFolder="aa_New Measures" measureGroup="BI metrics" count="0"/>
    <cacheHierarchy uniqueName="[Measures].[Delta In Store + Online]" caption="Delta In Store + Online" measure="1" displayFolder="aa_New Measures" measureGroup="BI metrics" count="0"/>
    <cacheHierarchy uniqueName="[Measures].[Delta Online]" caption="Delta Online" measure="1" displayFolder="aa_New Measures" measureGroup="BI metrics" count="0"/>
    <cacheHierarchy uniqueName="[Measures].[%Var Total]" caption="%Var Total" measure="1" displayFolder="aa_New Measures" measureGroup="BI metrics" count="0"/>
    <cacheHierarchy uniqueName="[Measures].[%Var In Store + Online]" caption="%Var In Store + Online" measure="1" displayFolder="aa_New Measures" measureGroup="BI metrics" count="0"/>
    <cacheHierarchy uniqueName="[Measures].[%Var Online]" caption="%Var Online" measure="1" displayFolder="aa_New Measures" measureGroup="BI metrics" count="0"/>
    <cacheHierarchy uniqueName="[Measures].[%Var Dropship]" caption="%Var Dropship" measure="1" displayFolder="aa_New Measures" measureGroup="BI metrics" count="0"/>
    <cacheHierarchy uniqueName="[Measures].[R-Sales TY In Store + Online$]" caption="R-Sales TY In Store + Online$" measure="1" displayFolder="aa_New Measures" measureGroup="BI metrics" count="0"/>
    <cacheHierarchy uniqueName="[Measures].[R-Sales TY In Store + Online Budget$]" caption="R-Sales TY In Store + Online Budget$" measure="1" displayFolder="aa_New Measures" measureGroup="BI metrics" count="0"/>
    <cacheHierarchy uniqueName="[Measures].[Delta In Store]" caption="Delta In Store" measure="1" displayFolder="aa_New Measures" measureGroup="BI metrics" count="0"/>
    <cacheHierarchy uniqueName="[Measures].[%Var In Store]" caption="%Var In Store" measure="1" displayFolder="aa_New Measures" measureGroup="BI metrics" count="0"/>
    <cacheHierarchy uniqueName="[Measures].[Sales TY In Store$]" caption="Sales TY In Store$" measure="1" displayFolder="aa_New Measures" measureGroup="BI metrics" count="0"/>
    <cacheHierarchy uniqueName="[Measures].[Sales TY Total$]" caption="Sales TY Total$" measure="1" displayFolder="aa_New Measures" measureGroup="BI metrics" count="0"/>
    <cacheHierarchy uniqueName="[Measures].[Sales TY Instore + Online$]" caption="Sales TY Instore + Online$" measure="1" displayFolder="aa_New Measures" measureGroup="BI metrics" count="0"/>
    <cacheHierarchy uniqueName="[Measures].[Sales TY Dropship$]" caption="Sales TY Dropship$" measure="1" displayFolder="aa_New Measures" measureGroup="BI metrics" count="0"/>
    <cacheHierarchy uniqueName="[Measures].[Budget TY Total$]" caption="Budget TY Total$" measure="1" displayFolder="aa_New Measures" measureGroup="BI metrics" count="0"/>
    <cacheHierarchy uniqueName="[Measures].[Budget TY In Store$]" caption="Budget TY In Store$" measure="1" displayFolder="aa_New Measures" measureGroup="BI metrics" count="0"/>
    <cacheHierarchy uniqueName="[Measures].[Budget TY Dropship$]" caption="Budget TY Dropship$" measure="1" displayFolder="aa_New Measures" measureGroup="BI metrics" count="0"/>
    <cacheHierarchy uniqueName="[Measures].[Budget TY Instore + Online$]" caption="Budget TY Instore + Online$" measure="1" displayFolder="aa_New Measures" measureGroup="BI metrics" count="0"/>
    <cacheHierarchy uniqueName="[Measures].[Delta1 Total]" caption="Delta1 Total" measure="1" displayFolder="aa_New Measures" measureGroup="BI metrics" count="0"/>
    <cacheHierarchy uniqueName="[Measures].[Delta1 In Store]" caption="Delta1 In Store" measure="1" displayFolder="aa_New Measures" measureGroup="BI metrics" count="0"/>
    <cacheHierarchy uniqueName="[Measures].[Delta1 In Store + Online]" caption="Delta1 In Store + Online" measure="1" displayFolder="aa_New Measures" measureGroup="BI metrics" count="0"/>
    <cacheHierarchy uniqueName="[Measures].[Delta1 In Dropship]" caption="Delta1 In Dropship" measure="1" displayFolder="aa_New Measures" measureGroup="BI metrics" count="0"/>
    <cacheHierarchy uniqueName="[Measures].[%Var1 Total]" caption="%Var1 Total" measure="1" displayFolder="aa_New Measures" measureGroup="BI metrics" count="0"/>
    <cacheHierarchy uniqueName="[Measures].[%Var1 In Store]" caption="%Var1 In Store" measure="1" displayFolder="aa_New Measures" measureGroup="BI metrics" count="0"/>
    <cacheHierarchy uniqueName="[Measures].[%Var1 In Store + Online]" caption="%Var1 In Store + Online" measure="1" displayFolder="aa_New Measures" measureGroup="BI metrics" count="0"/>
    <cacheHierarchy uniqueName="[Measures].[%Var1 Dropship]" caption="%Var1 Dropship" measure="1" displayFolder="aa_New Measures" measureGroup="BI metrics" count="0"/>
    <cacheHierarchy uniqueName="[Measures].[Total Budget]" caption="Total Budget" measure="1" displayFolder="" measureGroup="BI vw_BudgetByStore" count="0"/>
    <cacheHierarchy uniqueName="[Measures].[R-Budget$-Store1]" caption="R-Budget$-Store1" measure="1" displayFolder="" measureGroup="BI vw_BudgetByStore" count="0"/>
    <cacheHierarchy uniqueName="[Measures].[Total Budget1]" caption="Total Budget1" measure="1" displayFolder="" measureGroup="BI vw_BudgetByStore" count="0"/>
    <cacheHierarchy uniqueName="[Measures].[Sales/Budget KPIs]" caption="Sales/Budget KPIs" measure="1" displayFolder="" measureGroup="BI vw_BudgetByStore" count="0"/>
    <cacheHierarchy uniqueName="[Measures].[Sales/Budget Color]" caption="Sales/Budget Color" measure="1" displayFolder="" measureGroup="BI vw_BudgetByStore" count="0"/>
    <cacheHierarchy uniqueName="[Measures].[Sales TY/LY KPIs]" caption="Sales TY/LY KPIs" measure="1" displayFolder="" measureGroup="BI vw_BudgetByStore" count="0"/>
    <cacheHierarchy uniqueName="[Measures].[Sales TY/LY Color]" caption="Sales TY/LY Color" measure="1" displayFolder="" measureGroup="BI vw_BudgetByStore" count="0"/>
    <cacheHierarchy uniqueName="[Measures].[GM KPIs]" caption="GM KPIs" measure="1" displayFolder="" measureGroup="BI vw_BudgetByStore" count="0"/>
    <cacheHierarchy uniqueName="[Measures].[GM TY/LY Color]" caption="GM TY/LY Color" measure="1" displayFolder="" measureGroup="BI vw_BudgetByStore" count="0"/>
    <cacheHierarchy uniqueName="[Measures].[R-Budget-ItemDept Y/N]" caption="R-Budget-ItemDept Y/N" measure="1" displayFolder="" measureGroup="BI vw_BudgetByItemCategory" count="0"/>
    <cacheHierarchy uniqueName="[Measures].[R-Sales vs Budget-ItemDept Y/N]" caption="R-Sales vs Budget-ItemDept Y/N" measure="1" displayFolder="" measureGroup="BI vw_BudgetByItemCategory" count="0"/>
    <cacheHierarchy uniqueName="[Measures].[Rank]" caption="Rank" measure="1" displayFolder="" measureGroup="BI vw_WeeklyItemSales" count="0"/>
    <cacheHierarchy uniqueName="[Measures].[Store Trans]" caption="Store Trans" measure="1" displayFolder="" measureGroup="BI vw_WeeklyStoreATV" count="0"/>
    <cacheHierarchy uniqueName="[Measures].[Sales TY $]" caption="Sales TY $" measure="1" displayFolder="" measureGroup="Measure" count="0"/>
    <cacheHierarchy uniqueName="[Measures].[This Year]" caption="This Year" measure="1" displayFolder="" measureGroup="Measure" count="0"/>
    <cacheHierarchy uniqueName="[Measures].[Sales LY $]" caption="Sales LY $" measure="1" displayFolder="" measureGroup="Measure" count="0"/>
    <cacheHierarchy uniqueName="[Measures].[GM$ TY]" caption="GM$ TY" measure="1" displayFolder="" measureGroup="Measure" count="0"/>
    <cacheHierarchy uniqueName="[Measures].[GM$ LY]" caption="GM$ LY" measure="1" displayFolder="" measureGroup="Measure" count="0"/>
    <cacheHierarchy uniqueName="[Measures].[M/D$ TY]" caption="M/D$ TY" measure="1" displayFolder="" measureGroup="Measure" count="0"/>
    <cacheHierarchy uniqueName="[Measures].[M/D LY $]" caption="M/D LY $" measure="1" displayFolder="" measureGroup="Measure" count="0"/>
    <cacheHierarchy uniqueName="[Measures].[Budget$-Store]" caption="Budget$-Store" measure="1" displayFolder="" measureGroup="Measure" count="0"/>
    <cacheHierarchy uniqueName="[Measures].[ATV TY]" caption="ATV TY" measure="1" displayFolder="" measureGroup="Measure" count="0"/>
    <cacheHierarchy uniqueName="[Measures].[ATV LY $]" caption="ATV LY $" measure="1" displayFolder="" measureGroup="Measure" count="0"/>
    <cacheHierarchy uniqueName="[Measures].[BudgetDollar-ItemDept]" caption="BudgetDollar-ItemDept" measure="1" displayFolder="" measureGroup="Measure" count="0"/>
    <cacheHierarchy uniqueName="[Measures].[BudgetGMDollar-ItemDept]" caption="BudgetGMDollar-ItemDept" measure="1" displayFolder="" measureGroup="Measure" count="0"/>
    <cacheHierarchy uniqueName="[Measures].[GM$ YoY]" caption="GM$ YoY" measure="1" displayFolder="" measureGroup="Measure" count="0"/>
    <cacheHierarchy uniqueName="[Measures].[Sales vs Budget]" caption="Sales vs Budget" measure="1" displayFolder="" measureGroup="Measure" count="0"/>
    <cacheHierarchy uniqueName="[Measures].[Sales YoY]" caption="Sales YoY" measure="1" displayFolder="" measureGroup="Measure" count="0"/>
    <cacheHierarchy uniqueName="[Measures].[SalesatFullRet]" caption="SalesatFullRet" measure="1" displayFolder="" measureGroup="Measure" count="0"/>
    <cacheHierarchy uniqueName="[Measures].[SalesCost]" caption="SalesCost" measure="1" displayFolder="" measureGroup="Measure" count="0"/>
    <cacheHierarchy uniqueName="[Measures].[Traffic TY]" caption="Traffic TY" measure="1" displayFolder="" measureGroup="Measure" count="0"/>
    <cacheHierarchy uniqueName="[Measures].[Units TY]" caption="Units TY" measure="1" displayFolder="" measureGroup="Measure" count="0"/>
    <cacheHierarchy uniqueName="[Measures].[Units LY]" caption="Units LY" measure="1" displayFolder="" measureGroup="Measure" count="0"/>
    <cacheHierarchy uniqueName="[Measures].[Rolling 12 months Sales]" caption="Rolling 12 months Sales" measure="1" displayFolder="" measureGroup="Measure" count="0"/>
    <cacheHierarchy uniqueName="[Measures].[Rolling 12 months GM]" caption="Rolling 12 months GM" measure="1" displayFolder="" measureGroup="Measure" count="0"/>
    <cacheHierarchy uniqueName="[Measures].[Rolling 12 months M/D]" caption="Rolling 12 months M/D" measure="1" displayFolder="" measureGroup="Measure" count="0"/>
    <cacheHierarchy uniqueName="[Measures].[Transaction TY]" caption="Transaction TY" measure="1" displayFolder="" measureGroup="Measure" count="0"/>
    <cacheHierarchy uniqueName="[Measures].[Transactions LY]" caption="Transactions LY" measure="1" displayFolder="" measureGroup="Measure" count="0"/>
    <cacheHierarchy uniqueName="[Measures].[Transaction YOY]" caption="Transaction YOY" measure="1" displayFolder="" measureGroup="Measure" count="0"/>
    <cacheHierarchy uniqueName="[Measures].[GM$ Budget TY]" caption="GM$ Budget TY" measure="1" displayFolder="" measureGroup="Measure" count="0"/>
    <cacheHierarchy uniqueName="[Measures].[GM$ Budget LY]" caption="GM$ Budget LY" measure="1" displayFolder="" measureGroup="Measure" count="0"/>
    <cacheHierarchy uniqueName="[Measures].[GM vs Budget $]" caption="GM vs Budget $" measure="1" displayFolder="" measureGroup="Measure" count="0"/>
    <cacheHierarchy uniqueName="[Measures].[Measure]" caption="Measure" measure="1" displayFolder="" measureGroup="Measure" count="0"/>
    <cacheHierarchy uniqueName="[Measures].[GM % TY]" caption="GM % TY" measure="1" displayFolder="" measureGroup="Measure" count="0"/>
    <cacheHierarchy uniqueName="[Measures].[GM % LY]" caption="GM % LY" measure="1" displayFolder="" measureGroup="Measure" count="0"/>
    <cacheHierarchy uniqueName="[Measures].[GM% Budget]" caption="GM% Budget" measure="1" displayFolder="" measureGroup="Measure" count="0"/>
    <cacheHierarchy uniqueName="[Measures].[Measure 2]" caption="Measure 2" measure="1" displayFolder="" measureGroup="Measure" count="0"/>
    <cacheHierarchy uniqueName="[Measures].[M/D % TY]" caption="M/D % TY" measure="1" displayFolder="" measureGroup="Measure" count="0"/>
    <cacheHierarchy uniqueName="[Measures].[M/D % LY]" caption="M/D % LY" measure="1" displayFolder="" measureGroup="Measure" count="0"/>
    <cacheHierarchy uniqueName="[Measures].[Dropship$ Budget TY]" caption="Dropship$ Budget TY" measure="1" displayFolder="" measureGroup="Measure" count="0"/>
    <cacheHierarchy uniqueName="[Measures].[Rolling 12 months R-Sale $ TY]" caption="Rolling 12 months R-Sale $ TY" measure="1" displayFolder="" measureGroup="Measure" count="0"/>
    <cacheHierarchy uniqueName="[Measures].[Rolling 12 months Traffic YoY]" caption="Rolling 12 months Traffic YoY" measure="1" displayFolder="" measureGroup="Measure" count="0"/>
    <cacheHierarchy uniqueName="[Measures].[Rolling 12 months ATV YoY]" caption="Rolling 12 months ATV YoY" measure="1" displayFolder="" measureGroup="Measure" count="0"/>
    <cacheHierarchy uniqueName="[Measures].[Rolling 12 months Conv YoY]" caption="Rolling 12 months Conv YoY" measure="1" displayFolder="" measureGroup="Measure" count="0"/>
    <cacheHierarchy uniqueName="[Measures].[Rolling 12 months Store Trans YoY]" caption="Rolling 12 months Store Trans YoY" measure="1" displayFolder="" measureGroup="Measure" count="0"/>
    <cacheHierarchy uniqueName="[Measures].[LastRefreshedSydney]" caption="LastRefreshedSydney" measure="1" displayFolder="" measureGroup="Measure" count="0"/>
    <cacheHierarchy uniqueName="[Measures].[R-Sales Forecast TY]" caption="R-Sales Forecast TY" measure="1" displayFolder="" measureGroup="ForcastByClass" count="0"/>
    <cacheHierarchy uniqueName="[Measures].[Actual Select]" caption="Actual Select" measure="1" displayFolder="" measureGroup="Dim_Category" count="0"/>
    <cacheHierarchy uniqueName="[Measures].[Actual select1]" caption="Actual select1" measure="1" displayFolder="" measureGroup="Dim_Category" count="0"/>
    <cacheHierarchy uniqueName="[Measures].[Week Sales]" caption="Week Sales" measure="1" displayFolder="" measureGroup="Dim_Category" count="0"/>
    <cacheHierarchy uniqueName="[Measures].[MTD Sales]" caption="MTD Sales" measure="1" displayFolder="" measureGroup="Dim_Category" count="0"/>
    <cacheHierarchy uniqueName="[Measures].[YTD Sales]" caption="YTD Sales" measure="1" displayFolder="" measureGroup="Dim_Category" count="0"/>
    <cacheHierarchy uniqueName="[Measures].[Week Budget]" caption="Week Budget" measure="1" displayFolder="" measureGroup="Dim_Category" count="0"/>
    <cacheHierarchy uniqueName="[Measures].[MTD Budget]" caption="MTD Budget" measure="1" displayFolder="" measureGroup="Dim_Category" count="0"/>
    <cacheHierarchy uniqueName="[Measures].[YTD Budget]" caption="YTD Budget" measure="1" displayFolder="" measureGroup="Dim_Category" count="0"/>
    <cacheHierarchy uniqueName="[Measures].[SelectorNum]" caption="SelectorNum" measure="1" displayFolder="" measureGroup="Dim_Category" count="0"/>
    <cacheHierarchy uniqueName="[Measures].[Sales Select]" caption="Sales Select" measure="1" displayFolder="" measureGroup="Dim_Category" count="0"/>
    <cacheHierarchy uniqueName="[Measures].[Budget Select]" caption="Budget Select" measure="1" displayFolder="" measureGroup="Dim_Category" count="0"/>
    <cacheHierarchy uniqueName="[Measures].[TodayWeek]" caption="TodayWeek" measure="1" displayFolder="" measureGroup="Dim_Category" count="0"/>
    <cacheHierarchy uniqueName="[Measures].[MTD Sales Filter]" caption="MTD Sales Filter" measure="1" displayFolder="" measureGroup="Dim_Category" count="0"/>
    <cacheHierarchy uniqueName="[Measures].[Week Sales LY]" caption="Week Sales LY" measure="1" displayFolder="" measureGroup="Dim_Category" count="0"/>
    <cacheHierarchy uniqueName="[Measures].[MTD Sales LY]" caption="MTD Sales LY" measure="1" displayFolder="" measureGroup="Dim_Category" count="0"/>
    <cacheHierarchy uniqueName="[Measures].[YTD Sales LY]" caption="YTD Sales LY" measure="1" displayFolder="" measureGroup="Dim_Category" count="0"/>
    <cacheHierarchy uniqueName="[Measures].[Sales LY Select]" caption="Sales LY Select" measure="1" displayFolder="" measureGroup="Dim_Category" count="0"/>
    <cacheHierarchy uniqueName="[Measures].[GM TY Week]" caption="GM TY Week" measure="1" displayFolder="" measureGroup="Dim_Category" count="0"/>
    <cacheHierarchy uniqueName="[Measures].[GM TY MTD]" caption="GM TY MTD" measure="1" displayFolder="" measureGroup="Dim_Category" count="0"/>
    <cacheHierarchy uniqueName="[Measures].[GM TY YTD]" caption="GM TY YTD" measure="1" displayFolder="" measureGroup="Dim_Category" count="0"/>
    <cacheHierarchy uniqueName="[Measures].[GM TY Select]" caption="GM TY Select" measure="1" displayFolder="" measureGroup="Dim_Category" count="0"/>
    <cacheHierarchy uniqueName="[Measures].[Sales Categories]" caption="Sales Categories" measure="1" displayFolder="" measureGroup="Measure Categories" count="0"/>
    <cacheHierarchy uniqueName="[Measures].[Sales Categories 1]" caption="Sales Categories 1" measure="1" displayFolder="" measureGroup="Measure Categories" count="0"/>
    <cacheHierarchy uniqueName="[Measures].[Sales Title]" caption="Sales Title" measure="1" displayFolder="" measureGroup="Measure Categories" count="0"/>
    <cacheHierarchy uniqueName="[Measures].[Traffic KPIs]" caption="Traffic KPIs" measure="1" displayFolder="" measureGroup="Measure Tooltip" count="0"/>
    <cacheHierarchy uniqueName="[Measures].[Traffic TY/LY Color]" caption="Traffic TY/LY Color" measure="1" displayFolder="" measureGroup="Measure Tooltip" count="0"/>
    <cacheHierarchy uniqueName="[Measures].[Store Trans KPIs]" caption="Store Trans KPIs" measure="1" displayFolder="" measureGroup="Measure Tooltip" count="0"/>
    <cacheHierarchy uniqueName="[Measures].[Store Trans TY/LY Color]" caption="Store Trans TY/LY Color" measure="1" displayFolder="" measureGroup="Measure Tooltip" count="0"/>
    <cacheHierarchy uniqueName="[Measures].[Conv KPIs]" caption="Conv KPIs" measure="1" displayFolder="" measureGroup="Measure Tooltip" count="0"/>
    <cacheHierarchy uniqueName="[Measures].[Conv TY/LY Color]" caption="Conv TY/LY Color" measure="1" displayFolder="" measureGroup="Measure Tooltip" count="0"/>
    <cacheHierarchy uniqueName="[Measures].[ATV KPIs]" caption="ATV KPIs" measure="1" displayFolder="" measureGroup="Measure Tooltip" count="0"/>
    <cacheHierarchy uniqueName="[Measures].[ATV TY/LY Color]" caption="ATV TY/LY Color" measure="1" displayFolder="" measureGroup="Measure Tooltip" count="0"/>
    <cacheHierarchy uniqueName="[Measures].[Measure 4]" caption="Measure 4" measure="1" displayFolder="" measureGroup="Measure Tooltip" count="0"/>
    <cacheHierarchy uniqueName="[Measures].[R-M/D$ Budget Color]" caption="R-M/D$ Budget Color" measure="1" displayFolder="" measureGroup="Measure Tooltip" count="0"/>
    <cacheHierarchy uniqueName="[Measures].[R-Sales$ Budget Color]" caption="R-Sales$ Budget Color" measure="1" displayFolder="" measureGroup="Measure Tooltip" count="0"/>
    <cacheHierarchy uniqueName="[Measures].[R-GM TY Color]" caption="R-GM TY Color" measure="1" displayFolder="" measureGroup="Measure Tooltip" count="0"/>
    <cacheHierarchy uniqueName="[Measures].[R-Store Trans Color]" caption="R-Store Trans Color" measure="1" displayFolder="" measureGroup="Measure Tooltip" count="0"/>
    <cacheHierarchy uniqueName="[Measures].[R-Traffic Color]" caption="R-Traffic Color" measure="1" displayFolder="" measureGroup="Measure Tooltip" count="0"/>
    <cacheHierarchy uniqueName="[Measures].[R-COnv Color]" caption="R-COnv Color" measure="1" displayFolder="" measureGroup="Measure Tooltip" count="0"/>
    <cacheHierarchy uniqueName="[Measures].[R-ATV Color]" caption="R-ATV Color" measure="1" displayFolder="" measureGroup="Measure Tooltip" count="0"/>
    <cacheHierarchy uniqueName="[Measures].[R-M/D$% Budget Color]" caption="R-M/D$% Budget Color" measure="1" displayFolder="" measureGroup="Measure Tooltip" count="0"/>
    <cacheHierarchy uniqueName="[Measures].[R-Traffic Budget Color]" caption="R-Traffic Budget Color" measure="1" displayFolder="" measureGroup="Measure Tooltip" count="0"/>
    <cacheHierarchy uniqueName="[Measures].[R-Store Trans Budget Color]" caption="R-Store Trans Budget Color" measure="1" displayFolder="" measureGroup="Measure Tooltip" count="0"/>
    <cacheHierarchy uniqueName="[Measures].[R-Conv Budget Color]" caption="R-Conv Budget Color" measure="1" displayFolder="" measureGroup="Measure Tooltip" count="0"/>
    <cacheHierarchy uniqueName="[Measures].[R-ATV Budget Color]" caption="R-ATV Budget Color" measure="1" displayFolder="" measureGroup="Measure Tooltip" count="0"/>
    <cacheHierarchy uniqueName="[Measures].[R-Sales TY/LY Color]" caption="R-Sales TY/LY Color" measure="1" displayFolder="" measureGroup="Measure Tooltip" count="0"/>
    <cacheHierarchy uniqueName="[Measures].[R-Sales$ Plan Color]" caption="R-Sales$ Plan Color" measure="1" displayFolder="" measureGroup="Measure Tooltip" count="0"/>
    <cacheHierarchy uniqueName="[Measures].[R-GM % TY Color]" caption="R-GM % TY Color" measure="1" displayFolder="" measureGroup="Measure Tooltip" count="0"/>
    <cacheHierarchy uniqueName="[Measures].[R-Budget$-Online-Store]" caption="R-Budget$-Online-Store" measure="1" displayFolder="" measureGroup="BI vw_BudgetOnlineByStore" count="0"/>
    <cacheHierarchy uniqueName="[Measures].[R-Budget-Online Store Y/N]" caption="R-Budget-Online Store Y/N" measure="1" displayFolder="" measureGroup="BI vw_BudgetOnlineByStore" count="0"/>
    <cacheHierarchy uniqueName="[Measures].[R-Budget Y/N]" caption="R-Budget Y/N" measure="1" displayFolder="" measureGroup="BI vw_BudgetOnlineByStore" count="0"/>
    <cacheHierarchy uniqueName="[Measures].[Product Dynamic Title]" caption="Product Dynamic Title" measure="1" displayFolder="" measureGroup="Product Parameter" count="0"/>
    <cacheHierarchy uniqueName="[Measures].[Budget Online]" caption="Budget Online" measure="1" displayFolder="" measureGroup="BI vw_BudgetDigital" count="0"/>
    <cacheHierarchy uniqueName="[Measures].[R-Budget Online TY]" caption="R-Budget Online TY" measure="1" displayFolder="" measureGroup="BI vw_BudgetDigital" count="0"/>
    <cacheHierarchy uniqueName="[Measures].[Store Trans Budget]" caption="Store Trans Budget" measure="1" displayFolder="" measureGroup="BI vw_BudgetByWeek" count="0"/>
    <cacheHierarchy uniqueName="[Measures].[R-Store Trans InStore Budget]" caption="R-Store Trans InStore Budget" measure="1" displayFolder="" measureGroup="BI vw_BudgetByWeek" count="0"/>
    <cacheHierarchy uniqueName="[Measures].[Traffic Budget]" caption="Traffic Budget" measure="1" displayFolder="" measureGroup="BI vw_BudgetByWeek" count="0"/>
    <cacheHierarchy uniqueName="[Measures].[R-Traffic InStore Budget]" caption="R-Traffic InStore Budget" measure="1" displayFolder="" measureGroup="BI vw_BudgetByWeek" count="0"/>
    <cacheHierarchy uniqueName="[Measures].[R-Conv Instore Budget]" caption="R-Conv Instore Budget" measure="1" displayFolder="" measureGroup="BI vw_BudgetByWeek" count="0"/>
    <cacheHierarchy uniqueName="[Measures].[R-Budget InStore]" caption="R-Budget InStore" measure="1" displayFolder="" measureGroup="BI vw_BudgetByWeek" count="0"/>
    <cacheHierarchy uniqueName="[Measures].[R-Traffic Budget Channel]" caption="R-Traffic Budget Channel" measure="1" displayFolder="" measureGroup="BI vw_BudgetByWeek" count="0"/>
    <cacheHierarchy uniqueName="[Measures].[R-Conv Budget Channel]" caption="R-Conv Budget Channel" measure="1" displayFolder="" measureGroup="BI vw_BudgetByWeek" count="0"/>
    <cacheHierarchy uniqueName="[Measures].[R-Store trans Budget Channel]" caption="R-Store trans Budget Channel" measure="1" displayFolder="" measureGroup="BI vw_BudgetByWeek" count="0"/>
    <cacheHierarchy uniqueName="[Measures].[R-ATV InStore Budget Cal]" caption="R-ATV InStore Budget Cal" measure="1" displayFolder="" measureGroup="BI vw_BudgetByWeek" count="0"/>
    <cacheHierarchy uniqueName="[Measures].[R-ATV Budget Channel]" caption="R-ATV Budget Channel" measure="1" displayFolder="" measureGroup="BI vw_BudgetByWeek" count="0"/>
    <cacheHierarchy uniqueName="[Measures].[R-GM Plan TY]" caption="R-GM Plan TY" measure="1" displayFolder="" measureGroup="Forecast" count="0"/>
    <cacheHierarchy uniqueName="[Measures].[R-GM vs Plan]" caption="R-GM vs Plan" measure="1" displayFolder="" measureGroup="Forecast" count="0"/>
    <cacheHierarchy uniqueName="[Measures].[R-GM %]" caption="R-GM %" measure="1" displayFolder="" measureGroup="Forecast" count="0"/>
    <cacheHierarchy uniqueName="[Measures].[R-Sales Plan TY]" caption="R-Sales Plan TY" measure="1" displayFolder="" measureGroup="Forecast" count="0"/>
    <cacheHierarchy uniqueName="[Measures].[R-GM Plan %]" caption="R-GM Plan %" measure="1" displayFolder="" measureGroup="Forecast" count="0"/>
    <cacheHierarchy uniqueName="[Measures].[R-Sales Plan TY-K]" caption="R-Sales Plan TY-K" measure="1" displayFolder="" measureGroup="Forecast" count="0"/>
    <cacheHierarchy uniqueName="[Measures].[__Default measure]" caption="__Default measure" measure="1" displayFolder="" count="0" hidden="1"/>
  </cacheHierarchies>
  <kpis count="0"/>
  <dimensions count="35">
    <dimension name="BI ForecastClass" uniqueName="[BI ForecastClass]" caption="BI ForecastClass"/>
    <dimension name="BI Item" uniqueName="[BI Item]" caption="BI Item"/>
    <dimension name="BI metrics" uniqueName="[BI metrics]" caption="BI metrics"/>
    <dimension name="BI Store" uniqueName="[BI Store]" caption="BI Store"/>
    <dimension name="BI Store State Sort" uniqueName="[BI Store State Sort]" caption="BI Store State Sort"/>
    <dimension name="BI vw_BudgetByItemCategory" uniqueName="[BI vw_BudgetByItemCategory]" caption="BI vw_BudgetByItemCategory"/>
    <dimension name="BI vw_BudgetByStore" uniqueName="[BI vw_BudgetByStore]" caption="BI vw_BudgetByStore"/>
    <dimension name="BI vw_BudgetByWeek" uniqueName="[BI vw_BudgetByWeek]" caption="BI vw_BudgetByWeek"/>
    <dimension name="BI vw_BudgetDigital" uniqueName="[BI vw_BudgetDigital]" caption="BI vw_BudgetDigital"/>
    <dimension name="BI vw_BudgetOnlineByStore" uniqueName="[BI vw_BudgetOnlineByStore]" caption="BI vw_BudgetOnlineByStore"/>
    <dimension name="BI vw_DropshipBudget" uniqueName="[BI vw_DropshipBudget]" caption="BI vw_DropshipBudget"/>
    <dimension name="BI vw_Items" uniqueName="[BI vw_Items]" caption="BI vw_Items"/>
    <dimension name="BI vw_WeeklyItemSales" uniqueName="[BI vw_WeeklyItemSales]" caption="BI vw_WeeklyItemSales"/>
    <dimension name="BI vw_WeeklyStoreATV" uniqueName="[BI vw_WeeklyStoreATV]" caption="BI vw_WeeklyStoreATV"/>
    <dimension name="BI vw_WeeklyStoreTraffic" uniqueName="[BI vw_WeeklyStoreTraffic]" caption="BI vw_WeeklyStoreTraffic"/>
    <dimension name="BI vw_WeeklyWrittenSalesMetrics" uniqueName="[BI vw_WeeklyWrittenSalesMetrics]" caption="BI vw_WeeklyWrittenSalesMetrics"/>
    <dimension name="Dim_Category" uniqueName="[Dim_Category]" caption="Dim_Category"/>
    <dimension name="dim_period" uniqueName="[dim_period]" caption="dim_period"/>
    <dimension name="ForcastByClass" uniqueName="[ForcastByClass]" caption="ForcastByClass"/>
    <dimension name="Forecast" uniqueName="[Forecast]" caption="Forecast"/>
    <dimension name="LocalDateTable_0d9eeced-3257-4609-8cfb-234f1d7c24d7" uniqueName="[LocalDateTable_0d9eeced-3257-4609-8cfb-234f1d7c24d7]" caption="LocalDateTable_0d9eeced-3257-4609-8cfb-234f1d7c24d7"/>
    <dimension name="LocalDateTable_3a17192d-ec7c-4dba-ac0e-bcf6b3a6a0ff" uniqueName="[LocalDateTable_3a17192d-ec7c-4dba-ac0e-bcf6b3a6a0ff]" caption="LocalDateTable_3a17192d-ec7c-4dba-ac0e-bcf6b3a6a0ff"/>
    <dimension name="LocalDateTable_3f117c71-2c04-4fa5-8c23-2b2c1ab14338" uniqueName="[LocalDateTable_3f117c71-2c04-4fa5-8c23-2b2c1ab14338]" caption="LocalDateTable_3f117c71-2c04-4fa5-8c23-2b2c1ab14338"/>
    <dimension name="LocalDateTable_66f09a5d-f864-46bc-a2f5-c0014bc05155" uniqueName="[LocalDateTable_66f09a5d-f864-46bc-a2f5-c0014bc05155]" caption="LocalDateTable_66f09a5d-f864-46bc-a2f5-c0014bc05155"/>
    <dimension name="LocalDateTable_754a5606-f042-4514-8c57-59f8f32672fc" uniqueName="[LocalDateTable_754a5606-f042-4514-8c57-59f8f32672fc]" caption="LocalDateTable_754a5606-f042-4514-8c57-59f8f32672fc"/>
    <dimension name="LocalDateTable_9b9a9699-5b52-40e9-b4a0-c11cb55a9d61" uniqueName="[LocalDateTable_9b9a9699-5b52-40e9-b4a0-c11cb55a9d61]" caption="LocalDateTable_9b9a9699-5b52-40e9-b4a0-c11cb55a9d61"/>
    <dimension name="LocalDateTable_a29de990-df00-42e6-9e8c-814d0b4b9a86" uniqueName="[LocalDateTable_a29de990-df00-42e6-9e8c-814d0b4b9a86]" caption="LocalDateTable_a29de990-df00-42e6-9e8c-814d0b4b9a86"/>
    <dimension name="LocalDateTable_e1d748f9-bc77-4c73-ba8d-fcf5ec29dd71" uniqueName="[LocalDateTable_e1d748f9-bc77-4c73-ba8d-fcf5ec29dd71]" caption="LocalDateTable_e1d748f9-bc77-4c73-ba8d-fcf5ec29dd71"/>
    <dimension name="Measure" uniqueName="[Measure]" caption="Measure"/>
    <dimension name="Measure Categories" uniqueName="[Measure Categories]" caption="Measure Categories"/>
    <dimension measure="1" name="Measures" uniqueName="[Measures]" caption="Measures"/>
    <dimension name="Product Parameter" uniqueName="[Product Parameter]" caption="Product Parameter"/>
    <dimension name="Query1" uniqueName="[Query1]" caption="Query1"/>
    <dimension name="Query2" uniqueName="[Query2]" caption="Query2"/>
    <dimension name="TimePeriodSort" uniqueName="[TimePeriodSort]" caption="TimePeriodSort"/>
  </dimensions>
  <measureGroups count="35">
    <measureGroup name="BI ForecastClass" caption="BI ForecastClass"/>
    <measureGroup name="BI Item" caption="BI Item"/>
    <measureGroup name="BI metrics" caption="BI metrics"/>
    <measureGroup name="BI Store" caption="BI Store"/>
    <measureGroup name="BI Store State Sort" caption="BI Store State Sort"/>
    <measureGroup name="BI vw_BudgetByItemCategory" caption="BI vw_BudgetByItemCategory"/>
    <measureGroup name="BI vw_BudgetByStore" caption="BI vw_BudgetByStore"/>
    <measureGroup name="BI vw_BudgetByWeek" caption="BI vw_BudgetByWeek"/>
    <measureGroup name="BI vw_BudgetDigital" caption="BI vw_BudgetDigital"/>
    <measureGroup name="BI vw_BudgetOnlineByStore" caption="BI vw_BudgetOnlineByStore"/>
    <measureGroup name="BI vw_DropshipBudget" caption="BI vw_DropshipBudget"/>
    <measureGroup name="BI vw_Items" caption="BI vw_Items"/>
    <measureGroup name="BI vw_WeeklyItemSales" caption="BI vw_WeeklyItemSales"/>
    <measureGroup name="BI vw_WeeklyStoreATV" caption="BI vw_WeeklyStoreATV"/>
    <measureGroup name="BI vw_WeeklyStoreTraffic" caption="BI vw_WeeklyStoreTraffic"/>
    <measureGroup name="BI vw_WeeklyWrittenSalesMetrics" caption="BI vw_WeeklyWrittenSalesMetrics"/>
    <measureGroup name="Dim_Category" caption="Dim_Category"/>
    <measureGroup name="dim_period" caption="dim_period"/>
    <measureGroup name="ForcastByClass" caption="ForcastByClass"/>
    <measureGroup name="Forecast" caption="Forecast"/>
    <measureGroup name="LocalDateTable_0d9eeced-3257-4609-8cfb-234f1d7c24d7" caption="LocalDateTable_0d9eeced-3257-4609-8cfb-234f1d7c24d7"/>
    <measureGroup name="LocalDateTable_3a17192d-ec7c-4dba-ac0e-bcf6b3a6a0ff" caption="LocalDateTable_3a17192d-ec7c-4dba-ac0e-bcf6b3a6a0ff"/>
    <measureGroup name="LocalDateTable_3f117c71-2c04-4fa5-8c23-2b2c1ab14338" caption="LocalDateTable_3f117c71-2c04-4fa5-8c23-2b2c1ab14338"/>
    <measureGroup name="LocalDateTable_66f09a5d-f864-46bc-a2f5-c0014bc05155" caption="LocalDateTable_66f09a5d-f864-46bc-a2f5-c0014bc05155"/>
    <measureGroup name="LocalDateTable_754a5606-f042-4514-8c57-59f8f32672fc" caption="LocalDateTable_754a5606-f042-4514-8c57-59f8f32672fc"/>
    <measureGroup name="LocalDateTable_9b9a9699-5b52-40e9-b4a0-c11cb55a9d61" caption="LocalDateTable_9b9a9699-5b52-40e9-b4a0-c11cb55a9d61"/>
    <measureGroup name="LocalDateTable_a29de990-df00-42e6-9e8c-814d0b4b9a86" caption="LocalDateTable_a29de990-df00-42e6-9e8c-814d0b4b9a86"/>
    <measureGroup name="LocalDateTable_e1d748f9-bc77-4c73-ba8d-fcf5ec29dd71" caption="LocalDateTable_e1d748f9-bc77-4c73-ba8d-fcf5ec29dd71"/>
    <measureGroup name="Measure" caption="Measure"/>
    <measureGroup name="Measure Categories" caption="Measure Categories"/>
    <measureGroup name="Measure Tooltip" caption="Measure Tooltip"/>
    <measureGroup name="Product Parameter" caption="Product Parameter"/>
    <measureGroup name="Query1" caption="Query1"/>
    <measureGroup name="Query2" caption="Query2"/>
    <measureGroup name="TimePeriodSort" caption="TimePeriodSort"/>
  </measureGroups>
  <maps count="41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2"/>
    <map measureGroup="0" dimension="13"/>
    <map measureGroup="0" dimension="14"/>
    <map measureGroup="0" dimension="15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34"/>
    <map measureGroup="1" dimension="1"/>
    <map measureGroup="1" dimension="23"/>
    <map measureGroup="1" dimension="25"/>
    <map measureGroup="2" dimension="2"/>
    <map measureGroup="2" dimension="20"/>
    <map measureGroup="2" dimension="24"/>
    <map measureGroup="2" dimension="27"/>
    <map measureGroup="2" dimension="34"/>
    <map measureGroup="3" dimension="0"/>
    <map measureGroup="3" dimension="1"/>
    <map measureGroup="3" dimension="2"/>
    <map measureGroup="3" dimension="3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2"/>
    <map measureGroup="3" dimension="13"/>
    <map measureGroup="3" dimension="14"/>
    <map measureGroup="3" dimension="15"/>
    <map measureGroup="3" dimension="17"/>
    <map measureGroup="3" dimension="18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8"/>
    <map measureGroup="3" dimension="34"/>
    <map measureGroup="4" dimension="4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2"/>
    <map measureGroup="5" dimension="13"/>
    <map measureGroup="5" dimension="14"/>
    <map measureGroup="5" dimension="15"/>
    <map measureGroup="5" dimension="17"/>
    <map measureGroup="5" dimension="18"/>
    <map measureGroup="5" dimension="19"/>
    <map measureGroup="5" dimension="20"/>
    <map measureGroup="5" dimension="21"/>
    <map measureGroup="5" dimension="22"/>
    <map measureGroup="5" dimension="23"/>
    <map measureGroup="5" dimension="24"/>
    <map measureGroup="5" dimension="25"/>
    <map measureGroup="5" dimension="27"/>
    <map measureGroup="5" dimension="28"/>
    <map measureGroup="5" dimension="34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  <map measureGroup="6" dimension="8"/>
    <map measureGroup="6" dimension="9"/>
    <map measureGroup="6" dimension="10"/>
    <map measureGroup="6" dimension="12"/>
    <map measureGroup="6" dimension="13"/>
    <map measureGroup="6" dimension="14"/>
    <map measureGroup="6" dimension="15"/>
    <map measureGroup="6" dimension="17"/>
    <map measureGroup="6" dimension="18"/>
    <map measureGroup="6" dimension="19"/>
    <map measureGroup="6" dimension="20"/>
    <map measureGroup="6" dimension="21"/>
    <map measureGroup="6" dimension="22"/>
    <map measureGroup="6" dimension="23"/>
    <map measureGroup="6" dimension="24"/>
    <map measureGroup="6" dimension="25"/>
    <map measureGroup="6" dimension="27"/>
    <map measureGroup="6" dimension="28"/>
    <map measureGroup="6" dimension="34"/>
    <map measureGroup="7" dimension="0"/>
    <map measureGroup="7" dimension="1"/>
    <map measureGroup="7" dimension="2"/>
    <map measureGroup="7" dimension="3"/>
    <map measureGroup="7" dimension="5"/>
    <map measureGroup="7" dimension="6"/>
    <map measureGroup="7" dimension="7"/>
    <map measureGroup="7" dimension="8"/>
    <map measureGroup="7" dimension="9"/>
    <map measureGroup="7" dimension="10"/>
    <map measureGroup="7" dimension="12"/>
    <map measureGroup="7" dimension="13"/>
    <map measureGroup="7" dimension="14"/>
    <map measureGroup="7" dimension="15"/>
    <map measureGroup="7" dimension="17"/>
    <map measureGroup="7" dimension="18"/>
    <map measureGroup="7" dimension="19"/>
    <map measureGroup="7" dimension="20"/>
    <map measureGroup="7" dimension="21"/>
    <map measureGroup="7" dimension="22"/>
    <map measureGroup="7" dimension="23"/>
    <map measureGroup="7" dimension="24"/>
    <map measureGroup="7" dimension="25"/>
    <map measureGroup="7" dimension="27"/>
    <map measureGroup="7" dimension="28"/>
    <map measureGroup="7" dimension="34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8" dimension="12"/>
    <map measureGroup="8" dimension="13"/>
    <map measureGroup="8" dimension="14"/>
    <map measureGroup="8" dimension="15"/>
    <map measureGroup="8" dimension="17"/>
    <map measureGroup="8" dimension="18"/>
    <map measureGroup="8" dimension="19"/>
    <map measureGroup="8" dimension="20"/>
    <map measureGroup="8" dimension="21"/>
    <map measureGroup="8" dimension="22"/>
    <map measureGroup="8" dimension="23"/>
    <map measureGroup="8" dimension="24"/>
    <map measureGroup="8" dimension="25"/>
    <map measureGroup="8" dimension="27"/>
    <map measureGroup="8" dimension="28"/>
    <map measureGroup="8" dimension="34"/>
    <map measureGroup="9" dimension="0"/>
    <map measureGroup="9" dimension="1"/>
    <map measureGroup="9" dimension="2"/>
    <map measureGroup="9" dimension="3"/>
    <map measureGroup="9" dimension="5"/>
    <map measureGroup="9" dimension="6"/>
    <map measureGroup="9" dimension="7"/>
    <map measureGroup="9" dimension="8"/>
    <map measureGroup="9" dimension="9"/>
    <map measureGroup="9" dimension="10"/>
    <map measureGroup="9" dimension="12"/>
    <map measureGroup="9" dimension="13"/>
    <map measureGroup="9" dimension="14"/>
    <map measureGroup="9" dimension="15"/>
    <map measureGroup="9" dimension="17"/>
    <map measureGroup="9" dimension="18"/>
    <map measureGroup="9" dimension="19"/>
    <map measureGroup="9" dimension="20"/>
    <map measureGroup="9" dimension="21"/>
    <map measureGroup="9" dimension="22"/>
    <map measureGroup="9" dimension="23"/>
    <map measureGroup="9" dimension="24"/>
    <map measureGroup="9" dimension="25"/>
    <map measureGroup="9" dimension="27"/>
    <map measureGroup="9" dimension="28"/>
    <map measureGroup="9" dimension="34"/>
    <map measureGroup="10" dimension="0"/>
    <map measureGroup="10" dimension="1"/>
    <map measureGroup="10" dimension="2"/>
    <map measureGroup="10" dimension="3"/>
    <map measureGroup="10" dimension="5"/>
    <map measureGroup="10" dimension="6"/>
    <map measureGroup="10" dimension="7"/>
    <map measureGroup="10" dimension="8"/>
    <map measureGroup="10" dimension="9"/>
    <map measureGroup="10" dimension="10"/>
    <map measureGroup="10" dimension="12"/>
    <map measureGroup="10" dimension="13"/>
    <map measureGroup="10" dimension="14"/>
    <map measureGroup="10" dimension="15"/>
    <map measureGroup="10" dimension="17"/>
    <map measureGroup="10" dimension="18"/>
    <map measureGroup="10" dimension="19"/>
    <map measureGroup="10" dimension="20"/>
    <map measureGroup="10" dimension="21"/>
    <map measureGroup="10" dimension="22"/>
    <map measureGroup="10" dimension="23"/>
    <map measureGroup="10" dimension="24"/>
    <map measureGroup="10" dimension="25"/>
    <map measureGroup="10" dimension="27"/>
    <map measureGroup="10" dimension="28"/>
    <map measureGroup="10" dimension="34"/>
    <map measureGroup="11" dimension="11"/>
    <map measureGroup="12" dimension="0"/>
    <map measureGroup="12" dimension="1"/>
    <map measureGroup="12" dimension="2"/>
    <map measureGroup="12" dimension="3"/>
    <map measureGroup="12" dimension="5"/>
    <map measureGroup="12" dimension="6"/>
    <map measureGroup="12" dimension="7"/>
    <map measureGroup="12" dimension="8"/>
    <map measureGroup="12" dimension="9"/>
    <map measureGroup="12" dimension="10"/>
    <map measureGroup="12" dimension="12"/>
    <map measureGroup="12" dimension="13"/>
    <map measureGroup="12" dimension="14"/>
    <map measureGroup="12" dimension="15"/>
    <map measureGroup="12" dimension="17"/>
    <map measureGroup="12" dimension="18"/>
    <map measureGroup="12" dimension="19"/>
    <map measureGroup="12" dimension="20"/>
    <map measureGroup="12" dimension="21"/>
    <map measureGroup="12" dimension="22"/>
    <map measureGroup="12" dimension="23"/>
    <map measureGroup="12" dimension="24"/>
    <map measureGroup="12" dimension="25"/>
    <map measureGroup="12" dimension="27"/>
    <map measureGroup="12" dimension="28"/>
    <map measureGroup="12" dimension="34"/>
    <map measureGroup="13" dimension="0"/>
    <map measureGroup="13" dimension="1"/>
    <map measureGroup="13" dimension="2"/>
    <map measureGroup="13" dimension="3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2"/>
    <map measureGroup="13" dimension="13"/>
    <map measureGroup="13" dimension="14"/>
    <map measureGroup="13" dimension="15"/>
    <map measureGroup="13" dimension="17"/>
    <map measureGroup="13" dimension="18"/>
    <map measureGroup="13" dimension="19"/>
    <map measureGroup="13" dimension="20"/>
    <map measureGroup="13" dimension="21"/>
    <map measureGroup="13" dimension="22"/>
    <map measureGroup="13" dimension="23"/>
    <map measureGroup="13" dimension="24"/>
    <map measureGroup="13" dimension="25"/>
    <map measureGroup="13" dimension="27"/>
    <map measureGroup="13" dimension="28"/>
    <map measureGroup="13" dimension="34"/>
    <map measureGroup="14" dimension="0"/>
    <map measureGroup="14" dimension="1"/>
    <map measureGroup="14" dimension="2"/>
    <map measureGroup="14" dimension="3"/>
    <map measureGroup="14" dimension="5"/>
    <map measureGroup="14" dimension="6"/>
    <map measureGroup="14" dimension="7"/>
    <map measureGroup="14" dimension="8"/>
    <map measureGroup="14" dimension="9"/>
    <map measureGroup="14" dimension="10"/>
    <map measureGroup="14" dimension="12"/>
    <map measureGroup="14" dimension="13"/>
    <map measureGroup="14" dimension="14"/>
    <map measureGroup="14" dimension="15"/>
    <map measureGroup="14" dimension="17"/>
    <map measureGroup="14" dimension="18"/>
    <map measureGroup="14" dimension="19"/>
    <map measureGroup="14" dimension="20"/>
    <map measureGroup="14" dimension="21"/>
    <map measureGroup="14" dimension="22"/>
    <map measureGroup="14" dimension="23"/>
    <map measureGroup="14" dimension="24"/>
    <map measureGroup="14" dimension="25"/>
    <map measureGroup="14" dimension="27"/>
    <map measureGroup="14" dimension="28"/>
    <map measureGroup="14" dimension="34"/>
    <map measureGroup="15" dimension="0"/>
    <map measureGroup="15" dimension="1"/>
    <map measureGroup="15" dimension="2"/>
    <map measureGroup="15" dimension="3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2"/>
    <map measureGroup="15" dimension="13"/>
    <map measureGroup="15" dimension="14"/>
    <map measureGroup="15" dimension="15"/>
    <map measureGroup="15" dimension="17"/>
    <map measureGroup="15" dimension="18"/>
    <map measureGroup="15" dimension="19"/>
    <map measureGroup="15" dimension="20"/>
    <map measureGroup="15" dimension="21"/>
    <map measureGroup="15" dimension="22"/>
    <map measureGroup="15" dimension="23"/>
    <map measureGroup="15" dimension="24"/>
    <map measureGroup="15" dimension="25"/>
    <map measureGroup="15" dimension="27"/>
    <map measureGroup="15" dimension="28"/>
    <map measureGroup="15" dimension="34"/>
    <map measureGroup="16" dimension="16"/>
    <map measureGroup="17" dimension="17"/>
    <map measureGroup="17" dimension="21"/>
    <map measureGroup="17" dimension="22"/>
    <map measureGroup="18" dimension="0"/>
    <map measureGroup="18" dimension="1"/>
    <map measureGroup="18" dimension="2"/>
    <map measureGroup="18" dimension="3"/>
    <map measureGroup="18" dimension="5"/>
    <map measureGroup="18" dimension="6"/>
    <map measureGroup="18" dimension="7"/>
    <map measureGroup="18" dimension="8"/>
    <map measureGroup="18" dimension="9"/>
    <map measureGroup="18" dimension="10"/>
    <map measureGroup="18" dimension="12"/>
    <map measureGroup="18" dimension="13"/>
    <map measureGroup="18" dimension="14"/>
    <map measureGroup="18" dimension="15"/>
    <map measureGroup="18" dimension="17"/>
    <map measureGroup="18" dimension="18"/>
    <map measureGroup="18" dimension="19"/>
    <map measureGroup="18" dimension="20"/>
    <map measureGroup="18" dimension="21"/>
    <map measureGroup="18" dimension="22"/>
    <map measureGroup="18" dimension="23"/>
    <map measureGroup="18" dimension="24"/>
    <map measureGroup="18" dimension="25"/>
    <map measureGroup="18" dimension="27"/>
    <map measureGroup="18" dimension="28"/>
    <map measureGroup="18" dimension="34"/>
    <map measureGroup="19" dimension="0"/>
    <map measureGroup="19" dimension="1"/>
    <map measureGroup="19" dimension="2"/>
    <map measureGroup="19" dimension="3"/>
    <map measureGroup="19" dimension="5"/>
    <map measureGroup="19" dimension="6"/>
    <map measureGroup="19" dimension="7"/>
    <map measureGroup="19" dimension="8"/>
    <map measureGroup="19" dimension="9"/>
    <map measureGroup="19" dimension="10"/>
    <map measureGroup="19" dimension="12"/>
    <map measureGroup="19" dimension="13"/>
    <map measureGroup="19" dimension="14"/>
    <map measureGroup="19" dimension="15"/>
    <map measureGroup="19" dimension="17"/>
    <map measureGroup="19" dimension="18"/>
    <map measureGroup="19" dimension="19"/>
    <map measureGroup="19" dimension="20"/>
    <map measureGroup="19" dimension="21"/>
    <map measureGroup="19" dimension="22"/>
    <map measureGroup="19" dimension="23"/>
    <map measureGroup="19" dimension="24"/>
    <map measureGroup="19" dimension="25"/>
    <map measureGroup="19" dimension="27"/>
    <map measureGroup="19" dimension="28"/>
    <map measureGroup="19" dimension="34"/>
    <map measureGroup="20" dimension="20"/>
    <map measureGroup="21" dimension="21"/>
    <map measureGroup="22" dimension="22"/>
    <map measureGroup="23" dimension="23"/>
    <map measureGroup="24" dimension="24"/>
    <map measureGroup="25" dimension="25"/>
    <map measureGroup="26" dimension="26"/>
    <map measureGroup="27" dimension="27"/>
    <map measureGroup="28" dimension="0"/>
    <map measureGroup="28" dimension="1"/>
    <map measureGroup="28" dimension="2"/>
    <map measureGroup="28" dimension="3"/>
    <map measureGroup="28" dimension="5"/>
    <map measureGroup="28" dimension="6"/>
    <map measureGroup="28" dimension="7"/>
    <map measureGroup="28" dimension="8"/>
    <map measureGroup="28" dimension="9"/>
    <map measureGroup="28" dimension="10"/>
    <map measureGroup="28" dimension="12"/>
    <map measureGroup="28" dimension="13"/>
    <map measureGroup="28" dimension="14"/>
    <map measureGroup="28" dimension="15"/>
    <map measureGroup="28" dimension="17"/>
    <map measureGroup="28" dimension="18"/>
    <map measureGroup="28" dimension="19"/>
    <map measureGroup="28" dimension="20"/>
    <map measureGroup="28" dimension="21"/>
    <map measureGroup="28" dimension="22"/>
    <map measureGroup="28" dimension="23"/>
    <map measureGroup="28" dimension="24"/>
    <map measureGroup="28" dimension="25"/>
    <map measureGroup="28" dimension="27"/>
    <map measureGroup="28" dimension="28"/>
    <map measureGroup="28" dimension="34"/>
    <map measureGroup="29" dimension="29"/>
    <map measureGroup="31" dimension="31"/>
    <map measureGroup="32" dimension="26"/>
    <map measureGroup="32" dimension="32"/>
    <map measureGroup="33" dimension="33"/>
    <map measureGroup="34" dimension="3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5.591657523146" backgroundQuery="1" createdVersion="8" refreshedVersion="8" minRefreshableVersion="3" recordCount="0" supportSubquery="1" supportAdvancedDrill="1" xr:uid="{ED6B3763-295F-4E52-A9F6-C802595E85E5}">
  <cacheSource type="external" connectionId="2"/>
  <cacheFields count="13">
    <cacheField name="[BI metrics].[Fin_Period].[Fin_Period]" caption="Fin_Period" numFmtId="0" hierarchy="44" level="1">
      <sharedItems count="208">
        <s v="[BI metrics].[Fin_Period].&amp;[202401]" c="202401"/>
        <s v="[BI metrics].[Fin_Period].&amp;[202402]" c="202402"/>
        <s v="[BI metrics].[Fin_Period].&amp;[202403]" c="202403"/>
        <s v="[BI metrics].[Fin_Period].&amp;[202404]" c="202404"/>
        <s v="[BI metrics].[Fin_Period].&amp;[202405]" c="202405"/>
        <s v="[BI metrics].[Fin_Period].&amp;[202406]" c="202406"/>
        <s v="[BI metrics].[Fin_Period].&amp;[202407]" c="202407"/>
        <s v="[BI metrics].[Fin_Period].&amp;[202408]" c="202408"/>
        <s v="[BI metrics].[Fin_Period].&amp;[202409]" c="202409"/>
        <s v="[BI metrics].[Fin_Period].&amp;[202410]" c="202410"/>
        <s v="[BI metrics].[Fin_Period].&amp;[202411]" c="202411"/>
        <s v="[BI metrics].[Fin_Period].&amp;[202412]" c="202412"/>
        <s v="[BI metrics].[Fin_Period].&amp;[202413]" c="202413"/>
        <s v="[BI metrics].[Fin_Period].&amp;[202414]" c="202414"/>
        <s v="[BI metrics].[Fin_Period].&amp;[202415]" c="202415"/>
        <s v="[BI metrics].[Fin_Period].&amp;[202416]" c="202416"/>
        <s v="[BI metrics].[Fin_Period].&amp;[202417]" c="202417"/>
        <s v="[BI metrics].[Fin_Period].&amp;[202418]" c="202418"/>
        <s v="[BI metrics].[Fin_Period].&amp;[202419]" c="202419"/>
        <s v="[BI metrics].[Fin_Period].&amp;[202420]" c="202420"/>
        <s v="[BI metrics].[Fin_Period].&amp;[202421]" c="202421"/>
        <s v="[BI metrics].[Fin_Period].&amp;[202422]" c="202422"/>
        <s v="[BI metrics].[Fin_Period].&amp;[202423]" c="202423"/>
        <s v="[BI metrics].[Fin_Period].&amp;[202424]" c="202424"/>
        <s v="[BI metrics].[Fin_Period].&amp;[202425]" c="202425"/>
        <s v="[BI metrics].[Fin_Period].&amp;[202426]" c="202426"/>
        <s v="[BI metrics].[Fin_Period].&amp;[202427]" c="202427"/>
        <s v="[BI metrics].[Fin_Period].&amp;[202428]" c="202428"/>
        <s v="[BI metrics].[Fin_Period].&amp;[202429]" c="202429"/>
        <s v="[BI metrics].[Fin_Period].&amp;[202430]" c="202430"/>
        <s v="[BI metrics].[Fin_Period].&amp;[202431]" c="202431"/>
        <s v="[BI metrics].[Fin_Period].&amp;[202432]" c="202432"/>
        <s v="[BI metrics].[Fin_Period].&amp;[202433]" c="202433"/>
        <s v="[BI metrics].[Fin_Period].&amp;[202434]" c="202434"/>
        <s v="[BI metrics].[Fin_Period].&amp;[202435]" c="202435"/>
        <s v="[BI metrics].[Fin_Period].&amp;[202436]" c="202436"/>
        <s v="[BI metrics].[Fin_Period].&amp;[202437]" c="202437"/>
        <s v="[BI metrics].[Fin_Period].&amp;[202438]" c="202438"/>
        <s v="[BI metrics].[Fin_Period].&amp;[202439]" c="202439"/>
        <s v="[BI metrics].[Fin_Period].&amp;[202440]" c="202440"/>
        <s v="[BI metrics].[Fin_Period].&amp;[202441]" c="202441"/>
        <s v="[BI metrics].[Fin_Period].&amp;[202442]" c="202442"/>
        <s v="[BI metrics].[Fin_Period].&amp;[202443]" c="202443"/>
        <s v="[BI metrics].[Fin_Period].&amp;[202444]" c="202444"/>
        <s v="[BI metrics].[Fin_Period].&amp;[202445]" c="202445"/>
        <s v="[BI metrics].[Fin_Period].&amp;[202446]" c="202446"/>
        <s v="[BI metrics].[Fin_Period].&amp;[202447]" c="202447"/>
        <s v="[BI metrics].[Fin_Period].&amp;[202448]" c="202448"/>
        <s v="[BI metrics].[Fin_Period].&amp;[202449]" c="202449"/>
        <s v="[BI metrics].[Fin_Period].&amp;[202450]" c="202450"/>
        <s v="[BI metrics].[Fin_Period].&amp;[202451]" c="202451"/>
        <s v="[BI metrics].[Fin_Period].&amp;[202452]" c="202452"/>
        <s v="[BI metrics].[Fin_Period].&amp;[202501]" c="202501"/>
        <s v="[BI metrics].[Fin_Period].&amp;[202502]" c="202502"/>
        <s v="[BI metrics].[Fin_Period].&amp;[202503]" c="202503"/>
        <s v="[BI metrics].[Fin_Period].&amp;[202504]" c="202504"/>
        <s v="[BI metrics].[Fin_Period].&amp;[202505]" c="202505"/>
        <s v="[BI metrics].[Fin_Period].&amp;[202506]" c="202506"/>
        <s v="[BI metrics].[Fin_Period].&amp;[202507]" c="202507"/>
        <s v="[BI metrics].[Fin_Period].&amp;[202508]" c="202508"/>
        <s v="[BI metrics].[Fin_Period].&amp;[202509]" c="202509"/>
        <s v="[BI metrics].[Fin_Period].&amp;[202510]" c="202510"/>
        <s v="[BI metrics].[Fin_Period].&amp;[202511]" c="202511"/>
        <s v="[BI metrics].[Fin_Period].&amp;[202512]" c="202512"/>
        <s v="[BI metrics].[Fin_Period].&amp;[202513]" c="202513"/>
        <s v="[BI metrics].[Fin_Period].&amp;[202514]" c="202514"/>
        <s v="[BI metrics].[Fin_Period].&amp;[202515]" c="202515"/>
        <s v="[BI metrics].[Fin_Period].&amp;[202516]" c="202516"/>
        <s v="[BI metrics].[Fin_Period].&amp;[202517]" c="202517"/>
        <s v="[BI metrics].[Fin_Period].&amp;[202518]" c="202518"/>
        <s v="[BI metrics].[Fin_Period].&amp;[202519]" c="202519"/>
        <s v="[BI metrics].[Fin_Period].&amp;[202520]" c="202520"/>
        <s v="[BI metrics].[Fin_Period].&amp;[202521]" c="202521"/>
        <s v="[BI metrics].[Fin_Period].&amp;[202522]" c="202522"/>
        <s v="[BI metrics].[Fin_Period].&amp;[202523]" c="202523"/>
        <s v="[BI metrics].[Fin_Period].&amp;[202524]" c="202524"/>
        <s v="[BI metrics].[Fin_Period].&amp;[202525]" c="202525"/>
        <s v="[BI metrics].[Fin_Period].&amp;[202526]" c="202526"/>
        <s v="[BI metrics].[Fin_Period].&amp;[202527]" c="202527"/>
        <s v="[BI metrics].[Fin_Period].&amp;[202528]" c="202528"/>
        <s v="[BI metrics].[Fin_Period].&amp;[202529]" c="202529"/>
        <s v="[BI metrics].[Fin_Period].&amp;[202530]" c="202530"/>
        <s v="[BI metrics].[Fin_Period].&amp;[202531]" c="202531"/>
        <s v="[BI metrics].[Fin_Period].&amp;[202532]" c="202532"/>
        <s v="[BI metrics].[Fin_Period].&amp;[202533]" c="202533"/>
        <s v="[BI metrics].[Fin_Period].&amp;[202534]" c="202534"/>
        <s v="[BI metrics].[Fin_Period].&amp;[202535]" c="202535"/>
        <s v="[BI metrics].[Fin_Period].&amp;[202536]" c="202536"/>
        <s v="[BI metrics].[Fin_Period].&amp;[202537]" c="202537"/>
        <s v="[BI metrics].[Fin_Period].&amp;[202538]" c="202538"/>
        <s v="[BI metrics].[Fin_Period].&amp;[202539]" c="202539"/>
        <s v="[BI metrics].[Fin_Period].&amp;[202540]" c="202540"/>
        <s v="[BI metrics].[Fin_Period].&amp;[202541]" c="202541"/>
        <s v="[BI metrics].[Fin_Period].&amp;[202542]" c="202542"/>
        <s v="[BI metrics].[Fin_Period].&amp;[202543]" c="202543"/>
        <s v="[BI metrics].[Fin_Period].&amp;[202544]" c="202544"/>
        <s v="[BI metrics].[Fin_Period].&amp;[202545]" c="202545"/>
        <s v="[BI metrics].[Fin_Period].&amp;[202546]" c="202546"/>
        <s v="[BI metrics].[Fin_Period].&amp;[202547]" c="202547"/>
        <s v="[BI metrics].[Fin_Period].&amp;[202548]" c="202548"/>
        <s v="[BI metrics].[Fin_Period].&amp;[202549]" c="202549"/>
        <s v="[BI metrics].[Fin_Period].&amp;[202550]" c="202550"/>
        <s v="[BI metrics].[Fin_Period].&amp;[202551]" c="202551"/>
        <s v="[BI metrics].[Fin_Period].&amp;[202552]" c="202552"/>
        <s v="[BI metrics].[Fin_Period].&amp;[202601]" c="202601"/>
        <s v="[BI metrics].[Fin_Period].&amp;[202602]" c="202602"/>
        <s v="[BI metrics].[Fin_Period].&amp;[202603]" c="202603"/>
        <s v="[BI metrics].[Fin_Period].&amp;[202604]" c="202604"/>
        <s v="[BI metrics].[Fin_Period].&amp;[202605]" c="202605"/>
        <s v="[BI metrics].[Fin_Period].&amp;[202606]" c="202606"/>
        <s v="[BI metrics].[Fin_Period].&amp;[202607]" c="202607"/>
        <s v="[BI metrics].[Fin_Period].&amp;[202608]" c="202608"/>
        <s v="[BI metrics].[Fin_Period].&amp;[202609]" c="202609"/>
        <s v="[BI metrics].[Fin_Period].&amp;[202610]" c="202610"/>
        <s v="[BI metrics].[Fin_Period].&amp;[202611]" c="202611"/>
        <s v="[BI metrics].[Fin_Period].&amp;[202612]" c="202612"/>
        <s v="[BI metrics].[Fin_Period].&amp;[202613]" c="202613"/>
        <s v="[BI metrics].[Fin_Period].&amp;[202614]" c="202614"/>
        <s v="[BI metrics].[Fin_Period].&amp;[202615]" c="202615"/>
        <s v="[BI metrics].[Fin_Period].&amp;[202616]" c="202616"/>
        <s v="[BI metrics].[Fin_Period].&amp;[202617]" c="202617"/>
        <s v="[BI metrics].[Fin_Period].&amp;[202618]" c="202618"/>
        <s v="[BI metrics].[Fin_Period].&amp;[202619]" c="202619"/>
        <s v="[BI metrics].[Fin_Period].&amp;[202620]" c="202620"/>
        <s v="[BI metrics].[Fin_Period].&amp;[202621]" c="202621"/>
        <s v="[BI metrics].[Fin_Period].&amp;[202622]" c="202622"/>
        <s v="[BI metrics].[Fin_Period].&amp;[202623]" c="202623"/>
        <s v="[BI metrics].[Fin_Period].&amp;[202624]" c="202624"/>
        <s v="[BI metrics].[Fin_Period].&amp;[202625]" c="202625"/>
        <s v="[BI metrics].[Fin_Period].&amp;[202626]" c="202626"/>
        <s v="[BI metrics].[Fin_Period].&amp;[202627]" c="202627"/>
        <s v="[BI metrics].[Fin_Period].&amp;[202628]" c="202628"/>
        <s v="[BI metrics].[Fin_Period].&amp;[202629]" c="202629"/>
        <s v="[BI metrics].[Fin_Period].&amp;[202630]" c="202630"/>
        <s v="[BI metrics].[Fin_Period].&amp;[202631]" c="202631"/>
        <s v="[BI metrics].[Fin_Period].&amp;[202632]" c="202632"/>
        <s v="[BI metrics].[Fin_Period].&amp;[202633]" c="202633"/>
        <s v="[BI metrics].[Fin_Period].&amp;[202634]" c="202634"/>
        <s v="[BI metrics].[Fin_Period].&amp;[202635]" c="202635"/>
        <s v="[BI metrics].[Fin_Period].&amp;[202636]" c="202636"/>
        <s v="[BI metrics].[Fin_Period].&amp;[202637]" c="202637"/>
        <s v="[BI metrics].[Fin_Period].&amp;[202638]" c="202638"/>
        <s v="[BI metrics].[Fin_Period].&amp;[202639]" c="202639"/>
        <s v="[BI metrics].[Fin_Period].&amp;[202640]" c="202640"/>
        <s v="[BI metrics].[Fin_Period].&amp;[202641]" c="202641"/>
        <s v="[BI metrics].[Fin_Period].&amp;[202642]" c="202642"/>
        <s v="[BI metrics].[Fin_Period].&amp;[202643]" c="202643"/>
        <s v="[BI metrics].[Fin_Period].&amp;[202644]" c="202644"/>
        <s v="[BI metrics].[Fin_Period].&amp;[202645]" c="202645"/>
        <s v="[BI metrics].[Fin_Period].&amp;[202646]" c="202646"/>
        <s v="[BI metrics].[Fin_Period].&amp;[202647]" c="202647"/>
        <s v="[BI metrics].[Fin_Period].&amp;[202648]" c="202648"/>
        <s v="[BI metrics].[Fin_Period].&amp;[202649]" c="202649"/>
        <s v="[BI metrics].[Fin_Period].&amp;[202650]" c="202650"/>
        <s v="[BI metrics].[Fin_Period].&amp;[202651]" c="202651"/>
        <s v="[BI metrics].[Fin_Period].&amp;[202652]" c="202652"/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  <s v="[BI metrics].[Fin_Period].&amp;[202708]" c="202708"/>
        <s v="[BI metrics].[Fin_Period].&amp;[202709]" c="202709"/>
        <s v="[BI metrics].[Fin_Period].&amp;[202710]" c="202710"/>
        <s v="[BI metrics].[Fin_Period].&amp;[202711]" c="202711"/>
        <s v="[BI metrics].[Fin_Period].&amp;[202712]" c="202712"/>
        <s v="[BI metrics].[Fin_Period].&amp;[202713]" c="202713"/>
        <s v="[BI metrics].[Fin_Period].&amp;[202714]" c="202714"/>
        <s v="[BI metrics].[Fin_Period].&amp;[202715]" c="202715"/>
        <s v="[BI metrics].[Fin_Period].&amp;[202716]" c="202716"/>
        <s v="[BI metrics].[Fin_Period].&amp;[202717]" c="202717"/>
        <s v="[BI metrics].[Fin_Period].&amp;[202718]" c="202718"/>
        <s v="[BI metrics].[Fin_Period].&amp;[202719]" c="202719"/>
        <s v="[BI metrics].[Fin_Period].&amp;[202720]" c="202720"/>
        <s v="[BI metrics].[Fin_Period].&amp;[202721]" c="202721"/>
        <s v="[BI metrics].[Fin_Period].&amp;[202722]" c="202722"/>
        <s v="[BI metrics].[Fin_Period].&amp;[202723]" c="202723"/>
        <s v="[BI metrics].[Fin_Period].&amp;[202724]" c="202724"/>
        <s v="[BI metrics].[Fin_Period].&amp;[202725]" c="202725"/>
        <s v="[BI metrics].[Fin_Period].&amp;[202726]" c="202726"/>
        <s v="[BI metrics].[Fin_Period].&amp;[202727]" c="202727"/>
        <s v="[BI metrics].[Fin_Period].&amp;[202728]" c="202728"/>
        <s v="[BI metrics].[Fin_Period].&amp;[202729]" c="202729"/>
        <s v="[BI metrics].[Fin_Period].&amp;[202730]" c="202730"/>
        <s v="[BI metrics].[Fin_Period].&amp;[202731]" c="202731"/>
        <s v="[BI metrics].[Fin_Period].&amp;[202732]" c="202732"/>
        <s v="[BI metrics].[Fin_Period].&amp;[202733]" c="202733"/>
        <s v="[BI metrics].[Fin_Period].&amp;[202734]" c="202734"/>
        <s v="[BI metrics].[Fin_Period].&amp;[202735]" c="202735"/>
        <s v="[BI metrics].[Fin_Period].&amp;[202736]" c="202736"/>
        <s v="[BI metrics].[Fin_Period].&amp;[202737]" c="202737"/>
        <s v="[BI metrics].[Fin_Period].&amp;[202738]" c="202738"/>
        <s v="[BI metrics].[Fin_Period].&amp;[202739]" c="202739"/>
        <s v="[BI metrics].[Fin_Period].&amp;[202740]" c="202740"/>
        <s v="[BI metrics].[Fin_Period].&amp;[202741]" c="202741"/>
        <s v="[BI metrics].[Fin_Period].&amp;[202742]" c="202742"/>
        <s v="[BI metrics].[Fin_Period].&amp;[202743]" c="202743"/>
        <s v="[BI metrics].[Fin_Period].&amp;[202744]" c="202744"/>
        <s v="[BI metrics].[Fin_Period].&amp;[202745]" c="202745"/>
        <s v="[BI metrics].[Fin_Period].&amp;[202746]" c="202746"/>
        <s v="[BI metrics].[Fin_Period].&amp;[202747]" c="202747"/>
        <s v="[BI metrics].[Fin_Period].&amp;[202748]" c="202748"/>
        <s v="[BI metrics].[Fin_Period].&amp;[202749]" c="202749"/>
        <s v="[BI metrics].[Fin_Period].&amp;[202750]" c="202750"/>
        <s v="[BI metrics].[Fin_Period].&amp;[202751]" c="202751"/>
        <s v="[BI metrics].[Fin_Period].&amp;[202752]" c="202752"/>
      </sharedItems>
    </cacheField>
    <cacheField name="[BI metrics].[TimePeriod].[TimePeriod]" caption="TimePeriod" numFmtId="0" hierarchy="60" level="1">
      <sharedItems containsSemiMixedTypes="0" containsString="0"/>
    </cacheField>
    <cacheField name="[BI Item].[Item_Country].[Item_Country]" caption="Item_Country" numFmtId="0" hierarchy="22" level="1">
      <sharedItems containsSemiMixedTypes="0" containsString="0"/>
    </cacheField>
    <cacheField name="[BI Item].[Division].[Division]" caption="Division" numFmtId="0" hierarchy="17" level="1">
      <sharedItems containsSemiMixedTypes="0" containsString="0"/>
    </cacheField>
    <cacheField name="[BI Store].[Branch_Type].[Branch_Type]" caption="Branch_Type" numFmtId="0" hierarchy="69" level="1">
      <sharedItems containsSemiMixedTypes="0" containsString="0"/>
    </cacheField>
    <cacheField name="[BI Store].[Store_Country].[Store_Country]" caption="Store_Country" numFmtId="0" hierarchy="75" level="1">
      <sharedItems containsSemiMixedTypes="0" containsString="0"/>
    </cacheField>
    <cacheField name="[BI vw_BudgetByItemCategory].[Country].[Country]" caption="Country" numFmtId="0" hierarchy="92" level="1">
      <sharedItems containsSemiMixedTypes="0" containsString="0"/>
    </cacheField>
    <cacheField name="[TimePeriodSort].[TimePeriod].[TimePeriod]" caption="TimePeriod" numFmtId="0" hierarchy="284" level="1">
      <sharedItems containsSemiMixedTypes="0" containsString="0"/>
    </cacheField>
    <cacheField name="[BI vw_WeeklyWrittenSalesMetrics].[Branch_Type].[Branch_Type]" caption="Branch_Type" numFmtId="0" hierarchy="199" level="1">
      <sharedItems containsSemiMixedTypes="0" containsString="0"/>
    </cacheField>
    <cacheField name="[BI vw_WeeklyWrittenSalesMetrics].[Division].[Division]" caption="Division" numFmtId="0" hierarchy="209" level="1">
      <sharedItems count="2">
        <s v="[BI vw_WeeklyWrittenSalesMetrics].[Division].&amp;[Furniture]" c="Furniture"/>
        <s v="[BI vw_WeeklyWrittenSalesMetrics].[Division].&amp;[Homewares]" c="Homewares"/>
      </sharedItems>
    </cacheField>
    <cacheField name="[BI vw_WeeklyWrittenSalesMetrics].[Country].[Country]" caption="Country" numFmtId="0" hierarchy="207" level="1">
      <sharedItems containsSemiMixedTypes="0" containsString="0"/>
    </cacheField>
    <cacheField name="[Measures].[R-Sales TY $]" caption="R-Sales TY $" numFmtId="0" hierarchy="350" level="32767"/>
    <cacheField name="[BI vw_WeeklyWrittenSalesMetrics].[Channel].[Channel]" caption="Channel" numFmtId="0" hierarchy="205" level="1">
      <sharedItems count="4">
        <s v="[BI vw_WeeklyWrittenSalesMetrics].[Channel].&amp;" c=""/>
        <s v="[BI vw_WeeklyWrittenSalesMetrics].[Channel].&amp;[Dropship]" c="Dropship"/>
        <s v="[BI vw_WeeklyWrittenSalesMetrics].[Channel].&amp;[In Store]" c="In Store"/>
        <s v="[BI vw_WeeklyWrittenSalesMetrics].[Channel].&amp;[Online]" c="Online"/>
      </sharedItems>
    </cacheField>
  </cacheFields>
  <cacheHierarchies count="579">
    <cacheHierarchy uniqueName="[BI ForecastClass].[BranchType]" caption="BranchType" attribute="1" defaultMemberUniqueName="[BI ForecastClass].[BranchType].[All]" allUniqueName="[BI ForecastClass].[BranchType].[All]" dimensionUniqueName="[BI ForecastClass]" displayFolder="" count="0" memberValueDatatype="130" unbalanced="0"/>
    <cacheHierarchy uniqueName="[BI ForecastClass].[Channel]" caption="Channel" attribute="1" defaultMemberUniqueName="[BI ForecastClass].[Channel].[All]" allUniqueName="[BI ForecastClass].[Channel].[All]" dimensionUniqueName="[BI ForecastClass]" displayFolder="" count="0" memberValueDatatype="130" unbalanced="0"/>
    <cacheHierarchy uniqueName="[BI ForecastClass].[Class]" caption="Class" attribute="1" defaultMemberUniqueName="[BI ForecastClass].[Class].[All]" allUniqueName="[BI ForecastClass].[Class].[All]" dimensionUniqueName="[BI ForecastClass]" displayFolder="" count="0" memberValueDatatype="130" unbalanced="0"/>
    <cacheHierarchy uniqueName="[BI ForecastClass].[Country]" caption="Country" attribute="1" defaultMemberUniqueName="[BI ForecastClass].[Country].[All]" allUniqueName="[BI ForecastClass].[Country].[All]" dimensionUniqueName="[BI ForecastClass]" displayFolder="" count="0" memberValueDatatype="130" unbalanced="0"/>
    <cacheHierarchy uniqueName="[BI ForecastClass].[DepartmentDesc]" caption="DepartmentDesc" attribute="1" defaultMemberUniqueName="[BI ForecastClass].[DepartmentDesc].[All]" allUniqueName="[BI ForecastClass].[DepartmentDesc].[All]" dimensionUniqueName="[BI ForecastClass]" displayFolder="" count="0" memberValueDatatype="130" unbalanced="0"/>
    <cacheHierarchy uniqueName="[BI ForecastClass].[Division]" caption="Division" attribute="1" defaultMemberUniqueName="[BI ForecastClass].[Division].[All]" allUniqueName="[BI ForecastClass].[Division].[All]" dimensionUniqueName="[BI ForecastClass]" displayFolder="" count="0" memberValueDatatype="130" unbalanced="0"/>
    <cacheHierarchy uniqueName="[BI ForecastClass].[Period]" caption="Period" attribute="1" defaultMemberUniqueName="[BI ForecastClass].[Period].[All]" allUniqueName="[BI ForecastClass].[Period].[All]" dimensionUniqueName="[BI ForecastClass]" displayFolder="" count="0" memberValueDatatype="20" unbalanced="0"/>
    <cacheHierarchy uniqueName="[BI ForecastClass].[Storekey]" caption="Storekey" attribute="1" defaultMemberUniqueName="[BI ForecastClass].[Storekey].[All]" allUniqueName="[BI ForecastClass].[Storekey].[All]" dimensionUniqueName="[BI ForecastClass]" displayFolder="" count="0" memberValueDatatype="20" unbalanced="0"/>
    <cacheHierarchy uniqueName="[BI ForecastClass].[SubDepartmentDesc]" caption="SubDepartmentDesc" attribute="1" defaultMemberUniqueName="[BI ForecastClass].[SubDepartmentDesc].[All]" allUniqueName="[BI ForecastClass].[SubDepartmentDesc].[All]" dimensionUniqueName="[BI ForecastClass]" displayFolder="" count="0" memberValueDatatype="130" unbalanced="0"/>
    <cacheHierarchy uniqueName="[BI Item].[AddedDate]" caption="AddedDate" attribute="1" time="1" defaultMemberUniqueName="[BI Item].[AddedDate].[All]" allUniqueName="[BI Item].[AddedDate].[All]" dimensionUniqueName="[BI Item]" displayFolder="" count="0" memberValueDatatype="7" unbalanced="0"/>
    <cacheHierarchy uniqueName="[BI Item].[AUtoNZWholesale]" caption="AUtoNZWholesale" attribute="1" defaultMemberUniqueName="[BI Item].[AUtoNZWholesale].[All]" allUniqueName="[BI Item].[AUtoNZWholesale].[All]" dimensionUniqueName="[BI Item]" displayFolder="" count="0" memberValueDatatype="5" unbalanced="0"/>
    <cacheHierarchy uniqueName="[BI Item].[Base_SKU]" caption="Base_SKU" attribute="1" defaultMemberUniqueName="[BI Item].[Base_SKU].[All]" allUniqueName="[BI Item].[Base_SKU].[All]" dimensionUniqueName="[BI Item]" displayFolder="" count="0" memberValueDatatype="130" unbalanced="0"/>
    <cacheHierarchy uniqueName="[BI Item].[Class]" caption="Class" attribute="1" defaultMemberUniqueName="[BI Item].[Class].[All]" allUniqueName="[BI Item].[Class].[All]" dimensionUniqueName="[BI Item]" displayFolder="" count="0" memberValueDatatype="20" unbalanced="0"/>
    <cacheHierarchy uniqueName="[BI Item].[Cost]" caption="Cost" attribute="1" defaultMemberUniqueName="[BI Item].[Cost].[All]" allUniqueName="[BI Item].[Cost].[All]" dimensionUniqueName="[BI Item]" displayFolder="" count="0" memberValueDatatype="6" unbalanced="0"/>
    <cacheHierarchy uniqueName="[BI Item].[CostAveage]" caption="CostAveage" attribute="1" defaultMemberUniqueName="[BI Item].[CostAveage].[All]" allUniqueName="[BI Item].[CostAveage].[All]" dimensionUniqueName="[BI Item]" displayFolder="" count="0" memberValueDatatype="6" unbalanced="0"/>
    <cacheHierarchy uniqueName="[BI Item].[DepartmentDesc]" caption="DepartmentDesc" attribute="1" defaultMemberUniqueName="[BI Item].[DepartmentDesc].[All]" allUniqueName="[BI Item].[DepartmentDesc].[All]" dimensionUniqueName="[BI Item]" displayFolder="" count="0" memberValueDatatype="130" unbalanced="0"/>
    <cacheHierarchy uniqueName="[BI Item].[Description]" caption="Description" attribute="1" defaultMemberUniqueName="[BI Item].[Description].[All]" allUniqueName="[BI Item].[Description].[All]" dimensionUniqueName="[BI Item]" displayFolder="" count="0" memberValueDatatype="130" unbalanced="0"/>
    <cacheHierarchy uniqueName="[BI Item].[Division]" caption="Division" attribute="1" defaultMemberUniqueName="[BI Item].[Division].[All]" allUniqueName="[BI Item].[Division].[All]" dimensionUniqueName="[BI Item]" displayFolder="" count="2" memberValueDatatype="130" unbalanced="0">
      <fieldsUsage count="2">
        <fieldUsage x="-1"/>
        <fieldUsage x="3"/>
      </fieldsUsage>
    </cacheHierarchy>
    <cacheHierarchy uniqueName="[BI Item].[InActive]" caption="InActive" attribute="1" defaultMemberUniqueName="[BI Item].[InActive].[All]" allUniqueName="[BI Item].[InActive].[All]" dimensionUniqueName="[BI Item]" displayFolder="" count="0" memberValueDatatype="11" unbalanced="0"/>
    <cacheHierarchy uniqueName="[BI Item].[Infinity_UPC]" caption="Infinity_UPC" attribute="1" defaultMemberUniqueName="[BI Item].[Infinity_UPC].[All]" allUniqueName="[BI Item].[Infinity_UPC].[All]" dimensionUniqueName="[BI Item]" displayFolder="" count="0" memberValueDatatype="130" unbalanced="0"/>
    <cacheHierarchy uniqueName="[BI Item].[IsChanged]" caption="IsChanged" attribute="1" defaultMemberUniqueName="[BI Item].[IsChanged].[All]" allUniqueName="[BI Item].[IsChanged].[All]" dimensionUniqueName="[BI Item]" displayFolder="" count="0" memberValueDatatype="11" unbalanced="0"/>
    <cacheHierarchy uniqueName="[BI Item].[Item_Class_Desc]" caption="Item_Class_Desc" attribute="1" defaultMemberUniqueName="[BI Item].[Item_Class_Desc].[All]" allUniqueName="[BI Item].[Item_Class_Desc].[All]" dimensionUniqueName="[BI Item]" displayFolder="" count="0" memberValueDatatype="130" unbalanced="0"/>
    <cacheHierarchy uniqueName="[BI Item].[Item_Country]" caption="Item_Country" attribute="1" defaultMemberUniqueName="[BI Item].[Item_Country].[All]" allUniqueName="[BI Item].[Item_Country].[All]" dimensionUniqueName="[BI Item]" displayFolder="" count="2" memberValueDatatype="130" unbalanced="0">
      <fieldsUsage count="2">
        <fieldUsage x="-1"/>
        <fieldUsage x="2"/>
      </fieldsUsage>
    </cacheHierarchy>
    <cacheHierarchy uniqueName="[BI Item].[Item_Type]" caption="Item_Type" attribute="1" defaultMemberUniqueName="[BI Item].[Item_Type].[All]" allUniqueName="[BI Item].[Item_Type].[All]" dimensionUniqueName="[BI Item]" displayFolder="" count="0" memberValueDatatype="130" unbalanced="0"/>
    <cacheHierarchy uniqueName="[BI Item].[ItemKey]" caption="ItemKey" attribute="1" defaultMemberUniqueName="[BI Item].[ItemKey].[All]" allUniqueName="[BI Item].[ItemKey].[All]" dimensionUniqueName="[BI Item]" displayFolder="" count="0" memberValueDatatype="20" unbalanced="0"/>
    <cacheHierarchy uniqueName="[BI Item].[NonStock]" caption="NonStock" attribute="1" defaultMemberUniqueName="[BI Item].[NonStock].[All]" allUniqueName="[BI Item].[NonStock].[All]" dimensionUniqueName="[BI Item]" displayFolder="" count="0" memberValueDatatype="11" unbalanced="0"/>
    <cacheHierarchy uniqueName="[BI Item].[Price]" caption="Price" attribute="1" defaultMemberUniqueName="[BI Item].[Price].[All]" allUniqueName="[BI Item].[Price].[All]" dimensionUniqueName="[BI Item]" displayFolder="" count="0" memberValueDatatype="6" unbalanced="0"/>
    <cacheHierarchy uniqueName="[BI Item].[Product_Cate_Key]" caption="Product_Cate_Key" attribute="1" defaultMemberUniqueName="[BI Item].[Product_Cate_Key].[All]" allUniqueName="[BI Item].[Product_Cate_Key].[All]" dimensionUniqueName="[BI Item]" displayFolder="" count="0" memberValueDatatype="20" unbalanced="0"/>
    <cacheHierarchy uniqueName="[BI Item].[Product_Status]" caption="Product_Status" attribute="1" defaultMemberUniqueName="[BI Item].[Product_Status].[All]" allUniqueName="[BI Item].[Product_Status].[All]" dimensionUniqueName="[BI Item]" displayFolder="" count="0" memberValueDatatype="130" unbalanced="0"/>
    <cacheHierarchy uniqueName="[BI Item].[Product_Sub_Cate_Key]" caption="Product_Sub_Cate_Key" attribute="1" defaultMemberUniqueName="[BI Item].[Product_Sub_Cate_Key].[All]" allUniqueName="[BI Item].[Product_Sub_Cate_Key].[All]" dimensionUniqueName="[BI Item]" displayFolder="" count="0" memberValueDatatype="20" unbalanced="0"/>
    <cacheHierarchy uniqueName="[BI Item].[PurchaseCost]" caption="PurchaseCost" attribute="1" defaultMemberUniqueName="[BI Item].[PurchaseCost].[All]" allUniqueName="[BI Item].[PurchaseCost].[All]" dimensionUniqueName="[BI Item]" displayFolder="" count="0" memberValueDatatype="6" unbalanced="0"/>
    <cacheHierarchy uniqueName="[BI Item].[PurchaseQty]" caption="PurchaseQty" attribute="1" defaultMemberUniqueName="[BI Item].[PurchaseQty].[All]" allUniqueName="[BI Item].[PurchaseQty].[All]" dimensionUniqueName="[BI Item]" displayFolder="" count="0" memberValueDatatype="5" unbalanced="0"/>
    <cacheHierarchy uniqueName="[BI Item].[Range]" caption="Range" attribute="1" defaultMemberUniqueName="[BI Item].[Range].[All]" allUniqueName="[BI Item].[Range].[All]" dimensionUniqueName="[BI Item]" displayFolder="" count="0" memberValueDatatype="130" unbalanced="0"/>
    <cacheHierarchy uniqueName="[BI Item].[Season]" caption="Season" attribute="1" defaultMemberUniqueName="[BI Item].[Season].[All]" allUniqueName="[BI Item].[Season].[All]" dimensionUniqueName="[BI Item]" displayFolder="" count="0" memberValueDatatype="130" unbalanced="0"/>
    <cacheHierarchy uniqueName="[BI Item].[SellingQty]" caption="SellingQty" attribute="1" defaultMemberUniqueName="[BI Item].[SellingQty].[All]" allUniqueName="[BI Item].[SellingQty].[All]" dimensionUniqueName="[BI Item]" displayFolder="" count="0" memberValueDatatype="5" unbalanced="0"/>
    <cacheHierarchy uniqueName="[BI Item].[StockType]" caption="StockType" attribute="1" defaultMemberUniqueName="[BI Item].[StockType].[All]" allUniqueName="[BI Item].[StockType].[All]" dimensionUniqueName="[BI Item]" displayFolder="" count="0" memberValueDatatype="130" unbalanced="0"/>
    <cacheHierarchy uniqueName="[BI Item].[SubDepartmentDesc]" caption="SubDepartmentDesc" attribute="1" defaultMemberUniqueName="[BI Item].[SubDepartmentDesc].[All]" allUniqueName="[BI Item].[SubDepartmentDesc].[All]" dimensionUniqueName="[BI Item]" displayFolder="" count="0" memberValueDatatype="130" unbalanced="0"/>
    <cacheHierarchy uniqueName="[BI Item].[Supplier_Code]" caption="Supplier_Code" attribute="1" defaultMemberUniqueName="[BI Item].[Supplier_Code].[All]" allUniqueName="[BI Item].[Supplier_Code].[All]" dimensionUniqueName="[BI Item]" displayFolder="" count="0" memberValueDatatype="130" unbalanced="0"/>
    <cacheHierarchy uniqueName="[BI Item].[TaxType]" caption="TaxType" attribute="1" defaultMemberUniqueName="[BI Item].[TaxType].[All]" allUniqueName="[BI Item].[TaxType].[All]" dimensionUniqueName="[BI Item]" displayFolder="" count="0" memberValueDatatype="130" unbalanced="0"/>
    <cacheHierarchy uniqueName="[BI Item].[Unit]" caption="Unit" attribute="1" defaultMemberUniqueName="[BI Item].[Unit].[All]" allUniqueName="[BI Item].[Unit].[All]" dimensionUniqueName="[BI Item]" displayFolder="" count="0" memberValueDatatype="130" unbalanced="0"/>
    <cacheHierarchy uniqueName="[BI Item].[UpdatedDate]" caption="UpdatedDate" attribute="1" time="1" defaultMemberUniqueName="[BI Item].[UpdatedDate].[All]" allUniqueName="[BI Item].[UpdatedDate].[All]" dimensionUniqueName="[BI Item]" displayFolder="" count="0" memberValueDatatype="7" unbalanced="0"/>
    <cacheHierarchy uniqueName="[BI Item].[Wholesale]" caption="Wholesale" attribute="1" defaultMemberUniqueName="[BI Item].[Wholesale].[All]" allUniqueName="[BI Item].[Wholesale].[All]" dimensionUniqueName="[BI Item]" displayFolder="" count="0" memberValueDatatype="5" unbalanced="0"/>
    <cacheHierarchy uniqueName="[BI metrics].[Current Date]" caption="Current Date" attribute="1" time="1" defaultMemberUniqueName="[BI metrics].[Current Date].[All]" allUniqueName="[BI metrics].[Current Date].[All]" dimensionUniqueName="[BI metrics]" displayFolder="" count="0" memberValueDatatype="7" unbalanced="0"/>
    <cacheHierarchy uniqueName="[BI metrics].[Date]" caption="Date" attribute="1" time="1" defaultMemberUniqueName="[BI metrics].[Date].[All]" allUniqueName="[BI metrics].[Date].[All]" dimensionUniqueName="[BI metrics]" displayFolder="" count="0" memberValueDatatype="7" unbalanced="0"/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0"/>
      </fieldsUsage>
    </cacheHierarchy>
    <cacheHierarchy uniqueName="[BI metrics].[finPeriod_Before]" caption="finPeriod_Before" attribute="1" defaultMemberUniqueName="[BI metrics].[finPeriod_Before].[All]" allUniqueName="[BI metrics].[finPeriod_Before].[All]" dimensionUniqueName="[BI metrics]" displayFolder="" count="0" memberValueDatatype="130" unbalanced="0"/>
    <cacheHierarchy uniqueName="[BI metrics].[finPeriod_Before_Trend]" caption="finPeriod_Before_Trend" attribute="1" defaultMemberUniqueName="[BI metrics].[finPeriod_Before_Trend].[All]" allUniqueName="[BI metrics].[finPeriod_Before_Trend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2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20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20" unbalanced="0"/>
    <cacheHierarchy uniqueName="[BI metrics].[Min_Year]" caption="Min_Year" attribute="1" time="1" defaultMemberUniqueName="[BI metrics].[Min_Year].[All]" allUniqueName="[BI metrics].[Min_Year].[All]" dimensionUniqueName="[BI metrics]" displayFolder="" count="0" memberValueDatatype="7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1"/>
      </fieldsUsage>
    </cacheHierarchy>
    <cacheHierarchy uniqueName="[BI metrics].[TimePeriodSort]" caption="TimePeriodSort" attribute="1" defaultMemberUniqueName="[BI metrics].[TimePeriodSort].[All]" allUniqueName="[BI metrics].[TimePeriodSort].[All]" dimensionUniqueName="[BI metrics]" displayFolder="" count="0" memberValueDatatype="20" unbalanced="0"/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 Int]" caption="Year Int" attribute="1" defaultMemberUniqueName="[BI metrics].[Year Int].[All]" allUniqueName="[BI metrics].[Year Int].[All]" dimensionUniqueName="[BI metrics]" displayFolder="" count="0" memberValueDatatype="2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metrics].[Year_New]" caption="Year_New" attribute="1" defaultMemberUniqueName="[BI metrics].[Year_New].[All]" allUniqueName="[BI metrics].[Year_New].[All]" dimensionUniqueName="[BI metrics]" displayFolder="" count="0" memberValueDatatype="20" unbalanced="0"/>
    <cacheHierarchy uniqueName="[BI Store].[Area_Leader]" caption="Area_Leader" attribute="1" defaultMemberUniqueName="[BI Store].[Area_Leader].[All]" allUniqueName="[BI Store].[Area_Leader].[All]" dimensionUniqueName="[BI Store]" displayFolder="" count="0" memberValueDatatype="130" unbalanced="0"/>
    <cacheHierarchy uniqueName="[BI Store].[Area_Leader_New]" caption="Area_Leader_New" attribute="1" defaultMemberUniqueName="[BI Store].[Area_Leader_New].[All]" allUniqueName="[BI Store].[Area_Leader_New].[All]" dimensionUniqueName="[BI Store]" displayFolder="" count="0" memberValueDatatype="130" unbalanced="0"/>
    <cacheHierarchy uniqueName="[BI Store].[Branch_Type]" caption="Branch_Type" attribute="1" defaultMemberUniqueName="[BI Store].[Branch_Type].[All]" allUniqueName="[BI Store].[Branch_Type].[All]" dimensionUniqueName="[BI Store]" displayFolder="" count="2" memberValueDatatype="130" unbalanced="0">
      <fieldsUsage count="2">
        <fieldUsage x="-1"/>
        <fieldUsage x="4"/>
      </fieldsUsage>
    </cacheHierarchy>
    <cacheHierarchy uniqueName="[BI Store].[FreedomArea]" caption="FreedomArea" attribute="1" defaultMemberUniqueName="[BI Store].[FreedomArea].[All]" allUniqueName="[BI Store].[FreedomArea].[All]" dimensionUniqueName="[BI Store]" displayFolder="" count="0" memberValueDatatype="5" unbalanced="0"/>
    <cacheHierarchy uniqueName="[BI Store].[IsDC]" caption="IsDC" attribute="1" defaultMemberUniqueName="[BI Store].[IsDC].[All]" allUniqueName="[BI Store].[IsDC].[All]" dimensionUniqueName="[BI Store]" displayFolder="" count="0" memberValueDatatype="11" unbalanced="0"/>
    <cacheHierarchy uniqueName="[BI Store].[IsHO]" caption="IsHO" attribute="1" defaultMemberUniqueName="[BI Store].[IsHO].[All]" allUniqueName="[BI Store].[IsHO].[All]" dimensionUniqueName="[BI Store]" displayFolder="" count="0" memberValueDatatype="11" unbalanced="0"/>
    <cacheHierarchy uniqueName="[BI Store].[Store State Sort]" caption="Store State Sort" attribute="1" defaultMemberUniqueName="[BI Store].[Store State Sort].[All]" allUniqueName="[BI Store].[Store State Sort].[All]" dimensionUniqueName="[BI Store]" displayFolder="" count="0" memberValueDatatype="20" unbalanced="0"/>
    <cacheHierarchy uniqueName="[BI Store].[Store_Code]" caption="Store_Code" attribute="1" defaultMemberUniqueName="[BI Store].[Store_Code].[All]" allUniqueName="[BI Store].[Store_Code].[All]" dimensionUniqueName="[BI Store]" displayFolder="" count="0" memberValueDatatype="130" unbalanced="0"/>
    <cacheHierarchy uniqueName="[BI Store].[Store_Country]" caption="Store_Country" attribute="1" defaultMemberUniqueName="[BI Store].[Store_Country].[All]" allUniqueName="[BI Store].[Store_Country].[All]" dimensionUniqueName="[BI Store]" displayFolder="" count="2" memberValueDatatype="130" unbalanced="0">
      <fieldsUsage count="2">
        <fieldUsage x="-1"/>
        <fieldUsage x="5"/>
      </fieldsUsage>
    </cacheHierarchy>
    <cacheHierarchy uniqueName="[BI Store].[Store_Name]" caption="Store_Name" attribute="1" defaultMemberUniqueName="[BI Store].[Store_Name].[All]" allUniqueName="[BI Store].[Store_Name].[All]" dimensionUniqueName="[BI Store]" displayFolder="" count="0" memberValueDatatype="130" unbalanced="0"/>
    <cacheHierarchy uniqueName="[BI Store].[Store_State]" caption="Store_State" attribute="1" defaultMemberUniqueName="[BI Store].[Store_State].[All]" allUniqueName="[BI Store].[Store_State].[All]" dimensionUniqueName="[BI Store]" displayFolder="" count="0" memberValueDatatype="130" unbalanced="0"/>
    <cacheHierarchy uniqueName="[BI Store].[Store_Type]" caption="Store_Type" attribute="1" defaultMemberUniqueName="[BI Store].[Store_Type].[All]" allUniqueName="[BI Store].[Store_Type].[All]" dimensionUniqueName="[BI Store]" displayFolder="" count="0" memberValueDatatype="130" unbalanced="0"/>
    <cacheHierarchy uniqueName="[BI Store].[StoreKey]" caption="StoreKey" attribute="1" defaultMemberUniqueName="[BI Store].[StoreKey].[All]" allUniqueName="[BI Store].[StoreKey].[All]" dimensionUniqueName="[BI Store]" displayFolder="" count="0" memberValueDatatype="130" unbalanced="0"/>
    <cacheHierarchy uniqueName="[BI Store].[SubLeasedArea]" caption="SubLeasedArea" attribute="1" defaultMemberUniqueName="[BI Store].[SubLeasedArea].[All]" allUniqueName="[BI Store].[SubLeasedArea].[All]" dimensionUniqueName="[BI Store]" displayFolder="" count="0" memberValueDatatype="5" unbalanced="0"/>
    <cacheHierarchy uniqueName="[BI Store].[SubLeasedCompany]" caption="SubLeasedCompany" attribute="1" defaultMemberUniqueName="[BI Store].[SubLeasedCompany].[All]" allUniqueName="[BI Store].[SubLeasedCompany].[All]" dimensionUniqueName="[BI Store]" displayFolder="" count="0" memberValueDatatype="130" unbalanced="0"/>
    <cacheHierarchy uniqueName="[BI Store].[TotalArea]" caption="TotalArea" attribute="1" defaultMemberUniqueName="[BI Store].[TotalArea].[All]" allUniqueName="[BI Store].[TotalArea].[All]" dimensionUniqueName="[BI Store]" displayFolder="" count="0" memberValueDatatype="5" unbalanced="0"/>
    <cacheHierarchy uniqueName="[BI Store State Sort].[Sort No]" caption="Sort No" attribute="1" defaultMemberUniqueName="[BI Store State Sort].[Sort No].[All]" allUniqueName="[BI Store State Sort].[Sort No].[All]" dimensionUniqueName="[BI Store State Sort]" displayFolder="" count="0" memberValueDatatype="20" unbalanced="0"/>
    <cacheHierarchy uniqueName="[BI Store State Sort].[State Name]" caption="State Name" attribute="1" defaultMemberUniqueName="[BI Store State Sort].[State Name].[All]" allUniqueName="[BI Store State Sort].[State Name].[All]" dimensionUniqueName="[BI Store State Sort]" displayFolder="" count="0" memberValueDatatype="130" unbalanced="0"/>
    <cacheHierarchy uniqueName="[BI vw_BudgetByItemCategory].[BudgetDollar]" caption="BudgetDollar" attribute="1" defaultMemberUniqueName="[BI vw_BudgetByItemCategory].[BudgetDollar].[All]" allUniqueName="[BI vw_BudgetByItemCategory].[BudgetDollar].[All]" dimensionUniqueName="[BI vw_BudgetByItemCategory]" displayFolder="" count="0" memberValueDatatype="20" unbalanced="0"/>
    <cacheHierarchy uniqueName="[BI vw_BudgetByItemCategory].[BudgetGMDollar]" caption="BudgetGMDollar" attribute="1" defaultMemberUniqueName="[BI vw_BudgetByItemCategory].[BudgetGMDollar].[All]" allUniqueName="[BI vw_BudgetByItemCategory].[BudgetGMDollar].[All]" dimensionUniqueName="[BI vw_BudgetByItemCategory]" displayFolder="" count="0" memberValueDatatype="20" unbalanced="0"/>
    <cacheHierarchy uniqueName="[BI vw_BudgetByItemCategory].[BudgetMarkDown]" caption="BudgetMarkDown" attribute="1" defaultMemberUniqueName="[BI vw_BudgetByItemCategory].[BudgetMarkDown].[All]" allUniqueName="[BI vw_BudgetByItemCategory].[BudgetMarkDown].[All]" dimensionUniqueName="[BI vw_BudgetByItemCategory]" displayFolder="" count="0" memberValueDatatype="20" unbalanced="0"/>
    <cacheHierarchy uniqueName="[BI vw_BudgetByItemCategory].[BudgetPeriod]" caption="BudgetPeriod" attribute="1" defaultMemberUniqueName="[BI vw_BudgetByItemCategory].[BudgetPeriod].[All]" allUniqueName="[BI vw_BudgetByItemCategory].[BudgetPeriod].[All]" dimensionUniqueName="[BI vw_BudgetByItemCategory]" displayFolder="" count="0" memberValueDatatype="20" unbalanced="0"/>
    <cacheHierarchy uniqueName="[BI vw_BudgetByItemCategory].[BudgetWeek]" caption="BudgetWeek" attribute="1" defaultMemberUniqueName="[BI vw_BudgetByItemCategory].[BudgetWeek].[All]" allUniqueName="[BI vw_BudgetByItemCategory].[BudgetWeek].[All]" dimensionUniqueName="[BI vw_BudgetByItemCategory]" displayFolder="" count="0" memberValueDatatype="20" unbalanced="0"/>
    <cacheHierarchy uniqueName="[BI vw_BudgetByItemCategory].[BudgetYear]" caption="BudgetYear" attribute="1" defaultMemberUniqueName="[BI vw_BudgetByItemCategory].[BudgetYear].[All]" allUniqueName="[BI vw_BudgetByItemCategory].[BudgetYear].[All]" dimensionUniqueName="[BI vw_BudgetByItemCategory]" displayFolder="" count="0" memberValueDatatype="20" unbalanced="0"/>
    <cacheHierarchy uniqueName="[BI vw_BudgetByItemCategory].[Channel]" caption="Channel" attribute="1" defaultMemberUniqueName="[BI vw_BudgetByItemCategory].[Channel].[All]" allUniqueName="[BI vw_BudgetByItemCategory].[Channel].[All]" dimensionUniqueName="[BI vw_BudgetByItemCategory]" displayFolder="" count="0" memberValueDatatype="130" unbalanced="0"/>
    <cacheHierarchy uniqueName="[BI vw_BudgetByItemCategory].[Country]" caption="Country" attribute="1" defaultMemberUniqueName="[BI vw_BudgetByItemCategory].[Country].[All]" allUniqueName="[BI vw_BudgetByItemCategory].[Country].[All]" dimensionUniqueName="[BI vw_BudgetByItemCategory]" displayFolder="" count="2" memberValueDatatype="130" unbalanced="0">
      <fieldsUsage count="2">
        <fieldUsage x="-1"/>
        <fieldUsage x="6"/>
      </fieldsUsage>
    </cacheHierarchy>
    <cacheHierarchy uniqueName="[BI vw_BudgetByItemCategory].[DepartmentDesc]" caption="DepartmentDesc" attribute="1" defaultMemberUniqueName="[BI vw_BudgetByItemCategory].[DepartmentDesc].[All]" allUniqueName="[BI vw_BudgetByItemCategory].[DepartmentDesc].[All]" dimensionUniqueName="[BI vw_BudgetByItemCategory]" displayFolder="" count="0" memberValueDatatype="130" unbalanced="0"/>
    <cacheHierarchy uniqueName="[BI vw_BudgetByItemCategory].[Division]" caption="Division" attribute="1" defaultMemberUniqueName="[BI vw_BudgetByItemCategory].[Division].[All]" allUniqueName="[BI vw_BudgetByItemCategory].[Division].[All]" dimensionUniqueName="[BI vw_BudgetByItemCategory]" displayFolder="" count="0" memberValueDatatype="130" unbalanced="0"/>
    <cacheHierarchy uniqueName="[BI vw_BudgetByItemCategory].[JoinKey]" caption="JoinKey" attribute="1" defaultMemberUniqueName="[BI vw_BudgetByItemCategory].[JoinKey].[All]" allUniqueName="[BI vw_BudgetByItemCategory].[JoinKey].[All]" dimensionUniqueName="[BI vw_BudgetByItemCategory]" displayFolder="" count="0" memberValueDatatype="130" unbalanced="0"/>
    <cacheHierarchy uniqueName="[BI vw_BudgetByItemCategory].[Sale$ Pure]" caption="Sale$ Pure" attribute="1" defaultMemberUniqueName="[BI vw_BudgetByItemCategory].[Sale$ Pure].[All]" allUniqueName="[BI vw_BudgetByItemCategory].[Sale$ Pure].[All]" dimensionUniqueName="[BI vw_BudgetByItemCategory]" displayFolder="" count="0" memberValueDatatype="20" unbalanced="0"/>
    <cacheHierarchy uniqueName="[BI vw_BudgetByItemCategory].[Sales GM%]" caption="Sales GM%" attribute="1" defaultMemberUniqueName="[BI vw_BudgetByItemCategory].[Sales GM%].[All]" allUniqueName="[BI vw_BudgetByItemCategory].[Sales GM%].[All]" dimensionUniqueName="[BI vw_BudgetByItemCategory]" displayFolder="" count="0" memberValueDatatype="20" unbalanced="0"/>
    <cacheHierarchy uniqueName="[BI vw_BudgetByItemCategory].[Sales GM% Pure]" caption="Sales GM% Pure" attribute="1" defaultMemberUniqueName="[BI vw_BudgetByItemCategory].[Sales GM% Pure].[All]" allUniqueName="[BI vw_BudgetByItemCategory].[Sales GM% Pure].[All]" dimensionUniqueName="[BI vw_BudgetByItemCategory]" displayFolder="" count="0" memberValueDatatype="20" unbalanced="0"/>
    <cacheHierarchy uniqueName="[BI vw_BudgetByItemCategory].[StoreType]" caption="StoreType" attribute="1" defaultMemberUniqueName="[BI vw_BudgetByItemCategory].[StoreType].[All]" allUniqueName="[BI vw_BudgetByItemCategory].[StoreType].[All]" dimensionUniqueName="[BI vw_BudgetByItemCategory]" displayFolder="" count="0" memberValueDatatype="130" unbalanced="0"/>
    <cacheHierarchy uniqueName="[BI vw_BudgetByItemCategory].[SubDepartmentDesc]" caption="SubDepartmentDesc" attribute="1" defaultMemberUniqueName="[BI vw_BudgetByItemCategory].[SubDepartmentDesc].[All]" allUniqueName="[BI vw_BudgetByItemCategory].[SubDepartmentDesc].[All]" dimensionUniqueName="[BI vw_BudgetByItemCategory]" displayFolder="" count="0" memberValueDatatype="130" unbalanced="0"/>
    <cacheHierarchy uniqueName="[BI vw_BudgetByStore].[BudgetDollar]" caption="BudgetDollar" attribute="1" defaultMemberUniqueName="[BI vw_BudgetByStore].[BudgetDollar].[All]" allUniqueName="[BI vw_BudgetByStore].[BudgetDollar].[All]" dimensionUniqueName="[BI vw_BudgetByStore]" displayFolder="" count="0" memberValueDatatype="5" unbalanced="0"/>
    <cacheHierarchy uniqueName="[BI vw_BudgetByStore].[BudgetPeriod]" caption="BudgetPeriod" attribute="1" defaultMemberUniqueName="[BI vw_BudgetByStore].[BudgetPeriod].[All]" allUniqueName="[BI vw_BudgetByStore].[BudgetPeriod].[All]" dimensionUniqueName="[BI vw_BudgetByStore]" displayFolder="" count="0" memberValueDatatype="20" unbalanced="0"/>
    <cacheHierarchy uniqueName="[BI vw_BudgetByStore].[BudgetWeek]" caption="BudgetWeek" attribute="1" defaultMemberUniqueName="[BI vw_BudgetByStore].[BudgetWeek].[All]" allUniqueName="[BI vw_BudgetByStore].[BudgetWeek].[All]" dimensionUniqueName="[BI vw_BudgetByStore]" displayFolder="" count="0" memberValueDatatype="20" unbalanced="0"/>
    <cacheHierarchy uniqueName="[BI vw_BudgetByStore].[BudgetYear]" caption="BudgetYear" attribute="1" defaultMemberUniqueName="[BI vw_BudgetByStore].[BudgetYear].[All]" allUniqueName="[BI vw_BudgetByStore].[BudgetYear].[All]" dimensionUniqueName="[BI vw_BudgetByStore]" displayFolder="" count="0" memberValueDatatype="20" unbalanced="0"/>
    <cacheHierarchy uniqueName="[BI vw_BudgetByStore].[Channel]" caption="Channel" attribute="1" defaultMemberUniqueName="[BI vw_BudgetByStore].[Channel].[All]" allUniqueName="[BI vw_BudgetByStore].[Channel].[All]" dimensionUniqueName="[BI vw_BudgetByStore]" displayFolder="" count="0" memberValueDatatype="130" unbalanced="0"/>
    <cacheHierarchy uniqueName="[BI vw_BudgetByStore].[Country]" caption="Country" attribute="1" defaultMemberUniqueName="[BI vw_BudgetByStore].[Country].[All]" allUniqueName="[BI vw_BudgetByStore].[Country].[All]" dimensionUniqueName="[BI vw_BudgetByStore]" displayFolder="" count="0" memberValueDatatype="130" unbalanced="0"/>
    <cacheHierarchy uniqueName="[BI vw_BudgetByStore].[Division]" caption="Division" attribute="1" defaultMemberUniqueName="[BI vw_BudgetByStore].[Division].[All]" allUniqueName="[BI vw_BudgetByStore].[Division].[All]" dimensionUniqueName="[BI vw_BudgetByStore]" displayFolder="" count="0" memberValueDatatype="130" unbalanced="0"/>
    <cacheHierarchy uniqueName="[BI vw_BudgetByStore].[JoinKey]" caption="JoinKey" attribute="1" defaultMemberUniqueName="[BI vw_BudgetByStore].[JoinKey].[All]" allUniqueName="[BI vw_BudgetByStore].[JoinKey].[All]" dimensionUniqueName="[BI vw_BudgetByStore]" displayFolder="" count="0" memberValueDatatype="130" unbalanced="0"/>
    <cacheHierarchy uniqueName="[BI vw_BudgetByStore].[Store]" caption="Store" attribute="1" defaultMemberUniqueName="[BI vw_BudgetByStore].[Store].[All]" allUniqueName="[BI vw_BudgetByStore].[Store].[All]" dimensionUniqueName="[BI vw_BudgetByStore]" displayFolder="" count="0" memberValueDatatype="130" unbalanced="0"/>
    <cacheHierarchy uniqueName="[BI vw_BudgetByStore].[StoreKey]" caption="StoreKey" attribute="1" defaultMemberUniqueName="[BI vw_BudgetByStore].[StoreKey].[All]" allUniqueName="[BI vw_BudgetByStore].[StoreKey].[All]" dimensionUniqueName="[BI vw_BudgetByStore]" displayFolder="" count="0" memberValueDatatype="130" unbalanced="0"/>
    <cacheHierarchy uniqueName="[BI vw_BudgetByWeek].[BudgetPeriod]" caption="BudgetPeriod" attribute="1" defaultMemberUniqueName="[BI vw_BudgetByWeek].[BudgetPeriod].[All]" allUniqueName="[BI vw_BudgetByWeek].[BudgetPeriod].[All]" dimensionUniqueName="[BI vw_BudgetByWeek]" displayFolder="" count="0" memberValueDatatype="20" unbalanced="0"/>
    <cacheHierarchy uniqueName="[BI vw_BudgetByWeek].[BudgetWeek]" caption="BudgetWeek" attribute="1" defaultMemberUniqueName="[BI vw_BudgetByWeek].[BudgetWeek].[All]" allUniqueName="[BI vw_BudgetByWeek].[BudgetWeek].[All]" dimensionUniqueName="[BI vw_BudgetByWeek]" displayFolder="" count="0" memberValueDatatype="20" unbalanced="0"/>
    <cacheHierarchy uniqueName="[BI vw_BudgetByWeek].[BudgetYear]" caption="BudgetYear" attribute="1" defaultMemberUniqueName="[BI vw_BudgetByWeek].[BudgetYear].[All]" allUniqueName="[BI vw_BudgetByWeek].[BudgetYear].[All]" dimensionUniqueName="[BI vw_BudgetByWeek]" displayFolder="" count="0" memberValueDatatype="20" unbalanced="0"/>
    <cacheHierarchy uniqueName="[BI vw_BudgetByWeek].[Channel]" caption="Channel" attribute="1" defaultMemberUniqueName="[BI vw_BudgetByWeek].[Channel].[All]" allUniqueName="[BI vw_BudgetByWeek].[Channel].[All]" dimensionUniqueName="[BI vw_BudgetByWeek]" displayFolder="" count="0" memberValueDatatype="130" unbalanced="0"/>
    <cacheHierarchy uniqueName="[BI vw_BudgetByWeek].[Country]" caption="Country" attribute="1" defaultMemberUniqueName="[BI vw_BudgetByWeek].[Country].[All]" allUniqueName="[BI vw_BudgetByWeek].[Country].[All]" dimensionUniqueName="[BI vw_BudgetByWeek]" displayFolder="" count="0" memberValueDatatype="130" unbalanced="0"/>
    <cacheHierarchy uniqueName="[BI vw_BudgetByWeek].[FootTrafficBudget]" caption="FootTrafficBudget" attribute="1" defaultMemberUniqueName="[BI vw_BudgetByWeek].[FootTrafficBudget].[All]" allUniqueName="[BI vw_BudgetByWeek].[FootTrafficBudget].[All]" dimensionUniqueName="[BI vw_BudgetByWeek]" displayFolder="" count="0" memberValueDatatype="5" unbalanced="0"/>
    <cacheHierarchy uniqueName="[BI vw_BudgetByWeek].[ID]" caption="ID" attribute="1" defaultMemberUniqueName="[BI vw_BudgetByWeek].[ID].[All]" allUniqueName="[BI vw_BudgetByWeek].[ID].[All]" dimensionUniqueName="[BI vw_BudgetByWeek]" displayFolder="" count="0" memberValueDatatype="20" unbalanced="0"/>
    <cacheHierarchy uniqueName="[BI vw_BudgetByWeek].[joinKey]" caption="joinKey" attribute="1" defaultMemberUniqueName="[BI vw_BudgetByWeek].[joinKey].[All]" allUniqueName="[BI vw_BudgetByWeek].[joinKey].[All]" dimensionUniqueName="[BI vw_BudgetByWeek]" displayFolder="" count="0" memberValueDatatype="130" unbalanced="0"/>
    <cacheHierarchy uniqueName="[BI vw_BudgetByWeek].[NumberOfTransactionBudget]" caption="NumberOfTransactionBudget" attribute="1" defaultMemberUniqueName="[BI vw_BudgetByWeek].[NumberOfTransactionBudget].[All]" allUniqueName="[BI vw_BudgetByWeek].[NumberOfTransactionBudget].[All]" dimensionUniqueName="[BI vw_BudgetByWeek]" displayFolder="" count="0" memberValueDatatype="5" unbalanced="0"/>
    <cacheHierarchy uniqueName="[BI vw_BudgetByWeek].[Store]" caption="Store" attribute="1" defaultMemberUniqueName="[BI vw_BudgetByWeek].[Store].[All]" allUniqueName="[BI vw_BudgetByWeek].[Store].[All]" dimensionUniqueName="[BI vw_BudgetByWeek]" displayFolder="" count="0" memberValueDatatype="130" unbalanced="0"/>
    <cacheHierarchy uniqueName="[BI vw_BudgetDigital].[1P Sales]" caption="1P Sales" attribute="1" defaultMemberUniqueName="[BI vw_BudgetDigital].[1P Sales].[All]" allUniqueName="[BI vw_BudgetDigital].[1P Sales].[All]" dimensionUniqueName="[BI vw_BudgetDigital]" displayFolder="" count="0" memberValueDatatype="5" unbalanced="0"/>
    <cacheHierarchy uniqueName="[BI vw_BudgetDigital].[3P Sales]" caption="3P Sales" attribute="1" defaultMemberUniqueName="[BI vw_BudgetDigital].[3P Sales].[All]" allUniqueName="[BI vw_BudgetDigital].[3P Sales].[All]" dimensionUniqueName="[BI vw_BudgetDigital]" displayFolder="" count="0" memberValueDatatype="5" unbalanced="0"/>
    <cacheHierarchy uniqueName="[BI vw_BudgetDigital].[BudgetPeriod]" caption="BudgetPeriod" attribute="1" defaultMemberUniqueName="[BI vw_BudgetDigital].[BudgetPeriod].[All]" allUniqueName="[BI vw_BudgetDigital].[BudgetPeriod].[All]" dimensionUniqueName="[BI vw_BudgetDigital]" displayFolder="" count="0" memberValueDatatype="20" unbalanced="0"/>
    <cacheHierarchy uniqueName="[BI vw_BudgetDigital].[BudgetWeek]" caption="BudgetWeek" attribute="1" defaultMemberUniqueName="[BI vw_BudgetDigital].[BudgetWeek].[All]" allUniqueName="[BI vw_BudgetDigital].[BudgetWeek].[All]" dimensionUniqueName="[BI vw_BudgetDigital]" displayFolder="" count="0" memberValueDatatype="20" unbalanced="0"/>
    <cacheHierarchy uniqueName="[BI vw_BudgetDigital].[BudgetYear]" caption="BudgetYear" attribute="1" defaultMemberUniqueName="[BI vw_BudgetDigital].[BudgetYear].[All]" allUniqueName="[BI vw_BudgetDigital].[BudgetYear].[All]" dimensionUniqueName="[BI vw_BudgetDigital]" displayFolder="" count="0" memberValueDatatype="20" unbalanced="0"/>
    <cacheHierarchy uniqueName="[BI vw_BudgetDigital].[Country]" caption="Country" attribute="1" defaultMemberUniqueName="[BI vw_BudgetDigital].[Country].[All]" allUniqueName="[BI vw_BudgetDigital].[Country].[All]" dimensionUniqueName="[BI vw_BudgetDigital]" displayFolder="" count="0" memberValueDatatype="130" unbalanced="0"/>
    <cacheHierarchy uniqueName="[BI vw_BudgetDigital].[ID]" caption="ID" attribute="1" defaultMemberUniqueName="[BI vw_BudgetDigital].[ID].[All]" allUniqueName="[BI vw_BudgetDigital].[ID].[All]" dimensionUniqueName="[BI vw_BudgetDigital]" displayFolder="" count="0" memberValueDatatype="20" unbalanced="0"/>
    <cacheHierarchy uniqueName="[BI vw_BudgetDigital].[Key]" caption="Key" attribute="1" defaultMemberUniqueName="[BI vw_BudgetDigital].[Key].[All]" allUniqueName="[BI vw_BudgetDigital].[Key].[All]" dimensionUniqueName="[BI vw_BudgetDigital]" displayFolder="" count="0" memberValueDatatype="130" unbalanced="0"/>
    <cacheHierarchy uniqueName="[BI vw_BudgetDigital].[Online ATV]" caption="Online ATV" attribute="1" defaultMemberUniqueName="[BI vw_BudgetDigital].[Online ATV].[All]" allUniqueName="[BI vw_BudgetDigital].[Online ATV].[All]" dimensionUniqueName="[BI vw_BudgetDigital]" displayFolder="" count="0" memberValueDatatype="5" unbalanced="0"/>
    <cacheHierarchy uniqueName="[BI vw_BudgetDigital].[Online CR]" caption="Online CR" attribute="1" defaultMemberUniqueName="[BI vw_BudgetDigital].[Online CR].[All]" allUniqueName="[BI vw_BudgetDigital].[Online CR].[All]" dimensionUniqueName="[BI vw_BudgetDigital]" displayFolder="" count="0" memberValueDatatype="5" unbalanced="0"/>
    <cacheHierarchy uniqueName="[BI vw_BudgetDigital].[Online Traffic]" caption="Online Traffic" attribute="1" defaultMemberUniqueName="[BI vw_BudgetDigital].[Online Traffic].[All]" allUniqueName="[BI vw_BudgetDigital].[Online Traffic].[All]" dimensionUniqueName="[BI vw_BudgetDigital]" displayFolder="" count="0" memberValueDatatype="5" unbalanced="0"/>
    <cacheHierarchy uniqueName="[BI vw_BudgetDigital].[Total Sales]" caption="Total Sales" attribute="1" defaultMemberUniqueName="[BI vw_BudgetDigital].[Total Sales].[All]" allUniqueName="[BI vw_BudgetDigital].[Total Sales].[All]" dimensionUniqueName="[BI vw_BudgetDigital]" displayFolder="" count="0" memberValueDatatype="5" unbalanced="0"/>
    <cacheHierarchy uniqueName="[BI vw_BudgetDigital].[Trans Nbr]" caption="Trans Nbr" attribute="1" defaultMemberUniqueName="[BI vw_BudgetDigital].[Trans Nbr].[All]" allUniqueName="[BI vw_BudgetDigital].[Trans Nbr].[All]" dimensionUniqueName="[BI vw_BudgetDigital]" displayFolder="" count="0" memberValueDatatype="5" unbalanced="0"/>
    <cacheHierarchy uniqueName="[BI vw_BudgetOnlineByStore].[BudgetPeriod]" caption="BudgetPeriod" attribute="1" defaultMemberUniqueName="[BI vw_BudgetOnlineByStore].[BudgetPeriod].[All]" allUniqueName="[BI vw_BudgetOnlineByStore].[BudgetPeriod].[All]" dimensionUniqueName="[BI vw_BudgetOnlineByStore]" displayFolder="" count="0" memberValueDatatype="20" unbalanced="0"/>
    <cacheHierarchy uniqueName="[BI vw_BudgetOnlineByStore].[BudgetWeek]" caption="BudgetWeek" attribute="1" defaultMemberUniqueName="[BI vw_BudgetOnlineByStore].[BudgetWeek].[All]" allUniqueName="[BI vw_BudgetOnlineByStore].[BudgetWeek].[All]" dimensionUniqueName="[BI vw_BudgetOnlineByStore]" displayFolder="" count="0" memberValueDatatype="20" unbalanced="0"/>
    <cacheHierarchy uniqueName="[BI vw_BudgetOnlineByStore].[BudgetYear]" caption="BudgetYear" attribute="1" defaultMemberUniqueName="[BI vw_BudgetOnlineByStore].[BudgetYear].[All]" allUniqueName="[BI vw_BudgetOnlineByStore].[BudgetYear].[All]" dimensionUniqueName="[BI vw_BudgetOnlineByStore]" displayFolder="" count="0" memberValueDatatype="20" unbalanced="0"/>
    <cacheHierarchy uniqueName="[BI vw_BudgetOnlineByStore].[DropshipBudget]" caption="DropshipBudget" attribute="1" defaultMemberUniqueName="[BI vw_BudgetOnlineByStore].[DropshipBudget].[All]" allUniqueName="[BI vw_BudgetOnlineByStore].[DropshipBudget].[All]" dimensionUniqueName="[BI vw_BudgetOnlineByStore]" displayFolder="" count="0" memberValueDatatype="6" unbalanced="0"/>
    <cacheHierarchy uniqueName="[BI vw_BudgetOnlineByStore].[JoinKey]" caption="JoinKey" attribute="1" defaultMemberUniqueName="[BI vw_BudgetOnlineByStore].[JoinKey].[All]" allUniqueName="[BI vw_BudgetOnlineByStore].[JoinKey].[All]" dimensionUniqueName="[BI vw_BudgetOnlineByStore]" displayFolder="" count="0" memberValueDatatype="130" unbalanced="0"/>
    <cacheHierarchy uniqueName="[BI vw_BudgetOnlineByStore].[NOT_Budget]" caption="NOT_Budget" attribute="1" defaultMemberUniqueName="[BI vw_BudgetOnlineByStore].[NOT_Budget].[All]" allUniqueName="[BI vw_BudgetOnlineByStore].[NOT_Budget].[All]" dimensionUniqueName="[BI vw_BudgetOnlineByStore]" displayFolder="" count="0" memberValueDatatype="5" unbalanced="0"/>
    <cacheHierarchy uniqueName="[BI vw_BudgetOnlineByStore].[SalesClassification]" caption="SalesClassification" attribute="1" defaultMemberUniqueName="[BI vw_BudgetOnlineByStore].[SalesClassification].[All]" allUniqueName="[BI vw_BudgetOnlineByStore].[SalesClassification].[All]" dimensionUniqueName="[BI vw_BudgetOnlineByStore]" displayFolder="" count="0" memberValueDatatype="130" unbalanced="0"/>
    <cacheHierarchy uniqueName="[BI vw_BudgetOnlineByStore].[Store]" caption="Store" attribute="1" defaultMemberUniqueName="[BI vw_BudgetOnlineByStore].[Store].[All]" allUniqueName="[BI vw_BudgetOnlineByStore].[Store].[All]" dimensionUniqueName="[BI vw_BudgetOnlineByStore]" displayFolder="" count="0" memberValueDatatype="130" unbalanced="0"/>
    <cacheHierarchy uniqueName="[BI vw_BudgetOnlineByStore].[TotalOnlineBudget]" caption="TotalOnlineBudget" attribute="1" defaultMemberUniqueName="[BI vw_BudgetOnlineByStore].[TotalOnlineBudget].[All]" allUniqueName="[BI vw_BudgetOnlineByStore].[TotalOnlineBudget].[All]" dimensionUniqueName="[BI vw_BudgetOnlineByStore]" displayFolder="" count="0" memberValueDatatype="6" unbalanced="0"/>
    <cacheHierarchy uniqueName="[BI vw_DropshipBudget].[BudgetDollar]" caption="BudgetDollar" attribute="1" defaultMemberUniqueName="[BI vw_DropshipBudget].[BudgetDollar].[All]" allUniqueName="[BI vw_DropshipBudget].[BudgetDollar].[All]" dimensionUniqueName="[BI vw_DropshipBudget]" displayFolder="" count="0" memberValueDatatype="5" unbalanced="0"/>
    <cacheHierarchy uniqueName="[BI vw_DropshipBudget].[BudgetPeriod]" caption="BudgetPeriod" attribute="1" defaultMemberUniqueName="[BI vw_DropshipBudget].[BudgetPeriod].[All]" allUniqueName="[BI vw_DropshipBudget].[BudgetPeriod].[All]" dimensionUniqueName="[BI vw_DropshipBudget]" displayFolder="" count="0" memberValueDatatype="20" unbalanced="0"/>
    <cacheHierarchy uniqueName="[BI vw_DropshipBudget].[Department]" caption="Department" attribute="1" defaultMemberUniqueName="[BI vw_DropshipBudget].[Department].[All]" allUniqueName="[BI vw_DropshipBudget].[Department].[All]" dimensionUniqueName="[BI vw_DropshipBudget]" displayFolder="" count="0" memberValueDatatype="20" unbalanced="0"/>
    <cacheHierarchy uniqueName="[BI vw_DropshipBudget].[DepartmentDesc]" caption="DepartmentDesc" attribute="1" defaultMemberUniqueName="[BI vw_DropshipBudget].[DepartmentDesc].[All]" allUniqueName="[BI vw_DropshipBudget].[DepartmentDesc].[All]" dimensionUniqueName="[BI vw_DropshipBudget]" displayFolder="" count="0" memberValueDatatype="130" unbalanced="0"/>
    <cacheHierarchy uniqueName="[BI vw_DropshipBudget].[Division]" caption="Division" attribute="1" defaultMemberUniqueName="[BI vw_DropshipBudget].[Division].[All]" allUniqueName="[BI vw_DropshipBudget].[Division].[All]" dimensionUniqueName="[BI vw_DropshipBudget]" displayFolder="" count="0" memberValueDatatype="130" unbalanced="0"/>
    <cacheHierarchy uniqueName="[BI vw_DropshipBudget].[JoinKey]" caption="JoinKey" attribute="1" defaultMemberUniqueName="[BI vw_DropshipBudget].[JoinKey].[All]" allUniqueName="[BI vw_DropshipBudget].[JoinKey].[All]" dimensionUniqueName="[BI vw_DropshipBudget]" displayFolder="" count="0" memberValueDatatype="130" unbalanced="0"/>
    <cacheHierarchy uniqueName="[BI vw_Items].[Class]" caption="Class" attribute="1" defaultMemberUniqueName="[BI vw_Items].[Class].[All]" allUniqueName="[BI vw_Items].[Class].[All]" dimensionUniqueName="[BI vw_Items]" displayFolder="" count="0" memberValueDatatype="20" unbalanced="0"/>
    <cacheHierarchy uniqueName="[BI vw_Items].[ClassDesc]" caption="ClassDesc" attribute="1" defaultMemberUniqueName="[BI vw_Items].[ClassDesc].[All]" allUniqueName="[BI vw_Items].[ClassDesc].[All]" dimensionUniqueName="[BI vw_Items]" displayFolder="" count="0" memberValueDatatype="130" unbalanced="0"/>
    <cacheHierarchy uniqueName="[BI vw_Items].[department]" caption="department" attribute="1" defaultMemberUniqueName="[BI vw_Items].[department].[All]" allUniqueName="[BI vw_Items].[department].[All]" dimensionUniqueName="[BI vw_Items]" displayFolder="" count="0" memberValueDatatype="20" unbalanced="0"/>
    <cacheHierarchy uniqueName="[BI vw_Items].[DepartmentDesc]" caption="DepartmentDesc" attribute="1" defaultMemberUniqueName="[BI vw_Items].[DepartmentDesc].[All]" allUniqueName="[BI vw_Items].[DepartmentDesc].[All]" dimensionUniqueName="[BI vw_Items]" displayFolder="" count="0" memberValueDatatype="130" unbalanced="0"/>
    <cacheHierarchy uniqueName="[BI vw_Items].[Division]" caption="Division" attribute="1" defaultMemberUniqueName="[BI vw_Items].[Division].[All]" allUniqueName="[BI vw_Items].[Division].[All]" dimensionUniqueName="[BI vw_Items]" displayFolder="" count="0" memberValueDatatype="130" unbalanced="0"/>
    <cacheHierarchy uniqueName="[BI vw_Items].[FOB Port]" caption="FOB Port" attribute="1" defaultMemberUniqueName="[BI vw_Items].[FOB Port].[All]" allUniqueName="[BI vw_Items].[FOB Port].[All]" dimensionUniqueName="[BI vw_Items]" displayFolder="" count="0" memberValueDatatype="130" unbalanced="0"/>
    <cacheHierarchy uniqueName="[BI vw_Items].[Forecast Birth Date AU]" caption="Forecast Birth Date AU" attribute="1" defaultMemberUniqueName="[BI vw_Items].[Forecast Birth Date AU].[All]" allUniqueName="[BI vw_Items].[Forecast Birth Date AU].[All]" dimensionUniqueName="[BI vw_Items]" displayFolder="" count="0" memberValueDatatype="130" unbalanced="0"/>
    <cacheHierarchy uniqueName="[BI vw_Items].[Forecast Birth Date NZ]" caption="Forecast Birth Date NZ" attribute="1" defaultMemberUniqueName="[BI vw_Items].[Forecast Birth Date NZ].[All]" allUniqueName="[BI vw_Items].[Forecast Birth Date NZ].[All]" dimensionUniqueName="[BI vw_Items]" displayFolder="" count="0" memberValueDatatype="130" unbalanced="0"/>
    <cacheHierarchy uniqueName="[BI vw_Items].[IsComponent]" caption="IsComponent" attribute="1" defaultMemberUniqueName="[BI vw_Items].[IsComponent].[All]" allUniqueName="[BI vw_Items].[IsComponent].[All]" dimensionUniqueName="[BI vw_Items]" displayFolder="" count="0" memberValueDatatype="130" unbalanced="0"/>
    <cacheHierarchy uniqueName="[BI vw_Items].[ItemDescription]" caption="ItemDescription" attribute="1" defaultMemberUniqueName="[BI vw_Items].[ItemDescription].[All]" allUniqueName="[BI vw_Items].[ItemDescription].[All]" dimensionUniqueName="[BI vw_Items]" displayFolder="" count="0" memberValueDatatype="130" unbalanced="0"/>
    <cacheHierarchy uniqueName="[BI vw_Items].[ProductStatus]" caption="ProductStatus" attribute="1" defaultMemberUniqueName="[BI vw_Items].[ProductStatus].[All]" allUniqueName="[BI vw_Items].[ProductStatus].[All]" dimensionUniqueName="[BI vw_Items]" displayFolder="" count="0" memberValueDatatype="130" unbalanced="0"/>
    <cacheHierarchy uniqueName="[BI vw_Items].[ProductStatusNZ]" caption="ProductStatusNZ" attribute="1" defaultMemberUniqueName="[BI vw_Items].[ProductStatusNZ].[All]" allUniqueName="[BI vw_Items].[ProductStatusNZ].[All]" dimensionUniqueName="[BI vw_Items]" displayFolder="" count="0" memberValueDatatype="130" unbalanced="0"/>
    <cacheHierarchy uniqueName="[BI vw_Items].[PurchaseQTY]" caption="PurchaseQTY" attribute="1" defaultMemberUniqueName="[BI vw_Items].[PurchaseQTY].[All]" allUniqueName="[BI vw_Items].[PurchaseQTY].[All]" dimensionUniqueName="[BI vw_Items]" displayFolder="" count="0" memberValueDatatype="6" unbalanced="0"/>
    <cacheHierarchy uniqueName="[BI vw_Items].[Range]" caption="Range" attribute="1" defaultMemberUniqueName="[BI vw_Items].[Range].[All]" allUniqueName="[BI vw_Items].[Range].[All]" dimensionUniqueName="[BI vw_Items]" displayFolder="" count="0" memberValueDatatype="130" unbalanced="0"/>
    <cacheHierarchy uniqueName="[BI vw_Items].[Season_AUS]" caption="Season_AUS" attribute="1" defaultMemberUniqueName="[BI vw_Items].[Season_AUS].[All]" allUniqueName="[BI vw_Items].[Season_AUS].[All]" dimensionUniqueName="[BI vw_Items]" displayFolder="" count="0" memberValueDatatype="130" unbalanced="0"/>
    <cacheHierarchy uniqueName="[BI vw_Items].[Season_NZ]" caption="Season_NZ" attribute="1" defaultMemberUniqueName="[BI vw_Items].[Season_NZ].[All]" allUniqueName="[BI vw_Items].[Season_NZ].[All]" dimensionUniqueName="[BI vw_Items]" displayFolder="" count="0" memberValueDatatype="130" unbalanced="0"/>
    <cacheHierarchy uniqueName="[BI vw_Items].[SKU]" caption="SKU" attribute="1" defaultMemberUniqueName="[BI vw_Items].[SKU].[All]" allUniqueName="[BI vw_Items].[SKU].[All]" dimensionUniqueName="[BI vw_Items]" displayFolder="" count="0" memberValueDatatype="20" unbalanced="0"/>
    <cacheHierarchy uniqueName="[BI vw_Items].[Stock Type_AUS]" caption="Stock Type_AUS" attribute="1" defaultMemberUniqueName="[BI vw_Items].[Stock Type_AUS].[All]" allUniqueName="[BI vw_Items].[Stock Type_AUS].[All]" dimensionUniqueName="[BI vw_Items]" displayFolder="" count="0" memberValueDatatype="130" unbalanced="0"/>
    <cacheHierarchy uniqueName="[BI vw_Items].[SubDepartment]" caption="SubDepartment" attribute="1" defaultMemberUniqueName="[BI vw_Items].[SubDepartment].[All]" allUniqueName="[BI vw_Items].[SubDepartment].[All]" dimensionUniqueName="[BI vw_Items]" displayFolder="" count="0" memberValueDatatype="20" unbalanced="0"/>
    <cacheHierarchy uniqueName="[BI vw_Items].[SubDepartmentDesc]" caption="SubDepartmentDesc" attribute="1" defaultMemberUniqueName="[BI vw_Items].[SubDepartmentDesc].[All]" allUniqueName="[BI vw_Items].[SubDepartmentDesc].[All]" dimensionUniqueName="[BI vw_Items]" displayFolder="" count="0" memberValueDatatype="130" unbalanced="0"/>
    <cacheHierarchy uniqueName="[BI vw_Items].[Supplier Cost]" caption="Supplier Cost" attribute="1" defaultMemberUniqueName="[BI vw_Items].[Supplier Cost].[All]" allUniqueName="[BI vw_Items].[Supplier Cost].[All]" dimensionUniqueName="[BI vw_Items]" displayFolder="" count="0" memberValueDatatype="130" unbalanced="0"/>
    <cacheHierarchy uniqueName="[BI vw_Items].[supplier_code]" caption="supplier_code" attribute="1" defaultMemberUniqueName="[BI vw_Items].[supplier_code].[All]" allUniqueName="[BI vw_Items].[supplier_code].[All]" dimensionUniqueName="[BI vw_Items]" displayFolder="" count="0" memberValueDatatype="130" unbalanced="0"/>
    <cacheHierarchy uniqueName="[BI vw_WeeklyItemSales].[Country]" caption="Country" attribute="1" defaultMemberUniqueName="[BI vw_WeeklyItemSales].[Country].[All]" allUniqueName="[BI vw_WeeklyItemSales].[Country].[All]" dimensionUniqueName="[BI vw_WeeklyItemSales]" displayFolder="" count="0" memberValueDatatype="130" unbalanced="0"/>
    <cacheHierarchy uniqueName="[BI vw_WeeklyItemSales].[finPeriod]" caption="finPeriod" attribute="1" defaultMemberUniqueName="[BI vw_WeeklyItemSales].[finPeriod].[All]" allUniqueName="[BI vw_WeeklyItemSales].[finPeriod].[All]" dimensionUniqueName="[BI vw_WeeklyItemSales]" displayFolder="" count="0" memberValueDatatype="130" unbalanced="0"/>
    <cacheHierarchy uniqueName="[BI vw_WeeklyItemSales].[FirstWeek-Year]" caption="FirstWeek-Year" attribute="1" defaultMemberUniqueName="[BI vw_WeeklyItemSales].[FirstWeek-Year].[All]" allUniqueName="[BI vw_WeeklyItemSales].[FirstWeek-Year].[All]" dimensionUniqueName="[BI vw_WeeklyItemSales]" displayFolder="" count="0" memberValueDatatype="130" unbalanced="0"/>
    <cacheHierarchy uniqueName="[BI vw_WeeklyItemSales].[ItemKey]" caption="ItemKey" attribute="1" defaultMemberUniqueName="[BI vw_WeeklyItemSales].[ItemKey].[All]" allUniqueName="[BI vw_WeeklyItemSales].[ItemKey].[All]" dimensionUniqueName="[BI vw_WeeklyItemSales]" displayFolder="" count="0" memberValueDatatype="20" unbalanced="0"/>
    <cacheHierarchy uniqueName="[BI vw_WeeklyItemSales].[JoinKey]" caption="JoinKey" attribute="1" defaultMemberUniqueName="[BI vw_WeeklyItemSales].[JoinKey].[All]" allUniqueName="[BI vw_WeeklyItemSales].[JoinKey].[All]" dimensionUniqueName="[BI vw_WeeklyItemSales]" displayFolder="" count="0" memberValueDatatype="130" unbalanced="0"/>
    <cacheHierarchy uniqueName="[BI vw_WeeklyItemSales].[Quantity]" caption="Quantity" attribute="1" defaultMemberUniqueName="[BI vw_WeeklyItemSales].[Quantity].[All]" allUniqueName="[BI vw_WeeklyItemSales].[Quantity].[All]" dimensionUniqueName="[BI vw_WeeklyItemSales]" displayFolder="" count="0" memberValueDatatype="6" unbalanced="0"/>
    <cacheHierarchy uniqueName="[BI vw_WeeklyItemSales].[SalesClassification]" caption="SalesClassification" attribute="1" defaultMemberUniqueName="[BI vw_WeeklyItemSales].[SalesClassification].[All]" allUniqueName="[BI vw_WeeklyItemSales].[SalesClassification].[All]" dimensionUniqueName="[BI vw_WeeklyItemSales]" displayFolder="" count="0" memberValueDatatype="130" unbalanced="0"/>
    <cacheHierarchy uniqueName="[BI vw_WeeklyItemSales].[SalesCost]" caption="SalesCost" attribute="1" defaultMemberUniqueName="[BI vw_WeeklyItemSales].[SalesCost].[All]" allUniqueName="[BI vw_WeeklyItemSales].[SalesCost].[All]" dimensionUniqueName="[BI vw_WeeklyItemSales]" displayFolder="" count="0" memberValueDatatype="5" unbalanced="0"/>
    <cacheHierarchy uniqueName="[BI vw_WeeklyItemSales].[SalesRetail]" caption="SalesRetail" attribute="1" defaultMemberUniqueName="[BI vw_WeeklyItemSales].[SalesRetail].[All]" allUniqueName="[BI vw_WeeklyItemSales].[SalesRetail].[All]" dimensionUniqueName="[BI vw_WeeklyItemSales]" displayFolder="" count="0" memberValueDatatype="5" unbalanced="0"/>
    <cacheHierarchy uniqueName="[BI vw_WeeklyItemSales].[StoreKey]" caption="StoreKey" attribute="1" defaultMemberUniqueName="[BI vw_WeeklyItemSales].[StoreKey].[All]" allUniqueName="[BI vw_WeeklyItemSales].[StoreKey].[All]" dimensionUniqueName="[BI vw_WeeklyItemSales]" displayFolder="" count="0" memberValueDatatype="130" unbalanced="0"/>
    <cacheHierarchy uniqueName="[BI vw_WeeklyStoreATV].[division]" caption="division" attribute="1" defaultMemberUniqueName="[BI vw_WeeklyStoreATV].[division].[All]" allUniqueName="[BI vw_WeeklyStoreATV].[division].[All]" dimensionUniqueName="[BI vw_WeeklyStoreATV]" displayFolder="" count="0" memberValueDatatype="130" unbalanced="0"/>
    <cacheHierarchy uniqueName="[BI vw_WeeklyStoreATV].[FinOrderNumber]" caption="FinOrderNumber" attribute="1" defaultMemberUniqueName="[BI vw_WeeklyStoreATV].[FinOrderNumber].[All]" allUniqueName="[BI vw_WeeklyStoreATV].[FinOrderNumber].[All]" dimensionUniqueName="[BI vw_WeeklyStoreATV]" displayFolder="" count="0" memberValueDatatype="130" unbalanced="0"/>
    <cacheHierarchy uniqueName="[BI vw_WeeklyStoreATV].[FinPeriod]" caption="FinPeriod" attribute="1" defaultMemberUniqueName="[BI vw_WeeklyStoreATV].[FinPeriod].[All]" allUniqueName="[BI vw_WeeklyStoreATV].[FinPeriod].[All]" dimensionUniqueName="[BI vw_WeeklyStoreATV]" displayFolder="" count="0" memberValueDatatype="20" unbalanced="0"/>
    <cacheHierarchy uniqueName="[BI vw_WeeklyStoreATV].[JoinKey]" caption="JoinKey" attribute="1" defaultMemberUniqueName="[BI vw_WeeklyStoreATV].[JoinKey].[All]" allUniqueName="[BI vw_WeeklyStoreATV].[JoinKey].[All]" dimensionUniqueName="[BI vw_WeeklyStoreATV]" displayFolder="" count="0" memberValueDatatype="130" unbalanced="0"/>
    <cacheHierarchy uniqueName="[BI vw_WeeklyStoreATV].[NumTrans]" caption="NumTrans" attribute="1" defaultMemberUniqueName="[BI vw_WeeklyStoreATV].[NumTrans].[All]" allUniqueName="[BI vw_WeeklyStoreATV].[NumTrans].[All]" dimensionUniqueName="[BI vw_WeeklyStoreATV]" displayFolder="" count="0" memberValueDatatype="20" unbalanced="0"/>
    <cacheHierarchy uniqueName="[BI vw_WeeklyStoreATV].[NumTrans2]" caption="NumTrans2" attribute="1" defaultMemberUniqueName="[BI vw_WeeklyStoreATV].[NumTrans2].[All]" allUniqueName="[BI vw_WeeklyStoreATV].[NumTrans2].[All]" dimensionUniqueName="[BI vw_WeeklyStoreATV]" displayFolder="" count="0" memberValueDatatype="130" unbalanced="0"/>
    <cacheHierarchy uniqueName="[BI vw_WeeklyStoreATV].[OrderNumber]" caption="OrderNumber" attribute="1" defaultMemberUniqueName="[BI vw_WeeklyStoreATV].[OrderNumber].[All]" allUniqueName="[BI vw_WeeklyStoreATV].[OrderNumber].[All]" dimensionUniqueName="[BI vw_WeeklyStoreATV]" displayFolder="" count="0" memberValueDatatype="130" unbalanced="0"/>
    <cacheHierarchy uniqueName="[BI vw_WeeklyStoreATV].[SalesClassification]" caption="SalesClassification" attribute="1" defaultMemberUniqueName="[BI vw_WeeklyStoreATV].[SalesClassification].[All]" allUniqueName="[BI vw_WeeklyStoreATV].[SalesClassification].[All]" dimensionUniqueName="[BI vw_WeeklyStoreATV]" displayFolder="" count="0" memberValueDatatype="130" unbalanced="0"/>
    <cacheHierarchy uniqueName="[BI vw_WeeklyStoreATV].[SalesRetail]" caption="SalesRetail" attribute="1" defaultMemberUniqueName="[BI vw_WeeklyStoreATV].[SalesRetail].[All]" allUniqueName="[BI vw_WeeklyStoreATV].[SalesRetail].[All]" dimensionUniqueName="[BI vw_WeeklyStoreATV]" displayFolder="" count="0" memberValueDatatype="20" unbalanced="0"/>
    <cacheHierarchy uniqueName="[BI vw_WeeklyStoreATV].[Store_Country]" caption="Store_Country" attribute="1" defaultMemberUniqueName="[BI vw_WeeklyStoreATV].[Store_Country].[All]" allUniqueName="[BI vw_WeeklyStoreATV].[Store_Country].[All]" dimensionUniqueName="[BI vw_WeeklyStoreATV]" displayFolder="" count="0" memberValueDatatype="130" unbalanced="0"/>
    <cacheHierarchy uniqueName="[BI vw_WeeklyStoreATV].[StoreKey]" caption="StoreKey" attribute="1" defaultMemberUniqueName="[BI vw_WeeklyStoreATV].[StoreKey].[All]" allUniqueName="[BI vw_WeeklyStoreATV].[StoreKey].[All]" dimensionUniqueName="[BI vw_WeeklyStoreATV]" displayFolder="" count="0" memberValueDatatype="130" unbalanced="0"/>
    <cacheHierarchy uniqueName="[BI vw_WeeklyStoreTraffic].[Country]" caption="Country" attribute="1" defaultMemberUniqueName="[BI vw_WeeklyStoreTraffic].[Country].[All]" allUniqueName="[BI vw_WeeklyStoreTraffic].[Country].[All]" dimensionUniqueName="[BI vw_WeeklyStoreTraffic]" displayFolder="" count="0" memberValueDatatype="130" unbalanced="0"/>
    <cacheHierarchy uniqueName="[BI vw_WeeklyStoreTraffic].[finPeriod]" caption="finPeriod" attribute="1" defaultMemberUniqueName="[BI vw_WeeklyStoreTraffic].[finPeriod].[All]" allUniqueName="[BI vw_WeeklyStoreTraffic].[finPeriod].[All]" dimensionUniqueName="[BI vw_WeeklyStoreTraffic]" displayFolder="" count="0" memberValueDatatype="130" unbalanced="0"/>
    <cacheHierarchy uniqueName="[BI vw_WeeklyStoreTraffic].[JoinKey]" caption="JoinKey" attribute="1" defaultMemberUniqueName="[BI vw_WeeklyStoreTraffic].[JoinKey].[All]" allUniqueName="[BI vw_WeeklyStoreTraffic].[JoinKey].[All]" dimensionUniqueName="[BI vw_WeeklyStoreTraffic]" displayFolder="" count="0" memberValueDatatype="130" unbalanced="0"/>
    <cacheHierarchy uniqueName="[BI vw_WeeklyStoreTraffic].[Store]" caption="Store" attribute="1" defaultMemberUniqueName="[BI vw_WeeklyStoreTraffic].[Store].[All]" allUniqueName="[BI vw_WeeklyStoreTraffic].[Store].[All]" dimensionUniqueName="[BI vw_WeeklyStoreTraffic]" displayFolder="" count="0" memberValueDatatype="130" unbalanced="0"/>
    <cacheHierarchy uniqueName="[BI vw_WeeklyStoreTraffic].[storekey]" caption="storekey" attribute="1" defaultMemberUniqueName="[BI vw_WeeklyStoreTraffic].[storekey].[All]" allUniqueName="[BI vw_WeeklyStoreTraffic].[storekey].[All]" dimensionUniqueName="[BI vw_WeeklyStoreTraffic]" displayFolder="" count="0" memberValueDatatype="130" unbalanced="0"/>
    <cacheHierarchy uniqueName="[BI vw_WeeklyStoreTraffic].[Traffic]" caption="Traffic" attribute="1" defaultMemberUniqueName="[BI vw_WeeklyStoreTraffic].[Traffic].[All]" allUniqueName="[BI vw_WeeklyStoreTraffic].[Traffic].[All]" dimensionUniqueName="[BI vw_WeeklyStoreTraffic]" displayFolder="" count="0" memberValueDatatype="20" unbalanced="0"/>
    <cacheHierarchy uniqueName="[BI vw_WeeklyWrittenSalesMetrics].[ATV_JoinKey]" caption="ATV_JoinKey" attribute="1" defaultMemberUniqueName="[BI vw_WeeklyWrittenSalesMetrics].[ATV_JoinKey].[All]" allUniqueName="[BI vw_WeeklyWrittenSalesMetrics].[ATV_JoinKey].[All]" dimensionUniqueName="[BI vw_WeeklyWrittenSalesMetrics]" displayFolder="" count="0" memberValueDatatype="130" unbalanced="0"/>
    <cacheHierarchy uniqueName="[BI vw_WeeklyWrittenSalesMetrics].[Branch_Type]" caption="Branch_Type" attribute="1" defaultMemberUniqueName="[BI vw_WeeklyWrittenSalesMetrics].[Branch_Type].[All]" allUniqueName="[BI vw_WeeklyWrittenSalesMetrics].[Branch_Type].[All]" dimensionUniqueName="[BI vw_WeeklyWrittenSalesMetrics]" displayFolder="" count="2" memberValueDatatype="130" unbalanced="0">
      <fieldsUsage count="2">
        <fieldUsage x="-1"/>
        <fieldUsage x="8"/>
      </fieldsUsage>
    </cacheHierarchy>
    <cacheHierarchy uniqueName="[BI vw_WeeklyWrittenSalesMetrics].[BudgetByItem_JoinKey]" caption="BudgetByItem_JoinKey" attribute="1" defaultMemberUniqueName="[BI vw_WeeklyWrittenSalesMetrics].[BudgetByItem_JoinKey].[All]" allUniqueName="[BI vw_WeeklyWrittenSalesMetrics].[BudgetByItem_JoinKey].[All]" dimensionUniqueName="[BI vw_WeeklyWrittenSalesMetrics]" displayFolder="" count="0" memberValueDatatype="130" unbalanced="0"/>
    <cacheHierarchy uniqueName="[BI vw_WeeklyWrittenSalesMetrics].[BudgetByStore_JoinKey]" caption="BudgetByStore_JoinKey" attribute="1" defaultMemberUniqueName="[BI vw_WeeklyWrittenSalesMetrics].[BudgetByStore_JoinKey].[All]" allUniqueName="[BI vw_WeeklyWrittenSalesMetrics].[BudgetByStore_JoinKey].[All]" dimensionUniqueName="[BI vw_WeeklyWrittenSalesMetrics]" displayFolder="" count="0" memberValueDatatype="130" unbalanced="0"/>
    <cacheHierarchy uniqueName="[BI vw_WeeklyWrittenSalesMetrics].[BudgetByWeek_JoinKey]" caption="BudgetByWeek_JoinKey" attribute="1" defaultMemberUniqueName="[BI vw_WeeklyWrittenSalesMetrics].[BudgetByWeek_JoinKey].[All]" allUniqueName="[BI vw_WeeklyWrittenSalesMetrics].[BudgetByWeek_JoinKey].[All]" dimensionUniqueName="[BI vw_WeeklyWrittenSalesMetrics]" displayFolder="" count="0" memberValueDatatype="130" unbalanced="0"/>
    <cacheHierarchy uniqueName="[BI vw_WeeklyWrittenSalesMetrics].[BudgetDigital_JoinKey]" caption="BudgetDigital_JoinKey" attribute="1" defaultMemberUniqueName="[BI vw_WeeklyWrittenSalesMetrics].[BudgetDigital_JoinKey].[All]" allUniqueName="[BI vw_WeeklyWrittenSalesMetrics].[BudgetDigital_JoinKey].[All]" dimensionUniqueName="[BI vw_WeeklyWrittenSalesMetrics]" displayFolder="" count="0" memberValueDatatype="130" unbalanced="0"/>
    <cacheHierarchy uniqueName="[BI vw_WeeklyWrittenSalesMetrics].[BudgetOnlineByStore_JoinKey]" caption="BudgetOnlineByStore_JoinKey" attribute="1" defaultMemberUniqueName="[BI vw_WeeklyWrittenSalesMetrics].[BudgetOnlineByStore_JoinKey].[All]" allUniqueName="[BI vw_WeeklyWrittenSalesMetrics].[BudgetOnlineByStore_JoinKey].[All]" dimensionUniqueName="[BI vw_WeeklyWrittenSalesMetrics]" displayFolder="" count="0" memberValueDatatype="130" unbalanced="0"/>
    <cacheHierarchy uniqueName="[BI vw_WeeklyWrittenSalesMetrics].[Channel]" caption="Channel" attribute="1" defaultMemberUniqueName="[BI vw_WeeklyWrittenSalesMetrics].[Channel].[All]" allUniqueName="[BI vw_WeeklyWrittenSalesMetrics].[Channel].[All]" dimensionUniqueName="[BI vw_WeeklyWrittenSalesMetrics]" displayFolder="" count="2" memberValueDatatype="130" unbalanced="0">
      <fieldsUsage count="2">
        <fieldUsage x="-1"/>
        <fieldUsage x="12"/>
      </fieldsUsage>
    </cacheHierarchy>
    <cacheHierarchy uniqueName="[BI vw_WeeklyWrittenSalesMetrics].[ClassDesc]" caption="ClassDesc" attribute="1" defaultMemberUniqueName="[BI vw_WeeklyWrittenSalesMetrics].[ClassDesc].[All]" allUniqueName="[BI vw_WeeklyWrittenSalesMetrics].[ClassDesc].[All]" dimensionUniqueName="[BI vw_WeeklyWrittenSalesMetrics]" displayFolder="" count="0" memberValueDatatype="130" unbalanced="0"/>
    <cacheHierarchy uniqueName="[BI vw_WeeklyWrittenSalesMetrics].[Country]" caption="Country" attribute="1" defaultMemberUniqueName="[BI vw_WeeklyWrittenSalesMetrics].[Country].[All]" allUniqueName="[BI vw_WeeklyWrittenSalesMetrics].[Country].[All]" dimensionUniqueName="[BI vw_WeeklyWrittenSalesMetrics]" displayFolder="" count="2" memberValueDatatype="130" unbalanced="0">
      <fieldsUsage count="2">
        <fieldUsage x="-1"/>
        <fieldUsage x="10"/>
      </fieldsUsage>
    </cacheHierarchy>
    <cacheHierarchy uniqueName="[BI vw_WeeklyWrittenSalesMetrics].[DepartmentDesc]" caption="DepartmentDesc" attribute="1" defaultMemberUniqueName="[BI vw_WeeklyWrittenSalesMetrics].[DepartmentDesc].[All]" allUniqueName="[BI vw_WeeklyWrittenSalesMetrics].[DepartmentDesc].[All]" dimensionUniqueName="[BI vw_WeeklyWrittenSalesMetrics]" displayFolder="" count="0" memberValueDatatype="130" unbalanced="0"/>
    <cacheHierarchy uniqueName="[BI vw_WeeklyWrittenSalesMetrics].[Division]" caption="Division" attribute="1" defaultMemberUniqueName="[BI vw_WeeklyWrittenSalesMetrics].[Division].[All]" allUniqueName="[BI vw_WeeklyWrittenSalesMetrics].[Division].[All]" dimensionUniqueName="[BI vw_WeeklyWrittenSalesMetrics]" displayFolder="" count="2" memberValueDatatype="130" unbalanced="0">
      <fieldsUsage count="2">
        <fieldUsage x="-1"/>
        <fieldUsage x="9"/>
      </fieldsUsage>
    </cacheHierarchy>
    <cacheHierarchy uniqueName="[BI vw_WeeklyWrittenSalesMetrics].[Dropship]" caption="Dropship" attribute="1" defaultMemberUniqueName="[BI vw_WeeklyWrittenSalesMetrics].[Dropship].[All]" allUniqueName="[BI vw_WeeklyWrittenSalesMetrics].[Dropship].[All]" dimensionUniqueName="[BI vw_WeeklyWrittenSalesMetrics]" displayFolder="" count="0" memberValueDatatype="130" unbalanced="0"/>
    <cacheHierarchy uniqueName="[BI vw_WeeklyWrittenSalesMetrics].[DropshipBudget_JoinKey]" caption="DropshipBudget_JoinKey" attribute="1" defaultMemberUniqueName="[BI vw_WeeklyWrittenSalesMetrics].[DropshipBudget_JoinKey].[All]" allUniqueName="[BI vw_WeeklyWrittenSalesMetrics].[DropshipBudget_JoinKey].[All]" dimensionUniqueName="[BI vw_WeeklyWrittenSalesMetrics]" displayFolder="" count="0" memberValueDatatype="130" unbalanced="0"/>
    <cacheHierarchy uniqueName="[BI vw_WeeklyWrittenSalesMetrics].[FinPeriod]" caption="FinPeriod" attribute="1" defaultMemberUniqueName="[BI vw_WeeklyWrittenSalesMetrics].[FinPeriod].[All]" allUniqueName="[BI vw_WeeklyWrittenSalesMetrics].[FinPeriod].[All]" dimensionUniqueName="[BI vw_WeeklyWrittenSalesMetrics]" displayFolder="" count="0" memberValueDatatype="20" unbalanced="0"/>
    <cacheHierarchy uniqueName="[BI vw_WeeklyWrittenSalesMetrics].[FinPeriod_2025]" caption="FinPeriod_2025" attribute="1" defaultMemberUniqueName="[BI vw_WeeklyWrittenSalesMetrics].[FinPeriod_2025].[All]" allUniqueName="[BI vw_WeeklyWrittenSalesMetrics].[FinPeriod_2025].[All]" dimensionUniqueName="[BI vw_WeeklyWrittenSalesMetrics]" displayFolder="" count="0" memberValueDatatype="130" unbalanced="0"/>
    <cacheHierarchy uniqueName="[BI vw_WeeklyWrittenSalesMetrics].[FinPeriod_LY]" caption="FinPeriod_LY" attribute="1" defaultMemberUniqueName="[BI vw_WeeklyWrittenSalesMetrics].[FinPeriod_LY].[All]" allUniqueName="[BI vw_WeeklyWrittenSalesMetrics].[FinPeriod_LY].[All]" dimensionUniqueName="[BI vw_WeeklyWrittenSalesMetrics]" displayFolder="" count="0" memberValueDatatype="20" unbalanced="0"/>
    <cacheHierarchy uniqueName="[BI vw_WeeklyWrittenSalesMetrics].[FirstWeek-Month]" caption="FirstWeek-Month" attribute="1" defaultMemberUniqueName="[BI vw_WeeklyWrittenSalesMetrics].[FirstWeek-Month].[All]" allUniqueName="[BI vw_WeeklyWrittenSalesMetrics].[FirstWeek-Month].[All]" dimensionUniqueName="[BI vw_WeeklyWrittenSalesMetrics]" displayFolder="" count="0" memberValueDatatype="20" unbalanced="0"/>
    <cacheHierarchy uniqueName="[BI vw_WeeklyWrittenSalesMetrics].[FirstWeek-QTD]" caption="FirstWeek-QTD" attribute="1" defaultMemberUniqueName="[BI vw_WeeklyWrittenSalesMetrics].[FirstWeek-QTD].[All]" allUniqueName="[BI vw_WeeklyWrittenSalesMetrics].[FirstWeek-QTD].[All]" dimensionUniqueName="[BI vw_WeeklyWrittenSalesMetrics]" displayFolder="" count="0" memberValueDatatype="20" unbalanced="0"/>
    <cacheHierarchy uniqueName="[BI vw_WeeklyWrittenSalesMetrics].[FirstWeek-Year]" caption="FirstWeek-Year" attribute="1" defaultMemberUniqueName="[BI vw_WeeklyWrittenSalesMetrics].[FirstWeek-Year].[All]" allUniqueName="[BI vw_WeeklyWrittenSalesMetrics].[FirstWeek-Year].[All]" dimensionUniqueName="[BI vw_WeeklyWrittenSalesMetrics]" displayFolder="" count="0" memberValueDatatype="20" unbalanced="0"/>
    <cacheHierarchy uniqueName="[BI vw_WeeklyWrittenSalesMetrics].[Forcast_JoinKey]" caption="Forcast_JoinKey" attribute="1" defaultMemberUniqueName="[BI vw_WeeklyWrittenSalesMetrics].[Forcast_JoinKey].[All]" allUniqueName="[BI vw_WeeklyWrittenSalesMetrics].[Forcast_JoinKey].[All]" dimensionUniqueName="[BI vw_WeeklyWrittenSalesMetrics]" displayFolder="" count="0" memberValueDatatype="130" unbalanced="0"/>
    <cacheHierarchy uniqueName="[BI vw_WeeklyWrittenSalesMetrics].[ForcastByClass_JoinKey]" caption="ForcastByClass_JoinKey" attribute="1" defaultMemberUniqueName="[BI vw_WeeklyWrittenSalesMetrics].[ForcastByClass_JoinKey].[All]" allUniqueName="[BI vw_WeeklyWrittenSalesMetrics].[ForcastByClass_JoinKey].[All]" dimensionUniqueName="[BI vw_WeeklyWrittenSalesMetrics]" displayFolder="" count="0" memberValueDatatype="130" unbalanced="0"/>
    <cacheHierarchy uniqueName="[BI vw_WeeklyWrittenSalesMetrics].[SalesatFullRet]" caption="SalesatFullRet" attribute="1" defaultMemberUniqueName="[BI vw_WeeklyWrittenSalesMetrics].[SalesatFullRet].[All]" allUniqueName="[BI vw_WeeklyWrittenSalesMetrics].[SalesatFullRet].[All]" dimensionUniqueName="[BI vw_WeeklyWrittenSalesMetrics]" displayFolder="" count="0" memberValueDatatype="5" unbalanced="0"/>
    <cacheHierarchy uniqueName="[BI vw_WeeklyWrittenSalesMetrics].[SalesClassification]" caption="SalesClassification" attribute="1" defaultMemberUniqueName="[BI vw_WeeklyWrittenSalesMetrics].[SalesClassification].[All]" allUniqueName="[BI vw_WeeklyWrittenSalesMetrics].[SalesClassification].[All]" dimensionUniqueName="[BI vw_WeeklyWrittenSalesMetrics]" displayFolder="" count="0" memberValueDatatype="130" unbalanced="0"/>
    <cacheHierarchy uniqueName="[BI vw_WeeklyWrittenSalesMetrics].[SalesCost]" caption="SalesCost" attribute="1" defaultMemberUniqueName="[BI vw_WeeklyWrittenSalesMetrics].[SalesCost].[All]" allUniqueName="[BI vw_WeeklyWrittenSalesMetrics].[SalesCost].[All]" dimensionUniqueName="[BI vw_WeeklyWrittenSalesMetrics]" displayFolder="" count="0" memberValueDatatype="5" unbalanced="0"/>
    <cacheHierarchy uniqueName="[BI vw_WeeklyWrittenSalesMetrics].[SalesGM]" caption="SalesGM" attribute="1" defaultMemberUniqueName="[BI vw_WeeklyWrittenSalesMetrics].[SalesGM].[All]" allUniqueName="[BI vw_WeeklyWrittenSalesMetrics].[SalesGM].[All]" dimensionUniqueName="[BI vw_WeeklyWrittenSalesMetrics]" displayFolder="" count="0" memberValueDatatype="5" unbalanced="0"/>
    <cacheHierarchy uniqueName="[BI vw_WeeklyWrittenSalesMetrics].[SalesRetail]" caption="SalesRetail" attribute="1" defaultMemberUniqueName="[BI vw_WeeklyWrittenSalesMetrics].[SalesRetail].[All]" allUniqueName="[BI vw_WeeklyWrittenSalesMetrics].[SalesRetail].[All]" dimensionUniqueName="[BI vw_WeeklyWrittenSalesMetrics]" displayFolder="" count="0" memberValueDatatype="5" unbalanced="0"/>
    <cacheHierarchy uniqueName="[BI vw_WeeklyWrittenSalesMetrics].[SalesType]" caption="SalesType" attribute="1" defaultMemberUniqueName="[BI vw_WeeklyWrittenSalesMetrics].[SalesType].[All]" allUniqueName="[BI vw_WeeklyWrittenSalesMetrics].[SalesType].[All]" dimensionUniqueName="[BI vw_WeeklyWrittenSalesMetrics]" displayFolder="" count="0" memberValueDatatype="130" unbalanced="0"/>
    <cacheHierarchy uniqueName="[BI vw_WeeklyWrittenSalesMetrics].[SalesUnits]" caption="SalesUnits" attribute="1" defaultMemberUniqueName="[BI vw_WeeklyWrittenSalesMetrics].[SalesUnits].[All]" allUniqueName="[BI vw_WeeklyWrittenSalesMetrics].[SalesUnits].[All]" dimensionUniqueName="[BI vw_WeeklyWrittenSalesMetrics]" displayFolder="" count="0" memberValueDatatype="5" unbalanced="0"/>
    <cacheHierarchy uniqueName="[BI vw_WeeklyWrittenSalesMetrics].[Store]" caption="Store" attribute="1" defaultMemberUniqueName="[BI vw_WeeklyWrittenSalesMetrics].[Store].[All]" allUniqueName="[BI vw_WeeklyWrittenSalesMetrics].[Store].[All]" dimensionUniqueName="[BI vw_WeeklyWrittenSalesMetrics]" displayFolder="" count="0" memberValueDatatype="130" unbalanced="0"/>
    <cacheHierarchy uniqueName="[BI vw_WeeklyWrittenSalesMetrics].[StoreKey]" caption="StoreKey" attribute="1" defaultMemberUniqueName="[BI vw_WeeklyWrittenSalesMetrics].[StoreKey].[All]" allUniqueName="[BI vw_WeeklyWrittenSalesMetrics].[StoreKey].[All]" dimensionUniqueName="[BI vw_WeeklyWrittenSalesMetrics]" displayFolder="" count="0" memberValueDatatype="20" unbalanced="0"/>
    <cacheHierarchy uniqueName="[BI vw_WeeklyWrittenSalesMetrics].[SubDepartmentDesc]" caption="SubDepartmentDesc" attribute="1" defaultMemberUniqueName="[BI vw_WeeklyWrittenSalesMetrics].[SubDepartmentDesc].[All]" allUniqueName="[BI vw_WeeklyWrittenSalesMetrics].[SubDepartmentDesc].[All]" dimensionUniqueName="[BI vw_WeeklyWrittenSalesMetrics]" displayFolder="" count="0" memberValueDatatype="130" unbalanced="0"/>
    <cacheHierarchy uniqueName="[BI vw_WeeklyWrittenSalesMetrics].[TOTRETMD]" caption="TOTRETMD" attribute="1" defaultMemberUniqueName="[BI vw_WeeklyWrittenSalesMetrics].[TOTRETMD].[All]" allUniqueName="[BI vw_WeeklyWrittenSalesMetrics].[TOTRETMD].[All]" dimensionUniqueName="[BI vw_WeeklyWrittenSalesMetrics]" displayFolder="" count="0" memberValueDatatype="5" unbalanced="0"/>
    <cacheHierarchy uniqueName="[BI vw_WeeklyWrittenSalesMetrics].[Traffic_JoinKey]" caption="Traffic_JoinKey" attribute="1" defaultMemberUniqueName="[BI vw_WeeklyWrittenSalesMetrics].[Traffic_JoinKey].[All]" allUniqueName="[BI vw_WeeklyWrittenSalesMetrics].[Traffic_JoinKey].[All]" dimensionUniqueName="[BI vw_WeeklyWrittenSalesMetrics]" displayFolder="" count="0" memberValueDatatype="130" unbalanced="0"/>
    <cacheHierarchy uniqueName="[BI vw_WeeklyWrittenSalesMetrics].[WeeklyItemSaleKey]" caption="WeeklyItemSaleKey" attribute="1" defaultMemberUniqueName="[BI vw_WeeklyWrittenSalesMetrics].[WeeklyItemSaleKey].[All]" allUniqueName="[BI vw_WeeklyWrittenSalesMetrics].[WeeklyItemSaleKey].[All]" dimensionUniqueName="[BI vw_WeeklyWrittenSalesMetrics]" displayFolder="" count="0" memberValueDatatype="130" unbalanced="0"/>
    <cacheHierarchy uniqueName="[Dim_Category].[Column_Name]" caption="Column_Name" attribute="1" defaultMemberUniqueName="[Dim_Category].[Column_Name].[All]" allUniqueName="[Dim_Category].[Column_Name].[All]" dimensionUniqueName="[Dim_Category]" displayFolder="" count="0" memberValueDatatype="130" unbalanced="0"/>
    <cacheHierarchy uniqueName="[Dim_Category].[Sort N]" caption="Sort N" attribute="1" defaultMemberUniqueName="[Dim_Category].[Sort N].[All]" allUniqueName="[Dim_Category].[Sort N].[All]" dimensionUniqueName="[Dim_Category]" displayFolder="" count="0" memberValueDatatype="20" unbalanced="0"/>
    <cacheHierarchy uniqueName="[dim_period].[Current Date]" caption="Current Date" attribute="1" time="1" defaultMemberUniqueName="[dim_period].[Current Date].[All]" allUniqueName="[dim_period].[Current Date].[All]" dimensionUniqueName="[dim_period]" displayFolder="" count="0" memberValueDatatype="7" unbalanced="0"/>
    <cacheHierarchy uniqueName="[dim_period].[Date]" caption="Date" attribute="1" time="1" defaultMemberUniqueName="[dim_period].[Date].[All]" allUniqueName="[dim_period].[Date].[All]" dimensionUniqueName="[dim_period]" displayFolder="" count="0" memberValueDatatype="7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inPeriod_BeforeToday]" caption="finPeriod_BeforeToday" attribute="1" defaultMemberUniqueName="[dim_period].[finPeriod_BeforeToday].[All]" allUniqueName="[dim_period].[finPeriod_BeforeToday].[All]" dimensionUniqueName="[dim_period]" displayFolder="" count="0" memberValueDatatype="13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Month_NumberY]" caption="Month_NumberY" attribute="1" defaultMemberUniqueName="[dim_period].[Month_NumberY].[All]" allUniqueName="[dim_period].[Month_NumberY].[All]" dimensionUniqueName="[dim_period]" displayFolder="" count="0" memberValueDatatype="2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dim_period].[Year_New]" caption="Year_New" attribute="1" defaultMemberUniqueName="[dim_period].[Year_New].[All]" allUniqueName="[dim_period].[Year_New].[All]" dimensionUniqueName="[dim_period]" displayFolder="" count="0" memberValueDatatype="20" unbalanced="0"/>
    <cacheHierarchy uniqueName="[ForcastByClass].[Branch Type]" caption="Branch Type" attribute="1" defaultMemberUniqueName="[ForcastByClass].[Branch Type].[All]" allUniqueName="[ForcastByClass].[Branch Type].[All]" dimensionUniqueName="[ForcastByClass]" displayFolder="" count="0" memberValueDatatype="130" unbalanced="0"/>
    <cacheHierarchy uniqueName="[ForcastByClass].[Class]" caption="Class" attribute="1" defaultMemberUniqueName="[ForcastByClass].[Class].[All]" allUniqueName="[ForcastByClass].[Class].[All]" dimensionUniqueName="[ForcastByClass]" displayFolder="" count="0" memberValueDatatype="130" unbalanced="0"/>
    <cacheHierarchy uniqueName="[ForcastByClass].[Country]" caption="Country" attribute="1" defaultMemberUniqueName="[ForcastByClass].[Country].[All]" allUniqueName="[ForcastByClass].[Country].[All]" dimensionUniqueName="[ForcastByClass]" displayFolder="" count="0" memberValueDatatype="130" unbalanced="0"/>
    <cacheHierarchy uniqueName="[ForcastByClass].[CountryN]" caption="CountryN" attribute="1" defaultMemberUniqueName="[ForcastByClass].[CountryN].[All]" allUniqueName="[ForcastByClass].[CountryN].[All]" dimensionUniqueName="[ForcastByClass]" displayFolder="" count="0" memberValueDatatype="130" unbalanced="0"/>
    <cacheHierarchy uniqueName="[ForcastByClass].[FClassKey]" caption="FClassKey" attribute="1" defaultMemberUniqueName="[ForcastByClass].[FClassKey].[All]" allUniqueName="[ForcastByClass].[FClassKey].[All]" dimensionUniqueName="[ForcastByClass]" displayFolder="" count="0" memberValueDatatype="130" unbalanced="0"/>
    <cacheHierarchy uniqueName="[ForcastByClass].[FinPeriod]" caption="FinPeriod" attribute="1" defaultMemberUniqueName="[ForcastByClass].[FinPeriod].[All]" allUniqueName="[ForcastByClass].[FinPeriod].[All]" dimensionUniqueName="[ForcastByClass]" displayFolder="" count="0" memberValueDatatype="130" unbalanced="0"/>
    <cacheHierarchy uniqueName="[ForcastByClass].[FinWeek]" caption="FinWeek" attribute="1" defaultMemberUniqueName="[ForcastByClass].[FinWeek].[All]" allUniqueName="[ForcastByClass].[FinWeek].[All]" dimensionUniqueName="[ForcastByClass]" displayFolder="" count="0" memberValueDatatype="20" unbalanced="0"/>
    <cacheHierarchy uniqueName="[ForcastByClass].[FinYear]" caption="FinYear" attribute="1" defaultMemberUniqueName="[ForcastByClass].[FinYear].[All]" allUniqueName="[ForcastByClass].[FinYear].[All]" dimensionUniqueName="[ForcastByClass]" displayFolder="" count="0" memberValueDatatype="130" unbalanced="0"/>
    <cacheHierarchy uniqueName="[ForcastByClass].[ForcastDollars]" caption="ForcastDollars" attribute="1" defaultMemberUniqueName="[ForcastByClass].[ForcastDollars].[All]" allUniqueName="[ForcastByClass].[ForcastDollars].[All]" dimensionUniqueName="[ForcastByClass]" displayFolder="" count="0" memberValueDatatype="5" unbalanced="0"/>
    <cacheHierarchy uniqueName="[ForcastByClass].[StoreType]" caption="StoreType" attribute="1" defaultMemberUniqueName="[ForcastByClass].[StoreType].[All]" allUniqueName="[ForcastByClass].[StoreType].[All]" dimensionUniqueName="[ForcastByClass]" displayFolder="" count="0" memberValueDatatype="130" unbalanced="0"/>
    <cacheHierarchy uniqueName="[Forecast].[Branch Type]" caption="Branch Type" attribute="1" defaultMemberUniqueName="[Forecast].[Branch Type].[All]" allUniqueName="[Forecast].[Branch Type].[All]" dimensionUniqueName="[Forecast]" displayFolder="" count="0" memberValueDatatype="130" unbalanced="0"/>
    <cacheHierarchy uniqueName="[Forecast].[Channel]" caption="Channel" attribute="1" defaultMemberUniqueName="[Forecast].[Channel].[All]" allUniqueName="[Forecast].[Channel].[All]" dimensionUniqueName="[Forecast]" displayFolder="" count="0" memberValueDatatype="130" unbalanced="0"/>
    <cacheHierarchy uniqueName="[Forecast].[Class]" caption="Class" attribute="1" defaultMemberUniqueName="[Forecast].[Class].[All]" allUniqueName="[Forecast].[Class].[All]" dimensionUniqueName="[Forecast]" displayFolder="" count="0" memberValueDatatype="130" unbalanced="0"/>
    <cacheHierarchy uniqueName="[Forecast].[Class-1]" caption="Class-1" attribute="1" defaultMemberUniqueName="[Forecast].[Class-1].[All]" allUniqueName="[Forecast].[Class-1].[All]" dimensionUniqueName="[Forecast]" displayFolder="" count="0" memberValueDatatype="130" unbalanced="0"/>
    <cacheHierarchy uniqueName="[Forecast].[Column3 - Copy]" caption="Column3 - Copy" attribute="1" defaultMemberUniqueName="[Forecast].[Column3 - Copy].[All]" allUniqueName="[Forecast].[Column3 - Copy].[All]" dimensionUniqueName="[Forecast]" displayFolder="" count="0" memberValueDatatype="130" unbalanced="0"/>
    <cacheHierarchy uniqueName="[Forecast].[Country]" caption="Country" attribute="1" defaultMemberUniqueName="[Forecast].[Country].[All]" allUniqueName="[Forecast].[Country].[All]" dimensionUniqueName="[Forecast]" displayFolder="" count="0" memberValueDatatype="130" unbalanced="0"/>
    <cacheHierarchy uniqueName="[Forecast].[CountryN]" caption="CountryN" attribute="1" defaultMemberUniqueName="[Forecast].[CountryN].[All]" allUniqueName="[Forecast].[CountryN].[All]" dimensionUniqueName="[Forecast]" displayFolder="" count="0" memberValueDatatype="130" unbalanced="0"/>
    <cacheHierarchy uniqueName="[Forecast].[FClassKey]" caption="FClassKey" attribute="1" defaultMemberUniqueName="[Forecast].[FClassKey].[All]" allUniqueName="[Forecast].[FClassKey].[All]" dimensionUniqueName="[Forecast]" displayFolder="" count="0" memberValueDatatype="130" unbalanced="0"/>
    <cacheHierarchy uniqueName="[Forecast].[Fin_Period]" caption="Fin_Period" attribute="1" defaultMemberUniqueName="[Forecast].[Fin_Period].[All]" allUniqueName="[Forecast].[Fin_Period].[All]" dimensionUniqueName="[Forecast]" displayFolder="" count="0" memberValueDatatype="20" unbalanced="0"/>
    <cacheHierarchy uniqueName="[Forecast].[FinWeek]" caption="FinWeek" attribute="1" defaultMemberUniqueName="[Forecast].[FinWeek].[All]" allUniqueName="[Forecast].[FinWeek].[All]" dimensionUniqueName="[Forecast]" displayFolder="" count="0" memberValueDatatype="20" unbalanced="0"/>
    <cacheHierarchy uniqueName="[Forecast].[ForcastDollars]" caption="ForcastDollars" attribute="1" defaultMemberUniqueName="[Forecast].[ForcastDollars].[All]" allUniqueName="[Forecast].[ForcastDollars].[All]" dimensionUniqueName="[Forecast]" displayFolder="" count="0" memberValueDatatype="5" unbalanced="0"/>
    <cacheHierarchy uniqueName="[Forecast].[GM$]" caption="GM$" attribute="1" defaultMemberUniqueName="[Forecast].[GM$].[All]" allUniqueName="[Forecast].[GM$].[All]" dimensionUniqueName="[Forecast]" displayFolder="" count="0" memberValueDatatype="5" unbalanced="0"/>
    <cacheHierarchy uniqueName="[Forecast].[GM%]" caption="GM%" attribute="1" defaultMemberUniqueName="[Forecast].[GM%].[All]" allUniqueName="[Forecast].[GM%].[All]" dimensionUniqueName="[Forecast]" displayFolder="" count="0" memberValueDatatype="5" unbalanced="0"/>
    <cacheHierarchy uniqueName="[Forecast].[Period]" caption="Period" attribute="1" defaultMemberUniqueName="[Forecast].[Period].[All]" allUniqueName="[Forecast].[Period].[All]" dimensionUniqueName="[Forecast]" displayFolder="" count="0" memberValueDatatype="130" unbalanced="0"/>
    <cacheHierarchy uniqueName="[Forecast].[StoreType]" caption="StoreType" attribute="1" defaultMemberUniqueName="[Forecast].[StoreType].[All]" allUniqueName="[Forecast].[StoreType].[All]" dimensionUniqueName="[Forecast]" displayFolder="" count="0" memberValueDatatype="130" unbalanced="0"/>
    <cacheHierarchy uniqueName="[Measure].[StoreKey]" caption="StoreKey" attribute="1" defaultMemberUniqueName="[Measure].[StoreKey].[All]" allUniqueName="[Measure].[StoreKey].[All]" dimensionUniqueName="[Measure]" displayFolder="" count="0" memberValueDatatype="130" unbalanced="0"/>
    <cacheHierarchy uniqueName="[Measure Categories].[Cat Sort]" caption="Cat Sort" attribute="1" defaultMemberUniqueName="[Measure Categories].[Cat Sort].[All]" allUniqueName="[Measure Categories].[Cat Sort].[All]" dimensionUniqueName="[Measure Categories]" displayFolder="" count="0" memberValueDatatype="20" unbalanced="0"/>
    <cacheHierarchy uniqueName="[Measure Categories].[Measure Categories]" caption="Measure Categories" attribute="1" defaultMemberUniqueName="[Measure Categories].[Measure Categories].[All]" allUniqueName="[Measure Categories].[Measure Categories].[All]" dimensionUniqueName="[Measure Categories]" displayFolder="" count="0" memberValueDatatype="130" unbalanced="0"/>
    <cacheHierarchy uniqueName="[Product Parameter].[Product Parameter]" caption="Product Parameter" attribute="1" defaultMemberUniqueName="[Product Parameter].[Product Parameter].[All]" allUniqueName="[Product Parameter].[Product Parameter].[All]" dimensionUniqueName="[Product Parameter]" displayFolder="" count="0" memberValueDatatype="130" unbalanced="0"/>
    <cacheHierarchy uniqueName="[Query1].[Column1]" caption="Column1" attribute="1" time="1" defaultMemberUniqueName="[Query1].[Column1].[All]" allUniqueName="[Query1].[Column1].[All]" dimensionUniqueName="[Query1]" displayFolder="" count="0" memberValueDatatype="7" unbalanced="0"/>
    <cacheHierarchy uniqueName="[Query2].[Column1]" caption="Column1" attribute="1" defaultMemberUniqueName="[Query2].[Column1].[All]" allUniqueName="[Query2].[Column1].[All]" dimensionUniqueName="[Query2]" displayFolder="" count="0" memberValueDatatype="13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2" memberValueDatatype="130" unbalanced="0">
      <fieldsUsage count="2">
        <fieldUsage x="-1"/>
        <fieldUsage x="7"/>
      </fieldsUsage>
    </cacheHierarchy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LocalDateTable_0d9eeced-3257-4609-8cfb-234f1d7c24d7].[Date]" caption="Date" attribute="1" time="1" defaultMemberUniqueName="[LocalDateTable_0d9eeced-3257-4609-8cfb-234f1d7c24d7].[Date].[All]" allUniqueName="[LocalDateTable_0d9eeced-3257-4609-8cfb-234f1d7c24d7].[Date].[All]" dimensionUniqueName="[LocalDateTable_0d9eeced-3257-4609-8cfb-234f1d7c24d7]" displayFolder="" count="0" memberValueDatatype="7" unbalanced="0" hidden="1"/>
    <cacheHierarchy uniqueName="[LocalDateTable_0d9eeced-3257-4609-8cfb-234f1d7c24d7].[Day]" caption="Day" attribute="1" defaultMemberUniqueName="[LocalDateTable_0d9eeced-3257-4609-8cfb-234f1d7c24d7].[Day].[All]" allUniqueName="[LocalDateTable_0d9eeced-3257-4609-8cfb-234f1d7c24d7].[Day].[All]" dimensionUniqueName="[LocalDateTable_0d9eeced-3257-4609-8cfb-234f1d7c24d7]" displayFolder="" count="0" memberValueDatatype="20" unbalanced="0" hidden="1"/>
    <cacheHierarchy uniqueName="[LocalDateTable_0d9eeced-3257-4609-8cfb-234f1d7c24d7].[Month]" caption="Month" attribute="1" defaultMemberUniqueName="[LocalDateTable_0d9eeced-3257-4609-8cfb-234f1d7c24d7].[Month].[All]" allUniqueName="[LocalDateTable_0d9eeced-3257-4609-8cfb-234f1d7c24d7].[Month].[All]" dimensionUniqueName="[LocalDateTable_0d9eeced-3257-4609-8cfb-234f1d7c24d7]" displayFolder="" count="0" memberValueDatatype="130" unbalanced="0" hidden="1"/>
    <cacheHierarchy uniqueName="[LocalDateTable_0d9eeced-3257-4609-8cfb-234f1d7c24d7].[MonthNo]" caption="MonthNo" attribute="1" defaultMemberUniqueName="[LocalDateTable_0d9eeced-3257-4609-8cfb-234f1d7c24d7].[MonthNo].[All]" allUniqueName="[LocalDateTable_0d9eeced-3257-4609-8cfb-234f1d7c24d7].[MonthNo].[All]" dimensionUniqueName="[LocalDateTable_0d9eeced-3257-4609-8cfb-234f1d7c24d7]" displayFolder="" count="0" memberValueDatatype="20" unbalanced="0" hidden="1"/>
    <cacheHierarchy uniqueName="[LocalDateTable_0d9eeced-3257-4609-8cfb-234f1d7c24d7].[Quarter]" caption="Quarter" attribute="1" defaultMemberUniqueName="[LocalDateTable_0d9eeced-3257-4609-8cfb-234f1d7c24d7].[Quarter].[All]" allUniqueName="[LocalDateTable_0d9eeced-3257-4609-8cfb-234f1d7c24d7].[Quarter].[All]" dimensionUniqueName="[LocalDateTable_0d9eeced-3257-4609-8cfb-234f1d7c24d7]" displayFolder="" count="0" memberValueDatatype="130" unbalanced="0" hidden="1"/>
    <cacheHierarchy uniqueName="[LocalDateTable_0d9eeced-3257-4609-8cfb-234f1d7c24d7].[QuarterNo]" caption="QuarterNo" attribute="1" defaultMemberUniqueName="[LocalDateTable_0d9eeced-3257-4609-8cfb-234f1d7c24d7].[QuarterNo].[All]" allUniqueName="[LocalDateTable_0d9eeced-3257-4609-8cfb-234f1d7c24d7].[QuarterNo].[All]" dimensionUniqueName="[LocalDateTable_0d9eeced-3257-4609-8cfb-234f1d7c24d7]" displayFolder="" count="0" memberValueDatatype="20" unbalanced="0" hidden="1"/>
    <cacheHierarchy uniqueName="[LocalDateTable_0d9eeced-3257-4609-8cfb-234f1d7c24d7].[Year]" caption="Year" attribute="1" defaultMemberUniqueName="[LocalDateTable_0d9eeced-3257-4609-8cfb-234f1d7c24d7].[Year].[All]" allUniqueName="[LocalDateTable_0d9eeced-3257-4609-8cfb-234f1d7c24d7].[Year].[All]" dimensionUniqueName="[LocalDateTable_0d9eeced-3257-4609-8cfb-234f1d7c24d7]" displayFolder="" count="0" memberValueDatatype="20" unbalanced="0" hidden="1"/>
    <cacheHierarchy uniqueName="[LocalDateTable_3a17192d-ec7c-4dba-ac0e-bcf6b3a6a0ff].[Date]" caption="Date" attribute="1" time="1" defaultMemberUniqueName="[LocalDateTable_3a17192d-ec7c-4dba-ac0e-bcf6b3a6a0ff].[Date].[All]" allUniqueName="[LocalDateTable_3a17192d-ec7c-4dba-ac0e-bcf6b3a6a0ff].[Date].[All]" dimensionUniqueName="[LocalDateTable_3a17192d-ec7c-4dba-ac0e-bcf6b3a6a0ff]" displayFolder="" count="0" memberValueDatatype="7" unbalanced="0" hidden="1"/>
    <cacheHierarchy uniqueName="[LocalDateTable_3a17192d-ec7c-4dba-ac0e-bcf6b3a6a0ff].[Day]" caption="Day" attribute="1" defaultMemberUniqueName="[LocalDateTable_3a17192d-ec7c-4dba-ac0e-bcf6b3a6a0ff].[Day].[All]" allUniqueName="[LocalDateTable_3a17192d-ec7c-4dba-ac0e-bcf6b3a6a0ff].[Day].[All]" dimensionUniqueName="[LocalDateTable_3a17192d-ec7c-4dba-ac0e-bcf6b3a6a0ff]" displayFolder="" count="0" memberValueDatatype="20" unbalanced="0" hidden="1"/>
    <cacheHierarchy uniqueName="[LocalDateTable_3a17192d-ec7c-4dba-ac0e-bcf6b3a6a0ff].[Month]" caption="Month" attribute="1" defaultMemberUniqueName="[LocalDateTable_3a17192d-ec7c-4dba-ac0e-bcf6b3a6a0ff].[Month].[All]" allUniqueName="[LocalDateTable_3a17192d-ec7c-4dba-ac0e-bcf6b3a6a0ff].[Month].[All]" dimensionUniqueName="[LocalDateTable_3a17192d-ec7c-4dba-ac0e-bcf6b3a6a0ff]" displayFolder="" count="0" memberValueDatatype="130" unbalanced="0" hidden="1"/>
    <cacheHierarchy uniqueName="[LocalDateTable_3a17192d-ec7c-4dba-ac0e-bcf6b3a6a0ff].[MonthNo]" caption="MonthNo" attribute="1" defaultMemberUniqueName="[LocalDateTable_3a17192d-ec7c-4dba-ac0e-bcf6b3a6a0ff].[MonthNo].[All]" allUniqueName="[LocalDateTable_3a17192d-ec7c-4dba-ac0e-bcf6b3a6a0ff].[MonthNo].[All]" dimensionUniqueName="[LocalDateTable_3a17192d-ec7c-4dba-ac0e-bcf6b3a6a0ff]" displayFolder="" count="0" memberValueDatatype="20" unbalanced="0" hidden="1"/>
    <cacheHierarchy uniqueName="[LocalDateTable_3a17192d-ec7c-4dba-ac0e-bcf6b3a6a0ff].[Quarter]" caption="Quarter" attribute="1" defaultMemberUniqueName="[LocalDateTable_3a17192d-ec7c-4dba-ac0e-bcf6b3a6a0ff].[Quarter].[All]" allUniqueName="[LocalDateTable_3a17192d-ec7c-4dba-ac0e-bcf6b3a6a0ff].[Quarter].[All]" dimensionUniqueName="[LocalDateTable_3a17192d-ec7c-4dba-ac0e-bcf6b3a6a0ff]" displayFolder="" count="0" memberValueDatatype="130" unbalanced="0" hidden="1"/>
    <cacheHierarchy uniqueName="[LocalDateTable_3a17192d-ec7c-4dba-ac0e-bcf6b3a6a0ff].[QuarterNo]" caption="QuarterNo" attribute="1" defaultMemberUniqueName="[LocalDateTable_3a17192d-ec7c-4dba-ac0e-bcf6b3a6a0ff].[QuarterNo].[All]" allUniqueName="[LocalDateTable_3a17192d-ec7c-4dba-ac0e-bcf6b3a6a0ff].[QuarterNo].[All]" dimensionUniqueName="[LocalDateTable_3a17192d-ec7c-4dba-ac0e-bcf6b3a6a0ff]" displayFolder="" count="0" memberValueDatatype="20" unbalanced="0" hidden="1"/>
    <cacheHierarchy uniqueName="[LocalDateTable_3a17192d-ec7c-4dba-ac0e-bcf6b3a6a0ff].[Year]" caption="Year" attribute="1" defaultMemberUniqueName="[LocalDateTable_3a17192d-ec7c-4dba-ac0e-bcf6b3a6a0ff].[Year].[All]" allUniqueName="[LocalDateTable_3a17192d-ec7c-4dba-ac0e-bcf6b3a6a0ff].[Year].[All]" dimensionUniqueName="[LocalDateTable_3a17192d-ec7c-4dba-ac0e-bcf6b3a6a0ff]" displayFolder="" count="0" memberValueDatatype="20" unbalanced="0" hidden="1"/>
    <cacheHierarchy uniqueName="[LocalDateTable_3f117c71-2c04-4fa5-8c23-2b2c1ab14338].[Date]" caption="Date" attribute="1" time="1" defaultMemberUniqueName="[LocalDateTable_3f117c71-2c04-4fa5-8c23-2b2c1ab14338].[Date].[All]" allUniqueName="[LocalDateTable_3f117c71-2c04-4fa5-8c23-2b2c1ab14338].[Date].[All]" dimensionUniqueName="[LocalDateTable_3f117c71-2c04-4fa5-8c23-2b2c1ab14338]" displayFolder="" count="0" memberValueDatatype="7" unbalanced="0" hidden="1"/>
    <cacheHierarchy uniqueName="[LocalDateTable_3f117c71-2c04-4fa5-8c23-2b2c1ab14338].[Day]" caption="Day" attribute="1" defaultMemberUniqueName="[LocalDateTable_3f117c71-2c04-4fa5-8c23-2b2c1ab14338].[Day].[All]" allUniqueName="[LocalDateTable_3f117c71-2c04-4fa5-8c23-2b2c1ab14338].[Day].[All]" dimensionUniqueName="[LocalDateTable_3f117c71-2c04-4fa5-8c23-2b2c1ab14338]" displayFolder="" count="0" memberValueDatatype="20" unbalanced="0" hidden="1"/>
    <cacheHierarchy uniqueName="[LocalDateTable_3f117c71-2c04-4fa5-8c23-2b2c1ab14338].[Month]" caption="Month" attribute="1" defaultMemberUniqueName="[LocalDateTable_3f117c71-2c04-4fa5-8c23-2b2c1ab14338].[Month].[All]" allUniqueName="[LocalDateTable_3f117c71-2c04-4fa5-8c23-2b2c1ab14338].[Month].[All]" dimensionUniqueName="[LocalDateTable_3f117c71-2c04-4fa5-8c23-2b2c1ab14338]" displayFolder="" count="0" memberValueDatatype="130" unbalanced="0" hidden="1"/>
    <cacheHierarchy uniqueName="[LocalDateTable_3f117c71-2c04-4fa5-8c23-2b2c1ab14338].[MonthNo]" caption="MonthNo" attribute="1" defaultMemberUniqueName="[LocalDateTable_3f117c71-2c04-4fa5-8c23-2b2c1ab14338].[MonthNo].[All]" allUniqueName="[LocalDateTable_3f117c71-2c04-4fa5-8c23-2b2c1ab14338].[MonthNo].[All]" dimensionUniqueName="[LocalDateTable_3f117c71-2c04-4fa5-8c23-2b2c1ab14338]" displayFolder="" count="0" memberValueDatatype="20" unbalanced="0" hidden="1"/>
    <cacheHierarchy uniqueName="[LocalDateTable_3f117c71-2c04-4fa5-8c23-2b2c1ab14338].[Quarter]" caption="Quarter" attribute="1" defaultMemberUniqueName="[LocalDateTable_3f117c71-2c04-4fa5-8c23-2b2c1ab14338].[Quarter].[All]" allUniqueName="[LocalDateTable_3f117c71-2c04-4fa5-8c23-2b2c1ab14338].[Quarter].[All]" dimensionUniqueName="[LocalDateTable_3f117c71-2c04-4fa5-8c23-2b2c1ab14338]" displayFolder="" count="0" memberValueDatatype="130" unbalanced="0" hidden="1"/>
    <cacheHierarchy uniqueName="[LocalDateTable_3f117c71-2c04-4fa5-8c23-2b2c1ab14338].[QuarterNo]" caption="QuarterNo" attribute="1" defaultMemberUniqueName="[LocalDateTable_3f117c71-2c04-4fa5-8c23-2b2c1ab14338].[QuarterNo].[All]" allUniqueName="[LocalDateTable_3f117c71-2c04-4fa5-8c23-2b2c1ab14338].[QuarterNo].[All]" dimensionUniqueName="[LocalDateTable_3f117c71-2c04-4fa5-8c23-2b2c1ab14338]" displayFolder="" count="0" memberValueDatatype="20" unbalanced="0" hidden="1"/>
    <cacheHierarchy uniqueName="[LocalDateTable_3f117c71-2c04-4fa5-8c23-2b2c1ab14338].[Year]" caption="Year" attribute="1" defaultMemberUniqueName="[LocalDateTable_3f117c71-2c04-4fa5-8c23-2b2c1ab14338].[Year].[All]" allUniqueName="[LocalDateTable_3f117c71-2c04-4fa5-8c23-2b2c1ab14338].[Year].[All]" dimensionUniqueName="[LocalDateTable_3f117c71-2c04-4fa5-8c23-2b2c1ab14338]" displayFolder="" count="0" memberValueDatatype="20" unbalanced="0" hidden="1"/>
    <cacheHierarchy uniqueName="[LocalDateTable_66f09a5d-f864-46bc-a2f5-c0014bc05155].[Date]" caption="Date" attribute="1" time="1" defaultMemberUniqueName="[LocalDateTable_66f09a5d-f864-46bc-a2f5-c0014bc05155].[Date].[All]" allUniqueName="[LocalDateTable_66f09a5d-f864-46bc-a2f5-c0014bc05155].[Date].[All]" dimensionUniqueName="[LocalDateTable_66f09a5d-f864-46bc-a2f5-c0014bc05155]" displayFolder="" count="0" memberValueDatatype="7" unbalanced="0" hidden="1"/>
    <cacheHierarchy uniqueName="[LocalDateTable_66f09a5d-f864-46bc-a2f5-c0014bc05155].[Day]" caption="Day" attribute="1" defaultMemberUniqueName="[LocalDateTable_66f09a5d-f864-46bc-a2f5-c0014bc05155].[Day].[All]" allUniqueName="[LocalDateTable_66f09a5d-f864-46bc-a2f5-c0014bc05155].[Day].[All]" dimensionUniqueName="[LocalDateTable_66f09a5d-f864-46bc-a2f5-c0014bc05155]" displayFolder="" count="0" memberValueDatatype="20" unbalanced="0" hidden="1"/>
    <cacheHierarchy uniqueName="[LocalDateTable_66f09a5d-f864-46bc-a2f5-c0014bc05155].[Month]" caption="Month" attribute="1" defaultMemberUniqueName="[LocalDateTable_66f09a5d-f864-46bc-a2f5-c0014bc05155].[Month].[All]" allUniqueName="[LocalDateTable_66f09a5d-f864-46bc-a2f5-c0014bc05155].[Month].[All]" dimensionUniqueName="[LocalDateTable_66f09a5d-f864-46bc-a2f5-c0014bc05155]" displayFolder="" count="0" memberValueDatatype="130" unbalanced="0" hidden="1"/>
    <cacheHierarchy uniqueName="[LocalDateTable_66f09a5d-f864-46bc-a2f5-c0014bc05155].[MonthNo]" caption="MonthNo" attribute="1" defaultMemberUniqueName="[LocalDateTable_66f09a5d-f864-46bc-a2f5-c0014bc05155].[MonthNo].[All]" allUniqueName="[LocalDateTable_66f09a5d-f864-46bc-a2f5-c0014bc05155].[MonthNo].[All]" dimensionUniqueName="[LocalDateTable_66f09a5d-f864-46bc-a2f5-c0014bc05155]" displayFolder="" count="0" memberValueDatatype="20" unbalanced="0" hidden="1"/>
    <cacheHierarchy uniqueName="[LocalDateTable_66f09a5d-f864-46bc-a2f5-c0014bc05155].[Quarter]" caption="Quarter" attribute="1" defaultMemberUniqueName="[LocalDateTable_66f09a5d-f864-46bc-a2f5-c0014bc05155].[Quarter].[All]" allUniqueName="[LocalDateTable_66f09a5d-f864-46bc-a2f5-c0014bc05155].[Quarter].[All]" dimensionUniqueName="[LocalDateTable_66f09a5d-f864-46bc-a2f5-c0014bc05155]" displayFolder="" count="0" memberValueDatatype="130" unbalanced="0" hidden="1"/>
    <cacheHierarchy uniqueName="[LocalDateTable_66f09a5d-f864-46bc-a2f5-c0014bc05155].[QuarterNo]" caption="QuarterNo" attribute="1" defaultMemberUniqueName="[LocalDateTable_66f09a5d-f864-46bc-a2f5-c0014bc05155].[QuarterNo].[All]" allUniqueName="[LocalDateTable_66f09a5d-f864-46bc-a2f5-c0014bc05155].[QuarterNo].[All]" dimensionUniqueName="[LocalDateTable_66f09a5d-f864-46bc-a2f5-c0014bc05155]" displayFolder="" count="0" memberValueDatatype="20" unbalanced="0" hidden="1"/>
    <cacheHierarchy uniqueName="[LocalDateTable_66f09a5d-f864-46bc-a2f5-c0014bc05155].[Year]" caption="Year" attribute="1" defaultMemberUniqueName="[LocalDateTable_66f09a5d-f864-46bc-a2f5-c0014bc05155].[Year].[All]" allUniqueName="[LocalDateTable_66f09a5d-f864-46bc-a2f5-c0014bc05155].[Year].[All]" dimensionUniqueName="[LocalDateTable_66f09a5d-f864-46bc-a2f5-c0014bc05155]" displayFolder="" count="0" memberValueDatatype="20" unbalanced="0" hidden="1"/>
    <cacheHierarchy uniqueName="[LocalDateTable_754a5606-f042-4514-8c57-59f8f32672fc].[Date]" caption="Date" attribute="1" time="1" defaultMemberUniqueName="[LocalDateTable_754a5606-f042-4514-8c57-59f8f32672fc].[Date].[All]" allUniqueName="[LocalDateTable_754a5606-f042-4514-8c57-59f8f32672fc].[Date].[All]" dimensionUniqueName="[LocalDateTable_754a5606-f042-4514-8c57-59f8f32672fc]" displayFolder="" count="0" memberValueDatatype="7" unbalanced="0" hidden="1"/>
    <cacheHierarchy uniqueName="[LocalDateTable_754a5606-f042-4514-8c57-59f8f32672fc].[Day]" caption="Day" attribute="1" defaultMemberUniqueName="[LocalDateTable_754a5606-f042-4514-8c57-59f8f32672fc].[Day].[All]" allUniqueName="[LocalDateTable_754a5606-f042-4514-8c57-59f8f32672fc].[Day].[All]" dimensionUniqueName="[LocalDateTable_754a5606-f042-4514-8c57-59f8f32672fc]" displayFolder="" count="0" memberValueDatatype="20" unbalanced="0" hidden="1"/>
    <cacheHierarchy uniqueName="[LocalDateTable_754a5606-f042-4514-8c57-59f8f32672fc].[Month]" caption="Month" attribute="1" defaultMemberUniqueName="[LocalDateTable_754a5606-f042-4514-8c57-59f8f32672fc].[Month].[All]" allUniqueName="[LocalDateTable_754a5606-f042-4514-8c57-59f8f32672fc].[Month].[All]" dimensionUniqueName="[LocalDateTable_754a5606-f042-4514-8c57-59f8f32672fc]" displayFolder="" count="0" memberValueDatatype="130" unbalanced="0" hidden="1"/>
    <cacheHierarchy uniqueName="[LocalDateTable_754a5606-f042-4514-8c57-59f8f32672fc].[MonthNo]" caption="MonthNo" attribute="1" defaultMemberUniqueName="[LocalDateTable_754a5606-f042-4514-8c57-59f8f32672fc].[MonthNo].[All]" allUniqueName="[LocalDateTable_754a5606-f042-4514-8c57-59f8f32672fc].[MonthNo].[All]" dimensionUniqueName="[LocalDateTable_754a5606-f042-4514-8c57-59f8f32672fc]" displayFolder="" count="0" memberValueDatatype="20" unbalanced="0" hidden="1"/>
    <cacheHierarchy uniqueName="[LocalDateTable_754a5606-f042-4514-8c57-59f8f32672fc].[Quarter]" caption="Quarter" attribute="1" defaultMemberUniqueName="[LocalDateTable_754a5606-f042-4514-8c57-59f8f32672fc].[Quarter].[All]" allUniqueName="[LocalDateTable_754a5606-f042-4514-8c57-59f8f32672fc].[Quarter].[All]" dimensionUniqueName="[LocalDateTable_754a5606-f042-4514-8c57-59f8f32672fc]" displayFolder="" count="0" memberValueDatatype="130" unbalanced="0" hidden="1"/>
    <cacheHierarchy uniqueName="[LocalDateTable_754a5606-f042-4514-8c57-59f8f32672fc].[QuarterNo]" caption="QuarterNo" attribute="1" defaultMemberUniqueName="[LocalDateTable_754a5606-f042-4514-8c57-59f8f32672fc].[QuarterNo].[All]" allUniqueName="[LocalDateTable_754a5606-f042-4514-8c57-59f8f32672fc].[QuarterNo].[All]" dimensionUniqueName="[LocalDateTable_754a5606-f042-4514-8c57-59f8f32672fc]" displayFolder="" count="0" memberValueDatatype="20" unbalanced="0" hidden="1"/>
    <cacheHierarchy uniqueName="[LocalDateTable_754a5606-f042-4514-8c57-59f8f32672fc].[Year]" caption="Year" attribute="1" defaultMemberUniqueName="[LocalDateTable_754a5606-f042-4514-8c57-59f8f32672fc].[Year].[All]" allUniqueName="[LocalDateTable_754a5606-f042-4514-8c57-59f8f32672fc].[Year].[All]" dimensionUniqueName="[LocalDateTable_754a5606-f042-4514-8c57-59f8f32672fc]" displayFolder="" count="0" memberValueDatatype="20" unbalanced="0" hidden="1"/>
    <cacheHierarchy uniqueName="[LocalDateTable_9b9a9699-5b52-40e9-b4a0-c11cb55a9d61].[Date]" caption="Date" attribute="1" time="1" defaultMemberUniqueName="[LocalDateTable_9b9a9699-5b52-40e9-b4a0-c11cb55a9d61].[Date].[All]" allUniqueName="[LocalDateTable_9b9a9699-5b52-40e9-b4a0-c11cb55a9d61].[Date].[All]" dimensionUniqueName="[LocalDateTable_9b9a9699-5b52-40e9-b4a0-c11cb55a9d61]" displayFolder="" count="0" memberValueDatatype="7" unbalanced="0" hidden="1"/>
    <cacheHierarchy uniqueName="[LocalDateTable_9b9a9699-5b52-40e9-b4a0-c11cb55a9d61].[Day]" caption="Day" attribute="1" defaultMemberUniqueName="[LocalDateTable_9b9a9699-5b52-40e9-b4a0-c11cb55a9d61].[Day].[All]" allUniqueName="[LocalDateTable_9b9a9699-5b52-40e9-b4a0-c11cb55a9d61].[Day].[All]" dimensionUniqueName="[LocalDateTable_9b9a9699-5b52-40e9-b4a0-c11cb55a9d61]" displayFolder="" count="0" memberValueDatatype="20" unbalanced="0" hidden="1"/>
    <cacheHierarchy uniqueName="[LocalDateTable_9b9a9699-5b52-40e9-b4a0-c11cb55a9d61].[Month]" caption="Month" attribute="1" defaultMemberUniqueName="[LocalDateTable_9b9a9699-5b52-40e9-b4a0-c11cb55a9d61].[Month].[All]" allUniqueName="[LocalDateTable_9b9a9699-5b52-40e9-b4a0-c11cb55a9d61].[Month].[All]" dimensionUniqueName="[LocalDateTable_9b9a9699-5b52-40e9-b4a0-c11cb55a9d61]" displayFolder="" count="0" memberValueDatatype="130" unbalanced="0" hidden="1"/>
    <cacheHierarchy uniqueName="[LocalDateTable_9b9a9699-5b52-40e9-b4a0-c11cb55a9d61].[MonthNo]" caption="MonthNo" attribute="1" defaultMemberUniqueName="[LocalDateTable_9b9a9699-5b52-40e9-b4a0-c11cb55a9d61].[MonthNo].[All]" allUniqueName="[LocalDateTable_9b9a9699-5b52-40e9-b4a0-c11cb55a9d61].[MonthNo].[All]" dimensionUniqueName="[LocalDateTable_9b9a9699-5b52-40e9-b4a0-c11cb55a9d61]" displayFolder="" count="0" memberValueDatatype="20" unbalanced="0" hidden="1"/>
    <cacheHierarchy uniqueName="[LocalDateTable_9b9a9699-5b52-40e9-b4a0-c11cb55a9d61].[Quarter]" caption="Quarter" attribute="1" defaultMemberUniqueName="[LocalDateTable_9b9a9699-5b52-40e9-b4a0-c11cb55a9d61].[Quarter].[All]" allUniqueName="[LocalDateTable_9b9a9699-5b52-40e9-b4a0-c11cb55a9d61].[Quarter].[All]" dimensionUniqueName="[LocalDateTable_9b9a9699-5b52-40e9-b4a0-c11cb55a9d61]" displayFolder="" count="0" memberValueDatatype="130" unbalanced="0" hidden="1"/>
    <cacheHierarchy uniqueName="[LocalDateTable_9b9a9699-5b52-40e9-b4a0-c11cb55a9d61].[QuarterNo]" caption="QuarterNo" attribute="1" defaultMemberUniqueName="[LocalDateTable_9b9a9699-5b52-40e9-b4a0-c11cb55a9d61].[QuarterNo].[All]" allUniqueName="[LocalDateTable_9b9a9699-5b52-40e9-b4a0-c11cb55a9d61].[QuarterNo].[All]" dimensionUniqueName="[LocalDateTable_9b9a9699-5b52-40e9-b4a0-c11cb55a9d61]" displayFolder="" count="0" memberValueDatatype="20" unbalanced="0" hidden="1"/>
    <cacheHierarchy uniqueName="[LocalDateTable_9b9a9699-5b52-40e9-b4a0-c11cb55a9d61].[Year]" caption="Year" attribute="1" defaultMemberUniqueName="[LocalDateTable_9b9a9699-5b52-40e9-b4a0-c11cb55a9d61].[Year].[All]" allUniqueName="[LocalDateTable_9b9a9699-5b52-40e9-b4a0-c11cb55a9d61].[Year].[All]" dimensionUniqueName="[LocalDateTable_9b9a9699-5b52-40e9-b4a0-c11cb55a9d61]" displayFolder="" count="0" memberValueDatatype="20" unbalanced="0" hidden="1"/>
    <cacheHierarchy uniqueName="[LocalDateTable_a29de990-df00-42e6-9e8c-814d0b4b9a86].[Date]" caption="Date" attribute="1" time="1" defaultMemberUniqueName="[LocalDateTable_a29de990-df00-42e6-9e8c-814d0b4b9a86].[Date].[All]" allUniqueName="[LocalDateTable_a29de990-df00-42e6-9e8c-814d0b4b9a86].[Date].[All]" dimensionUniqueName="[LocalDateTable_a29de990-df00-42e6-9e8c-814d0b4b9a86]" displayFolder="" count="0" memberValueDatatype="7" unbalanced="0" hidden="1"/>
    <cacheHierarchy uniqueName="[LocalDateTable_a29de990-df00-42e6-9e8c-814d0b4b9a86].[Day]" caption="Day" attribute="1" defaultMemberUniqueName="[LocalDateTable_a29de990-df00-42e6-9e8c-814d0b4b9a86].[Day].[All]" allUniqueName="[LocalDateTable_a29de990-df00-42e6-9e8c-814d0b4b9a86].[Day].[All]" dimensionUniqueName="[LocalDateTable_a29de990-df00-42e6-9e8c-814d0b4b9a86]" displayFolder="" count="0" memberValueDatatype="20" unbalanced="0" hidden="1"/>
    <cacheHierarchy uniqueName="[LocalDateTable_a29de990-df00-42e6-9e8c-814d0b4b9a86].[Month]" caption="Month" attribute="1" defaultMemberUniqueName="[LocalDateTable_a29de990-df00-42e6-9e8c-814d0b4b9a86].[Month].[All]" allUniqueName="[LocalDateTable_a29de990-df00-42e6-9e8c-814d0b4b9a86].[Month].[All]" dimensionUniqueName="[LocalDateTable_a29de990-df00-42e6-9e8c-814d0b4b9a86]" displayFolder="" count="0" memberValueDatatype="130" unbalanced="0" hidden="1"/>
    <cacheHierarchy uniqueName="[LocalDateTable_a29de990-df00-42e6-9e8c-814d0b4b9a86].[MonthNo]" caption="MonthNo" attribute="1" defaultMemberUniqueName="[LocalDateTable_a29de990-df00-42e6-9e8c-814d0b4b9a86].[MonthNo].[All]" allUniqueName="[LocalDateTable_a29de990-df00-42e6-9e8c-814d0b4b9a86].[MonthNo].[All]" dimensionUniqueName="[LocalDateTable_a29de990-df00-42e6-9e8c-814d0b4b9a86]" displayFolder="" count="0" memberValueDatatype="20" unbalanced="0" hidden="1"/>
    <cacheHierarchy uniqueName="[LocalDateTable_a29de990-df00-42e6-9e8c-814d0b4b9a86].[Quarter]" caption="Quarter" attribute="1" defaultMemberUniqueName="[LocalDateTable_a29de990-df00-42e6-9e8c-814d0b4b9a86].[Quarter].[All]" allUniqueName="[LocalDateTable_a29de990-df00-42e6-9e8c-814d0b4b9a86].[Quarter].[All]" dimensionUniqueName="[LocalDateTable_a29de990-df00-42e6-9e8c-814d0b4b9a86]" displayFolder="" count="0" memberValueDatatype="130" unbalanced="0" hidden="1"/>
    <cacheHierarchy uniqueName="[LocalDateTable_a29de990-df00-42e6-9e8c-814d0b4b9a86].[QuarterNo]" caption="QuarterNo" attribute="1" defaultMemberUniqueName="[LocalDateTable_a29de990-df00-42e6-9e8c-814d0b4b9a86].[QuarterNo].[All]" allUniqueName="[LocalDateTable_a29de990-df00-42e6-9e8c-814d0b4b9a86].[QuarterNo].[All]" dimensionUniqueName="[LocalDateTable_a29de990-df00-42e6-9e8c-814d0b4b9a86]" displayFolder="" count="0" memberValueDatatype="20" unbalanced="0" hidden="1"/>
    <cacheHierarchy uniqueName="[LocalDateTable_a29de990-df00-42e6-9e8c-814d0b4b9a86].[Year]" caption="Year" attribute="1" defaultMemberUniqueName="[LocalDateTable_a29de990-df00-42e6-9e8c-814d0b4b9a86].[Year].[All]" allUniqueName="[LocalDateTable_a29de990-df00-42e6-9e8c-814d0b4b9a86].[Year].[All]" dimensionUniqueName="[LocalDateTable_a29de990-df00-42e6-9e8c-814d0b4b9a86]" displayFolder="" count="0" memberValueDatatype="20" unbalanced="0" hidden="1"/>
    <cacheHierarchy uniqueName="[LocalDateTable_e1d748f9-bc77-4c73-ba8d-fcf5ec29dd71].[Date]" caption="Date" attribute="1" time="1" defaultMemberUniqueName="[LocalDateTable_e1d748f9-bc77-4c73-ba8d-fcf5ec29dd71].[Date].[All]" allUniqueName="[LocalDateTable_e1d748f9-bc77-4c73-ba8d-fcf5ec29dd71].[Date].[All]" dimensionUniqueName="[LocalDateTable_e1d748f9-bc77-4c73-ba8d-fcf5ec29dd71]" displayFolder="" count="0" memberValueDatatype="7" unbalanced="0" hidden="1"/>
    <cacheHierarchy uniqueName="[LocalDateTable_e1d748f9-bc77-4c73-ba8d-fcf5ec29dd71].[Day]" caption="Day" attribute="1" defaultMemberUniqueName="[LocalDateTable_e1d748f9-bc77-4c73-ba8d-fcf5ec29dd71].[Day].[All]" allUniqueName="[LocalDateTable_e1d748f9-bc77-4c73-ba8d-fcf5ec29dd71].[Day].[All]" dimensionUniqueName="[LocalDateTable_e1d748f9-bc77-4c73-ba8d-fcf5ec29dd71]" displayFolder="" count="0" memberValueDatatype="20" unbalanced="0" hidden="1"/>
    <cacheHierarchy uniqueName="[LocalDateTable_e1d748f9-bc77-4c73-ba8d-fcf5ec29dd71].[Month]" caption="Month" attribute="1" defaultMemberUniqueName="[LocalDateTable_e1d748f9-bc77-4c73-ba8d-fcf5ec29dd71].[Month].[All]" allUniqueName="[LocalDateTable_e1d748f9-bc77-4c73-ba8d-fcf5ec29dd71].[Month].[All]" dimensionUniqueName="[LocalDateTable_e1d748f9-bc77-4c73-ba8d-fcf5ec29dd71]" displayFolder="" count="0" memberValueDatatype="130" unbalanced="0" hidden="1"/>
    <cacheHierarchy uniqueName="[LocalDateTable_e1d748f9-bc77-4c73-ba8d-fcf5ec29dd71].[MonthNo]" caption="MonthNo" attribute="1" defaultMemberUniqueName="[LocalDateTable_e1d748f9-bc77-4c73-ba8d-fcf5ec29dd71].[MonthNo].[All]" allUniqueName="[LocalDateTable_e1d748f9-bc77-4c73-ba8d-fcf5ec29dd71].[MonthNo].[All]" dimensionUniqueName="[LocalDateTable_e1d748f9-bc77-4c73-ba8d-fcf5ec29dd71]" displayFolder="" count="0" memberValueDatatype="20" unbalanced="0" hidden="1"/>
    <cacheHierarchy uniqueName="[LocalDateTable_e1d748f9-bc77-4c73-ba8d-fcf5ec29dd71].[Quarter]" caption="Quarter" attribute="1" defaultMemberUniqueName="[LocalDateTable_e1d748f9-bc77-4c73-ba8d-fcf5ec29dd71].[Quarter].[All]" allUniqueName="[LocalDateTable_e1d748f9-bc77-4c73-ba8d-fcf5ec29dd71].[Quarter].[All]" dimensionUniqueName="[LocalDateTable_e1d748f9-bc77-4c73-ba8d-fcf5ec29dd71]" displayFolder="" count="0" memberValueDatatype="130" unbalanced="0" hidden="1"/>
    <cacheHierarchy uniqueName="[LocalDateTable_e1d748f9-bc77-4c73-ba8d-fcf5ec29dd71].[QuarterNo]" caption="QuarterNo" attribute="1" defaultMemberUniqueName="[LocalDateTable_e1d748f9-bc77-4c73-ba8d-fcf5ec29dd71].[QuarterNo].[All]" allUniqueName="[LocalDateTable_e1d748f9-bc77-4c73-ba8d-fcf5ec29dd71].[QuarterNo].[All]" dimensionUniqueName="[LocalDateTable_e1d748f9-bc77-4c73-ba8d-fcf5ec29dd71]" displayFolder="" count="0" memberValueDatatype="20" unbalanced="0" hidden="1"/>
    <cacheHierarchy uniqueName="[LocalDateTable_e1d748f9-bc77-4c73-ba8d-fcf5ec29dd71].[Year]" caption="Year" attribute="1" defaultMemberUniqueName="[LocalDateTable_e1d748f9-bc77-4c73-ba8d-fcf5ec29dd71].[Year].[All]" allUniqueName="[LocalDateTable_e1d748f9-bc77-4c73-ba8d-fcf5ec29dd71].[Year].[All]" dimensionUniqueName="[LocalDateTable_e1d748f9-bc77-4c73-ba8d-fcf5ec29dd71]" displayFolder="" count="0" memberValueDatatype="20" unbalanced="0" hidden="1"/>
    <cacheHierarchy uniqueName="[Product Parameter].[Product Parameter Fields]" caption="Product Parameter Fields" attribute="1" defaultMemberUniqueName="[Product Parameter].[Product Parameter Fields].[All]" allUniqueName="[Product Parameter].[Product Parameter Fields].[All]" dimensionUniqueName="[Product Parameter]" displayFolder="" count="0" memberValueDatatype="130" unbalanced="0" hidden="1"/>
    <cacheHierarchy uniqueName="[Product Parameter].[Product Parameter Order]" caption="Product Parameter Order" attribute="1" defaultMemberUniqueName="[Product Parameter].[Product Parameter Order].[All]" allUniqueName="[Product Parameter].[Product Parameter Order].[All]" dimensionUniqueName="[Product Parameter]" displayFolder="" count="0" memberValueDatatype="20" unbalanced="0" hidden="1"/>
    <cacheHierarchy uniqueName="[Measures].[Total Retail Sales]" caption="Total Retail Sales" measure="1" displayFolder="" measureGroup="BI vw_WeeklyWrittenSalesMetrics" count="0"/>
    <cacheHierarchy uniqueName="[Measures].[Cancelled]" caption="Cancelled" measure="1" displayFolder="" measureGroup="BI vw_WeeklyWrittenSalesMetrics" count="0"/>
    <cacheHierarchy uniqueName="[Measures].[Return]" caption="Return" measure="1" displayFolder="" measureGroup="BI vw_WeeklyWrittenSalesMetrics" count="0"/>
    <cacheHierarchy uniqueName="[Measures].[R-SalesCost]" caption="R-SalesCost" measure="1" displayFolder="" measureGroup="BI metrics" count="0"/>
    <cacheHierarchy uniqueName="[Measures].[R-SalesatFullRet]" caption="R-SalesatFullRet" measure="1" displayFolder="" measureGroup="BI metrics" count="0"/>
    <cacheHierarchy uniqueName="[Measures].[R-GM$ TY]" caption="R-GM$ TY" measure="1" displayFolder="" measureGroup="BI metrics" count="0"/>
    <cacheHierarchy uniqueName="[Measures].[R-Sales TY $]" caption="R-Sales TY $" measure="1" displayFolder="" measureGroup="BI metrics" count="0" oneField="1">
      <fieldsUsage count="1">
        <fieldUsage x="11"/>
      </fieldsUsage>
    </cacheHierarchy>
    <cacheHierarchy uniqueName="[Measures].[R-Units TY]" caption="R-Units TY" measure="1" displayFolder="" measureGroup="BI metrics" count="0"/>
    <cacheHierarchy uniqueName="[Measures].[R-M/D$ TY]" caption="R-M/D$ TY" measure="1" displayFolder="" measureGroup="BI metrics" count="0"/>
    <cacheHierarchy uniqueName="[Measures].[R-Budget$-ItemDept]" caption="R-Budget$-ItemDept" measure="1" displayFolder="" measureGroup="BI metrics" count="0"/>
    <cacheHierarchy uniqueName="[Measures].[R-BudgetGM$-ItemDept]" caption="R-BudgetGM$-ItemDept" measure="1" displayFolder="" measureGroup="BI metrics" count="0"/>
    <cacheHierarchy uniqueName="[Measures].[R-Budget$-Store]" caption="R-Budget$-Store" measure="1" displayFolder="" measureGroup="BI metrics" count="0"/>
    <cacheHierarchy uniqueName="[Measures].[R-Units LY]" caption="R-Units LY" measure="1" displayFolder="" measureGroup="BI metrics" count="0"/>
    <cacheHierarchy uniqueName="[Measures].[R-Sales LY $]" caption="R-Sales LY $" measure="1" displayFolder="" measureGroup="BI metrics" count="0"/>
    <cacheHierarchy uniqueName="[Measures].[R-GM$ LY]" caption="R-GM$ LY" measure="1" displayFolder="" measureGroup="BI metrics" count="0"/>
    <cacheHierarchy uniqueName="[Measures].[R-Sales YoY]" caption="R-Sales YoY" measure="1" displayFolder="" measureGroup="BI metrics" count="0"/>
    <cacheHierarchy uniqueName="[Measures].[R-GM$ YoY]" caption="R-GM$ YoY" measure="1" displayFolder="" measureGroup="BI metrics" count="0"/>
    <cacheHierarchy uniqueName="[Measures].[R-Sales vs Budget]" caption="R-Sales vs Budget" measure="1" displayFolder="" measureGroup="BI metrics" count="0"/>
    <cacheHierarchy uniqueName="[Measures].[R-M/D$ LY]" caption="R-M/D$ LY" measure="1" displayFolder="" measureGroup="BI metrics" count="0"/>
    <cacheHierarchy uniqueName="[Measures].[period_test]" caption="period_test" measure="1" displayFolder="" measureGroup="BI metrics" count="0"/>
    <cacheHierarchy uniqueName="[Measures].[R-Traffic TY]" caption="R-Traffic TY" measure="1" displayFolder="" measureGroup="BI metrics" count="0"/>
    <cacheHierarchy uniqueName="[Measures].[R-ATV TY]" caption="R-ATV TY" measure="1" displayFolder="" measureGroup="BI metrics" count="0"/>
    <cacheHierarchy uniqueName="[Measures].[R Sales YoY]" caption="R Sales YoY" measure="1" displayFolder="" measureGroup="BI metrics" count="0"/>
    <cacheHierarchy uniqueName="[Measures].[R-GM$ budget TY]" caption="R-GM$ budget TY" measure="1" displayFolder="" measureGroup="BI metrics" count="0"/>
    <cacheHierarchy uniqueName="[Measures].[R-GM$ Budget LY]" caption="R-GM$ Budget LY" measure="1" displayFolder="" measureGroup="BI metrics" count="0"/>
    <cacheHierarchy uniqueName="[Measures].[R-GM vs Budget]" caption="R-GM vs Budget" measure="1" displayFolder="" measureGroup="BI metrics" count="0"/>
    <cacheHierarchy uniqueName="[Measures].[R-GM % TY]" caption="R-GM % TY" measure="1" displayFolder="" measureGroup="BI metrics" count="0"/>
    <cacheHierarchy uniqueName="[Measures].[R-GM % LY]" caption="R-GM % LY" measure="1" displayFolder="" measureGroup="BI metrics" count="0"/>
    <cacheHierarchy uniqueName="[Measures].[R-GM% Budget TY]" caption="R-GM% Budget TY" measure="1" displayFolder="" measureGroup="BI metrics" count="0"/>
    <cacheHierarchy uniqueName="[Measures].[R-M/D % TY]" caption="R-M/D % TY" measure="1" displayFolder="" measureGroup="BI metrics" count="0"/>
    <cacheHierarchy uniqueName="[Measures].[R-M/D % LY]" caption="R-M/D % LY" measure="1" displayFolder="" measureGroup="BI metrics" count="0"/>
    <cacheHierarchy uniqueName="[Measures].[R-ATV LY]" caption="R-ATV LY" measure="1" displayFolder="" measureGroup="BI metrics" count="0"/>
    <cacheHierarchy uniqueName="[Measures].[R-Traffic LY]" caption="R-Traffic LY" measure="1" displayFolder="" measureGroup="BI metrics" count="0"/>
    <cacheHierarchy uniqueName="[Measures].[R-Traffic YoY]" caption="R-Traffic YoY" measure="1" displayFolder="" measureGroup="BI metrics" count="0"/>
    <cacheHierarchy uniqueName="[Measures].[R-Store Trans LY]" caption="R-Store Trans LY" measure="1" displayFolder="" measureGroup="BI metrics" count="0"/>
    <cacheHierarchy uniqueName="[Measures].[R-Store Trans TY]" caption="R-Store Trans TY" measure="1" displayFolder="" measureGroup="BI metrics" count="0"/>
    <cacheHierarchy uniqueName="[Measures].[R-Conv TY]" caption="R-Conv TY" measure="1" displayFolder="" measureGroup="BI metrics" count="0"/>
    <cacheHierarchy uniqueName="[Measures].[R-Conv LY]" caption="R-Conv LY" measure="1" displayFolder="" measureGroup="BI metrics" count="0"/>
    <cacheHierarchy uniqueName="[Measures].[R-IPT TY]" caption="R-IPT TY" measure="1" displayFolder="" measureGroup="BI metrics" count="0"/>
    <cacheHierarchy uniqueName="[Measures].[R-GM% Budget LY]" caption="R-GM% Budget LY" measure="1" displayFolder="" measureGroup="BI metrics" count="0"/>
    <cacheHierarchy uniqueName="[Measures].[R-Store Trans YoY]" caption="R-Store Trans YoY" measure="1" displayFolder="" measureGroup="BI metrics" count="0"/>
    <cacheHierarchy uniqueName="[Measures].[R-Conv YoY]" caption="R-Conv YoY" measure="1" displayFolder="" measureGroup="BI metrics" count="0"/>
    <cacheHierarchy uniqueName="[Measures].[R-Sales vs Budget - ItemDept]" caption="R-Sales vs Budget - ItemDept" measure="1" displayFolder="" measureGroup="BI metrics" count="0"/>
    <cacheHierarchy uniqueName="[Measures].[R-ATV YoY]" caption="R-ATV YoY" measure="1" displayFolder="" measureGroup="BI metrics" count="0"/>
    <cacheHierarchy uniqueName="[Measures].[R-M/D$ Budget-ItemDept]" caption="R-M/D$ Budget-ItemDept" measure="1" displayFolder="" measureGroup="BI metrics" count="0"/>
    <cacheHierarchy uniqueName="[Measures].[R-M/D% Budget TY]" caption="R-M/D% Budget TY" measure="1" displayFolder="" measureGroup="BI metrics" count="0"/>
    <cacheHierarchy uniqueName="[Measures].[R-Dropship$ budget TY]" caption="R-Dropship$ budget TY" measure="1" displayFolder="" measureGroup="BI metrics" count="0"/>
    <cacheHierarchy uniqueName="[Measures].[R-GM$ Revenue budget TY]" caption="R-GM$ Revenue budget TY" measure="1" displayFolder="" measureGroup="BI metrics" count="0"/>
    <cacheHierarchy uniqueName="[Measures].[GM$ Revenue Budget TY]" caption="GM$ Revenue Budget TY" measure="1" displayFolder="" measureGroup="BI metrics" count="0"/>
    <cacheHierarchy uniqueName="[Measures].[R-Sales vs Plan]" caption="R-Sales vs Plan" measure="1" displayFolder="" measureGroup="BI metrics" count="0"/>
    <cacheHierarchy uniqueName="[Measures].[R-Cancellation TY $]" caption="R-Cancellation TY $" measure="1" displayFolder="" measureGroup="BI metrics" count="0"/>
    <cacheHierarchy uniqueName="[Measures].[R-Return TY $]" caption="R-Return TY $" measure="1" displayFolder="" measureGroup="BI metrics" count="0"/>
    <cacheHierarchy uniqueName="[Measures].[R-Sales TY $1]" caption="R-Sales TY $1" measure="1" displayFolder="" measureGroup="BI metrics" count="0"/>
    <cacheHierarchy uniqueName="[Measures].[R-Budget ATV Online]" caption="R-Budget ATV Online" measure="1" displayFolder="" measureGroup="BI metrics" count="0"/>
    <cacheHierarchy uniqueName="[Measures].[R-Budget Traffic Online]" caption="R-Budget Traffic Online" measure="1" displayFolder="" measureGroup="BI metrics" count="0"/>
    <cacheHierarchy uniqueName="[Measures].[R-Budget Store Trans Online]" caption="R-Budget Store Trans Online" measure="1" displayFolder="" measureGroup="BI metrics" count="0"/>
    <cacheHierarchy uniqueName="[Measures].[R-Budget Conv Online]" caption="R-Budget Conv Online" measure="1" displayFolder="" measureGroup="BI metrics" count="0"/>
    <cacheHierarchy uniqueName="[Measures].[R-M/D$ YoY]" caption="R-M/D$ YoY" measure="1" displayFolder="" measureGroup="BI metrics" count="0"/>
    <cacheHierarchy uniqueName="[Measures].[R-M/D vs Budget]" caption="R-M/D vs Budget" measure="1" displayFolder="" measureGroup="BI metrics" count="0"/>
    <cacheHierarchy uniqueName="[Measures].[R-Traffic Budget Online]" caption="R-Traffic Budget Online" measure="1" displayFolder="" measureGroup="BI metrics" count="0"/>
    <cacheHierarchy uniqueName="[Measures].[R-Traffic vs Budget]" caption="R-Traffic vs Budget" measure="1" displayFolder="" measureGroup="BI metrics" count="0"/>
    <cacheHierarchy uniqueName="[Measures].[R-Store Trans Budget Online]" caption="R-Store Trans Budget Online" measure="1" displayFolder="" measureGroup="BI metrics" count="0"/>
    <cacheHierarchy uniqueName="[Measures].[R-Store Trans vs Budget]" caption="R-Store Trans vs Budget" measure="1" displayFolder="" measureGroup="BI metrics" count="0"/>
    <cacheHierarchy uniqueName="[Measures].[R-Conv Budget Online]" caption="R-Conv Budget Online" measure="1" displayFolder="" measureGroup="BI metrics" count="0"/>
    <cacheHierarchy uniqueName="[Measures].[R-Conv vs Budget]" caption="R-Conv vs Budget" measure="1" displayFolder="" measureGroup="BI metrics" count="0"/>
    <cacheHierarchy uniqueName="[Measures].[R-ATV Budget Online]" caption="R-ATV Budget Online" measure="1" displayFolder="" measureGroup="BI metrics" count="0"/>
    <cacheHierarchy uniqueName="[Measures].[R-ATV vs Budget]" caption="R-ATV vs Budget" measure="1" displayFolder="" measureGroup="BI metrics" count="0"/>
    <cacheHierarchy uniqueName="[Measures].[R-Conv LY1]" caption="R-Conv LY1" measure="1" displayFolder="" measureGroup="BI metrics" count="0"/>
    <cacheHierarchy uniqueName="[Measures].[R-Conv TY1]" caption="R-Conv TY1" measure="1" displayFolder="" measureGroup="BI metrics" count="0"/>
    <cacheHierarchy uniqueName="[Measures].[R-ASP TY]" caption="R-ASP TY" measure="1" displayFolder="" measureGroup="BI metrics" count="0"/>
    <cacheHierarchy uniqueName="[Measures].[ASP LY]" caption="ASP LY" measure="1" displayFolder="" measureGroup="BI metrics" count="0"/>
    <cacheHierarchy uniqueName="[Measures].[R-ASP LY]" caption="R-ASP LY" measure="1" displayFolder="" measureGroup="BI metrics" count="0"/>
    <cacheHierarchy uniqueName="[Measures].[R-Sales TY In Store$]" caption="R-Sales TY In Store$" measure="1" displayFolder="aa_New Measures" measureGroup="BI metrics" count="0"/>
    <cacheHierarchy uniqueName="[Measures].[R-Sales TY Dropship$]" caption="R-Sales TY Dropship$" measure="1" displayFolder="aa_New Measures" measureGroup="BI metrics" count="0"/>
    <cacheHierarchy uniqueName="[Measures].[R-Sales TY Online$]" caption="R-Sales TY Online$" measure="1" displayFolder="aa_New Measures" measureGroup="BI metrics" count="0"/>
    <cacheHierarchy uniqueName="[Measures].[R-Sales TY Dropship Budget$]" caption="R-Sales TY Dropship Budget$" measure="1" displayFolder="aa_New Measures" measureGroup="BI metrics" count="0"/>
    <cacheHierarchy uniqueName="[Measures].[R-Sales TY In Store Budget$]" caption="R-Sales TY In Store Budget$" measure="1" displayFolder="aa_New Measures" measureGroup="BI metrics" count="0"/>
    <cacheHierarchy uniqueName="[Measures].[R-Sales TY Online Budget$]" caption="R-Sales TY Online Budget$" measure="1" displayFolder="aa_New Measures" measureGroup="BI metrics" count="0"/>
    <cacheHierarchy uniqueName="[Measures].[Delta Dropship]" caption="Delta Dropship" measure="1" displayFolder="aa_New Measures" measureGroup="BI metrics" count="0"/>
    <cacheHierarchy uniqueName="[Measures].[Delta Total]" caption="Delta Total" measure="1" displayFolder="aa_New Measures" measureGroup="BI metrics" count="0"/>
    <cacheHierarchy uniqueName="[Measures].[Delta In Store + Online]" caption="Delta In Store + Online" measure="1" displayFolder="aa_New Measures" measureGroup="BI metrics" count="0"/>
    <cacheHierarchy uniqueName="[Measures].[Delta Online]" caption="Delta Online" measure="1" displayFolder="aa_New Measures" measureGroup="BI metrics" count="0"/>
    <cacheHierarchy uniqueName="[Measures].[%Var Total]" caption="%Var Total" measure="1" displayFolder="aa_New Measures" measureGroup="BI metrics" count="0"/>
    <cacheHierarchy uniqueName="[Measures].[%Var In Store + Online]" caption="%Var In Store + Online" measure="1" displayFolder="aa_New Measures" measureGroup="BI metrics" count="0"/>
    <cacheHierarchy uniqueName="[Measures].[%Var Online]" caption="%Var Online" measure="1" displayFolder="aa_New Measures" measureGroup="BI metrics" count="0"/>
    <cacheHierarchy uniqueName="[Measures].[%Var Dropship]" caption="%Var Dropship" measure="1" displayFolder="aa_New Measures" measureGroup="BI metrics" count="0"/>
    <cacheHierarchy uniqueName="[Measures].[R-Sales TY In Store + Online$]" caption="R-Sales TY In Store + Online$" measure="1" displayFolder="aa_New Measures" measureGroup="BI metrics" count="0"/>
    <cacheHierarchy uniqueName="[Measures].[R-Sales TY In Store + Online Budget$]" caption="R-Sales TY In Store + Online Budget$" measure="1" displayFolder="aa_New Measures" measureGroup="BI metrics" count="0"/>
    <cacheHierarchy uniqueName="[Measures].[Delta In Store]" caption="Delta In Store" measure="1" displayFolder="aa_New Measures" measureGroup="BI metrics" count="0"/>
    <cacheHierarchy uniqueName="[Measures].[%Var In Store]" caption="%Var In Store" measure="1" displayFolder="aa_New Measures" measureGroup="BI metrics" count="0"/>
    <cacheHierarchy uniqueName="[Measures].[Sales TY In Store$]" caption="Sales TY In Store$" measure="1" displayFolder="aa_New Measures" measureGroup="BI metrics" count="0"/>
    <cacheHierarchy uniqueName="[Measures].[Sales TY Total$]" caption="Sales TY Total$" measure="1" displayFolder="aa_New Measures" measureGroup="BI metrics" count="0"/>
    <cacheHierarchy uniqueName="[Measures].[Sales TY Instore + Online$]" caption="Sales TY Instore + Online$" measure="1" displayFolder="aa_New Measures" measureGroup="BI metrics" count="0"/>
    <cacheHierarchy uniqueName="[Measures].[Sales TY Dropship$]" caption="Sales TY Dropship$" measure="1" displayFolder="aa_New Measures" measureGroup="BI metrics" count="0"/>
    <cacheHierarchy uniqueName="[Measures].[Budget TY Total$]" caption="Budget TY Total$" measure="1" displayFolder="aa_New Measures" measureGroup="BI metrics" count="0"/>
    <cacheHierarchy uniqueName="[Measures].[Budget TY In Store$]" caption="Budget TY In Store$" measure="1" displayFolder="aa_New Measures" measureGroup="BI metrics" count="0"/>
    <cacheHierarchy uniqueName="[Measures].[Budget TY Dropship$]" caption="Budget TY Dropship$" measure="1" displayFolder="aa_New Measures" measureGroup="BI metrics" count="0"/>
    <cacheHierarchy uniqueName="[Measures].[Budget TY Instore + Online$]" caption="Budget TY Instore + Online$" measure="1" displayFolder="aa_New Measures" measureGroup="BI metrics" count="0"/>
    <cacheHierarchy uniqueName="[Measures].[Delta1 Total]" caption="Delta1 Total" measure="1" displayFolder="aa_New Measures" measureGroup="BI metrics" count="0"/>
    <cacheHierarchy uniqueName="[Measures].[Delta1 In Store]" caption="Delta1 In Store" measure="1" displayFolder="aa_New Measures" measureGroup="BI metrics" count="0"/>
    <cacheHierarchy uniqueName="[Measures].[Delta1 In Store + Online]" caption="Delta1 In Store + Online" measure="1" displayFolder="aa_New Measures" measureGroup="BI metrics" count="0"/>
    <cacheHierarchy uniqueName="[Measures].[Delta1 In Dropship]" caption="Delta1 In Dropship" measure="1" displayFolder="aa_New Measures" measureGroup="BI metrics" count="0"/>
    <cacheHierarchy uniqueName="[Measures].[%Var1 Total]" caption="%Var1 Total" measure="1" displayFolder="aa_New Measures" measureGroup="BI metrics" count="0"/>
    <cacheHierarchy uniqueName="[Measures].[%Var1 In Store]" caption="%Var1 In Store" measure="1" displayFolder="aa_New Measures" measureGroup="BI metrics" count="0"/>
    <cacheHierarchy uniqueName="[Measures].[%Var1 In Store + Online]" caption="%Var1 In Store + Online" measure="1" displayFolder="aa_New Measures" measureGroup="BI metrics" count="0"/>
    <cacheHierarchy uniqueName="[Measures].[%Var1 Dropship]" caption="%Var1 Dropship" measure="1" displayFolder="aa_New Measures" measureGroup="BI metrics" count="0"/>
    <cacheHierarchy uniqueName="[Measures].[Total Budget]" caption="Total Budget" measure="1" displayFolder="" measureGroup="BI vw_BudgetByStore" count="0"/>
    <cacheHierarchy uniqueName="[Measures].[R-Budget$-Store1]" caption="R-Budget$-Store1" measure="1" displayFolder="" measureGroup="BI vw_BudgetByStore" count="0"/>
    <cacheHierarchy uniqueName="[Measures].[Total Budget1]" caption="Total Budget1" measure="1" displayFolder="" measureGroup="BI vw_BudgetByStore" count="0"/>
    <cacheHierarchy uniqueName="[Measures].[Sales/Budget KPIs]" caption="Sales/Budget KPIs" measure="1" displayFolder="" measureGroup="BI vw_BudgetByStore" count="0"/>
    <cacheHierarchy uniqueName="[Measures].[Sales/Budget Color]" caption="Sales/Budget Color" measure="1" displayFolder="" measureGroup="BI vw_BudgetByStore" count="0"/>
    <cacheHierarchy uniqueName="[Measures].[Sales TY/LY KPIs]" caption="Sales TY/LY KPIs" measure="1" displayFolder="" measureGroup="BI vw_BudgetByStore" count="0"/>
    <cacheHierarchy uniqueName="[Measures].[Sales TY/LY Color]" caption="Sales TY/LY Color" measure="1" displayFolder="" measureGroup="BI vw_BudgetByStore" count="0"/>
    <cacheHierarchy uniqueName="[Measures].[GM KPIs]" caption="GM KPIs" measure="1" displayFolder="" measureGroup="BI vw_BudgetByStore" count="0"/>
    <cacheHierarchy uniqueName="[Measures].[GM TY/LY Color]" caption="GM TY/LY Color" measure="1" displayFolder="" measureGroup="BI vw_BudgetByStore" count="0"/>
    <cacheHierarchy uniqueName="[Measures].[R-Budget-ItemDept Y/N]" caption="R-Budget-ItemDept Y/N" measure="1" displayFolder="" measureGroup="BI vw_BudgetByItemCategory" count="0"/>
    <cacheHierarchy uniqueName="[Measures].[R-Sales vs Budget-ItemDept Y/N]" caption="R-Sales vs Budget-ItemDept Y/N" measure="1" displayFolder="" measureGroup="BI vw_BudgetByItemCategory" count="0"/>
    <cacheHierarchy uniqueName="[Measures].[Rank]" caption="Rank" measure="1" displayFolder="" measureGroup="BI vw_WeeklyItemSales" count="0"/>
    <cacheHierarchy uniqueName="[Measures].[Store Trans]" caption="Store Trans" measure="1" displayFolder="" measureGroup="BI vw_WeeklyStoreATV" count="0"/>
    <cacheHierarchy uniqueName="[Measures].[Sales TY $]" caption="Sales TY $" measure="1" displayFolder="" measureGroup="Measure" count="0"/>
    <cacheHierarchy uniqueName="[Measures].[This Year]" caption="This Year" measure="1" displayFolder="" measureGroup="Measure" count="0"/>
    <cacheHierarchy uniqueName="[Measures].[Sales LY $]" caption="Sales LY $" measure="1" displayFolder="" measureGroup="Measure" count="0"/>
    <cacheHierarchy uniqueName="[Measures].[GM$ TY]" caption="GM$ TY" measure="1" displayFolder="" measureGroup="Measure" count="0"/>
    <cacheHierarchy uniqueName="[Measures].[GM$ LY]" caption="GM$ LY" measure="1" displayFolder="" measureGroup="Measure" count="0"/>
    <cacheHierarchy uniqueName="[Measures].[M/D$ TY]" caption="M/D$ TY" measure="1" displayFolder="" measureGroup="Measure" count="0"/>
    <cacheHierarchy uniqueName="[Measures].[M/D LY $]" caption="M/D LY $" measure="1" displayFolder="" measureGroup="Measure" count="0"/>
    <cacheHierarchy uniqueName="[Measures].[Budget$-Store]" caption="Budget$-Store" measure="1" displayFolder="" measureGroup="Measure" count="0"/>
    <cacheHierarchy uniqueName="[Measures].[ATV TY]" caption="ATV TY" measure="1" displayFolder="" measureGroup="Measure" count="0"/>
    <cacheHierarchy uniqueName="[Measures].[ATV LY $]" caption="ATV LY $" measure="1" displayFolder="" measureGroup="Measure" count="0"/>
    <cacheHierarchy uniqueName="[Measures].[BudgetDollar-ItemDept]" caption="BudgetDollar-ItemDept" measure="1" displayFolder="" measureGroup="Measure" count="0"/>
    <cacheHierarchy uniqueName="[Measures].[BudgetGMDollar-ItemDept]" caption="BudgetGMDollar-ItemDept" measure="1" displayFolder="" measureGroup="Measure" count="0"/>
    <cacheHierarchy uniqueName="[Measures].[GM$ YoY]" caption="GM$ YoY" measure="1" displayFolder="" measureGroup="Measure" count="0"/>
    <cacheHierarchy uniqueName="[Measures].[Sales vs Budget]" caption="Sales vs Budget" measure="1" displayFolder="" measureGroup="Measure" count="0"/>
    <cacheHierarchy uniqueName="[Measures].[Sales YoY]" caption="Sales YoY" measure="1" displayFolder="" measureGroup="Measure" count="0"/>
    <cacheHierarchy uniqueName="[Measures].[SalesatFullRet]" caption="SalesatFullRet" measure="1" displayFolder="" measureGroup="Measure" count="0"/>
    <cacheHierarchy uniqueName="[Measures].[SalesCost]" caption="SalesCost" measure="1" displayFolder="" measureGroup="Measure" count="0"/>
    <cacheHierarchy uniqueName="[Measures].[Traffic TY]" caption="Traffic TY" measure="1" displayFolder="" measureGroup="Measure" count="0"/>
    <cacheHierarchy uniqueName="[Measures].[Units TY]" caption="Units TY" measure="1" displayFolder="" measureGroup="Measure" count="0"/>
    <cacheHierarchy uniqueName="[Measures].[Units LY]" caption="Units LY" measure="1" displayFolder="" measureGroup="Measure" count="0"/>
    <cacheHierarchy uniqueName="[Measures].[Rolling 12 months Sales]" caption="Rolling 12 months Sales" measure="1" displayFolder="" measureGroup="Measure" count="0"/>
    <cacheHierarchy uniqueName="[Measures].[Rolling 12 months GM]" caption="Rolling 12 months GM" measure="1" displayFolder="" measureGroup="Measure" count="0"/>
    <cacheHierarchy uniqueName="[Measures].[Rolling 12 months M/D]" caption="Rolling 12 months M/D" measure="1" displayFolder="" measureGroup="Measure" count="0"/>
    <cacheHierarchy uniqueName="[Measures].[Transaction TY]" caption="Transaction TY" measure="1" displayFolder="" measureGroup="Measure" count="0"/>
    <cacheHierarchy uniqueName="[Measures].[Transactions LY]" caption="Transactions LY" measure="1" displayFolder="" measureGroup="Measure" count="0"/>
    <cacheHierarchy uniqueName="[Measures].[Transaction YOY]" caption="Transaction YOY" measure="1" displayFolder="" measureGroup="Measure" count="0"/>
    <cacheHierarchy uniqueName="[Measures].[GM$ Budget TY]" caption="GM$ Budget TY" measure="1" displayFolder="" measureGroup="Measure" count="0"/>
    <cacheHierarchy uniqueName="[Measures].[GM$ Budget LY]" caption="GM$ Budget LY" measure="1" displayFolder="" measureGroup="Measure" count="0"/>
    <cacheHierarchy uniqueName="[Measures].[GM vs Budget $]" caption="GM vs Budget $" measure="1" displayFolder="" measureGroup="Measure" count="0"/>
    <cacheHierarchy uniqueName="[Measures].[Measure]" caption="Measure" measure="1" displayFolder="" measureGroup="Measure" count="0"/>
    <cacheHierarchy uniqueName="[Measures].[GM % TY]" caption="GM % TY" measure="1" displayFolder="" measureGroup="Measure" count="0"/>
    <cacheHierarchy uniqueName="[Measures].[GM % LY]" caption="GM % LY" measure="1" displayFolder="" measureGroup="Measure" count="0"/>
    <cacheHierarchy uniqueName="[Measures].[GM% Budget]" caption="GM% Budget" measure="1" displayFolder="" measureGroup="Measure" count="0"/>
    <cacheHierarchy uniqueName="[Measures].[Measure 2]" caption="Measure 2" measure="1" displayFolder="" measureGroup="Measure" count="0"/>
    <cacheHierarchy uniqueName="[Measures].[M/D % TY]" caption="M/D % TY" measure="1" displayFolder="" measureGroup="Measure" count="0"/>
    <cacheHierarchy uniqueName="[Measures].[M/D % LY]" caption="M/D % LY" measure="1" displayFolder="" measureGroup="Measure" count="0"/>
    <cacheHierarchy uniqueName="[Measures].[Dropship$ Budget TY]" caption="Dropship$ Budget TY" measure="1" displayFolder="" measureGroup="Measure" count="0"/>
    <cacheHierarchy uniqueName="[Measures].[Rolling 12 months R-Sale $ TY]" caption="Rolling 12 months R-Sale $ TY" measure="1" displayFolder="" measureGroup="Measure" count="0"/>
    <cacheHierarchy uniqueName="[Measures].[Rolling 12 months Traffic YoY]" caption="Rolling 12 months Traffic YoY" measure="1" displayFolder="" measureGroup="Measure" count="0"/>
    <cacheHierarchy uniqueName="[Measures].[Rolling 12 months ATV YoY]" caption="Rolling 12 months ATV YoY" measure="1" displayFolder="" measureGroup="Measure" count="0"/>
    <cacheHierarchy uniqueName="[Measures].[Rolling 12 months Conv YoY]" caption="Rolling 12 months Conv YoY" measure="1" displayFolder="" measureGroup="Measure" count="0"/>
    <cacheHierarchy uniqueName="[Measures].[Rolling 12 months Store Trans YoY]" caption="Rolling 12 months Store Trans YoY" measure="1" displayFolder="" measureGroup="Measure" count="0"/>
    <cacheHierarchy uniqueName="[Measures].[LastRefreshedSydney]" caption="LastRefreshedSydney" measure="1" displayFolder="" measureGroup="Measure" count="0"/>
    <cacheHierarchy uniqueName="[Measures].[R-Sales Forecast TY]" caption="R-Sales Forecast TY" measure="1" displayFolder="" measureGroup="ForcastByClass" count="0"/>
    <cacheHierarchy uniqueName="[Measures].[Actual Select]" caption="Actual Select" measure="1" displayFolder="" measureGroup="Dim_Category" count="0"/>
    <cacheHierarchy uniqueName="[Measures].[Actual select1]" caption="Actual select1" measure="1" displayFolder="" measureGroup="Dim_Category" count="0"/>
    <cacheHierarchy uniqueName="[Measures].[Week Sales]" caption="Week Sales" measure="1" displayFolder="" measureGroup="Dim_Category" count="0"/>
    <cacheHierarchy uniqueName="[Measures].[MTD Sales]" caption="MTD Sales" measure="1" displayFolder="" measureGroup="Dim_Category" count="0"/>
    <cacheHierarchy uniqueName="[Measures].[YTD Sales]" caption="YTD Sales" measure="1" displayFolder="" measureGroup="Dim_Category" count="0"/>
    <cacheHierarchy uniqueName="[Measures].[Week Budget]" caption="Week Budget" measure="1" displayFolder="" measureGroup="Dim_Category" count="0"/>
    <cacheHierarchy uniqueName="[Measures].[MTD Budget]" caption="MTD Budget" measure="1" displayFolder="" measureGroup="Dim_Category" count="0"/>
    <cacheHierarchy uniqueName="[Measures].[YTD Budget]" caption="YTD Budget" measure="1" displayFolder="" measureGroup="Dim_Category" count="0"/>
    <cacheHierarchy uniqueName="[Measures].[SelectorNum]" caption="SelectorNum" measure="1" displayFolder="" measureGroup="Dim_Category" count="0"/>
    <cacheHierarchy uniqueName="[Measures].[Sales Select]" caption="Sales Select" measure="1" displayFolder="" measureGroup="Dim_Category" count="0"/>
    <cacheHierarchy uniqueName="[Measures].[Budget Select]" caption="Budget Select" measure="1" displayFolder="" measureGroup="Dim_Category" count="0"/>
    <cacheHierarchy uniqueName="[Measures].[TodayWeek]" caption="TodayWeek" measure="1" displayFolder="" measureGroup="Dim_Category" count="0"/>
    <cacheHierarchy uniqueName="[Measures].[MTD Sales Filter]" caption="MTD Sales Filter" measure="1" displayFolder="" measureGroup="Dim_Category" count="0"/>
    <cacheHierarchy uniqueName="[Measures].[Week Sales LY]" caption="Week Sales LY" measure="1" displayFolder="" measureGroup="Dim_Category" count="0"/>
    <cacheHierarchy uniqueName="[Measures].[MTD Sales LY]" caption="MTD Sales LY" measure="1" displayFolder="" measureGroup="Dim_Category" count="0"/>
    <cacheHierarchy uniqueName="[Measures].[YTD Sales LY]" caption="YTD Sales LY" measure="1" displayFolder="" measureGroup="Dim_Category" count="0"/>
    <cacheHierarchy uniqueName="[Measures].[Sales LY Select]" caption="Sales LY Select" measure="1" displayFolder="" measureGroup="Dim_Category" count="0"/>
    <cacheHierarchy uniqueName="[Measures].[GM TY Week]" caption="GM TY Week" measure="1" displayFolder="" measureGroup="Dim_Category" count="0"/>
    <cacheHierarchy uniqueName="[Measures].[GM TY MTD]" caption="GM TY MTD" measure="1" displayFolder="" measureGroup="Dim_Category" count="0"/>
    <cacheHierarchy uniqueName="[Measures].[GM TY YTD]" caption="GM TY YTD" measure="1" displayFolder="" measureGroup="Dim_Category" count="0"/>
    <cacheHierarchy uniqueName="[Measures].[GM TY Select]" caption="GM TY Select" measure="1" displayFolder="" measureGroup="Dim_Category" count="0"/>
    <cacheHierarchy uniqueName="[Measures].[Sales Categories]" caption="Sales Categories" measure="1" displayFolder="" measureGroup="Measure Categories" count="0"/>
    <cacheHierarchy uniqueName="[Measures].[Sales Categories 1]" caption="Sales Categories 1" measure="1" displayFolder="" measureGroup="Measure Categories" count="0"/>
    <cacheHierarchy uniqueName="[Measures].[Sales Title]" caption="Sales Title" measure="1" displayFolder="" measureGroup="Measure Categories" count="0"/>
    <cacheHierarchy uniqueName="[Measures].[Traffic KPIs]" caption="Traffic KPIs" measure="1" displayFolder="" measureGroup="Measure Tooltip" count="0"/>
    <cacheHierarchy uniqueName="[Measures].[Traffic TY/LY Color]" caption="Traffic TY/LY Color" measure="1" displayFolder="" measureGroup="Measure Tooltip" count="0"/>
    <cacheHierarchy uniqueName="[Measures].[Store Trans KPIs]" caption="Store Trans KPIs" measure="1" displayFolder="" measureGroup="Measure Tooltip" count="0"/>
    <cacheHierarchy uniqueName="[Measures].[Store Trans TY/LY Color]" caption="Store Trans TY/LY Color" measure="1" displayFolder="" measureGroup="Measure Tooltip" count="0"/>
    <cacheHierarchy uniqueName="[Measures].[Conv KPIs]" caption="Conv KPIs" measure="1" displayFolder="" measureGroup="Measure Tooltip" count="0"/>
    <cacheHierarchy uniqueName="[Measures].[Conv TY/LY Color]" caption="Conv TY/LY Color" measure="1" displayFolder="" measureGroup="Measure Tooltip" count="0"/>
    <cacheHierarchy uniqueName="[Measures].[ATV KPIs]" caption="ATV KPIs" measure="1" displayFolder="" measureGroup="Measure Tooltip" count="0"/>
    <cacheHierarchy uniqueName="[Measures].[ATV TY/LY Color]" caption="ATV TY/LY Color" measure="1" displayFolder="" measureGroup="Measure Tooltip" count="0"/>
    <cacheHierarchy uniqueName="[Measures].[Measure 4]" caption="Measure 4" measure="1" displayFolder="" measureGroup="Measure Tooltip" count="0"/>
    <cacheHierarchy uniqueName="[Measures].[R-M/D$ Budget Color]" caption="R-M/D$ Budget Color" measure="1" displayFolder="" measureGroup="Measure Tooltip" count="0"/>
    <cacheHierarchy uniqueName="[Measures].[R-Sales$ Budget Color]" caption="R-Sales$ Budget Color" measure="1" displayFolder="" measureGroup="Measure Tooltip" count="0"/>
    <cacheHierarchy uniqueName="[Measures].[R-GM TY Color]" caption="R-GM TY Color" measure="1" displayFolder="" measureGroup="Measure Tooltip" count="0"/>
    <cacheHierarchy uniqueName="[Measures].[R-Store Trans Color]" caption="R-Store Trans Color" measure="1" displayFolder="" measureGroup="Measure Tooltip" count="0"/>
    <cacheHierarchy uniqueName="[Measures].[R-Traffic Color]" caption="R-Traffic Color" measure="1" displayFolder="" measureGroup="Measure Tooltip" count="0"/>
    <cacheHierarchy uniqueName="[Measures].[R-COnv Color]" caption="R-COnv Color" measure="1" displayFolder="" measureGroup="Measure Tooltip" count="0"/>
    <cacheHierarchy uniqueName="[Measures].[R-ATV Color]" caption="R-ATV Color" measure="1" displayFolder="" measureGroup="Measure Tooltip" count="0"/>
    <cacheHierarchy uniqueName="[Measures].[R-M/D$% Budget Color]" caption="R-M/D$% Budget Color" measure="1" displayFolder="" measureGroup="Measure Tooltip" count="0"/>
    <cacheHierarchy uniqueName="[Measures].[R-Traffic Budget Color]" caption="R-Traffic Budget Color" measure="1" displayFolder="" measureGroup="Measure Tooltip" count="0"/>
    <cacheHierarchy uniqueName="[Measures].[R-Store Trans Budget Color]" caption="R-Store Trans Budget Color" measure="1" displayFolder="" measureGroup="Measure Tooltip" count="0"/>
    <cacheHierarchy uniqueName="[Measures].[R-Conv Budget Color]" caption="R-Conv Budget Color" measure="1" displayFolder="" measureGroup="Measure Tooltip" count="0"/>
    <cacheHierarchy uniqueName="[Measures].[R-ATV Budget Color]" caption="R-ATV Budget Color" measure="1" displayFolder="" measureGroup="Measure Tooltip" count="0"/>
    <cacheHierarchy uniqueName="[Measures].[R-Sales TY/LY Color]" caption="R-Sales TY/LY Color" measure="1" displayFolder="" measureGroup="Measure Tooltip" count="0"/>
    <cacheHierarchy uniqueName="[Measures].[R-Sales$ Plan Color]" caption="R-Sales$ Plan Color" measure="1" displayFolder="" measureGroup="Measure Tooltip" count="0"/>
    <cacheHierarchy uniqueName="[Measures].[R-GM % TY Color]" caption="R-GM % TY Color" measure="1" displayFolder="" measureGroup="Measure Tooltip" count="0"/>
    <cacheHierarchy uniqueName="[Measures].[R-Budget$-Online-Store]" caption="R-Budget$-Online-Store" measure="1" displayFolder="" measureGroup="BI vw_BudgetOnlineByStore" count="0"/>
    <cacheHierarchy uniqueName="[Measures].[R-Budget-Online Store Y/N]" caption="R-Budget-Online Store Y/N" measure="1" displayFolder="" measureGroup="BI vw_BudgetOnlineByStore" count="0"/>
    <cacheHierarchy uniqueName="[Measures].[R-Budget Y/N]" caption="R-Budget Y/N" measure="1" displayFolder="" measureGroup="BI vw_BudgetOnlineByStore" count="0"/>
    <cacheHierarchy uniqueName="[Measures].[Product Dynamic Title]" caption="Product Dynamic Title" measure="1" displayFolder="" measureGroup="Product Parameter" count="0"/>
    <cacheHierarchy uniqueName="[Measures].[Budget Online]" caption="Budget Online" measure="1" displayFolder="" measureGroup="BI vw_BudgetDigital" count="0"/>
    <cacheHierarchy uniqueName="[Measures].[R-Budget Online TY]" caption="R-Budget Online TY" measure="1" displayFolder="" measureGroup="BI vw_BudgetDigital" count="0"/>
    <cacheHierarchy uniqueName="[Measures].[Store Trans Budget]" caption="Store Trans Budget" measure="1" displayFolder="" measureGroup="BI vw_BudgetByWeek" count="0"/>
    <cacheHierarchy uniqueName="[Measures].[R-Store Trans InStore Budget]" caption="R-Store Trans InStore Budget" measure="1" displayFolder="" measureGroup="BI vw_BudgetByWeek" count="0"/>
    <cacheHierarchy uniqueName="[Measures].[Traffic Budget]" caption="Traffic Budget" measure="1" displayFolder="" measureGroup="BI vw_BudgetByWeek" count="0"/>
    <cacheHierarchy uniqueName="[Measures].[R-Traffic InStore Budget]" caption="R-Traffic InStore Budget" measure="1" displayFolder="" measureGroup="BI vw_BudgetByWeek" count="0"/>
    <cacheHierarchy uniqueName="[Measures].[R-Conv Instore Budget]" caption="R-Conv Instore Budget" measure="1" displayFolder="" measureGroup="BI vw_BudgetByWeek" count="0"/>
    <cacheHierarchy uniqueName="[Measures].[R-Budget InStore]" caption="R-Budget InStore" measure="1" displayFolder="" measureGroup="BI vw_BudgetByWeek" count="0"/>
    <cacheHierarchy uniqueName="[Measures].[R-Traffic Budget Channel]" caption="R-Traffic Budget Channel" measure="1" displayFolder="" measureGroup="BI vw_BudgetByWeek" count="0"/>
    <cacheHierarchy uniqueName="[Measures].[R-Conv Budget Channel]" caption="R-Conv Budget Channel" measure="1" displayFolder="" measureGroup="BI vw_BudgetByWeek" count="0"/>
    <cacheHierarchy uniqueName="[Measures].[R-Store trans Budget Channel]" caption="R-Store trans Budget Channel" measure="1" displayFolder="" measureGroup="BI vw_BudgetByWeek" count="0"/>
    <cacheHierarchy uniqueName="[Measures].[R-ATV InStore Budget Cal]" caption="R-ATV InStore Budget Cal" measure="1" displayFolder="" measureGroup="BI vw_BudgetByWeek" count="0"/>
    <cacheHierarchy uniqueName="[Measures].[R-ATV Budget Channel]" caption="R-ATV Budget Channel" measure="1" displayFolder="" measureGroup="BI vw_BudgetByWeek" count="0"/>
    <cacheHierarchy uniqueName="[Measures].[R-GM Plan TY]" caption="R-GM Plan TY" measure="1" displayFolder="" measureGroup="Forecast" count="0"/>
    <cacheHierarchy uniqueName="[Measures].[R-GM vs Plan]" caption="R-GM vs Plan" measure="1" displayFolder="" measureGroup="Forecast" count="0"/>
    <cacheHierarchy uniqueName="[Measures].[R-GM %]" caption="R-GM %" measure="1" displayFolder="" measureGroup="Forecast" count="0"/>
    <cacheHierarchy uniqueName="[Measures].[R-Sales Plan TY]" caption="R-Sales Plan TY" measure="1" displayFolder="" measureGroup="Forecast" count="0"/>
    <cacheHierarchy uniqueName="[Measures].[R-GM Plan %]" caption="R-GM Plan %" measure="1" displayFolder="" measureGroup="Forecast" count="0"/>
    <cacheHierarchy uniqueName="[Measures].[R-Sales Plan TY-K]" caption="R-Sales Plan TY-K" measure="1" displayFolder="" measureGroup="Forecast" count="0"/>
    <cacheHierarchy uniqueName="[Measures].[__Default measure]" caption="__Default measure" measure="1" displayFolder="" count="0" hidden="1"/>
  </cacheHierarchies>
  <kpis count="0"/>
  <dimensions count="35">
    <dimension name="BI ForecastClass" uniqueName="[BI ForecastClass]" caption="BI ForecastClass"/>
    <dimension name="BI Item" uniqueName="[BI Item]" caption="BI Item"/>
    <dimension name="BI metrics" uniqueName="[BI metrics]" caption="BI metrics"/>
    <dimension name="BI Store" uniqueName="[BI Store]" caption="BI Store"/>
    <dimension name="BI Store State Sort" uniqueName="[BI Store State Sort]" caption="BI Store State Sort"/>
    <dimension name="BI vw_BudgetByItemCategory" uniqueName="[BI vw_BudgetByItemCategory]" caption="BI vw_BudgetByItemCategory"/>
    <dimension name="BI vw_BudgetByStore" uniqueName="[BI vw_BudgetByStore]" caption="BI vw_BudgetByStore"/>
    <dimension name="BI vw_BudgetByWeek" uniqueName="[BI vw_BudgetByWeek]" caption="BI vw_BudgetByWeek"/>
    <dimension name="BI vw_BudgetDigital" uniqueName="[BI vw_BudgetDigital]" caption="BI vw_BudgetDigital"/>
    <dimension name="BI vw_BudgetOnlineByStore" uniqueName="[BI vw_BudgetOnlineByStore]" caption="BI vw_BudgetOnlineByStore"/>
    <dimension name="BI vw_DropshipBudget" uniqueName="[BI vw_DropshipBudget]" caption="BI vw_DropshipBudget"/>
    <dimension name="BI vw_Items" uniqueName="[BI vw_Items]" caption="BI vw_Items"/>
    <dimension name="BI vw_WeeklyItemSales" uniqueName="[BI vw_WeeklyItemSales]" caption="BI vw_WeeklyItemSales"/>
    <dimension name="BI vw_WeeklyStoreATV" uniqueName="[BI vw_WeeklyStoreATV]" caption="BI vw_WeeklyStoreATV"/>
    <dimension name="BI vw_WeeklyStoreTraffic" uniqueName="[BI vw_WeeklyStoreTraffic]" caption="BI vw_WeeklyStoreTraffic"/>
    <dimension name="BI vw_WeeklyWrittenSalesMetrics" uniqueName="[BI vw_WeeklyWrittenSalesMetrics]" caption="BI vw_WeeklyWrittenSalesMetrics"/>
    <dimension name="Dim_Category" uniqueName="[Dim_Category]" caption="Dim_Category"/>
    <dimension name="dim_period" uniqueName="[dim_period]" caption="dim_period"/>
    <dimension name="ForcastByClass" uniqueName="[ForcastByClass]" caption="ForcastByClass"/>
    <dimension name="Forecast" uniqueName="[Forecast]" caption="Forecast"/>
    <dimension name="LocalDateTable_0d9eeced-3257-4609-8cfb-234f1d7c24d7" uniqueName="[LocalDateTable_0d9eeced-3257-4609-8cfb-234f1d7c24d7]" caption="LocalDateTable_0d9eeced-3257-4609-8cfb-234f1d7c24d7"/>
    <dimension name="LocalDateTable_3a17192d-ec7c-4dba-ac0e-bcf6b3a6a0ff" uniqueName="[LocalDateTable_3a17192d-ec7c-4dba-ac0e-bcf6b3a6a0ff]" caption="LocalDateTable_3a17192d-ec7c-4dba-ac0e-bcf6b3a6a0ff"/>
    <dimension name="LocalDateTable_3f117c71-2c04-4fa5-8c23-2b2c1ab14338" uniqueName="[LocalDateTable_3f117c71-2c04-4fa5-8c23-2b2c1ab14338]" caption="LocalDateTable_3f117c71-2c04-4fa5-8c23-2b2c1ab14338"/>
    <dimension name="LocalDateTable_66f09a5d-f864-46bc-a2f5-c0014bc05155" uniqueName="[LocalDateTable_66f09a5d-f864-46bc-a2f5-c0014bc05155]" caption="LocalDateTable_66f09a5d-f864-46bc-a2f5-c0014bc05155"/>
    <dimension name="LocalDateTable_754a5606-f042-4514-8c57-59f8f32672fc" uniqueName="[LocalDateTable_754a5606-f042-4514-8c57-59f8f32672fc]" caption="LocalDateTable_754a5606-f042-4514-8c57-59f8f32672fc"/>
    <dimension name="LocalDateTable_9b9a9699-5b52-40e9-b4a0-c11cb55a9d61" uniqueName="[LocalDateTable_9b9a9699-5b52-40e9-b4a0-c11cb55a9d61]" caption="LocalDateTable_9b9a9699-5b52-40e9-b4a0-c11cb55a9d61"/>
    <dimension name="LocalDateTable_a29de990-df00-42e6-9e8c-814d0b4b9a86" uniqueName="[LocalDateTable_a29de990-df00-42e6-9e8c-814d0b4b9a86]" caption="LocalDateTable_a29de990-df00-42e6-9e8c-814d0b4b9a86"/>
    <dimension name="LocalDateTable_e1d748f9-bc77-4c73-ba8d-fcf5ec29dd71" uniqueName="[LocalDateTable_e1d748f9-bc77-4c73-ba8d-fcf5ec29dd71]" caption="LocalDateTable_e1d748f9-bc77-4c73-ba8d-fcf5ec29dd71"/>
    <dimension name="Measure" uniqueName="[Measure]" caption="Measure"/>
    <dimension name="Measure Categories" uniqueName="[Measure Categories]" caption="Measure Categories"/>
    <dimension measure="1" name="Measures" uniqueName="[Measures]" caption="Measures"/>
    <dimension name="Product Parameter" uniqueName="[Product Parameter]" caption="Product Parameter"/>
    <dimension name="Query1" uniqueName="[Query1]" caption="Query1"/>
    <dimension name="Query2" uniqueName="[Query2]" caption="Query2"/>
    <dimension name="TimePeriodSort" uniqueName="[TimePeriodSort]" caption="TimePeriodSort"/>
  </dimensions>
  <measureGroups count="35">
    <measureGroup name="BI ForecastClass" caption="BI ForecastClass"/>
    <measureGroup name="BI Item" caption="BI Item"/>
    <measureGroup name="BI metrics" caption="BI metrics"/>
    <measureGroup name="BI Store" caption="BI Store"/>
    <measureGroup name="BI Store State Sort" caption="BI Store State Sort"/>
    <measureGroup name="BI vw_BudgetByItemCategory" caption="BI vw_BudgetByItemCategory"/>
    <measureGroup name="BI vw_BudgetByStore" caption="BI vw_BudgetByStore"/>
    <measureGroup name="BI vw_BudgetByWeek" caption="BI vw_BudgetByWeek"/>
    <measureGroup name="BI vw_BudgetDigital" caption="BI vw_BudgetDigital"/>
    <measureGroup name="BI vw_BudgetOnlineByStore" caption="BI vw_BudgetOnlineByStore"/>
    <measureGroup name="BI vw_DropshipBudget" caption="BI vw_DropshipBudget"/>
    <measureGroup name="BI vw_Items" caption="BI vw_Items"/>
    <measureGroup name="BI vw_WeeklyItemSales" caption="BI vw_WeeklyItemSales"/>
    <measureGroup name="BI vw_WeeklyStoreATV" caption="BI vw_WeeklyStoreATV"/>
    <measureGroup name="BI vw_WeeklyStoreTraffic" caption="BI vw_WeeklyStoreTraffic"/>
    <measureGroup name="BI vw_WeeklyWrittenSalesMetrics" caption="BI vw_WeeklyWrittenSalesMetrics"/>
    <measureGroup name="Dim_Category" caption="Dim_Category"/>
    <measureGroup name="dim_period" caption="dim_period"/>
    <measureGroup name="ForcastByClass" caption="ForcastByClass"/>
    <measureGroup name="Forecast" caption="Forecast"/>
    <measureGroup name="LocalDateTable_0d9eeced-3257-4609-8cfb-234f1d7c24d7" caption="LocalDateTable_0d9eeced-3257-4609-8cfb-234f1d7c24d7"/>
    <measureGroup name="LocalDateTable_3a17192d-ec7c-4dba-ac0e-bcf6b3a6a0ff" caption="LocalDateTable_3a17192d-ec7c-4dba-ac0e-bcf6b3a6a0ff"/>
    <measureGroup name="LocalDateTable_3f117c71-2c04-4fa5-8c23-2b2c1ab14338" caption="LocalDateTable_3f117c71-2c04-4fa5-8c23-2b2c1ab14338"/>
    <measureGroup name="LocalDateTable_66f09a5d-f864-46bc-a2f5-c0014bc05155" caption="LocalDateTable_66f09a5d-f864-46bc-a2f5-c0014bc05155"/>
    <measureGroup name="LocalDateTable_754a5606-f042-4514-8c57-59f8f32672fc" caption="LocalDateTable_754a5606-f042-4514-8c57-59f8f32672fc"/>
    <measureGroup name="LocalDateTable_9b9a9699-5b52-40e9-b4a0-c11cb55a9d61" caption="LocalDateTable_9b9a9699-5b52-40e9-b4a0-c11cb55a9d61"/>
    <measureGroup name="LocalDateTable_a29de990-df00-42e6-9e8c-814d0b4b9a86" caption="LocalDateTable_a29de990-df00-42e6-9e8c-814d0b4b9a86"/>
    <measureGroup name="LocalDateTable_e1d748f9-bc77-4c73-ba8d-fcf5ec29dd71" caption="LocalDateTable_e1d748f9-bc77-4c73-ba8d-fcf5ec29dd71"/>
    <measureGroup name="Measure" caption="Measure"/>
    <measureGroup name="Measure Categories" caption="Measure Categories"/>
    <measureGroup name="Measure Tooltip" caption="Measure Tooltip"/>
    <measureGroup name="Product Parameter" caption="Product Parameter"/>
    <measureGroup name="Query1" caption="Query1"/>
    <measureGroup name="Query2" caption="Query2"/>
    <measureGroup name="TimePeriodSort" caption="TimePeriodSort"/>
  </measureGroups>
  <maps count="41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2"/>
    <map measureGroup="0" dimension="13"/>
    <map measureGroup="0" dimension="14"/>
    <map measureGroup="0" dimension="15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34"/>
    <map measureGroup="1" dimension="1"/>
    <map measureGroup="1" dimension="23"/>
    <map measureGroup="1" dimension="25"/>
    <map measureGroup="2" dimension="2"/>
    <map measureGroup="2" dimension="20"/>
    <map measureGroup="2" dimension="24"/>
    <map measureGroup="2" dimension="27"/>
    <map measureGroup="2" dimension="34"/>
    <map measureGroup="3" dimension="0"/>
    <map measureGroup="3" dimension="1"/>
    <map measureGroup="3" dimension="2"/>
    <map measureGroup="3" dimension="3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2"/>
    <map measureGroup="3" dimension="13"/>
    <map measureGroup="3" dimension="14"/>
    <map measureGroup="3" dimension="15"/>
    <map measureGroup="3" dimension="17"/>
    <map measureGroup="3" dimension="18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8"/>
    <map measureGroup="3" dimension="34"/>
    <map measureGroup="4" dimension="4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2"/>
    <map measureGroup="5" dimension="13"/>
    <map measureGroup="5" dimension="14"/>
    <map measureGroup="5" dimension="15"/>
    <map measureGroup="5" dimension="17"/>
    <map measureGroup="5" dimension="18"/>
    <map measureGroup="5" dimension="19"/>
    <map measureGroup="5" dimension="20"/>
    <map measureGroup="5" dimension="21"/>
    <map measureGroup="5" dimension="22"/>
    <map measureGroup="5" dimension="23"/>
    <map measureGroup="5" dimension="24"/>
    <map measureGroup="5" dimension="25"/>
    <map measureGroup="5" dimension="27"/>
    <map measureGroup="5" dimension="28"/>
    <map measureGroup="5" dimension="34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  <map measureGroup="6" dimension="8"/>
    <map measureGroup="6" dimension="9"/>
    <map measureGroup="6" dimension="10"/>
    <map measureGroup="6" dimension="12"/>
    <map measureGroup="6" dimension="13"/>
    <map measureGroup="6" dimension="14"/>
    <map measureGroup="6" dimension="15"/>
    <map measureGroup="6" dimension="17"/>
    <map measureGroup="6" dimension="18"/>
    <map measureGroup="6" dimension="19"/>
    <map measureGroup="6" dimension="20"/>
    <map measureGroup="6" dimension="21"/>
    <map measureGroup="6" dimension="22"/>
    <map measureGroup="6" dimension="23"/>
    <map measureGroup="6" dimension="24"/>
    <map measureGroup="6" dimension="25"/>
    <map measureGroup="6" dimension="27"/>
    <map measureGroup="6" dimension="28"/>
    <map measureGroup="6" dimension="34"/>
    <map measureGroup="7" dimension="0"/>
    <map measureGroup="7" dimension="1"/>
    <map measureGroup="7" dimension="2"/>
    <map measureGroup="7" dimension="3"/>
    <map measureGroup="7" dimension="5"/>
    <map measureGroup="7" dimension="6"/>
    <map measureGroup="7" dimension="7"/>
    <map measureGroup="7" dimension="8"/>
    <map measureGroup="7" dimension="9"/>
    <map measureGroup="7" dimension="10"/>
    <map measureGroup="7" dimension="12"/>
    <map measureGroup="7" dimension="13"/>
    <map measureGroup="7" dimension="14"/>
    <map measureGroup="7" dimension="15"/>
    <map measureGroup="7" dimension="17"/>
    <map measureGroup="7" dimension="18"/>
    <map measureGroup="7" dimension="19"/>
    <map measureGroup="7" dimension="20"/>
    <map measureGroup="7" dimension="21"/>
    <map measureGroup="7" dimension="22"/>
    <map measureGroup="7" dimension="23"/>
    <map measureGroup="7" dimension="24"/>
    <map measureGroup="7" dimension="25"/>
    <map measureGroup="7" dimension="27"/>
    <map measureGroup="7" dimension="28"/>
    <map measureGroup="7" dimension="34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8" dimension="12"/>
    <map measureGroup="8" dimension="13"/>
    <map measureGroup="8" dimension="14"/>
    <map measureGroup="8" dimension="15"/>
    <map measureGroup="8" dimension="17"/>
    <map measureGroup="8" dimension="18"/>
    <map measureGroup="8" dimension="19"/>
    <map measureGroup="8" dimension="20"/>
    <map measureGroup="8" dimension="21"/>
    <map measureGroup="8" dimension="22"/>
    <map measureGroup="8" dimension="23"/>
    <map measureGroup="8" dimension="24"/>
    <map measureGroup="8" dimension="25"/>
    <map measureGroup="8" dimension="27"/>
    <map measureGroup="8" dimension="28"/>
    <map measureGroup="8" dimension="34"/>
    <map measureGroup="9" dimension="0"/>
    <map measureGroup="9" dimension="1"/>
    <map measureGroup="9" dimension="2"/>
    <map measureGroup="9" dimension="3"/>
    <map measureGroup="9" dimension="5"/>
    <map measureGroup="9" dimension="6"/>
    <map measureGroup="9" dimension="7"/>
    <map measureGroup="9" dimension="8"/>
    <map measureGroup="9" dimension="9"/>
    <map measureGroup="9" dimension="10"/>
    <map measureGroup="9" dimension="12"/>
    <map measureGroup="9" dimension="13"/>
    <map measureGroup="9" dimension="14"/>
    <map measureGroup="9" dimension="15"/>
    <map measureGroup="9" dimension="17"/>
    <map measureGroup="9" dimension="18"/>
    <map measureGroup="9" dimension="19"/>
    <map measureGroup="9" dimension="20"/>
    <map measureGroup="9" dimension="21"/>
    <map measureGroup="9" dimension="22"/>
    <map measureGroup="9" dimension="23"/>
    <map measureGroup="9" dimension="24"/>
    <map measureGroup="9" dimension="25"/>
    <map measureGroup="9" dimension="27"/>
    <map measureGroup="9" dimension="28"/>
    <map measureGroup="9" dimension="34"/>
    <map measureGroup="10" dimension="0"/>
    <map measureGroup="10" dimension="1"/>
    <map measureGroup="10" dimension="2"/>
    <map measureGroup="10" dimension="3"/>
    <map measureGroup="10" dimension="5"/>
    <map measureGroup="10" dimension="6"/>
    <map measureGroup="10" dimension="7"/>
    <map measureGroup="10" dimension="8"/>
    <map measureGroup="10" dimension="9"/>
    <map measureGroup="10" dimension="10"/>
    <map measureGroup="10" dimension="12"/>
    <map measureGroup="10" dimension="13"/>
    <map measureGroup="10" dimension="14"/>
    <map measureGroup="10" dimension="15"/>
    <map measureGroup="10" dimension="17"/>
    <map measureGroup="10" dimension="18"/>
    <map measureGroup="10" dimension="19"/>
    <map measureGroup="10" dimension="20"/>
    <map measureGroup="10" dimension="21"/>
    <map measureGroup="10" dimension="22"/>
    <map measureGroup="10" dimension="23"/>
    <map measureGroup="10" dimension="24"/>
    <map measureGroup="10" dimension="25"/>
    <map measureGroup="10" dimension="27"/>
    <map measureGroup="10" dimension="28"/>
    <map measureGroup="10" dimension="34"/>
    <map measureGroup="11" dimension="11"/>
    <map measureGroup="12" dimension="0"/>
    <map measureGroup="12" dimension="1"/>
    <map measureGroup="12" dimension="2"/>
    <map measureGroup="12" dimension="3"/>
    <map measureGroup="12" dimension="5"/>
    <map measureGroup="12" dimension="6"/>
    <map measureGroup="12" dimension="7"/>
    <map measureGroup="12" dimension="8"/>
    <map measureGroup="12" dimension="9"/>
    <map measureGroup="12" dimension="10"/>
    <map measureGroup="12" dimension="12"/>
    <map measureGroup="12" dimension="13"/>
    <map measureGroup="12" dimension="14"/>
    <map measureGroup="12" dimension="15"/>
    <map measureGroup="12" dimension="17"/>
    <map measureGroup="12" dimension="18"/>
    <map measureGroup="12" dimension="19"/>
    <map measureGroup="12" dimension="20"/>
    <map measureGroup="12" dimension="21"/>
    <map measureGroup="12" dimension="22"/>
    <map measureGroup="12" dimension="23"/>
    <map measureGroup="12" dimension="24"/>
    <map measureGroup="12" dimension="25"/>
    <map measureGroup="12" dimension="27"/>
    <map measureGroup="12" dimension="28"/>
    <map measureGroup="12" dimension="34"/>
    <map measureGroup="13" dimension="0"/>
    <map measureGroup="13" dimension="1"/>
    <map measureGroup="13" dimension="2"/>
    <map measureGroup="13" dimension="3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2"/>
    <map measureGroup="13" dimension="13"/>
    <map measureGroup="13" dimension="14"/>
    <map measureGroup="13" dimension="15"/>
    <map measureGroup="13" dimension="17"/>
    <map measureGroup="13" dimension="18"/>
    <map measureGroup="13" dimension="19"/>
    <map measureGroup="13" dimension="20"/>
    <map measureGroup="13" dimension="21"/>
    <map measureGroup="13" dimension="22"/>
    <map measureGroup="13" dimension="23"/>
    <map measureGroup="13" dimension="24"/>
    <map measureGroup="13" dimension="25"/>
    <map measureGroup="13" dimension="27"/>
    <map measureGroup="13" dimension="28"/>
    <map measureGroup="13" dimension="34"/>
    <map measureGroup="14" dimension="0"/>
    <map measureGroup="14" dimension="1"/>
    <map measureGroup="14" dimension="2"/>
    <map measureGroup="14" dimension="3"/>
    <map measureGroup="14" dimension="5"/>
    <map measureGroup="14" dimension="6"/>
    <map measureGroup="14" dimension="7"/>
    <map measureGroup="14" dimension="8"/>
    <map measureGroup="14" dimension="9"/>
    <map measureGroup="14" dimension="10"/>
    <map measureGroup="14" dimension="12"/>
    <map measureGroup="14" dimension="13"/>
    <map measureGroup="14" dimension="14"/>
    <map measureGroup="14" dimension="15"/>
    <map measureGroup="14" dimension="17"/>
    <map measureGroup="14" dimension="18"/>
    <map measureGroup="14" dimension="19"/>
    <map measureGroup="14" dimension="20"/>
    <map measureGroup="14" dimension="21"/>
    <map measureGroup="14" dimension="22"/>
    <map measureGroup="14" dimension="23"/>
    <map measureGroup="14" dimension="24"/>
    <map measureGroup="14" dimension="25"/>
    <map measureGroup="14" dimension="27"/>
    <map measureGroup="14" dimension="28"/>
    <map measureGroup="14" dimension="34"/>
    <map measureGroup="15" dimension="0"/>
    <map measureGroup="15" dimension="1"/>
    <map measureGroup="15" dimension="2"/>
    <map measureGroup="15" dimension="3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2"/>
    <map measureGroup="15" dimension="13"/>
    <map measureGroup="15" dimension="14"/>
    <map measureGroup="15" dimension="15"/>
    <map measureGroup="15" dimension="17"/>
    <map measureGroup="15" dimension="18"/>
    <map measureGroup="15" dimension="19"/>
    <map measureGroup="15" dimension="20"/>
    <map measureGroup="15" dimension="21"/>
    <map measureGroup="15" dimension="22"/>
    <map measureGroup="15" dimension="23"/>
    <map measureGroup="15" dimension="24"/>
    <map measureGroup="15" dimension="25"/>
    <map measureGroup="15" dimension="27"/>
    <map measureGroup="15" dimension="28"/>
    <map measureGroup="15" dimension="34"/>
    <map measureGroup="16" dimension="16"/>
    <map measureGroup="17" dimension="17"/>
    <map measureGroup="17" dimension="21"/>
    <map measureGroup="17" dimension="22"/>
    <map measureGroup="18" dimension="0"/>
    <map measureGroup="18" dimension="1"/>
    <map measureGroup="18" dimension="2"/>
    <map measureGroup="18" dimension="3"/>
    <map measureGroup="18" dimension="5"/>
    <map measureGroup="18" dimension="6"/>
    <map measureGroup="18" dimension="7"/>
    <map measureGroup="18" dimension="8"/>
    <map measureGroup="18" dimension="9"/>
    <map measureGroup="18" dimension="10"/>
    <map measureGroup="18" dimension="12"/>
    <map measureGroup="18" dimension="13"/>
    <map measureGroup="18" dimension="14"/>
    <map measureGroup="18" dimension="15"/>
    <map measureGroup="18" dimension="17"/>
    <map measureGroup="18" dimension="18"/>
    <map measureGroup="18" dimension="19"/>
    <map measureGroup="18" dimension="20"/>
    <map measureGroup="18" dimension="21"/>
    <map measureGroup="18" dimension="22"/>
    <map measureGroup="18" dimension="23"/>
    <map measureGroup="18" dimension="24"/>
    <map measureGroup="18" dimension="25"/>
    <map measureGroup="18" dimension="27"/>
    <map measureGroup="18" dimension="28"/>
    <map measureGroup="18" dimension="34"/>
    <map measureGroup="19" dimension="0"/>
    <map measureGroup="19" dimension="1"/>
    <map measureGroup="19" dimension="2"/>
    <map measureGroup="19" dimension="3"/>
    <map measureGroup="19" dimension="5"/>
    <map measureGroup="19" dimension="6"/>
    <map measureGroup="19" dimension="7"/>
    <map measureGroup="19" dimension="8"/>
    <map measureGroup="19" dimension="9"/>
    <map measureGroup="19" dimension="10"/>
    <map measureGroup="19" dimension="12"/>
    <map measureGroup="19" dimension="13"/>
    <map measureGroup="19" dimension="14"/>
    <map measureGroup="19" dimension="15"/>
    <map measureGroup="19" dimension="17"/>
    <map measureGroup="19" dimension="18"/>
    <map measureGroup="19" dimension="19"/>
    <map measureGroup="19" dimension="20"/>
    <map measureGroup="19" dimension="21"/>
    <map measureGroup="19" dimension="22"/>
    <map measureGroup="19" dimension="23"/>
    <map measureGroup="19" dimension="24"/>
    <map measureGroup="19" dimension="25"/>
    <map measureGroup="19" dimension="27"/>
    <map measureGroup="19" dimension="28"/>
    <map measureGroup="19" dimension="34"/>
    <map measureGroup="20" dimension="20"/>
    <map measureGroup="21" dimension="21"/>
    <map measureGroup="22" dimension="22"/>
    <map measureGroup="23" dimension="23"/>
    <map measureGroup="24" dimension="24"/>
    <map measureGroup="25" dimension="25"/>
    <map measureGroup="26" dimension="26"/>
    <map measureGroup="27" dimension="27"/>
    <map measureGroup="28" dimension="0"/>
    <map measureGroup="28" dimension="1"/>
    <map measureGroup="28" dimension="2"/>
    <map measureGroup="28" dimension="3"/>
    <map measureGroup="28" dimension="5"/>
    <map measureGroup="28" dimension="6"/>
    <map measureGroup="28" dimension="7"/>
    <map measureGroup="28" dimension="8"/>
    <map measureGroup="28" dimension="9"/>
    <map measureGroup="28" dimension="10"/>
    <map measureGroup="28" dimension="12"/>
    <map measureGroup="28" dimension="13"/>
    <map measureGroup="28" dimension="14"/>
    <map measureGroup="28" dimension="15"/>
    <map measureGroup="28" dimension="17"/>
    <map measureGroup="28" dimension="18"/>
    <map measureGroup="28" dimension="19"/>
    <map measureGroup="28" dimension="20"/>
    <map measureGroup="28" dimension="21"/>
    <map measureGroup="28" dimension="22"/>
    <map measureGroup="28" dimension="23"/>
    <map measureGroup="28" dimension="24"/>
    <map measureGroup="28" dimension="25"/>
    <map measureGroup="28" dimension="27"/>
    <map measureGroup="28" dimension="28"/>
    <map measureGroup="28" dimension="34"/>
    <map measureGroup="29" dimension="29"/>
    <map measureGroup="31" dimension="31"/>
    <map measureGroup="32" dimension="26"/>
    <map measureGroup="32" dimension="32"/>
    <map measureGroup="33" dimension="33"/>
    <map measureGroup="34" dimension="3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5.591717824071" backgroundQuery="1" createdVersion="8" refreshedVersion="8" minRefreshableVersion="3" recordCount="0" supportSubquery="1" supportAdvancedDrill="1" xr:uid="{5A67EFB9-4E56-49F0-BB06-CC1AB96F2083}">
  <cacheSource type="external" connectionId="2"/>
  <cacheFields count="13">
    <cacheField name="[BI metrics].[Fin_Period].[Fin_Period]" caption="Fin_Period" numFmtId="0" hierarchy="44" level="1">
      <sharedItems count="208">
        <s v="[BI metrics].[Fin_Period].&amp;[202401]" c="202401"/>
        <s v="[BI metrics].[Fin_Period].&amp;[202402]" c="202402"/>
        <s v="[BI metrics].[Fin_Period].&amp;[202403]" c="202403"/>
        <s v="[BI metrics].[Fin_Period].&amp;[202404]" c="202404"/>
        <s v="[BI metrics].[Fin_Period].&amp;[202405]" c="202405"/>
        <s v="[BI metrics].[Fin_Period].&amp;[202406]" c="202406"/>
        <s v="[BI metrics].[Fin_Period].&amp;[202407]" c="202407"/>
        <s v="[BI metrics].[Fin_Period].&amp;[202408]" c="202408"/>
        <s v="[BI metrics].[Fin_Period].&amp;[202409]" c="202409"/>
        <s v="[BI metrics].[Fin_Period].&amp;[202410]" c="202410"/>
        <s v="[BI metrics].[Fin_Period].&amp;[202411]" c="202411"/>
        <s v="[BI metrics].[Fin_Period].&amp;[202412]" c="202412"/>
        <s v="[BI metrics].[Fin_Period].&amp;[202413]" c="202413"/>
        <s v="[BI metrics].[Fin_Period].&amp;[202414]" c="202414"/>
        <s v="[BI metrics].[Fin_Period].&amp;[202415]" c="202415"/>
        <s v="[BI metrics].[Fin_Period].&amp;[202416]" c="202416"/>
        <s v="[BI metrics].[Fin_Period].&amp;[202417]" c="202417"/>
        <s v="[BI metrics].[Fin_Period].&amp;[202418]" c="202418"/>
        <s v="[BI metrics].[Fin_Period].&amp;[202419]" c="202419"/>
        <s v="[BI metrics].[Fin_Period].&amp;[202420]" c="202420"/>
        <s v="[BI metrics].[Fin_Period].&amp;[202421]" c="202421"/>
        <s v="[BI metrics].[Fin_Period].&amp;[202422]" c="202422"/>
        <s v="[BI metrics].[Fin_Period].&amp;[202423]" c="202423"/>
        <s v="[BI metrics].[Fin_Period].&amp;[202424]" c="202424"/>
        <s v="[BI metrics].[Fin_Period].&amp;[202425]" c="202425"/>
        <s v="[BI metrics].[Fin_Period].&amp;[202426]" c="202426"/>
        <s v="[BI metrics].[Fin_Period].&amp;[202427]" c="202427"/>
        <s v="[BI metrics].[Fin_Period].&amp;[202428]" c="202428"/>
        <s v="[BI metrics].[Fin_Period].&amp;[202429]" c="202429"/>
        <s v="[BI metrics].[Fin_Period].&amp;[202430]" c="202430"/>
        <s v="[BI metrics].[Fin_Period].&amp;[202431]" c="202431"/>
        <s v="[BI metrics].[Fin_Period].&amp;[202432]" c="202432"/>
        <s v="[BI metrics].[Fin_Period].&amp;[202433]" c="202433"/>
        <s v="[BI metrics].[Fin_Period].&amp;[202434]" c="202434"/>
        <s v="[BI metrics].[Fin_Period].&amp;[202435]" c="202435"/>
        <s v="[BI metrics].[Fin_Period].&amp;[202436]" c="202436"/>
        <s v="[BI metrics].[Fin_Period].&amp;[202437]" c="202437"/>
        <s v="[BI metrics].[Fin_Period].&amp;[202438]" c="202438"/>
        <s v="[BI metrics].[Fin_Period].&amp;[202439]" c="202439"/>
        <s v="[BI metrics].[Fin_Period].&amp;[202440]" c="202440"/>
        <s v="[BI metrics].[Fin_Period].&amp;[202441]" c="202441"/>
        <s v="[BI metrics].[Fin_Period].&amp;[202442]" c="202442"/>
        <s v="[BI metrics].[Fin_Period].&amp;[202443]" c="202443"/>
        <s v="[BI metrics].[Fin_Period].&amp;[202444]" c="202444"/>
        <s v="[BI metrics].[Fin_Period].&amp;[202445]" c="202445"/>
        <s v="[BI metrics].[Fin_Period].&amp;[202446]" c="202446"/>
        <s v="[BI metrics].[Fin_Period].&amp;[202447]" c="202447"/>
        <s v="[BI metrics].[Fin_Period].&amp;[202448]" c="202448"/>
        <s v="[BI metrics].[Fin_Period].&amp;[202449]" c="202449"/>
        <s v="[BI metrics].[Fin_Period].&amp;[202450]" c="202450"/>
        <s v="[BI metrics].[Fin_Period].&amp;[202451]" c="202451"/>
        <s v="[BI metrics].[Fin_Period].&amp;[202452]" c="202452"/>
        <s v="[BI metrics].[Fin_Period].&amp;[202501]" c="202501"/>
        <s v="[BI metrics].[Fin_Period].&amp;[202502]" c="202502"/>
        <s v="[BI metrics].[Fin_Period].&amp;[202503]" c="202503"/>
        <s v="[BI metrics].[Fin_Period].&amp;[202504]" c="202504"/>
        <s v="[BI metrics].[Fin_Period].&amp;[202505]" c="202505"/>
        <s v="[BI metrics].[Fin_Period].&amp;[202506]" c="202506"/>
        <s v="[BI metrics].[Fin_Period].&amp;[202507]" c="202507"/>
        <s v="[BI metrics].[Fin_Period].&amp;[202508]" c="202508"/>
        <s v="[BI metrics].[Fin_Period].&amp;[202509]" c="202509"/>
        <s v="[BI metrics].[Fin_Period].&amp;[202510]" c="202510"/>
        <s v="[BI metrics].[Fin_Period].&amp;[202511]" c="202511"/>
        <s v="[BI metrics].[Fin_Period].&amp;[202512]" c="202512"/>
        <s v="[BI metrics].[Fin_Period].&amp;[202513]" c="202513"/>
        <s v="[BI metrics].[Fin_Period].&amp;[202514]" c="202514"/>
        <s v="[BI metrics].[Fin_Period].&amp;[202515]" c="202515"/>
        <s v="[BI metrics].[Fin_Period].&amp;[202516]" c="202516"/>
        <s v="[BI metrics].[Fin_Period].&amp;[202517]" c="202517"/>
        <s v="[BI metrics].[Fin_Period].&amp;[202518]" c="202518"/>
        <s v="[BI metrics].[Fin_Period].&amp;[202519]" c="202519"/>
        <s v="[BI metrics].[Fin_Period].&amp;[202520]" c="202520"/>
        <s v="[BI metrics].[Fin_Period].&amp;[202521]" c="202521"/>
        <s v="[BI metrics].[Fin_Period].&amp;[202522]" c="202522"/>
        <s v="[BI metrics].[Fin_Period].&amp;[202523]" c="202523"/>
        <s v="[BI metrics].[Fin_Period].&amp;[202524]" c="202524"/>
        <s v="[BI metrics].[Fin_Period].&amp;[202525]" c="202525"/>
        <s v="[BI metrics].[Fin_Period].&amp;[202526]" c="202526"/>
        <s v="[BI metrics].[Fin_Period].&amp;[202527]" c="202527"/>
        <s v="[BI metrics].[Fin_Period].&amp;[202528]" c="202528"/>
        <s v="[BI metrics].[Fin_Period].&amp;[202529]" c="202529"/>
        <s v="[BI metrics].[Fin_Period].&amp;[202530]" c="202530"/>
        <s v="[BI metrics].[Fin_Period].&amp;[202531]" c="202531"/>
        <s v="[BI metrics].[Fin_Period].&amp;[202532]" c="202532"/>
        <s v="[BI metrics].[Fin_Period].&amp;[202533]" c="202533"/>
        <s v="[BI metrics].[Fin_Period].&amp;[202534]" c="202534"/>
        <s v="[BI metrics].[Fin_Period].&amp;[202535]" c="202535"/>
        <s v="[BI metrics].[Fin_Period].&amp;[202536]" c="202536"/>
        <s v="[BI metrics].[Fin_Period].&amp;[202537]" c="202537"/>
        <s v="[BI metrics].[Fin_Period].&amp;[202538]" c="202538"/>
        <s v="[BI metrics].[Fin_Period].&amp;[202539]" c="202539"/>
        <s v="[BI metrics].[Fin_Period].&amp;[202540]" c="202540"/>
        <s v="[BI metrics].[Fin_Period].&amp;[202541]" c="202541"/>
        <s v="[BI metrics].[Fin_Period].&amp;[202542]" c="202542"/>
        <s v="[BI metrics].[Fin_Period].&amp;[202543]" c="202543"/>
        <s v="[BI metrics].[Fin_Period].&amp;[202544]" c="202544"/>
        <s v="[BI metrics].[Fin_Period].&amp;[202545]" c="202545"/>
        <s v="[BI metrics].[Fin_Period].&amp;[202546]" c="202546"/>
        <s v="[BI metrics].[Fin_Period].&amp;[202547]" c="202547"/>
        <s v="[BI metrics].[Fin_Period].&amp;[202548]" c="202548"/>
        <s v="[BI metrics].[Fin_Period].&amp;[202549]" c="202549"/>
        <s v="[BI metrics].[Fin_Period].&amp;[202550]" c="202550"/>
        <s v="[BI metrics].[Fin_Period].&amp;[202551]" c="202551"/>
        <s v="[BI metrics].[Fin_Period].&amp;[202552]" c="202552"/>
        <s v="[BI metrics].[Fin_Period].&amp;[202601]" c="202601"/>
        <s v="[BI metrics].[Fin_Period].&amp;[202602]" c="202602"/>
        <s v="[BI metrics].[Fin_Period].&amp;[202603]" c="202603"/>
        <s v="[BI metrics].[Fin_Period].&amp;[202604]" c="202604"/>
        <s v="[BI metrics].[Fin_Period].&amp;[202605]" c="202605"/>
        <s v="[BI metrics].[Fin_Period].&amp;[202606]" c="202606"/>
        <s v="[BI metrics].[Fin_Period].&amp;[202607]" c="202607"/>
        <s v="[BI metrics].[Fin_Period].&amp;[202608]" c="202608"/>
        <s v="[BI metrics].[Fin_Period].&amp;[202609]" c="202609"/>
        <s v="[BI metrics].[Fin_Period].&amp;[202610]" c="202610"/>
        <s v="[BI metrics].[Fin_Period].&amp;[202611]" c="202611"/>
        <s v="[BI metrics].[Fin_Period].&amp;[202612]" c="202612"/>
        <s v="[BI metrics].[Fin_Period].&amp;[202613]" c="202613"/>
        <s v="[BI metrics].[Fin_Period].&amp;[202614]" c="202614"/>
        <s v="[BI metrics].[Fin_Period].&amp;[202615]" c="202615"/>
        <s v="[BI metrics].[Fin_Period].&amp;[202616]" c="202616"/>
        <s v="[BI metrics].[Fin_Period].&amp;[202617]" c="202617"/>
        <s v="[BI metrics].[Fin_Period].&amp;[202618]" c="202618"/>
        <s v="[BI metrics].[Fin_Period].&amp;[202619]" c="202619"/>
        <s v="[BI metrics].[Fin_Period].&amp;[202620]" c="202620"/>
        <s v="[BI metrics].[Fin_Period].&amp;[202621]" c="202621"/>
        <s v="[BI metrics].[Fin_Period].&amp;[202622]" c="202622"/>
        <s v="[BI metrics].[Fin_Period].&amp;[202623]" c="202623"/>
        <s v="[BI metrics].[Fin_Period].&amp;[202624]" c="202624"/>
        <s v="[BI metrics].[Fin_Period].&amp;[202625]" c="202625"/>
        <s v="[BI metrics].[Fin_Period].&amp;[202626]" c="202626"/>
        <s v="[BI metrics].[Fin_Period].&amp;[202627]" c="202627"/>
        <s v="[BI metrics].[Fin_Period].&amp;[202628]" c="202628"/>
        <s v="[BI metrics].[Fin_Period].&amp;[202629]" c="202629"/>
        <s v="[BI metrics].[Fin_Period].&amp;[202630]" c="202630"/>
        <s v="[BI metrics].[Fin_Period].&amp;[202631]" c="202631"/>
        <s v="[BI metrics].[Fin_Period].&amp;[202632]" c="202632"/>
        <s v="[BI metrics].[Fin_Period].&amp;[202633]" c="202633"/>
        <s v="[BI metrics].[Fin_Period].&amp;[202634]" c="202634"/>
        <s v="[BI metrics].[Fin_Period].&amp;[202635]" c="202635"/>
        <s v="[BI metrics].[Fin_Period].&amp;[202636]" c="202636"/>
        <s v="[BI metrics].[Fin_Period].&amp;[202637]" c="202637"/>
        <s v="[BI metrics].[Fin_Period].&amp;[202638]" c="202638"/>
        <s v="[BI metrics].[Fin_Period].&amp;[202639]" c="202639"/>
        <s v="[BI metrics].[Fin_Period].&amp;[202640]" c="202640"/>
        <s v="[BI metrics].[Fin_Period].&amp;[202641]" c="202641"/>
        <s v="[BI metrics].[Fin_Period].&amp;[202642]" c="202642"/>
        <s v="[BI metrics].[Fin_Period].&amp;[202643]" c="202643"/>
        <s v="[BI metrics].[Fin_Period].&amp;[202644]" c="202644"/>
        <s v="[BI metrics].[Fin_Period].&amp;[202645]" c="202645"/>
        <s v="[BI metrics].[Fin_Period].&amp;[202646]" c="202646"/>
        <s v="[BI metrics].[Fin_Period].&amp;[202647]" c="202647"/>
        <s v="[BI metrics].[Fin_Period].&amp;[202648]" c="202648"/>
        <s v="[BI metrics].[Fin_Period].&amp;[202649]" c="202649"/>
        <s v="[BI metrics].[Fin_Period].&amp;[202650]" c="202650"/>
        <s v="[BI metrics].[Fin_Period].&amp;[202651]" c="202651"/>
        <s v="[BI metrics].[Fin_Period].&amp;[202652]" c="202652"/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  <s v="[BI metrics].[Fin_Period].&amp;[202708]" c="202708"/>
        <s v="[BI metrics].[Fin_Period].&amp;[202709]" c="202709"/>
        <s v="[BI metrics].[Fin_Period].&amp;[202710]" c="202710"/>
        <s v="[BI metrics].[Fin_Period].&amp;[202711]" c="202711"/>
        <s v="[BI metrics].[Fin_Period].&amp;[202712]" c="202712"/>
        <s v="[BI metrics].[Fin_Period].&amp;[202713]" c="202713"/>
        <s v="[BI metrics].[Fin_Period].&amp;[202714]" c="202714"/>
        <s v="[BI metrics].[Fin_Period].&amp;[202715]" c="202715"/>
        <s v="[BI metrics].[Fin_Period].&amp;[202716]" c="202716"/>
        <s v="[BI metrics].[Fin_Period].&amp;[202717]" c="202717"/>
        <s v="[BI metrics].[Fin_Period].&amp;[202718]" c="202718"/>
        <s v="[BI metrics].[Fin_Period].&amp;[202719]" c="202719"/>
        <s v="[BI metrics].[Fin_Period].&amp;[202720]" c="202720"/>
        <s v="[BI metrics].[Fin_Period].&amp;[202721]" c="202721"/>
        <s v="[BI metrics].[Fin_Period].&amp;[202722]" c="202722"/>
        <s v="[BI metrics].[Fin_Period].&amp;[202723]" c="202723"/>
        <s v="[BI metrics].[Fin_Period].&amp;[202724]" c="202724"/>
        <s v="[BI metrics].[Fin_Period].&amp;[202725]" c="202725"/>
        <s v="[BI metrics].[Fin_Period].&amp;[202726]" c="202726"/>
        <s v="[BI metrics].[Fin_Period].&amp;[202727]" c="202727"/>
        <s v="[BI metrics].[Fin_Period].&amp;[202728]" c="202728"/>
        <s v="[BI metrics].[Fin_Period].&amp;[202729]" c="202729"/>
        <s v="[BI metrics].[Fin_Period].&amp;[202730]" c="202730"/>
        <s v="[BI metrics].[Fin_Period].&amp;[202731]" c="202731"/>
        <s v="[BI metrics].[Fin_Period].&amp;[202732]" c="202732"/>
        <s v="[BI metrics].[Fin_Period].&amp;[202733]" c="202733"/>
        <s v="[BI metrics].[Fin_Period].&amp;[202734]" c="202734"/>
        <s v="[BI metrics].[Fin_Period].&amp;[202735]" c="202735"/>
        <s v="[BI metrics].[Fin_Period].&amp;[202736]" c="202736"/>
        <s v="[BI metrics].[Fin_Period].&amp;[202737]" c="202737"/>
        <s v="[BI metrics].[Fin_Period].&amp;[202738]" c="202738"/>
        <s v="[BI metrics].[Fin_Period].&amp;[202739]" c="202739"/>
        <s v="[BI metrics].[Fin_Period].&amp;[202740]" c="202740"/>
        <s v="[BI metrics].[Fin_Period].&amp;[202741]" c="202741"/>
        <s v="[BI metrics].[Fin_Period].&amp;[202742]" c="202742"/>
        <s v="[BI metrics].[Fin_Period].&amp;[202743]" c="202743"/>
        <s v="[BI metrics].[Fin_Period].&amp;[202744]" c="202744"/>
        <s v="[BI metrics].[Fin_Period].&amp;[202745]" c="202745"/>
        <s v="[BI metrics].[Fin_Period].&amp;[202746]" c="202746"/>
        <s v="[BI metrics].[Fin_Period].&amp;[202747]" c="202747"/>
        <s v="[BI metrics].[Fin_Period].&amp;[202748]" c="202748"/>
        <s v="[BI metrics].[Fin_Period].&amp;[202749]" c="202749"/>
        <s v="[BI metrics].[Fin_Period].&amp;[202750]" c="202750"/>
        <s v="[BI metrics].[Fin_Period].&amp;[202751]" c="202751"/>
        <s v="[BI metrics].[Fin_Period].&amp;[202752]" c="202752"/>
      </sharedItems>
    </cacheField>
    <cacheField name="[BI metrics].[TimePeriod].[TimePeriod]" caption="TimePeriod" numFmtId="0" hierarchy="60" level="1">
      <sharedItems containsSemiMixedTypes="0" containsString="0"/>
    </cacheField>
    <cacheField name="[BI Item].[Item_Country].[Item_Country]" caption="Item_Country" numFmtId="0" hierarchy="22" level="1">
      <sharedItems containsSemiMixedTypes="0" containsString="0"/>
    </cacheField>
    <cacheField name="[BI Item].[Division].[Division]" caption="Division" numFmtId="0" hierarchy="17" level="1">
      <sharedItems containsSemiMixedTypes="0" containsString="0"/>
    </cacheField>
    <cacheField name="[BI Store].[Branch_Type].[Branch_Type]" caption="Branch_Type" numFmtId="0" hierarchy="69" level="1">
      <sharedItems containsSemiMixedTypes="0" containsString="0"/>
    </cacheField>
    <cacheField name="[BI Store].[Store_Country].[Store_Country]" caption="Store_Country" numFmtId="0" hierarchy="75" level="1">
      <sharedItems containsSemiMixedTypes="0" containsString="0"/>
    </cacheField>
    <cacheField name="[BI vw_BudgetByItemCategory].[Country].[Country]" caption="Country" numFmtId="0" hierarchy="92" level="1">
      <sharedItems containsSemiMixedTypes="0" containsString="0"/>
    </cacheField>
    <cacheField name="[TimePeriodSort].[TimePeriod].[TimePeriod]" caption="TimePeriod" numFmtId="0" hierarchy="284" level="1">
      <sharedItems containsSemiMixedTypes="0" containsString="0"/>
    </cacheField>
    <cacheField name="[BI vw_WeeklyWrittenSalesMetrics].[Branch_Type].[Branch_Type]" caption="Branch_Type" numFmtId="0" hierarchy="199" level="1">
      <sharedItems containsSemiMixedTypes="0" containsString="0"/>
    </cacheField>
    <cacheField name="[BI vw_WeeklyWrittenSalesMetrics].[Division].[Division]" caption="Division" numFmtId="0" hierarchy="209" level="1">
      <sharedItems count="2">
        <s v="[BI vw_WeeklyWrittenSalesMetrics].[Division].&amp;[Furniture]" c="Furniture"/>
        <s v="[BI vw_WeeklyWrittenSalesMetrics].[Division].&amp;[Homewares]" c="Homewares"/>
      </sharedItems>
    </cacheField>
    <cacheField name="[BI vw_WeeklyWrittenSalesMetrics].[Country].[Country]" caption="Country" numFmtId="0" hierarchy="207" level="1">
      <sharedItems containsSemiMixedTypes="0" containsString="0"/>
    </cacheField>
    <cacheField name="[Measures].[R-Sales TY $]" caption="R-Sales TY $" numFmtId="0" hierarchy="350" level="32767"/>
    <cacheField name="[BI vw_WeeklyWrittenSalesMetrics].[Channel].[Channel]" caption="Channel" numFmtId="0" hierarchy="205" level="1">
      <sharedItems count="2">
        <s v="[BI vw_WeeklyWrittenSalesMetrics].[Channel].&amp;[In Store]" c="In Store"/>
        <s v="[BI vw_WeeklyWrittenSalesMetrics].[Channel].&amp;[Online]" c="Online"/>
      </sharedItems>
    </cacheField>
  </cacheFields>
  <cacheHierarchies count="579">
    <cacheHierarchy uniqueName="[BI ForecastClass].[BranchType]" caption="BranchType" attribute="1" defaultMemberUniqueName="[BI ForecastClass].[BranchType].[All]" allUniqueName="[BI ForecastClass].[BranchType].[All]" dimensionUniqueName="[BI ForecastClass]" displayFolder="" count="0" memberValueDatatype="130" unbalanced="0"/>
    <cacheHierarchy uniqueName="[BI ForecastClass].[Channel]" caption="Channel" attribute="1" defaultMemberUniqueName="[BI ForecastClass].[Channel].[All]" allUniqueName="[BI ForecastClass].[Channel].[All]" dimensionUniqueName="[BI ForecastClass]" displayFolder="" count="0" memberValueDatatype="130" unbalanced="0"/>
    <cacheHierarchy uniqueName="[BI ForecastClass].[Class]" caption="Class" attribute="1" defaultMemberUniqueName="[BI ForecastClass].[Class].[All]" allUniqueName="[BI ForecastClass].[Class].[All]" dimensionUniqueName="[BI ForecastClass]" displayFolder="" count="0" memberValueDatatype="130" unbalanced="0"/>
    <cacheHierarchy uniqueName="[BI ForecastClass].[Country]" caption="Country" attribute="1" defaultMemberUniqueName="[BI ForecastClass].[Country].[All]" allUniqueName="[BI ForecastClass].[Country].[All]" dimensionUniqueName="[BI ForecastClass]" displayFolder="" count="0" memberValueDatatype="130" unbalanced="0"/>
    <cacheHierarchy uniqueName="[BI ForecastClass].[DepartmentDesc]" caption="DepartmentDesc" attribute="1" defaultMemberUniqueName="[BI ForecastClass].[DepartmentDesc].[All]" allUniqueName="[BI ForecastClass].[DepartmentDesc].[All]" dimensionUniqueName="[BI ForecastClass]" displayFolder="" count="0" memberValueDatatype="130" unbalanced="0"/>
    <cacheHierarchy uniqueName="[BI ForecastClass].[Division]" caption="Division" attribute="1" defaultMemberUniqueName="[BI ForecastClass].[Division].[All]" allUniqueName="[BI ForecastClass].[Division].[All]" dimensionUniqueName="[BI ForecastClass]" displayFolder="" count="0" memberValueDatatype="130" unbalanced="0"/>
    <cacheHierarchy uniqueName="[BI ForecastClass].[Period]" caption="Period" attribute="1" defaultMemberUniqueName="[BI ForecastClass].[Period].[All]" allUniqueName="[BI ForecastClass].[Period].[All]" dimensionUniqueName="[BI ForecastClass]" displayFolder="" count="0" memberValueDatatype="20" unbalanced="0"/>
    <cacheHierarchy uniqueName="[BI ForecastClass].[Storekey]" caption="Storekey" attribute="1" defaultMemberUniqueName="[BI ForecastClass].[Storekey].[All]" allUniqueName="[BI ForecastClass].[Storekey].[All]" dimensionUniqueName="[BI ForecastClass]" displayFolder="" count="0" memberValueDatatype="20" unbalanced="0"/>
    <cacheHierarchy uniqueName="[BI ForecastClass].[SubDepartmentDesc]" caption="SubDepartmentDesc" attribute="1" defaultMemberUniqueName="[BI ForecastClass].[SubDepartmentDesc].[All]" allUniqueName="[BI ForecastClass].[SubDepartmentDesc].[All]" dimensionUniqueName="[BI ForecastClass]" displayFolder="" count="0" memberValueDatatype="130" unbalanced="0"/>
    <cacheHierarchy uniqueName="[BI Item].[AddedDate]" caption="AddedDate" attribute="1" time="1" defaultMemberUniqueName="[BI Item].[AddedDate].[All]" allUniqueName="[BI Item].[AddedDate].[All]" dimensionUniqueName="[BI Item]" displayFolder="" count="0" memberValueDatatype="7" unbalanced="0"/>
    <cacheHierarchy uniqueName="[BI Item].[AUtoNZWholesale]" caption="AUtoNZWholesale" attribute="1" defaultMemberUniqueName="[BI Item].[AUtoNZWholesale].[All]" allUniqueName="[BI Item].[AUtoNZWholesale].[All]" dimensionUniqueName="[BI Item]" displayFolder="" count="0" memberValueDatatype="5" unbalanced="0"/>
    <cacheHierarchy uniqueName="[BI Item].[Base_SKU]" caption="Base_SKU" attribute="1" defaultMemberUniqueName="[BI Item].[Base_SKU].[All]" allUniqueName="[BI Item].[Base_SKU].[All]" dimensionUniqueName="[BI Item]" displayFolder="" count="0" memberValueDatatype="130" unbalanced="0"/>
    <cacheHierarchy uniqueName="[BI Item].[Class]" caption="Class" attribute="1" defaultMemberUniqueName="[BI Item].[Class].[All]" allUniqueName="[BI Item].[Class].[All]" dimensionUniqueName="[BI Item]" displayFolder="" count="0" memberValueDatatype="20" unbalanced="0"/>
    <cacheHierarchy uniqueName="[BI Item].[Cost]" caption="Cost" attribute="1" defaultMemberUniqueName="[BI Item].[Cost].[All]" allUniqueName="[BI Item].[Cost].[All]" dimensionUniqueName="[BI Item]" displayFolder="" count="0" memberValueDatatype="6" unbalanced="0"/>
    <cacheHierarchy uniqueName="[BI Item].[CostAveage]" caption="CostAveage" attribute="1" defaultMemberUniqueName="[BI Item].[CostAveage].[All]" allUniqueName="[BI Item].[CostAveage].[All]" dimensionUniqueName="[BI Item]" displayFolder="" count="0" memberValueDatatype="6" unbalanced="0"/>
    <cacheHierarchy uniqueName="[BI Item].[DepartmentDesc]" caption="DepartmentDesc" attribute="1" defaultMemberUniqueName="[BI Item].[DepartmentDesc].[All]" allUniqueName="[BI Item].[DepartmentDesc].[All]" dimensionUniqueName="[BI Item]" displayFolder="" count="0" memberValueDatatype="130" unbalanced="0"/>
    <cacheHierarchy uniqueName="[BI Item].[Description]" caption="Description" attribute="1" defaultMemberUniqueName="[BI Item].[Description].[All]" allUniqueName="[BI Item].[Description].[All]" dimensionUniqueName="[BI Item]" displayFolder="" count="0" memberValueDatatype="130" unbalanced="0"/>
    <cacheHierarchy uniqueName="[BI Item].[Division]" caption="Division" attribute="1" defaultMemberUniqueName="[BI Item].[Division].[All]" allUniqueName="[BI Item].[Division].[All]" dimensionUniqueName="[BI Item]" displayFolder="" count="2" memberValueDatatype="130" unbalanced="0">
      <fieldsUsage count="2">
        <fieldUsage x="-1"/>
        <fieldUsage x="3"/>
      </fieldsUsage>
    </cacheHierarchy>
    <cacheHierarchy uniqueName="[BI Item].[InActive]" caption="InActive" attribute="1" defaultMemberUniqueName="[BI Item].[InActive].[All]" allUniqueName="[BI Item].[InActive].[All]" dimensionUniqueName="[BI Item]" displayFolder="" count="0" memberValueDatatype="11" unbalanced="0"/>
    <cacheHierarchy uniqueName="[BI Item].[Infinity_UPC]" caption="Infinity_UPC" attribute="1" defaultMemberUniqueName="[BI Item].[Infinity_UPC].[All]" allUniqueName="[BI Item].[Infinity_UPC].[All]" dimensionUniqueName="[BI Item]" displayFolder="" count="0" memberValueDatatype="130" unbalanced="0"/>
    <cacheHierarchy uniqueName="[BI Item].[IsChanged]" caption="IsChanged" attribute="1" defaultMemberUniqueName="[BI Item].[IsChanged].[All]" allUniqueName="[BI Item].[IsChanged].[All]" dimensionUniqueName="[BI Item]" displayFolder="" count="0" memberValueDatatype="11" unbalanced="0"/>
    <cacheHierarchy uniqueName="[BI Item].[Item_Class_Desc]" caption="Item_Class_Desc" attribute="1" defaultMemberUniqueName="[BI Item].[Item_Class_Desc].[All]" allUniqueName="[BI Item].[Item_Class_Desc].[All]" dimensionUniqueName="[BI Item]" displayFolder="" count="0" memberValueDatatype="130" unbalanced="0"/>
    <cacheHierarchy uniqueName="[BI Item].[Item_Country]" caption="Item_Country" attribute="1" defaultMemberUniqueName="[BI Item].[Item_Country].[All]" allUniqueName="[BI Item].[Item_Country].[All]" dimensionUniqueName="[BI Item]" displayFolder="" count="2" memberValueDatatype="130" unbalanced="0">
      <fieldsUsage count="2">
        <fieldUsage x="-1"/>
        <fieldUsage x="2"/>
      </fieldsUsage>
    </cacheHierarchy>
    <cacheHierarchy uniqueName="[BI Item].[Item_Type]" caption="Item_Type" attribute="1" defaultMemberUniqueName="[BI Item].[Item_Type].[All]" allUniqueName="[BI Item].[Item_Type].[All]" dimensionUniqueName="[BI Item]" displayFolder="" count="0" memberValueDatatype="130" unbalanced="0"/>
    <cacheHierarchy uniqueName="[BI Item].[ItemKey]" caption="ItemKey" attribute="1" defaultMemberUniqueName="[BI Item].[ItemKey].[All]" allUniqueName="[BI Item].[ItemKey].[All]" dimensionUniqueName="[BI Item]" displayFolder="" count="0" memberValueDatatype="20" unbalanced="0"/>
    <cacheHierarchy uniqueName="[BI Item].[NonStock]" caption="NonStock" attribute="1" defaultMemberUniqueName="[BI Item].[NonStock].[All]" allUniqueName="[BI Item].[NonStock].[All]" dimensionUniqueName="[BI Item]" displayFolder="" count="0" memberValueDatatype="11" unbalanced="0"/>
    <cacheHierarchy uniqueName="[BI Item].[Price]" caption="Price" attribute="1" defaultMemberUniqueName="[BI Item].[Price].[All]" allUniqueName="[BI Item].[Price].[All]" dimensionUniqueName="[BI Item]" displayFolder="" count="0" memberValueDatatype="6" unbalanced="0"/>
    <cacheHierarchy uniqueName="[BI Item].[Product_Cate_Key]" caption="Product_Cate_Key" attribute="1" defaultMemberUniqueName="[BI Item].[Product_Cate_Key].[All]" allUniqueName="[BI Item].[Product_Cate_Key].[All]" dimensionUniqueName="[BI Item]" displayFolder="" count="0" memberValueDatatype="20" unbalanced="0"/>
    <cacheHierarchy uniqueName="[BI Item].[Product_Status]" caption="Product_Status" attribute="1" defaultMemberUniqueName="[BI Item].[Product_Status].[All]" allUniqueName="[BI Item].[Product_Status].[All]" dimensionUniqueName="[BI Item]" displayFolder="" count="0" memberValueDatatype="130" unbalanced="0"/>
    <cacheHierarchy uniqueName="[BI Item].[Product_Sub_Cate_Key]" caption="Product_Sub_Cate_Key" attribute="1" defaultMemberUniqueName="[BI Item].[Product_Sub_Cate_Key].[All]" allUniqueName="[BI Item].[Product_Sub_Cate_Key].[All]" dimensionUniqueName="[BI Item]" displayFolder="" count="0" memberValueDatatype="20" unbalanced="0"/>
    <cacheHierarchy uniqueName="[BI Item].[PurchaseCost]" caption="PurchaseCost" attribute="1" defaultMemberUniqueName="[BI Item].[PurchaseCost].[All]" allUniqueName="[BI Item].[PurchaseCost].[All]" dimensionUniqueName="[BI Item]" displayFolder="" count="0" memberValueDatatype="6" unbalanced="0"/>
    <cacheHierarchy uniqueName="[BI Item].[PurchaseQty]" caption="PurchaseQty" attribute="1" defaultMemberUniqueName="[BI Item].[PurchaseQty].[All]" allUniqueName="[BI Item].[PurchaseQty].[All]" dimensionUniqueName="[BI Item]" displayFolder="" count="0" memberValueDatatype="5" unbalanced="0"/>
    <cacheHierarchy uniqueName="[BI Item].[Range]" caption="Range" attribute="1" defaultMemberUniqueName="[BI Item].[Range].[All]" allUniqueName="[BI Item].[Range].[All]" dimensionUniqueName="[BI Item]" displayFolder="" count="0" memberValueDatatype="130" unbalanced="0"/>
    <cacheHierarchy uniqueName="[BI Item].[Season]" caption="Season" attribute="1" defaultMemberUniqueName="[BI Item].[Season].[All]" allUniqueName="[BI Item].[Season].[All]" dimensionUniqueName="[BI Item]" displayFolder="" count="0" memberValueDatatype="130" unbalanced="0"/>
    <cacheHierarchy uniqueName="[BI Item].[SellingQty]" caption="SellingQty" attribute="1" defaultMemberUniqueName="[BI Item].[SellingQty].[All]" allUniqueName="[BI Item].[SellingQty].[All]" dimensionUniqueName="[BI Item]" displayFolder="" count="0" memberValueDatatype="5" unbalanced="0"/>
    <cacheHierarchy uniqueName="[BI Item].[StockType]" caption="StockType" attribute="1" defaultMemberUniqueName="[BI Item].[StockType].[All]" allUniqueName="[BI Item].[StockType].[All]" dimensionUniqueName="[BI Item]" displayFolder="" count="0" memberValueDatatype="130" unbalanced="0"/>
    <cacheHierarchy uniqueName="[BI Item].[SubDepartmentDesc]" caption="SubDepartmentDesc" attribute="1" defaultMemberUniqueName="[BI Item].[SubDepartmentDesc].[All]" allUniqueName="[BI Item].[SubDepartmentDesc].[All]" dimensionUniqueName="[BI Item]" displayFolder="" count="0" memberValueDatatype="130" unbalanced="0"/>
    <cacheHierarchy uniqueName="[BI Item].[Supplier_Code]" caption="Supplier_Code" attribute="1" defaultMemberUniqueName="[BI Item].[Supplier_Code].[All]" allUniqueName="[BI Item].[Supplier_Code].[All]" dimensionUniqueName="[BI Item]" displayFolder="" count="0" memberValueDatatype="130" unbalanced="0"/>
    <cacheHierarchy uniqueName="[BI Item].[TaxType]" caption="TaxType" attribute="1" defaultMemberUniqueName="[BI Item].[TaxType].[All]" allUniqueName="[BI Item].[TaxType].[All]" dimensionUniqueName="[BI Item]" displayFolder="" count="0" memberValueDatatype="130" unbalanced="0"/>
    <cacheHierarchy uniqueName="[BI Item].[Unit]" caption="Unit" attribute="1" defaultMemberUniqueName="[BI Item].[Unit].[All]" allUniqueName="[BI Item].[Unit].[All]" dimensionUniqueName="[BI Item]" displayFolder="" count="0" memberValueDatatype="130" unbalanced="0"/>
    <cacheHierarchy uniqueName="[BI Item].[UpdatedDate]" caption="UpdatedDate" attribute="1" time="1" defaultMemberUniqueName="[BI Item].[UpdatedDate].[All]" allUniqueName="[BI Item].[UpdatedDate].[All]" dimensionUniqueName="[BI Item]" displayFolder="" count="0" memberValueDatatype="7" unbalanced="0"/>
    <cacheHierarchy uniqueName="[BI Item].[Wholesale]" caption="Wholesale" attribute="1" defaultMemberUniqueName="[BI Item].[Wholesale].[All]" allUniqueName="[BI Item].[Wholesale].[All]" dimensionUniqueName="[BI Item]" displayFolder="" count="0" memberValueDatatype="5" unbalanced="0"/>
    <cacheHierarchy uniqueName="[BI metrics].[Current Date]" caption="Current Date" attribute="1" time="1" defaultMemberUniqueName="[BI metrics].[Current Date].[All]" allUniqueName="[BI metrics].[Current Date].[All]" dimensionUniqueName="[BI metrics]" displayFolder="" count="0" memberValueDatatype="7" unbalanced="0"/>
    <cacheHierarchy uniqueName="[BI metrics].[Date]" caption="Date" attribute="1" time="1" defaultMemberUniqueName="[BI metrics].[Date].[All]" allUniqueName="[BI metrics].[Date].[All]" dimensionUniqueName="[BI metrics]" displayFolder="" count="0" memberValueDatatype="7" unbalanced="0"/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0"/>
      </fieldsUsage>
    </cacheHierarchy>
    <cacheHierarchy uniqueName="[BI metrics].[finPeriod_Before]" caption="finPeriod_Before" attribute="1" defaultMemberUniqueName="[BI metrics].[finPeriod_Before].[All]" allUniqueName="[BI metrics].[finPeriod_Before].[All]" dimensionUniqueName="[BI metrics]" displayFolder="" count="0" memberValueDatatype="130" unbalanced="0"/>
    <cacheHierarchy uniqueName="[BI metrics].[finPeriod_Before_Trend]" caption="finPeriod_Before_Trend" attribute="1" defaultMemberUniqueName="[BI metrics].[finPeriod_Before_Trend].[All]" allUniqueName="[BI metrics].[finPeriod_Before_Trend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2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20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20" unbalanced="0"/>
    <cacheHierarchy uniqueName="[BI metrics].[Min_Year]" caption="Min_Year" attribute="1" time="1" defaultMemberUniqueName="[BI metrics].[Min_Year].[All]" allUniqueName="[BI metrics].[Min_Year].[All]" dimensionUniqueName="[BI metrics]" displayFolder="" count="0" memberValueDatatype="7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1"/>
      </fieldsUsage>
    </cacheHierarchy>
    <cacheHierarchy uniqueName="[BI metrics].[TimePeriodSort]" caption="TimePeriodSort" attribute="1" defaultMemberUniqueName="[BI metrics].[TimePeriodSort].[All]" allUniqueName="[BI metrics].[TimePeriodSort].[All]" dimensionUniqueName="[BI metrics]" displayFolder="" count="0" memberValueDatatype="20" unbalanced="0"/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 Int]" caption="Year Int" attribute="1" defaultMemberUniqueName="[BI metrics].[Year Int].[All]" allUniqueName="[BI metrics].[Year Int].[All]" dimensionUniqueName="[BI metrics]" displayFolder="" count="0" memberValueDatatype="2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metrics].[Year_New]" caption="Year_New" attribute="1" defaultMemberUniqueName="[BI metrics].[Year_New].[All]" allUniqueName="[BI metrics].[Year_New].[All]" dimensionUniqueName="[BI metrics]" displayFolder="" count="0" memberValueDatatype="20" unbalanced="0"/>
    <cacheHierarchy uniqueName="[BI Store].[Area_Leader]" caption="Area_Leader" attribute="1" defaultMemberUniqueName="[BI Store].[Area_Leader].[All]" allUniqueName="[BI Store].[Area_Leader].[All]" dimensionUniqueName="[BI Store]" displayFolder="" count="0" memberValueDatatype="130" unbalanced="0"/>
    <cacheHierarchy uniqueName="[BI Store].[Area_Leader_New]" caption="Area_Leader_New" attribute="1" defaultMemberUniqueName="[BI Store].[Area_Leader_New].[All]" allUniqueName="[BI Store].[Area_Leader_New].[All]" dimensionUniqueName="[BI Store]" displayFolder="" count="0" memberValueDatatype="130" unbalanced="0"/>
    <cacheHierarchy uniqueName="[BI Store].[Branch_Type]" caption="Branch_Type" attribute="1" defaultMemberUniqueName="[BI Store].[Branch_Type].[All]" allUniqueName="[BI Store].[Branch_Type].[All]" dimensionUniqueName="[BI Store]" displayFolder="" count="2" memberValueDatatype="130" unbalanced="0">
      <fieldsUsage count="2">
        <fieldUsage x="-1"/>
        <fieldUsage x="4"/>
      </fieldsUsage>
    </cacheHierarchy>
    <cacheHierarchy uniqueName="[BI Store].[FreedomArea]" caption="FreedomArea" attribute="1" defaultMemberUniqueName="[BI Store].[FreedomArea].[All]" allUniqueName="[BI Store].[FreedomArea].[All]" dimensionUniqueName="[BI Store]" displayFolder="" count="0" memberValueDatatype="5" unbalanced="0"/>
    <cacheHierarchy uniqueName="[BI Store].[IsDC]" caption="IsDC" attribute="1" defaultMemberUniqueName="[BI Store].[IsDC].[All]" allUniqueName="[BI Store].[IsDC].[All]" dimensionUniqueName="[BI Store]" displayFolder="" count="0" memberValueDatatype="11" unbalanced="0"/>
    <cacheHierarchy uniqueName="[BI Store].[IsHO]" caption="IsHO" attribute="1" defaultMemberUniqueName="[BI Store].[IsHO].[All]" allUniqueName="[BI Store].[IsHO].[All]" dimensionUniqueName="[BI Store]" displayFolder="" count="0" memberValueDatatype="11" unbalanced="0"/>
    <cacheHierarchy uniqueName="[BI Store].[Store State Sort]" caption="Store State Sort" attribute="1" defaultMemberUniqueName="[BI Store].[Store State Sort].[All]" allUniqueName="[BI Store].[Store State Sort].[All]" dimensionUniqueName="[BI Store]" displayFolder="" count="0" memberValueDatatype="20" unbalanced="0"/>
    <cacheHierarchy uniqueName="[BI Store].[Store_Code]" caption="Store_Code" attribute="1" defaultMemberUniqueName="[BI Store].[Store_Code].[All]" allUniqueName="[BI Store].[Store_Code].[All]" dimensionUniqueName="[BI Store]" displayFolder="" count="0" memberValueDatatype="130" unbalanced="0"/>
    <cacheHierarchy uniqueName="[BI Store].[Store_Country]" caption="Store_Country" attribute="1" defaultMemberUniqueName="[BI Store].[Store_Country].[All]" allUniqueName="[BI Store].[Store_Country].[All]" dimensionUniqueName="[BI Store]" displayFolder="" count="2" memberValueDatatype="130" unbalanced="0">
      <fieldsUsage count="2">
        <fieldUsage x="-1"/>
        <fieldUsage x="5"/>
      </fieldsUsage>
    </cacheHierarchy>
    <cacheHierarchy uniqueName="[BI Store].[Store_Name]" caption="Store_Name" attribute="1" defaultMemberUniqueName="[BI Store].[Store_Name].[All]" allUniqueName="[BI Store].[Store_Name].[All]" dimensionUniqueName="[BI Store]" displayFolder="" count="0" memberValueDatatype="130" unbalanced="0"/>
    <cacheHierarchy uniqueName="[BI Store].[Store_State]" caption="Store_State" attribute="1" defaultMemberUniqueName="[BI Store].[Store_State].[All]" allUniqueName="[BI Store].[Store_State].[All]" dimensionUniqueName="[BI Store]" displayFolder="" count="0" memberValueDatatype="130" unbalanced="0"/>
    <cacheHierarchy uniqueName="[BI Store].[Store_Type]" caption="Store_Type" attribute="1" defaultMemberUniqueName="[BI Store].[Store_Type].[All]" allUniqueName="[BI Store].[Store_Type].[All]" dimensionUniqueName="[BI Store]" displayFolder="" count="0" memberValueDatatype="130" unbalanced="0"/>
    <cacheHierarchy uniqueName="[BI Store].[StoreKey]" caption="StoreKey" attribute="1" defaultMemberUniqueName="[BI Store].[StoreKey].[All]" allUniqueName="[BI Store].[StoreKey].[All]" dimensionUniqueName="[BI Store]" displayFolder="" count="0" memberValueDatatype="130" unbalanced="0"/>
    <cacheHierarchy uniqueName="[BI Store].[SubLeasedArea]" caption="SubLeasedArea" attribute="1" defaultMemberUniqueName="[BI Store].[SubLeasedArea].[All]" allUniqueName="[BI Store].[SubLeasedArea].[All]" dimensionUniqueName="[BI Store]" displayFolder="" count="0" memberValueDatatype="5" unbalanced="0"/>
    <cacheHierarchy uniqueName="[BI Store].[SubLeasedCompany]" caption="SubLeasedCompany" attribute="1" defaultMemberUniqueName="[BI Store].[SubLeasedCompany].[All]" allUniqueName="[BI Store].[SubLeasedCompany].[All]" dimensionUniqueName="[BI Store]" displayFolder="" count="0" memberValueDatatype="130" unbalanced="0"/>
    <cacheHierarchy uniqueName="[BI Store].[TotalArea]" caption="TotalArea" attribute="1" defaultMemberUniqueName="[BI Store].[TotalArea].[All]" allUniqueName="[BI Store].[TotalArea].[All]" dimensionUniqueName="[BI Store]" displayFolder="" count="0" memberValueDatatype="5" unbalanced="0"/>
    <cacheHierarchy uniqueName="[BI Store State Sort].[Sort No]" caption="Sort No" attribute="1" defaultMemberUniqueName="[BI Store State Sort].[Sort No].[All]" allUniqueName="[BI Store State Sort].[Sort No].[All]" dimensionUniqueName="[BI Store State Sort]" displayFolder="" count="0" memberValueDatatype="20" unbalanced="0"/>
    <cacheHierarchy uniqueName="[BI Store State Sort].[State Name]" caption="State Name" attribute="1" defaultMemberUniqueName="[BI Store State Sort].[State Name].[All]" allUniqueName="[BI Store State Sort].[State Name].[All]" dimensionUniqueName="[BI Store State Sort]" displayFolder="" count="0" memberValueDatatype="130" unbalanced="0"/>
    <cacheHierarchy uniqueName="[BI vw_BudgetByItemCategory].[BudgetDollar]" caption="BudgetDollar" attribute="1" defaultMemberUniqueName="[BI vw_BudgetByItemCategory].[BudgetDollar].[All]" allUniqueName="[BI vw_BudgetByItemCategory].[BudgetDollar].[All]" dimensionUniqueName="[BI vw_BudgetByItemCategory]" displayFolder="" count="0" memberValueDatatype="20" unbalanced="0"/>
    <cacheHierarchy uniqueName="[BI vw_BudgetByItemCategory].[BudgetGMDollar]" caption="BudgetGMDollar" attribute="1" defaultMemberUniqueName="[BI vw_BudgetByItemCategory].[BudgetGMDollar].[All]" allUniqueName="[BI vw_BudgetByItemCategory].[BudgetGMDollar].[All]" dimensionUniqueName="[BI vw_BudgetByItemCategory]" displayFolder="" count="0" memberValueDatatype="20" unbalanced="0"/>
    <cacheHierarchy uniqueName="[BI vw_BudgetByItemCategory].[BudgetMarkDown]" caption="BudgetMarkDown" attribute="1" defaultMemberUniqueName="[BI vw_BudgetByItemCategory].[BudgetMarkDown].[All]" allUniqueName="[BI vw_BudgetByItemCategory].[BudgetMarkDown].[All]" dimensionUniqueName="[BI vw_BudgetByItemCategory]" displayFolder="" count="0" memberValueDatatype="20" unbalanced="0"/>
    <cacheHierarchy uniqueName="[BI vw_BudgetByItemCategory].[BudgetPeriod]" caption="BudgetPeriod" attribute="1" defaultMemberUniqueName="[BI vw_BudgetByItemCategory].[BudgetPeriod].[All]" allUniqueName="[BI vw_BudgetByItemCategory].[BudgetPeriod].[All]" dimensionUniqueName="[BI vw_BudgetByItemCategory]" displayFolder="" count="0" memberValueDatatype="20" unbalanced="0"/>
    <cacheHierarchy uniqueName="[BI vw_BudgetByItemCategory].[BudgetWeek]" caption="BudgetWeek" attribute="1" defaultMemberUniqueName="[BI vw_BudgetByItemCategory].[BudgetWeek].[All]" allUniqueName="[BI vw_BudgetByItemCategory].[BudgetWeek].[All]" dimensionUniqueName="[BI vw_BudgetByItemCategory]" displayFolder="" count="0" memberValueDatatype="20" unbalanced="0"/>
    <cacheHierarchy uniqueName="[BI vw_BudgetByItemCategory].[BudgetYear]" caption="BudgetYear" attribute="1" defaultMemberUniqueName="[BI vw_BudgetByItemCategory].[BudgetYear].[All]" allUniqueName="[BI vw_BudgetByItemCategory].[BudgetYear].[All]" dimensionUniqueName="[BI vw_BudgetByItemCategory]" displayFolder="" count="0" memberValueDatatype="20" unbalanced="0"/>
    <cacheHierarchy uniqueName="[BI vw_BudgetByItemCategory].[Channel]" caption="Channel" attribute="1" defaultMemberUniqueName="[BI vw_BudgetByItemCategory].[Channel].[All]" allUniqueName="[BI vw_BudgetByItemCategory].[Channel].[All]" dimensionUniqueName="[BI vw_BudgetByItemCategory]" displayFolder="" count="0" memberValueDatatype="130" unbalanced="0"/>
    <cacheHierarchy uniqueName="[BI vw_BudgetByItemCategory].[Country]" caption="Country" attribute="1" defaultMemberUniqueName="[BI vw_BudgetByItemCategory].[Country].[All]" allUniqueName="[BI vw_BudgetByItemCategory].[Country].[All]" dimensionUniqueName="[BI vw_BudgetByItemCategory]" displayFolder="" count="2" memberValueDatatype="130" unbalanced="0">
      <fieldsUsage count="2">
        <fieldUsage x="-1"/>
        <fieldUsage x="6"/>
      </fieldsUsage>
    </cacheHierarchy>
    <cacheHierarchy uniqueName="[BI vw_BudgetByItemCategory].[DepartmentDesc]" caption="DepartmentDesc" attribute="1" defaultMemberUniqueName="[BI vw_BudgetByItemCategory].[DepartmentDesc].[All]" allUniqueName="[BI vw_BudgetByItemCategory].[DepartmentDesc].[All]" dimensionUniqueName="[BI vw_BudgetByItemCategory]" displayFolder="" count="0" memberValueDatatype="130" unbalanced="0"/>
    <cacheHierarchy uniqueName="[BI vw_BudgetByItemCategory].[Division]" caption="Division" attribute="1" defaultMemberUniqueName="[BI vw_BudgetByItemCategory].[Division].[All]" allUniqueName="[BI vw_BudgetByItemCategory].[Division].[All]" dimensionUniqueName="[BI vw_BudgetByItemCategory]" displayFolder="" count="0" memberValueDatatype="130" unbalanced="0"/>
    <cacheHierarchy uniqueName="[BI vw_BudgetByItemCategory].[JoinKey]" caption="JoinKey" attribute="1" defaultMemberUniqueName="[BI vw_BudgetByItemCategory].[JoinKey].[All]" allUniqueName="[BI vw_BudgetByItemCategory].[JoinKey].[All]" dimensionUniqueName="[BI vw_BudgetByItemCategory]" displayFolder="" count="0" memberValueDatatype="130" unbalanced="0"/>
    <cacheHierarchy uniqueName="[BI vw_BudgetByItemCategory].[Sale$ Pure]" caption="Sale$ Pure" attribute="1" defaultMemberUniqueName="[BI vw_BudgetByItemCategory].[Sale$ Pure].[All]" allUniqueName="[BI vw_BudgetByItemCategory].[Sale$ Pure].[All]" dimensionUniqueName="[BI vw_BudgetByItemCategory]" displayFolder="" count="0" memberValueDatatype="20" unbalanced="0"/>
    <cacheHierarchy uniqueName="[BI vw_BudgetByItemCategory].[Sales GM%]" caption="Sales GM%" attribute="1" defaultMemberUniqueName="[BI vw_BudgetByItemCategory].[Sales GM%].[All]" allUniqueName="[BI vw_BudgetByItemCategory].[Sales GM%].[All]" dimensionUniqueName="[BI vw_BudgetByItemCategory]" displayFolder="" count="0" memberValueDatatype="20" unbalanced="0"/>
    <cacheHierarchy uniqueName="[BI vw_BudgetByItemCategory].[Sales GM% Pure]" caption="Sales GM% Pure" attribute="1" defaultMemberUniqueName="[BI vw_BudgetByItemCategory].[Sales GM% Pure].[All]" allUniqueName="[BI vw_BudgetByItemCategory].[Sales GM% Pure].[All]" dimensionUniqueName="[BI vw_BudgetByItemCategory]" displayFolder="" count="0" memberValueDatatype="20" unbalanced="0"/>
    <cacheHierarchy uniqueName="[BI vw_BudgetByItemCategory].[StoreType]" caption="StoreType" attribute="1" defaultMemberUniqueName="[BI vw_BudgetByItemCategory].[StoreType].[All]" allUniqueName="[BI vw_BudgetByItemCategory].[StoreType].[All]" dimensionUniqueName="[BI vw_BudgetByItemCategory]" displayFolder="" count="0" memberValueDatatype="130" unbalanced="0"/>
    <cacheHierarchy uniqueName="[BI vw_BudgetByItemCategory].[SubDepartmentDesc]" caption="SubDepartmentDesc" attribute="1" defaultMemberUniqueName="[BI vw_BudgetByItemCategory].[SubDepartmentDesc].[All]" allUniqueName="[BI vw_BudgetByItemCategory].[SubDepartmentDesc].[All]" dimensionUniqueName="[BI vw_BudgetByItemCategory]" displayFolder="" count="0" memberValueDatatype="130" unbalanced="0"/>
    <cacheHierarchy uniqueName="[BI vw_BudgetByStore].[BudgetDollar]" caption="BudgetDollar" attribute="1" defaultMemberUniqueName="[BI vw_BudgetByStore].[BudgetDollar].[All]" allUniqueName="[BI vw_BudgetByStore].[BudgetDollar].[All]" dimensionUniqueName="[BI vw_BudgetByStore]" displayFolder="" count="0" memberValueDatatype="5" unbalanced="0"/>
    <cacheHierarchy uniqueName="[BI vw_BudgetByStore].[BudgetPeriod]" caption="BudgetPeriod" attribute="1" defaultMemberUniqueName="[BI vw_BudgetByStore].[BudgetPeriod].[All]" allUniqueName="[BI vw_BudgetByStore].[BudgetPeriod].[All]" dimensionUniqueName="[BI vw_BudgetByStore]" displayFolder="" count="0" memberValueDatatype="20" unbalanced="0"/>
    <cacheHierarchy uniqueName="[BI vw_BudgetByStore].[BudgetWeek]" caption="BudgetWeek" attribute="1" defaultMemberUniqueName="[BI vw_BudgetByStore].[BudgetWeek].[All]" allUniqueName="[BI vw_BudgetByStore].[BudgetWeek].[All]" dimensionUniqueName="[BI vw_BudgetByStore]" displayFolder="" count="0" memberValueDatatype="20" unbalanced="0"/>
    <cacheHierarchy uniqueName="[BI vw_BudgetByStore].[BudgetYear]" caption="BudgetYear" attribute="1" defaultMemberUniqueName="[BI vw_BudgetByStore].[BudgetYear].[All]" allUniqueName="[BI vw_BudgetByStore].[BudgetYear].[All]" dimensionUniqueName="[BI vw_BudgetByStore]" displayFolder="" count="0" memberValueDatatype="20" unbalanced="0"/>
    <cacheHierarchy uniqueName="[BI vw_BudgetByStore].[Channel]" caption="Channel" attribute="1" defaultMemberUniqueName="[BI vw_BudgetByStore].[Channel].[All]" allUniqueName="[BI vw_BudgetByStore].[Channel].[All]" dimensionUniqueName="[BI vw_BudgetByStore]" displayFolder="" count="0" memberValueDatatype="130" unbalanced="0"/>
    <cacheHierarchy uniqueName="[BI vw_BudgetByStore].[Country]" caption="Country" attribute="1" defaultMemberUniqueName="[BI vw_BudgetByStore].[Country].[All]" allUniqueName="[BI vw_BudgetByStore].[Country].[All]" dimensionUniqueName="[BI vw_BudgetByStore]" displayFolder="" count="0" memberValueDatatype="130" unbalanced="0"/>
    <cacheHierarchy uniqueName="[BI vw_BudgetByStore].[Division]" caption="Division" attribute="1" defaultMemberUniqueName="[BI vw_BudgetByStore].[Division].[All]" allUniqueName="[BI vw_BudgetByStore].[Division].[All]" dimensionUniqueName="[BI vw_BudgetByStore]" displayFolder="" count="0" memberValueDatatype="130" unbalanced="0"/>
    <cacheHierarchy uniqueName="[BI vw_BudgetByStore].[JoinKey]" caption="JoinKey" attribute="1" defaultMemberUniqueName="[BI vw_BudgetByStore].[JoinKey].[All]" allUniqueName="[BI vw_BudgetByStore].[JoinKey].[All]" dimensionUniqueName="[BI vw_BudgetByStore]" displayFolder="" count="0" memberValueDatatype="130" unbalanced="0"/>
    <cacheHierarchy uniqueName="[BI vw_BudgetByStore].[Store]" caption="Store" attribute="1" defaultMemberUniqueName="[BI vw_BudgetByStore].[Store].[All]" allUniqueName="[BI vw_BudgetByStore].[Store].[All]" dimensionUniqueName="[BI vw_BudgetByStore]" displayFolder="" count="0" memberValueDatatype="130" unbalanced="0"/>
    <cacheHierarchy uniqueName="[BI vw_BudgetByStore].[StoreKey]" caption="StoreKey" attribute="1" defaultMemberUniqueName="[BI vw_BudgetByStore].[StoreKey].[All]" allUniqueName="[BI vw_BudgetByStore].[StoreKey].[All]" dimensionUniqueName="[BI vw_BudgetByStore]" displayFolder="" count="0" memberValueDatatype="130" unbalanced="0"/>
    <cacheHierarchy uniqueName="[BI vw_BudgetByWeek].[BudgetPeriod]" caption="BudgetPeriod" attribute="1" defaultMemberUniqueName="[BI vw_BudgetByWeek].[BudgetPeriod].[All]" allUniqueName="[BI vw_BudgetByWeek].[BudgetPeriod].[All]" dimensionUniqueName="[BI vw_BudgetByWeek]" displayFolder="" count="0" memberValueDatatype="20" unbalanced="0"/>
    <cacheHierarchy uniqueName="[BI vw_BudgetByWeek].[BudgetWeek]" caption="BudgetWeek" attribute="1" defaultMemberUniqueName="[BI vw_BudgetByWeek].[BudgetWeek].[All]" allUniqueName="[BI vw_BudgetByWeek].[BudgetWeek].[All]" dimensionUniqueName="[BI vw_BudgetByWeek]" displayFolder="" count="0" memberValueDatatype="20" unbalanced="0"/>
    <cacheHierarchy uniqueName="[BI vw_BudgetByWeek].[BudgetYear]" caption="BudgetYear" attribute="1" defaultMemberUniqueName="[BI vw_BudgetByWeek].[BudgetYear].[All]" allUniqueName="[BI vw_BudgetByWeek].[BudgetYear].[All]" dimensionUniqueName="[BI vw_BudgetByWeek]" displayFolder="" count="0" memberValueDatatype="20" unbalanced="0"/>
    <cacheHierarchy uniqueName="[BI vw_BudgetByWeek].[Channel]" caption="Channel" attribute="1" defaultMemberUniqueName="[BI vw_BudgetByWeek].[Channel].[All]" allUniqueName="[BI vw_BudgetByWeek].[Channel].[All]" dimensionUniqueName="[BI vw_BudgetByWeek]" displayFolder="" count="0" memberValueDatatype="130" unbalanced="0"/>
    <cacheHierarchy uniqueName="[BI vw_BudgetByWeek].[Country]" caption="Country" attribute="1" defaultMemberUniqueName="[BI vw_BudgetByWeek].[Country].[All]" allUniqueName="[BI vw_BudgetByWeek].[Country].[All]" dimensionUniqueName="[BI vw_BudgetByWeek]" displayFolder="" count="0" memberValueDatatype="130" unbalanced="0"/>
    <cacheHierarchy uniqueName="[BI vw_BudgetByWeek].[FootTrafficBudget]" caption="FootTrafficBudget" attribute="1" defaultMemberUniqueName="[BI vw_BudgetByWeek].[FootTrafficBudget].[All]" allUniqueName="[BI vw_BudgetByWeek].[FootTrafficBudget].[All]" dimensionUniqueName="[BI vw_BudgetByWeek]" displayFolder="" count="0" memberValueDatatype="5" unbalanced="0"/>
    <cacheHierarchy uniqueName="[BI vw_BudgetByWeek].[ID]" caption="ID" attribute="1" defaultMemberUniqueName="[BI vw_BudgetByWeek].[ID].[All]" allUniqueName="[BI vw_BudgetByWeek].[ID].[All]" dimensionUniqueName="[BI vw_BudgetByWeek]" displayFolder="" count="0" memberValueDatatype="20" unbalanced="0"/>
    <cacheHierarchy uniqueName="[BI vw_BudgetByWeek].[joinKey]" caption="joinKey" attribute="1" defaultMemberUniqueName="[BI vw_BudgetByWeek].[joinKey].[All]" allUniqueName="[BI vw_BudgetByWeek].[joinKey].[All]" dimensionUniqueName="[BI vw_BudgetByWeek]" displayFolder="" count="0" memberValueDatatype="130" unbalanced="0"/>
    <cacheHierarchy uniqueName="[BI vw_BudgetByWeek].[NumberOfTransactionBudget]" caption="NumberOfTransactionBudget" attribute="1" defaultMemberUniqueName="[BI vw_BudgetByWeek].[NumberOfTransactionBudget].[All]" allUniqueName="[BI vw_BudgetByWeek].[NumberOfTransactionBudget].[All]" dimensionUniqueName="[BI vw_BudgetByWeek]" displayFolder="" count="0" memberValueDatatype="5" unbalanced="0"/>
    <cacheHierarchy uniqueName="[BI vw_BudgetByWeek].[Store]" caption="Store" attribute="1" defaultMemberUniqueName="[BI vw_BudgetByWeek].[Store].[All]" allUniqueName="[BI vw_BudgetByWeek].[Store].[All]" dimensionUniqueName="[BI vw_BudgetByWeek]" displayFolder="" count="0" memberValueDatatype="130" unbalanced="0"/>
    <cacheHierarchy uniqueName="[BI vw_BudgetDigital].[1P Sales]" caption="1P Sales" attribute="1" defaultMemberUniqueName="[BI vw_BudgetDigital].[1P Sales].[All]" allUniqueName="[BI vw_BudgetDigital].[1P Sales].[All]" dimensionUniqueName="[BI vw_BudgetDigital]" displayFolder="" count="0" memberValueDatatype="5" unbalanced="0"/>
    <cacheHierarchy uniqueName="[BI vw_BudgetDigital].[3P Sales]" caption="3P Sales" attribute="1" defaultMemberUniqueName="[BI vw_BudgetDigital].[3P Sales].[All]" allUniqueName="[BI vw_BudgetDigital].[3P Sales].[All]" dimensionUniqueName="[BI vw_BudgetDigital]" displayFolder="" count="0" memberValueDatatype="5" unbalanced="0"/>
    <cacheHierarchy uniqueName="[BI vw_BudgetDigital].[BudgetPeriod]" caption="BudgetPeriod" attribute="1" defaultMemberUniqueName="[BI vw_BudgetDigital].[BudgetPeriod].[All]" allUniqueName="[BI vw_BudgetDigital].[BudgetPeriod].[All]" dimensionUniqueName="[BI vw_BudgetDigital]" displayFolder="" count="0" memberValueDatatype="20" unbalanced="0"/>
    <cacheHierarchy uniqueName="[BI vw_BudgetDigital].[BudgetWeek]" caption="BudgetWeek" attribute="1" defaultMemberUniqueName="[BI vw_BudgetDigital].[BudgetWeek].[All]" allUniqueName="[BI vw_BudgetDigital].[BudgetWeek].[All]" dimensionUniqueName="[BI vw_BudgetDigital]" displayFolder="" count="0" memberValueDatatype="20" unbalanced="0"/>
    <cacheHierarchy uniqueName="[BI vw_BudgetDigital].[BudgetYear]" caption="BudgetYear" attribute="1" defaultMemberUniqueName="[BI vw_BudgetDigital].[BudgetYear].[All]" allUniqueName="[BI vw_BudgetDigital].[BudgetYear].[All]" dimensionUniqueName="[BI vw_BudgetDigital]" displayFolder="" count="0" memberValueDatatype="20" unbalanced="0"/>
    <cacheHierarchy uniqueName="[BI vw_BudgetDigital].[Country]" caption="Country" attribute="1" defaultMemberUniqueName="[BI vw_BudgetDigital].[Country].[All]" allUniqueName="[BI vw_BudgetDigital].[Country].[All]" dimensionUniqueName="[BI vw_BudgetDigital]" displayFolder="" count="0" memberValueDatatype="130" unbalanced="0"/>
    <cacheHierarchy uniqueName="[BI vw_BudgetDigital].[ID]" caption="ID" attribute="1" defaultMemberUniqueName="[BI vw_BudgetDigital].[ID].[All]" allUniqueName="[BI vw_BudgetDigital].[ID].[All]" dimensionUniqueName="[BI vw_BudgetDigital]" displayFolder="" count="0" memberValueDatatype="20" unbalanced="0"/>
    <cacheHierarchy uniqueName="[BI vw_BudgetDigital].[Key]" caption="Key" attribute="1" defaultMemberUniqueName="[BI vw_BudgetDigital].[Key].[All]" allUniqueName="[BI vw_BudgetDigital].[Key].[All]" dimensionUniqueName="[BI vw_BudgetDigital]" displayFolder="" count="0" memberValueDatatype="130" unbalanced="0"/>
    <cacheHierarchy uniqueName="[BI vw_BudgetDigital].[Online ATV]" caption="Online ATV" attribute="1" defaultMemberUniqueName="[BI vw_BudgetDigital].[Online ATV].[All]" allUniqueName="[BI vw_BudgetDigital].[Online ATV].[All]" dimensionUniqueName="[BI vw_BudgetDigital]" displayFolder="" count="0" memberValueDatatype="5" unbalanced="0"/>
    <cacheHierarchy uniqueName="[BI vw_BudgetDigital].[Online CR]" caption="Online CR" attribute="1" defaultMemberUniqueName="[BI vw_BudgetDigital].[Online CR].[All]" allUniqueName="[BI vw_BudgetDigital].[Online CR].[All]" dimensionUniqueName="[BI vw_BudgetDigital]" displayFolder="" count="0" memberValueDatatype="5" unbalanced="0"/>
    <cacheHierarchy uniqueName="[BI vw_BudgetDigital].[Online Traffic]" caption="Online Traffic" attribute="1" defaultMemberUniqueName="[BI vw_BudgetDigital].[Online Traffic].[All]" allUniqueName="[BI vw_BudgetDigital].[Online Traffic].[All]" dimensionUniqueName="[BI vw_BudgetDigital]" displayFolder="" count="0" memberValueDatatype="5" unbalanced="0"/>
    <cacheHierarchy uniqueName="[BI vw_BudgetDigital].[Total Sales]" caption="Total Sales" attribute="1" defaultMemberUniqueName="[BI vw_BudgetDigital].[Total Sales].[All]" allUniqueName="[BI vw_BudgetDigital].[Total Sales].[All]" dimensionUniqueName="[BI vw_BudgetDigital]" displayFolder="" count="0" memberValueDatatype="5" unbalanced="0"/>
    <cacheHierarchy uniqueName="[BI vw_BudgetDigital].[Trans Nbr]" caption="Trans Nbr" attribute="1" defaultMemberUniqueName="[BI vw_BudgetDigital].[Trans Nbr].[All]" allUniqueName="[BI vw_BudgetDigital].[Trans Nbr].[All]" dimensionUniqueName="[BI vw_BudgetDigital]" displayFolder="" count="0" memberValueDatatype="5" unbalanced="0"/>
    <cacheHierarchy uniqueName="[BI vw_BudgetOnlineByStore].[BudgetPeriod]" caption="BudgetPeriod" attribute="1" defaultMemberUniqueName="[BI vw_BudgetOnlineByStore].[BudgetPeriod].[All]" allUniqueName="[BI vw_BudgetOnlineByStore].[BudgetPeriod].[All]" dimensionUniqueName="[BI vw_BudgetOnlineByStore]" displayFolder="" count="0" memberValueDatatype="20" unbalanced="0"/>
    <cacheHierarchy uniqueName="[BI vw_BudgetOnlineByStore].[BudgetWeek]" caption="BudgetWeek" attribute="1" defaultMemberUniqueName="[BI vw_BudgetOnlineByStore].[BudgetWeek].[All]" allUniqueName="[BI vw_BudgetOnlineByStore].[BudgetWeek].[All]" dimensionUniqueName="[BI vw_BudgetOnlineByStore]" displayFolder="" count="0" memberValueDatatype="20" unbalanced="0"/>
    <cacheHierarchy uniqueName="[BI vw_BudgetOnlineByStore].[BudgetYear]" caption="BudgetYear" attribute="1" defaultMemberUniqueName="[BI vw_BudgetOnlineByStore].[BudgetYear].[All]" allUniqueName="[BI vw_BudgetOnlineByStore].[BudgetYear].[All]" dimensionUniqueName="[BI vw_BudgetOnlineByStore]" displayFolder="" count="0" memberValueDatatype="20" unbalanced="0"/>
    <cacheHierarchy uniqueName="[BI vw_BudgetOnlineByStore].[DropshipBudget]" caption="DropshipBudget" attribute="1" defaultMemberUniqueName="[BI vw_BudgetOnlineByStore].[DropshipBudget].[All]" allUniqueName="[BI vw_BudgetOnlineByStore].[DropshipBudget].[All]" dimensionUniqueName="[BI vw_BudgetOnlineByStore]" displayFolder="" count="0" memberValueDatatype="6" unbalanced="0"/>
    <cacheHierarchy uniqueName="[BI vw_BudgetOnlineByStore].[JoinKey]" caption="JoinKey" attribute="1" defaultMemberUniqueName="[BI vw_BudgetOnlineByStore].[JoinKey].[All]" allUniqueName="[BI vw_BudgetOnlineByStore].[JoinKey].[All]" dimensionUniqueName="[BI vw_BudgetOnlineByStore]" displayFolder="" count="0" memberValueDatatype="130" unbalanced="0"/>
    <cacheHierarchy uniqueName="[BI vw_BudgetOnlineByStore].[NOT_Budget]" caption="NOT_Budget" attribute="1" defaultMemberUniqueName="[BI vw_BudgetOnlineByStore].[NOT_Budget].[All]" allUniqueName="[BI vw_BudgetOnlineByStore].[NOT_Budget].[All]" dimensionUniqueName="[BI vw_BudgetOnlineByStore]" displayFolder="" count="0" memberValueDatatype="5" unbalanced="0"/>
    <cacheHierarchy uniqueName="[BI vw_BudgetOnlineByStore].[SalesClassification]" caption="SalesClassification" attribute="1" defaultMemberUniqueName="[BI vw_BudgetOnlineByStore].[SalesClassification].[All]" allUniqueName="[BI vw_BudgetOnlineByStore].[SalesClassification].[All]" dimensionUniqueName="[BI vw_BudgetOnlineByStore]" displayFolder="" count="0" memberValueDatatype="130" unbalanced="0"/>
    <cacheHierarchy uniqueName="[BI vw_BudgetOnlineByStore].[Store]" caption="Store" attribute="1" defaultMemberUniqueName="[BI vw_BudgetOnlineByStore].[Store].[All]" allUniqueName="[BI vw_BudgetOnlineByStore].[Store].[All]" dimensionUniqueName="[BI vw_BudgetOnlineByStore]" displayFolder="" count="0" memberValueDatatype="130" unbalanced="0"/>
    <cacheHierarchy uniqueName="[BI vw_BudgetOnlineByStore].[TotalOnlineBudget]" caption="TotalOnlineBudget" attribute="1" defaultMemberUniqueName="[BI vw_BudgetOnlineByStore].[TotalOnlineBudget].[All]" allUniqueName="[BI vw_BudgetOnlineByStore].[TotalOnlineBudget].[All]" dimensionUniqueName="[BI vw_BudgetOnlineByStore]" displayFolder="" count="0" memberValueDatatype="6" unbalanced="0"/>
    <cacheHierarchy uniqueName="[BI vw_DropshipBudget].[BudgetDollar]" caption="BudgetDollar" attribute="1" defaultMemberUniqueName="[BI vw_DropshipBudget].[BudgetDollar].[All]" allUniqueName="[BI vw_DropshipBudget].[BudgetDollar].[All]" dimensionUniqueName="[BI vw_DropshipBudget]" displayFolder="" count="0" memberValueDatatype="5" unbalanced="0"/>
    <cacheHierarchy uniqueName="[BI vw_DropshipBudget].[BudgetPeriod]" caption="BudgetPeriod" attribute="1" defaultMemberUniqueName="[BI vw_DropshipBudget].[BudgetPeriod].[All]" allUniqueName="[BI vw_DropshipBudget].[BudgetPeriod].[All]" dimensionUniqueName="[BI vw_DropshipBudget]" displayFolder="" count="0" memberValueDatatype="20" unbalanced="0"/>
    <cacheHierarchy uniqueName="[BI vw_DropshipBudget].[Department]" caption="Department" attribute="1" defaultMemberUniqueName="[BI vw_DropshipBudget].[Department].[All]" allUniqueName="[BI vw_DropshipBudget].[Department].[All]" dimensionUniqueName="[BI vw_DropshipBudget]" displayFolder="" count="0" memberValueDatatype="20" unbalanced="0"/>
    <cacheHierarchy uniqueName="[BI vw_DropshipBudget].[DepartmentDesc]" caption="DepartmentDesc" attribute="1" defaultMemberUniqueName="[BI vw_DropshipBudget].[DepartmentDesc].[All]" allUniqueName="[BI vw_DropshipBudget].[DepartmentDesc].[All]" dimensionUniqueName="[BI vw_DropshipBudget]" displayFolder="" count="0" memberValueDatatype="130" unbalanced="0"/>
    <cacheHierarchy uniqueName="[BI vw_DropshipBudget].[Division]" caption="Division" attribute="1" defaultMemberUniqueName="[BI vw_DropshipBudget].[Division].[All]" allUniqueName="[BI vw_DropshipBudget].[Division].[All]" dimensionUniqueName="[BI vw_DropshipBudget]" displayFolder="" count="0" memberValueDatatype="130" unbalanced="0"/>
    <cacheHierarchy uniqueName="[BI vw_DropshipBudget].[JoinKey]" caption="JoinKey" attribute="1" defaultMemberUniqueName="[BI vw_DropshipBudget].[JoinKey].[All]" allUniqueName="[BI vw_DropshipBudget].[JoinKey].[All]" dimensionUniqueName="[BI vw_DropshipBudget]" displayFolder="" count="0" memberValueDatatype="130" unbalanced="0"/>
    <cacheHierarchy uniqueName="[BI vw_Items].[Class]" caption="Class" attribute="1" defaultMemberUniqueName="[BI vw_Items].[Class].[All]" allUniqueName="[BI vw_Items].[Class].[All]" dimensionUniqueName="[BI vw_Items]" displayFolder="" count="0" memberValueDatatype="20" unbalanced="0"/>
    <cacheHierarchy uniqueName="[BI vw_Items].[ClassDesc]" caption="ClassDesc" attribute="1" defaultMemberUniqueName="[BI vw_Items].[ClassDesc].[All]" allUniqueName="[BI vw_Items].[ClassDesc].[All]" dimensionUniqueName="[BI vw_Items]" displayFolder="" count="0" memberValueDatatype="130" unbalanced="0"/>
    <cacheHierarchy uniqueName="[BI vw_Items].[department]" caption="department" attribute="1" defaultMemberUniqueName="[BI vw_Items].[department].[All]" allUniqueName="[BI vw_Items].[department].[All]" dimensionUniqueName="[BI vw_Items]" displayFolder="" count="0" memberValueDatatype="20" unbalanced="0"/>
    <cacheHierarchy uniqueName="[BI vw_Items].[DepartmentDesc]" caption="DepartmentDesc" attribute="1" defaultMemberUniqueName="[BI vw_Items].[DepartmentDesc].[All]" allUniqueName="[BI vw_Items].[DepartmentDesc].[All]" dimensionUniqueName="[BI vw_Items]" displayFolder="" count="0" memberValueDatatype="130" unbalanced="0"/>
    <cacheHierarchy uniqueName="[BI vw_Items].[Division]" caption="Division" attribute="1" defaultMemberUniqueName="[BI vw_Items].[Division].[All]" allUniqueName="[BI vw_Items].[Division].[All]" dimensionUniqueName="[BI vw_Items]" displayFolder="" count="0" memberValueDatatype="130" unbalanced="0"/>
    <cacheHierarchy uniqueName="[BI vw_Items].[FOB Port]" caption="FOB Port" attribute="1" defaultMemberUniqueName="[BI vw_Items].[FOB Port].[All]" allUniqueName="[BI vw_Items].[FOB Port].[All]" dimensionUniqueName="[BI vw_Items]" displayFolder="" count="0" memberValueDatatype="130" unbalanced="0"/>
    <cacheHierarchy uniqueName="[BI vw_Items].[Forecast Birth Date AU]" caption="Forecast Birth Date AU" attribute="1" defaultMemberUniqueName="[BI vw_Items].[Forecast Birth Date AU].[All]" allUniqueName="[BI vw_Items].[Forecast Birth Date AU].[All]" dimensionUniqueName="[BI vw_Items]" displayFolder="" count="0" memberValueDatatype="130" unbalanced="0"/>
    <cacheHierarchy uniqueName="[BI vw_Items].[Forecast Birth Date NZ]" caption="Forecast Birth Date NZ" attribute="1" defaultMemberUniqueName="[BI vw_Items].[Forecast Birth Date NZ].[All]" allUniqueName="[BI vw_Items].[Forecast Birth Date NZ].[All]" dimensionUniqueName="[BI vw_Items]" displayFolder="" count="0" memberValueDatatype="130" unbalanced="0"/>
    <cacheHierarchy uniqueName="[BI vw_Items].[IsComponent]" caption="IsComponent" attribute="1" defaultMemberUniqueName="[BI vw_Items].[IsComponent].[All]" allUniqueName="[BI vw_Items].[IsComponent].[All]" dimensionUniqueName="[BI vw_Items]" displayFolder="" count="0" memberValueDatatype="130" unbalanced="0"/>
    <cacheHierarchy uniqueName="[BI vw_Items].[ItemDescription]" caption="ItemDescription" attribute="1" defaultMemberUniqueName="[BI vw_Items].[ItemDescription].[All]" allUniqueName="[BI vw_Items].[ItemDescription].[All]" dimensionUniqueName="[BI vw_Items]" displayFolder="" count="0" memberValueDatatype="130" unbalanced="0"/>
    <cacheHierarchy uniqueName="[BI vw_Items].[ProductStatus]" caption="ProductStatus" attribute="1" defaultMemberUniqueName="[BI vw_Items].[ProductStatus].[All]" allUniqueName="[BI vw_Items].[ProductStatus].[All]" dimensionUniqueName="[BI vw_Items]" displayFolder="" count="0" memberValueDatatype="130" unbalanced="0"/>
    <cacheHierarchy uniqueName="[BI vw_Items].[ProductStatusNZ]" caption="ProductStatusNZ" attribute="1" defaultMemberUniqueName="[BI vw_Items].[ProductStatusNZ].[All]" allUniqueName="[BI vw_Items].[ProductStatusNZ].[All]" dimensionUniqueName="[BI vw_Items]" displayFolder="" count="0" memberValueDatatype="130" unbalanced="0"/>
    <cacheHierarchy uniqueName="[BI vw_Items].[PurchaseQTY]" caption="PurchaseQTY" attribute="1" defaultMemberUniqueName="[BI vw_Items].[PurchaseQTY].[All]" allUniqueName="[BI vw_Items].[PurchaseQTY].[All]" dimensionUniqueName="[BI vw_Items]" displayFolder="" count="0" memberValueDatatype="6" unbalanced="0"/>
    <cacheHierarchy uniqueName="[BI vw_Items].[Range]" caption="Range" attribute="1" defaultMemberUniqueName="[BI vw_Items].[Range].[All]" allUniqueName="[BI vw_Items].[Range].[All]" dimensionUniqueName="[BI vw_Items]" displayFolder="" count="0" memberValueDatatype="130" unbalanced="0"/>
    <cacheHierarchy uniqueName="[BI vw_Items].[Season_AUS]" caption="Season_AUS" attribute="1" defaultMemberUniqueName="[BI vw_Items].[Season_AUS].[All]" allUniqueName="[BI vw_Items].[Season_AUS].[All]" dimensionUniqueName="[BI vw_Items]" displayFolder="" count="0" memberValueDatatype="130" unbalanced="0"/>
    <cacheHierarchy uniqueName="[BI vw_Items].[Season_NZ]" caption="Season_NZ" attribute="1" defaultMemberUniqueName="[BI vw_Items].[Season_NZ].[All]" allUniqueName="[BI vw_Items].[Season_NZ].[All]" dimensionUniqueName="[BI vw_Items]" displayFolder="" count="0" memberValueDatatype="130" unbalanced="0"/>
    <cacheHierarchy uniqueName="[BI vw_Items].[SKU]" caption="SKU" attribute="1" defaultMemberUniqueName="[BI vw_Items].[SKU].[All]" allUniqueName="[BI vw_Items].[SKU].[All]" dimensionUniqueName="[BI vw_Items]" displayFolder="" count="0" memberValueDatatype="20" unbalanced="0"/>
    <cacheHierarchy uniqueName="[BI vw_Items].[Stock Type_AUS]" caption="Stock Type_AUS" attribute="1" defaultMemberUniqueName="[BI vw_Items].[Stock Type_AUS].[All]" allUniqueName="[BI vw_Items].[Stock Type_AUS].[All]" dimensionUniqueName="[BI vw_Items]" displayFolder="" count="0" memberValueDatatype="130" unbalanced="0"/>
    <cacheHierarchy uniqueName="[BI vw_Items].[SubDepartment]" caption="SubDepartment" attribute="1" defaultMemberUniqueName="[BI vw_Items].[SubDepartment].[All]" allUniqueName="[BI vw_Items].[SubDepartment].[All]" dimensionUniqueName="[BI vw_Items]" displayFolder="" count="0" memberValueDatatype="20" unbalanced="0"/>
    <cacheHierarchy uniqueName="[BI vw_Items].[SubDepartmentDesc]" caption="SubDepartmentDesc" attribute="1" defaultMemberUniqueName="[BI vw_Items].[SubDepartmentDesc].[All]" allUniqueName="[BI vw_Items].[SubDepartmentDesc].[All]" dimensionUniqueName="[BI vw_Items]" displayFolder="" count="0" memberValueDatatype="130" unbalanced="0"/>
    <cacheHierarchy uniqueName="[BI vw_Items].[Supplier Cost]" caption="Supplier Cost" attribute="1" defaultMemberUniqueName="[BI vw_Items].[Supplier Cost].[All]" allUniqueName="[BI vw_Items].[Supplier Cost].[All]" dimensionUniqueName="[BI vw_Items]" displayFolder="" count="0" memberValueDatatype="130" unbalanced="0"/>
    <cacheHierarchy uniqueName="[BI vw_Items].[supplier_code]" caption="supplier_code" attribute="1" defaultMemberUniqueName="[BI vw_Items].[supplier_code].[All]" allUniqueName="[BI vw_Items].[supplier_code].[All]" dimensionUniqueName="[BI vw_Items]" displayFolder="" count="0" memberValueDatatype="130" unbalanced="0"/>
    <cacheHierarchy uniqueName="[BI vw_WeeklyItemSales].[Country]" caption="Country" attribute="1" defaultMemberUniqueName="[BI vw_WeeklyItemSales].[Country].[All]" allUniqueName="[BI vw_WeeklyItemSales].[Country].[All]" dimensionUniqueName="[BI vw_WeeklyItemSales]" displayFolder="" count="0" memberValueDatatype="130" unbalanced="0"/>
    <cacheHierarchy uniqueName="[BI vw_WeeklyItemSales].[finPeriod]" caption="finPeriod" attribute="1" defaultMemberUniqueName="[BI vw_WeeklyItemSales].[finPeriod].[All]" allUniqueName="[BI vw_WeeklyItemSales].[finPeriod].[All]" dimensionUniqueName="[BI vw_WeeklyItemSales]" displayFolder="" count="0" memberValueDatatype="130" unbalanced="0"/>
    <cacheHierarchy uniqueName="[BI vw_WeeklyItemSales].[FirstWeek-Year]" caption="FirstWeek-Year" attribute="1" defaultMemberUniqueName="[BI vw_WeeklyItemSales].[FirstWeek-Year].[All]" allUniqueName="[BI vw_WeeklyItemSales].[FirstWeek-Year].[All]" dimensionUniqueName="[BI vw_WeeklyItemSales]" displayFolder="" count="0" memberValueDatatype="130" unbalanced="0"/>
    <cacheHierarchy uniqueName="[BI vw_WeeklyItemSales].[ItemKey]" caption="ItemKey" attribute="1" defaultMemberUniqueName="[BI vw_WeeklyItemSales].[ItemKey].[All]" allUniqueName="[BI vw_WeeklyItemSales].[ItemKey].[All]" dimensionUniqueName="[BI vw_WeeklyItemSales]" displayFolder="" count="0" memberValueDatatype="20" unbalanced="0"/>
    <cacheHierarchy uniqueName="[BI vw_WeeklyItemSales].[JoinKey]" caption="JoinKey" attribute="1" defaultMemberUniqueName="[BI vw_WeeklyItemSales].[JoinKey].[All]" allUniqueName="[BI vw_WeeklyItemSales].[JoinKey].[All]" dimensionUniqueName="[BI vw_WeeklyItemSales]" displayFolder="" count="0" memberValueDatatype="130" unbalanced="0"/>
    <cacheHierarchy uniqueName="[BI vw_WeeklyItemSales].[Quantity]" caption="Quantity" attribute="1" defaultMemberUniqueName="[BI vw_WeeklyItemSales].[Quantity].[All]" allUniqueName="[BI vw_WeeklyItemSales].[Quantity].[All]" dimensionUniqueName="[BI vw_WeeklyItemSales]" displayFolder="" count="0" memberValueDatatype="6" unbalanced="0"/>
    <cacheHierarchy uniqueName="[BI vw_WeeklyItemSales].[SalesClassification]" caption="SalesClassification" attribute="1" defaultMemberUniqueName="[BI vw_WeeklyItemSales].[SalesClassification].[All]" allUniqueName="[BI vw_WeeklyItemSales].[SalesClassification].[All]" dimensionUniqueName="[BI vw_WeeklyItemSales]" displayFolder="" count="0" memberValueDatatype="130" unbalanced="0"/>
    <cacheHierarchy uniqueName="[BI vw_WeeklyItemSales].[SalesCost]" caption="SalesCost" attribute="1" defaultMemberUniqueName="[BI vw_WeeklyItemSales].[SalesCost].[All]" allUniqueName="[BI vw_WeeklyItemSales].[SalesCost].[All]" dimensionUniqueName="[BI vw_WeeklyItemSales]" displayFolder="" count="0" memberValueDatatype="5" unbalanced="0"/>
    <cacheHierarchy uniqueName="[BI vw_WeeklyItemSales].[SalesRetail]" caption="SalesRetail" attribute="1" defaultMemberUniqueName="[BI vw_WeeklyItemSales].[SalesRetail].[All]" allUniqueName="[BI vw_WeeklyItemSales].[SalesRetail].[All]" dimensionUniqueName="[BI vw_WeeklyItemSales]" displayFolder="" count="0" memberValueDatatype="5" unbalanced="0"/>
    <cacheHierarchy uniqueName="[BI vw_WeeklyItemSales].[StoreKey]" caption="StoreKey" attribute="1" defaultMemberUniqueName="[BI vw_WeeklyItemSales].[StoreKey].[All]" allUniqueName="[BI vw_WeeklyItemSales].[StoreKey].[All]" dimensionUniqueName="[BI vw_WeeklyItemSales]" displayFolder="" count="0" memberValueDatatype="130" unbalanced="0"/>
    <cacheHierarchy uniqueName="[BI vw_WeeklyStoreATV].[division]" caption="division" attribute="1" defaultMemberUniqueName="[BI vw_WeeklyStoreATV].[division].[All]" allUniqueName="[BI vw_WeeklyStoreATV].[division].[All]" dimensionUniqueName="[BI vw_WeeklyStoreATV]" displayFolder="" count="0" memberValueDatatype="130" unbalanced="0"/>
    <cacheHierarchy uniqueName="[BI vw_WeeklyStoreATV].[FinOrderNumber]" caption="FinOrderNumber" attribute="1" defaultMemberUniqueName="[BI vw_WeeklyStoreATV].[FinOrderNumber].[All]" allUniqueName="[BI vw_WeeklyStoreATV].[FinOrderNumber].[All]" dimensionUniqueName="[BI vw_WeeklyStoreATV]" displayFolder="" count="0" memberValueDatatype="130" unbalanced="0"/>
    <cacheHierarchy uniqueName="[BI vw_WeeklyStoreATV].[FinPeriod]" caption="FinPeriod" attribute="1" defaultMemberUniqueName="[BI vw_WeeklyStoreATV].[FinPeriod].[All]" allUniqueName="[BI vw_WeeklyStoreATV].[FinPeriod].[All]" dimensionUniqueName="[BI vw_WeeklyStoreATV]" displayFolder="" count="0" memberValueDatatype="20" unbalanced="0"/>
    <cacheHierarchy uniqueName="[BI vw_WeeklyStoreATV].[JoinKey]" caption="JoinKey" attribute="1" defaultMemberUniqueName="[BI vw_WeeklyStoreATV].[JoinKey].[All]" allUniqueName="[BI vw_WeeklyStoreATV].[JoinKey].[All]" dimensionUniqueName="[BI vw_WeeklyStoreATV]" displayFolder="" count="0" memberValueDatatype="130" unbalanced="0"/>
    <cacheHierarchy uniqueName="[BI vw_WeeklyStoreATV].[NumTrans]" caption="NumTrans" attribute="1" defaultMemberUniqueName="[BI vw_WeeklyStoreATV].[NumTrans].[All]" allUniqueName="[BI vw_WeeklyStoreATV].[NumTrans].[All]" dimensionUniqueName="[BI vw_WeeklyStoreATV]" displayFolder="" count="0" memberValueDatatype="20" unbalanced="0"/>
    <cacheHierarchy uniqueName="[BI vw_WeeklyStoreATV].[NumTrans2]" caption="NumTrans2" attribute="1" defaultMemberUniqueName="[BI vw_WeeklyStoreATV].[NumTrans2].[All]" allUniqueName="[BI vw_WeeklyStoreATV].[NumTrans2].[All]" dimensionUniqueName="[BI vw_WeeklyStoreATV]" displayFolder="" count="0" memberValueDatatype="130" unbalanced="0"/>
    <cacheHierarchy uniqueName="[BI vw_WeeklyStoreATV].[OrderNumber]" caption="OrderNumber" attribute="1" defaultMemberUniqueName="[BI vw_WeeklyStoreATV].[OrderNumber].[All]" allUniqueName="[BI vw_WeeklyStoreATV].[OrderNumber].[All]" dimensionUniqueName="[BI vw_WeeklyStoreATV]" displayFolder="" count="0" memberValueDatatype="130" unbalanced="0"/>
    <cacheHierarchy uniqueName="[BI vw_WeeklyStoreATV].[SalesClassification]" caption="SalesClassification" attribute="1" defaultMemberUniqueName="[BI vw_WeeklyStoreATV].[SalesClassification].[All]" allUniqueName="[BI vw_WeeklyStoreATV].[SalesClassification].[All]" dimensionUniqueName="[BI vw_WeeklyStoreATV]" displayFolder="" count="0" memberValueDatatype="130" unbalanced="0"/>
    <cacheHierarchy uniqueName="[BI vw_WeeklyStoreATV].[SalesRetail]" caption="SalesRetail" attribute="1" defaultMemberUniqueName="[BI vw_WeeklyStoreATV].[SalesRetail].[All]" allUniqueName="[BI vw_WeeklyStoreATV].[SalesRetail].[All]" dimensionUniqueName="[BI vw_WeeklyStoreATV]" displayFolder="" count="0" memberValueDatatype="20" unbalanced="0"/>
    <cacheHierarchy uniqueName="[BI vw_WeeklyStoreATV].[Store_Country]" caption="Store_Country" attribute="1" defaultMemberUniqueName="[BI vw_WeeklyStoreATV].[Store_Country].[All]" allUniqueName="[BI vw_WeeklyStoreATV].[Store_Country].[All]" dimensionUniqueName="[BI vw_WeeklyStoreATV]" displayFolder="" count="0" memberValueDatatype="130" unbalanced="0"/>
    <cacheHierarchy uniqueName="[BI vw_WeeklyStoreATV].[StoreKey]" caption="StoreKey" attribute="1" defaultMemberUniqueName="[BI vw_WeeklyStoreATV].[StoreKey].[All]" allUniqueName="[BI vw_WeeklyStoreATV].[StoreKey].[All]" dimensionUniqueName="[BI vw_WeeklyStoreATV]" displayFolder="" count="0" memberValueDatatype="130" unbalanced="0"/>
    <cacheHierarchy uniqueName="[BI vw_WeeklyStoreTraffic].[Country]" caption="Country" attribute="1" defaultMemberUniqueName="[BI vw_WeeklyStoreTraffic].[Country].[All]" allUniqueName="[BI vw_WeeklyStoreTraffic].[Country].[All]" dimensionUniqueName="[BI vw_WeeklyStoreTraffic]" displayFolder="" count="0" memberValueDatatype="130" unbalanced="0"/>
    <cacheHierarchy uniqueName="[BI vw_WeeklyStoreTraffic].[finPeriod]" caption="finPeriod" attribute="1" defaultMemberUniqueName="[BI vw_WeeklyStoreTraffic].[finPeriod].[All]" allUniqueName="[BI vw_WeeklyStoreTraffic].[finPeriod].[All]" dimensionUniqueName="[BI vw_WeeklyStoreTraffic]" displayFolder="" count="0" memberValueDatatype="130" unbalanced="0"/>
    <cacheHierarchy uniqueName="[BI vw_WeeklyStoreTraffic].[JoinKey]" caption="JoinKey" attribute="1" defaultMemberUniqueName="[BI vw_WeeklyStoreTraffic].[JoinKey].[All]" allUniqueName="[BI vw_WeeklyStoreTraffic].[JoinKey].[All]" dimensionUniqueName="[BI vw_WeeklyStoreTraffic]" displayFolder="" count="0" memberValueDatatype="130" unbalanced="0"/>
    <cacheHierarchy uniqueName="[BI vw_WeeklyStoreTraffic].[Store]" caption="Store" attribute="1" defaultMemberUniqueName="[BI vw_WeeklyStoreTraffic].[Store].[All]" allUniqueName="[BI vw_WeeklyStoreTraffic].[Store].[All]" dimensionUniqueName="[BI vw_WeeklyStoreTraffic]" displayFolder="" count="0" memberValueDatatype="130" unbalanced="0"/>
    <cacheHierarchy uniqueName="[BI vw_WeeklyStoreTraffic].[storekey]" caption="storekey" attribute="1" defaultMemberUniqueName="[BI vw_WeeklyStoreTraffic].[storekey].[All]" allUniqueName="[BI vw_WeeklyStoreTraffic].[storekey].[All]" dimensionUniqueName="[BI vw_WeeklyStoreTraffic]" displayFolder="" count="0" memberValueDatatype="130" unbalanced="0"/>
    <cacheHierarchy uniqueName="[BI vw_WeeklyStoreTraffic].[Traffic]" caption="Traffic" attribute="1" defaultMemberUniqueName="[BI vw_WeeklyStoreTraffic].[Traffic].[All]" allUniqueName="[BI vw_WeeklyStoreTraffic].[Traffic].[All]" dimensionUniqueName="[BI vw_WeeklyStoreTraffic]" displayFolder="" count="0" memberValueDatatype="20" unbalanced="0"/>
    <cacheHierarchy uniqueName="[BI vw_WeeklyWrittenSalesMetrics].[ATV_JoinKey]" caption="ATV_JoinKey" attribute="1" defaultMemberUniqueName="[BI vw_WeeklyWrittenSalesMetrics].[ATV_JoinKey].[All]" allUniqueName="[BI vw_WeeklyWrittenSalesMetrics].[ATV_JoinKey].[All]" dimensionUniqueName="[BI vw_WeeklyWrittenSalesMetrics]" displayFolder="" count="0" memberValueDatatype="130" unbalanced="0"/>
    <cacheHierarchy uniqueName="[BI vw_WeeklyWrittenSalesMetrics].[Branch_Type]" caption="Branch_Type" attribute="1" defaultMemberUniqueName="[BI vw_WeeklyWrittenSalesMetrics].[Branch_Type].[All]" allUniqueName="[BI vw_WeeklyWrittenSalesMetrics].[Branch_Type].[All]" dimensionUniqueName="[BI vw_WeeklyWrittenSalesMetrics]" displayFolder="" count="2" memberValueDatatype="130" unbalanced="0">
      <fieldsUsage count="2">
        <fieldUsage x="-1"/>
        <fieldUsage x="8"/>
      </fieldsUsage>
    </cacheHierarchy>
    <cacheHierarchy uniqueName="[BI vw_WeeklyWrittenSalesMetrics].[BudgetByItem_JoinKey]" caption="BudgetByItem_JoinKey" attribute="1" defaultMemberUniqueName="[BI vw_WeeklyWrittenSalesMetrics].[BudgetByItem_JoinKey].[All]" allUniqueName="[BI vw_WeeklyWrittenSalesMetrics].[BudgetByItem_JoinKey].[All]" dimensionUniqueName="[BI vw_WeeklyWrittenSalesMetrics]" displayFolder="" count="0" memberValueDatatype="130" unbalanced="0"/>
    <cacheHierarchy uniqueName="[BI vw_WeeklyWrittenSalesMetrics].[BudgetByStore_JoinKey]" caption="BudgetByStore_JoinKey" attribute="1" defaultMemberUniqueName="[BI vw_WeeklyWrittenSalesMetrics].[BudgetByStore_JoinKey].[All]" allUniqueName="[BI vw_WeeklyWrittenSalesMetrics].[BudgetByStore_JoinKey].[All]" dimensionUniqueName="[BI vw_WeeklyWrittenSalesMetrics]" displayFolder="" count="0" memberValueDatatype="130" unbalanced="0"/>
    <cacheHierarchy uniqueName="[BI vw_WeeklyWrittenSalesMetrics].[BudgetByWeek_JoinKey]" caption="BudgetByWeek_JoinKey" attribute="1" defaultMemberUniqueName="[BI vw_WeeklyWrittenSalesMetrics].[BudgetByWeek_JoinKey].[All]" allUniqueName="[BI vw_WeeklyWrittenSalesMetrics].[BudgetByWeek_JoinKey].[All]" dimensionUniqueName="[BI vw_WeeklyWrittenSalesMetrics]" displayFolder="" count="0" memberValueDatatype="130" unbalanced="0"/>
    <cacheHierarchy uniqueName="[BI vw_WeeklyWrittenSalesMetrics].[BudgetDigital_JoinKey]" caption="BudgetDigital_JoinKey" attribute="1" defaultMemberUniqueName="[BI vw_WeeklyWrittenSalesMetrics].[BudgetDigital_JoinKey].[All]" allUniqueName="[BI vw_WeeklyWrittenSalesMetrics].[BudgetDigital_JoinKey].[All]" dimensionUniqueName="[BI vw_WeeklyWrittenSalesMetrics]" displayFolder="" count="0" memberValueDatatype="130" unbalanced="0"/>
    <cacheHierarchy uniqueName="[BI vw_WeeklyWrittenSalesMetrics].[BudgetOnlineByStore_JoinKey]" caption="BudgetOnlineByStore_JoinKey" attribute="1" defaultMemberUniqueName="[BI vw_WeeklyWrittenSalesMetrics].[BudgetOnlineByStore_JoinKey].[All]" allUniqueName="[BI vw_WeeklyWrittenSalesMetrics].[BudgetOnlineByStore_JoinKey].[All]" dimensionUniqueName="[BI vw_WeeklyWrittenSalesMetrics]" displayFolder="" count="0" memberValueDatatype="130" unbalanced="0"/>
    <cacheHierarchy uniqueName="[BI vw_WeeklyWrittenSalesMetrics].[Channel]" caption="Channel" attribute="1" defaultMemberUniqueName="[BI vw_WeeklyWrittenSalesMetrics].[Channel].[All]" allUniqueName="[BI vw_WeeklyWrittenSalesMetrics].[Channel].[All]" dimensionUniqueName="[BI vw_WeeklyWrittenSalesMetrics]" displayFolder="" count="2" memberValueDatatype="130" unbalanced="0">
      <fieldsUsage count="2">
        <fieldUsage x="-1"/>
        <fieldUsage x="12"/>
      </fieldsUsage>
    </cacheHierarchy>
    <cacheHierarchy uniqueName="[BI vw_WeeklyWrittenSalesMetrics].[ClassDesc]" caption="ClassDesc" attribute="1" defaultMemberUniqueName="[BI vw_WeeklyWrittenSalesMetrics].[ClassDesc].[All]" allUniqueName="[BI vw_WeeklyWrittenSalesMetrics].[ClassDesc].[All]" dimensionUniqueName="[BI vw_WeeklyWrittenSalesMetrics]" displayFolder="" count="0" memberValueDatatype="130" unbalanced="0"/>
    <cacheHierarchy uniqueName="[BI vw_WeeklyWrittenSalesMetrics].[Country]" caption="Country" attribute="1" defaultMemberUniqueName="[BI vw_WeeklyWrittenSalesMetrics].[Country].[All]" allUniqueName="[BI vw_WeeklyWrittenSalesMetrics].[Country].[All]" dimensionUniqueName="[BI vw_WeeklyWrittenSalesMetrics]" displayFolder="" count="2" memberValueDatatype="130" unbalanced="0">
      <fieldsUsage count="2">
        <fieldUsage x="-1"/>
        <fieldUsage x="10"/>
      </fieldsUsage>
    </cacheHierarchy>
    <cacheHierarchy uniqueName="[BI vw_WeeklyWrittenSalesMetrics].[DepartmentDesc]" caption="DepartmentDesc" attribute="1" defaultMemberUniqueName="[BI vw_WeeklyWrittenSalesMetrics].[DepartmentDesc].[All]" allUniqueName="[BI vw_WeeklyWrittenSalesMetrics].[DepartmentDesc].[All]" dimensionUniqueName="[BI vw_WeeklyWrittenSalesMetrics]" displayFolder="" count="0" memberValueDatatype="130" unbalanced="0"/>
    <cacheHierarchy uniqueName="[BI vw_WeeklyWrittenSalesMetrics].[Division]" caption="Division" attribute="1" defaultMemberUniqueName="[BI vw_WeeklyWrittenSalesMetrics].[Division].[All]" allUniqueName="[BI vw_WeeklyWrittenSalesMetrics].[Division].[All]" dimensionUniqueName="[BI vw_WeeklyWrittenSalesMetrics]" displayFolder="" count="2" memberValueDatatype="130" unbalanced="0">
      <fieldsUsage count="2">
        <fieldUsage x="-1"/>
        <fieldUsage x="9"/>
      </fieldsUsage>
    </cacheHierarchy>
    <cacheHierarchy uniqueName="[BI vw_WeeklyWrittenSalesMetrics].[Dropship]" caption="Dropship" attribute="1" defaultMemberUniqueName="[BI vw_WeeklyWrittenSalesMetrics].[Dropship].[All]" allUniqueName="[BI vw_WeeklyWrittenSalesMetrics].[Dropship].[All]" dimensionUniqueName="[BI vw_WeeklyWrittenSalesMetrics]" displayFolder="" count="0" memberValueDatatype="130" unbalanced="0"/>
    <cacheHierarchy uniqueName="[BI vw_WeeklyWrittenSalesMetrics].[DropshipBudget_JoinKey]" caption="DropshipBudget_JoinKey" attribute="1" defaultMemberUniqueName="[BI vw_WeeklyWrittenSalesMetrics].[DropshipBudget_JoinKey].[All]" allUniqueName="[BI vw_WeeklyWrittenSalesMetrics].[DropshipBudget_JoinKey].[All]" dimensionUniqueName="[BI vw_WeeklyWrittenSalesMetrics]" displayFolder="" count="0" memberValueDatatype="130" unbalanced="0"/>
    <cacheHierarchy uniqueName="[BI vw_WeeklyWrittenSalesMetrics].[FinPeriod]" caption="FinPeriod" attribute="1" defaultMemberUniqueName="[BI vw_WeeklyWrittenSalesMetrics].[FinPeriod].[All]" allUniqueName="[BI vw_WeeklyWrittenSalesMetrics].[FinPeriod].[All]" dimensionUniqueName="[BI vw_WeeklyWrittenSalesMetrics]" displayFolder="" count="0" memberValueDatatype="20" unbalanced="0"/>
    <cacheHierarchy uniqueName="[BI vw_WeeklyWrittenSalesMetrics].[FinPeriod_2025]" caption="FinPeriod_2025" attribute="1" defaultMemberUniqueName="[BI vw_WeeklyWrittenSalesMetrics].[FinPeriod_2025].[All]" allUniqueName="[BI vw_WeeklyWrittenSalesMetrics].[FinPeriod_2025].[All]" dimensionUniqueName="[BI vw_WeeklyWrittenSalesMetrics]" displayFolder="" count="0" memberValueDatatype="130" unbalanced="0"/>
    <cacheHierarchy uniqueName="[BI vw_WeeklyWrittenSalesMetrics].[FinPeriod_LY]" caption="FinPeriod_LY" attribute="1" defaultMemberUniqueName="[BI vw_WeeklyWrittenSalesMetrics].[FinPeriod_LY].[All]" allUniqueName="[BI vw_WeeklyWrittenSalesMetrics].[FinPeriod_LY].[All]" dimensionUniqueName="[BI vw_WeeklyWrittenSalesMetrics]" displayFolder="" count="0" memberValueDatatype="20" unbalanced="0"/>
    <cacheHierarchy uniqueName="[BI vw_WeeklyWrittenSalesMetrics].[FirstWeek-Month]" caption="FirstWeek-Month" attribute="1" defaultMemberUniqueName="[BI vw_WeeklyWrittenSalesMetrics].[FirstWeek-Month].[All]" allUniqueName="[BI vw_WeeklyWrittenSalesMetrics].[FirstWeek-Month].[All]" dimensionUniqueName="[BI vw_WeeklyWrittenSalesMetrics]" displayFolder="" count="0" memberValueDatatype="20" unbalanced="0"/>
    <cacheHierarchy uniqueName="[BI vw_WeeklyWrittenSalesMetrics].[FirstWeek-QTD]" caption="FirstWeek-QTD" attribute="1" defaultMemberUniqueName="[BI vw_WeeklyWrittenSalesMetrics].[FirstWeek-QTD].[All]" allUniqueName="[BI vw_WeeklyWrittenSalesMetrics].[FirstWeek-QTD].[All]" dimensionUniqueName="[BI vw_WeeklyWrittenSalesMetrics]" displayFolder="" count="0" memberValueDatatype="20" unbalanced="0"/>
    <cacheHierarchy uniqueName="[BI vw_WeeklyWrittenSalesMetrics].[FirstWeek-Year]" caption="FirstWeek-Year" attribute="1" defaultMemberUniqueName="[BI vw_WeeklyWrittenSalesMetrics].[FirstWeek-Year].[All]" allUniqueName="[BI vw_WeeklyWrittenSalesMetrics].[FirstWeek-Year].[All]" dimensionUniqueName="[BI vw_WeeklyWrittenSalesMetrics]" displayFolder="" count="0" memberValueDatatype="20" unbalanced="0"/>
    <cacheHierarchy uniqueName="[BI vw_WeeklyWrittenSalesMetrics].[Forcast_JoinKey]" caption="Forcast_JoinKey" attribute="1" defaultMemberUniqueName="[BI vw_WeeklyWrittenSalesMetrics].[Forcast_JoinKey].[All]" allUniqueName="[BI vw_WeeklyWrittenSalesMetrics].[Forcast_JoinKey].[All]" dimensionUniqueName="[BI vw_WeeklyWrittenSalesMetrics]" displayFolder="" count="0" memberValueDatatype="130" unbalanced="0"/>
    <cacheHierarchy uniqueName="[BI vw_WeeklyWrittenSalesMetrics].[ForcastByClass_JoinKey]" caption="ForcastByClass_JoinKey" attribute="1" defaultMemberUniqueName="[BI vw_WeeklyWrittenSalesMetrics].[ForcastByClass_JoinKey].[All]" allUniqueName="[BI vw_WeeklyWrittenSalesMetrics].[ForcastByClass_JoinKey].[All]" dimensionUniqueName="[BI vw_WeeklyWrittenSalesMetrics]" displayFolder="" count="0" memberValueDatatype="130" unbalanced="0"/>
    <cacheHierarchy uniqueName="[BI vw_WeeklyWrittenSalesMetrics].[SalesatFullRet]" caption="SalesatFullRet" attribute="1" defaultMemberUniqueName="[BI vw_WeeklyWrittenSalesMetrics].[SalesatFullRet].[All]" allUniqueName="[BI vw_WeeklyWrittenSalesMetrics].[SalesatFullRet].[All]" dimensionUniqueName="[BI vw_WeeklyWrittenSalesMetrics]" displayFolder="" count="0" memberValueDatatype="5" unbalanced="0"/>
    <cacheHierarchy uniqueName="[BI vw_WeeklyWrittenSalesMetrics].[SalesClassification]" caption="SalesClassification" attribute="1" defaultMemberUniqueName="[BI vw_WeeklyWrittenSalesMetrics].[SalesClassification].[All]" allUniqueName="[BI vw_WeeklyWrittenSalesMetrics].[SalesClassification].[All]" dimensionUniqueName="[BI vw_WeeklyWrittenSalesMetrics]" displayFolder="" count="0" memberValueDatatype="130" unbalanced="0"/>
    <cacheHierarchy uniqueName="[BI vw_WeeklyWrittenSalesMetrics].[SalesCost]" caption="SalesCost" attribute="1" defaultMemberUniqueName="[BI vw_WeeklyWrittenSalesMetrics].[SalesCost].[All]" allUniqueName="[BI vw_WeeklyWrittenSalesMetrics].[SalesCost].[All]" dimensionUniqueName="[BI vw_WeeklyWrittenSalesMetrics]" displayFolder="" count="0" memberValueDatatype="5" unbalanced="0"/>
    <cacheHierarchy uniqueName="[BI vw_WeeklyWrittenSalesMetrics].[SalesGM]" caption="SalesGM" attribute="1" defaultMemberUniqueName="[BI vw_WeeklyWrittenSalesMetrics].[SalesGM].[All]" allUniqueName="[BI vw_WeeklyWrittenSalesMetrics].[SalesGM].[All]" dimensionUniqueName="[BI vw_WeeklyWrittenSalesMetrics]" displayFolder="" count="0" memberValueDatatype="5" unbalanced="0"/>
    <cacheHierarchy uniqueName="[BI vw_WeeklyWrittenSalesMetrics].[SalesRetail]" caption="SalesRetail" attribute="1" defaultMemberUniqueName="[BI vw_WeeklyWrittenSalesMetrics].[SalesRetail].[All]" allUniqueName="[BI vw_WeeklyWrittenSalesMetrics].[SalesRetail].[All]" dimensionUniqueName="[BI vw_WeeklyWrittenSalesMetrics]" displayFolder="" count="0" memberValueDatatype="5" unbalanced="0"/>
    <cacheHierarchy uniqueName="[BI vw_WeeklyWrittenSalesMetrics].[SalesType]" caption="SalesType" attribute="1" defaultMemberUniqueName="[BI vw_WeeklyWrittenSalesMetrics].[SalesType].[All]" allUniqueName="[BI vw_WeeklyWrittenSalesMetrics].[SalesType].[All]" dimensionUniqueName="[BI vw_WeeklyWrittenSalesMetrics]" displayFolder="" count="0" memberValueDatatype="130" unbalanced="0"/>
    <cacheHierarchy uniqueName="[BI vw_WeeklyWrittenSalesMetrics].[SalesUnits]" caption="SalesUnits" attribute="1" defaultMemberUniqueName="[BI vw_WeeklyWrittenSalesMetrics].[SalesUnits].[All]" allUniqueName="[BI vw_WeeklyWrittenSalesMetrics].[SalesUnits].[All]" dimensionUniqueName="[BI vw_WeeklyWrittenSalesMetrics]" displayFolder="" count="0" memberValueDatatype="5" unbalanced="0"/>
    <cacheHierarchy uniqueName="[BI vw_WeeklyWrittenSalesMetrics].[Store]" caption="Store" attribute="1" defaultMemberUniqueName="[BI vw_WeeklyWrittenSalesMetrics].[Store].[All]" allUniqueName="[BI vw_WeeklyWrittenSalesMetrics].[Store].[All]" dimensionUniqueName="[BI vw_WeeklyWrittenSalesMetrics]" displayFolder="" count="0" memberValueDatatype="130" unbalanced="0"/>
    <cacheHierarchy uniqueName="[BI vw_WeeklyWrittenSalesMetrics].[StoreKey]" caption="StoreKey" attribute="1" defaultMemberUniqueName="[BI vw_WeeklyWrittenSalesMetrics].[StoreKey].[All]" allUniqueName="[BI vw_WeeklyWrittenSalesMetrics].[StoreKey].[All]" dimensionUniqueName="[BI vw_WeeklyWrittenSalesMetrics]" displayFolder="" count="0" memberValueDatatype="20" unbalanced="0"/>
    <cacheHierarchy uniqueName="[BI vw_WeeklyWrittenSalesMetrics].[SubDepartmentDesc]" caption="SubDepartmentDesc" attribute="1" defaultMemberUniqueName="[BI vw_WeeklyWrittenSalesMetrics].[SubDepartmentDesc].[All]" allUniqueName="[BI vw_WeeklyWrittenSalesMetrics].[SubDepartmentDesc].[All]" dimensionUniqueName="[BI vw_WeeklyWrittenSalesMetrics]" displayFolder="" count="0" memberValueDatatype="130" unbalanced="0"/>
    <cacheHierarchy uniqueName="[BI vw_WeeklyWrittenSalesMetrics].[TOTRETMD]" caption="TOTRETMD" attribute="1" defaultMemberUniqueName="[BI vw_WeeklyWrittenSalesMetrics].[TOTRETMD].[All]" allUniqueName="[BI vw_WeeklyWrittenSalesMetrics].[TOTRETMD].[All]" dimensionUniqueName="[BI vw_WeeklyWrittenSalesMetrics]" displayFolder="" count="0" memberValueDatatype="5" unbalanced="0"/>
    <cacheHierarchy uniqueName="[BI vw_WeeklyWrittenSalesMetrics].[Traffic_JoinKey]" caption="Traffic_JoinKey" attribute="1" defaultMemberUniqueName="[BI vw_WeeklyWrittenSalesMetrics].[Traffic_JoinKey].[All]" allUniqueName="[BI vw_WeeklyWrittenSalesMetrics].[Traffic_JoinKey].[All]" dimensionUniqueName="[BI vw_WeeklyWrittenSalesMetrics]" displayFolder="" count="0" memberValueDatatype="130" unbalanced="0"/>
    <cacheHierarchy uniqueName="[BI vw_WeeklyWrittenSalesMetrics].[WeeklyItemSaleKey]" caption="WeeklyItemSaleKey" attribute="1" defaultMemberUniqueName="[BI vw_WeeklyWrittenSalesMetrics].[WeeklyItemSaleKey].[All]" allUniqueName="[BI vw_WeeklyWrittenSalesMetrics].[WeeklyItemSaleKey].[All]" dimensionUniqueName="[BI vw_WeeklyWrittenSalesMetrics]" displayFolder="" count="0" memberValueDatatype="130" unbalanced="0"/>
    <cacheHierarchy uniqueName="[Dim_Category].[Column_Name]" caption="Column_Name" attribute="1" defaultMemberUniqueName="[Dim_Category].[Column_Name].[All]" allUniqueName="[Dim_Category].[Column_Name].[All]" dimensionUniqueName="[Dim_Category]" displayFolder="" count="0" memberValueDatatype="130" unbalanced="0"/>
    <cacheHierarchy uniqueName="[Dim_Category].[Sort N]" caption="Sort N" attribute="1" defaultMemberUniqueName="[Dim_Category].[Sort N].[All]" allUniqueName="[Dim_Category].[Sort N].[All]" dimensionUniqueName="[Dim_Category]" displayFolder="" count="0" memberValueDatatype="20" unbalanced="0"/>
    <cacheHierarchy uniqueName="[dim_period].[Current Date]" caption="Current Date" attribute="1" time="1" defaultMemberUniqueName="[dim_period].[Current Date].[All]" allUniqueName="[dim_period].[Current Date].[All]" dimensionUniqueName="[dim_period]" displayFolder="" count="0" memberValueDatatype="7" unbalanced="0"/>
    <cacheHierarchy uniqueName="[dim_period].[Date]" caption="Date" attribute="1" time="1" defaultMemberUniqueName="[dim_period].[Date].[All]" allUniqueName="[dim_period].[Date].[All]" dimensionUniqueName="[dim_period]" displayFolder="" count="0" memberValueDatatype="7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inPeriod_BeforeToday]" caption="finPeriod_BeforeToday" attribute="1" defaultMemberUniqueName="[dim_period].[finPeriod_BeforeToday].[All]" allUniqueName="[dim_period].[finPeriod_BeforeToday].[All]" dimensionUniqueName="[dim_period]" displayFolder="" count="0" memberValueDatatype="13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Month_NumberY]" caption="Month_NumberY" attribute="1" defaultMemberUniqueName="[dim_period].[Month_NumberY].[All]" allUniqueName="[dim_period].[Month_NumberY].[All]" dimensionUniqueName="[dim_period]" displayFolder="" count="0" memberValueDatatype="2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dim_period].[Year_New]" caption="Year_New" attribute="1" defaultMemberUniqueName="[dim_period].[Year_New].[All]" allUniqueName="[dim_period].[Year_New].[All]" dimensionUniqueName="[dim_period]" displayFolder="" count="0" memberValueDatatype="20" unbalanced="0"/>
    <cacheHierarchy uniqueName="[ForcastByClass].[Branch Type]" caption="Branch Type" attribute="1" defaultMemberUniqueName="[ForcastByClass].[Branch Type].[All]" allUniqueName="[ForcastByClass].[Branch Type].[All]" dimensionUniqueName="[ForcastByClass]" displayFolder="" count="0" memberValueDatatype="130" unbalanced="0"/>
    <cacheHierarchy uniqueName="[ForcastByClass].[Class]" caption="Class" attribute="1" defaultMemberUniqueName="[ForcastByClass].[Class].[All]" allUniqueName="[ForcastByClass].[Class].[All]" dimensionUniqueName="[ForcastByClass]" displayFolder="" count="0" memberValueDatatype="130" unbalanced="0"/>
    <cacheHierarchy uniqueName="[ForcastByClass].[Country]" caption="Country" attribute="1" defaultMemberUniqueName="[ForcastByClass].[Country].[All]" allUniqueName="[ForcastByClass].[Country].[All]" dimensionUniqueName="[ForcastByClass]" displayFolder="" count="0" memberValueDatatype="130" unbalanced="0"/>
    <cacheHierarchy uniqueName="[ForcastByClass].[CountryN]" caption="CountryN" attribute="1" defaultMemberUniqueName="[ForcastByClass].[CountryN].[All]" allUniqueName="[ForcastByClass].[CountryN].[All]" dimensionUniqueName="[ForcastByClass]" displayFolder="" count="0" memberValueDatatype="130" unbalanced="0"/>
    <cacheHierarchy uniqueName="[ForcastByClass].[FClassKey]" caption="FClassKey" attribute="1" defaultMemberUniqueName="[ForcastByClass].[FClassKey].[All]" allUniqueName="[ForcastByClass].[FClassKey].[All]" dimensionUniqueName="[ForcastByClass]" displayFolder="" count="0" memberValueDatatype="130" unbalanced="0"/>
    <cacheHierarchy uniqueName="[ForcastByClass].[FinPeriod]" caption="FinPeriod" attribute="1" defaultMemberUniqueName="[ForcastByClass].[FinPeriod].[All]" allUniqueName="[ForcastByClass].[FinPeriod].[All]" dimensionUniqueName="[ForcastByClass]" displayFolder="" count="0" memberValueDatatype="130" unbalanced="0"/>
    <cacheHierarchy uniqueName="[ForcastByClass].[FinWeek]" caption="FinWeek" attribute="1" defaultMemberUniqueName="[ForcastByClass].[FinWeek].[All]" allUniqueName="[ForcastByClass].[FinWeek].[All]" dimensionUniqueName="[ForcastByClass]" displayFolder="" count="0" memberValueDatatype="20" unbalanced="0"/>
    <cacheHierarchy uniqueName="[ForcastByClass].[FinYear]" caption="FinYear" attribute="1" defaultMemberUniqueName="[ForcastByClass].[FinYear].[All]" allUniqueName="[ForcastByClass].[FinYear].[All]" dimensionUniqueName="[ForcastByClass]" displayFolder="" count="0" memberValueDatatype="130" unbalanced="0"/>
    <cacheHierarchy uniqueName="[ForcastByClass].[ForcastDollars]" caption="ForcastDollars" attribute="1" defaultMemberUniqueName="[ForcastByClass].[ForcastDollars].[All]" allUniqueName="[ForcastByClass].[ForcastDollars].[All]" dimensionUniqueName="[ForcastByClass]" displayFolder="" count="0" memberValueDatatype="5" unbalanced="0"/>
    <cacheHierarchy uniqueName="[ForcastByClass].[StoreType]" caption="StoreType" attribute="1" defaultMemberUniqueName="[ForcastByClass].[StoreType].[All]" allUniqueName="[ForcastByClass].[StoreType].[All]" dimensionUniqueName="[ForcastByClass]" displayFolder="" count="0" memberValueDatatype="130" unbalanced="0"/>
    <cacheHierarchy uniqueName="[Forecast].[Branch Type]" caption="Branch Type" attribute="1" defaultMemberUniqueName="[Forecast].[Branch Type].[All]" allUniqueName="[Forecast].[Branch Type].[All]" dimensionUniqueName="[Forecast]" displayFolder="" count="0" memberValueDatatype="130" unbalanced="0"/>
    <cacheHierarchy uniqueName="[Forecast].[Channel]" caption="Channel" attribute="1" defaultMemberUniqueName="[Forecast].[Channel].[All]" allUniqueName="[Forecast].[Channel].[All]" dimensionUniqueName="[Forecast]" displayFolder="" count="0" memberValueDatatype="130" unbalanced="0"/>
    <cacheHierarchy uniqueName="[Forecast].[Class]" caption="Class" attribute="1" defaultMemberUniqueName="[Forecast].[Class].[All]" allUniqueName="[Forecast].[Class].[All]" dimensionUniqueName="[Forecast]" displayFolder="" count="0" memberValueDatatype="130" unbalanced="0"/>
    <cacheHierarchy uniqueName="[Forecast].[Class-1]" caption="Class-1" attribute="1" defaultMemberUniqueName="[Forecast].[Class-1].[All]" allUniqueName="[Forecast].[Class-1].[All]" dimensionUniqueName="[Forecast]" displayFolder="" count="0" memberValueDatatype="130" unbalanced="0"/>
    <cacheHierarchy uniqueName="[Forecast].[Column3 - Copy]" caption="Column3 - Copy" attribute="1" defaultMemberUniqueName="[Forecast].[Column3 - Copy].[All]" allUniqueName="[Forecast].[Column3 - Copy].[All]" dimensionUniqueName="[Forecast]" displayFolder="" count="0" memberValueDatatype="130" unbalanced="0"/>
    <cacheHierarchy uniqueName="[Forecast].[Country]" caption="Country" attribute="1" defaultMemberUniqueName="[Forecast].[Country].[All]" allUniqueName="[Forecast].[Country].[All]" dimensionUniqueName="[Forecast]" displayFolder="" count="0" memberValueDatatype="130" unbalanced="0"/>
    <cacheHierarchy uniqueName="[Forecast].[CountryN]" caption="CountryN" attribute="1" defaultMemberUniqueName="[Forecast].[CountryN].[All]" allUniqueName="[Forecast].[CountryN].[All]" dimensionUniqueName="[Forecast]" displayFolder="" count="0" memberValueDatatype="130" unbalanced="0"/>
    <cacheHierarchy uniqueName="[Forecast].[FClassKey]" caption="FClassKey" attribute="1" defaultMemberUniqueName="[Forecast].[FClassKey].[All]" allUniqueName="[Forecast].[FClassKey].[All]" dimensionUniqueName="[Forecast]" displayFolder="" count="0" memberValueDatatype="130" unbalanced="0"/>
    <cacheHierarchy uniqueName="[Forecast].[Fin_Period]" caption="Fin_Period" attribute="1" defaultMemberUniqueName="[Forecast].[Fin_Period].[All]" allUniqueName="[Forecast].[Fin_Period].[All]" dimensionUniqueName="[Forecast]" displayFolder="" count="0" memberValueDatatype="20" unbalanced="0"/>
    <cacheHierarchy uniqueName="[Forecast].[FinWeek]" caption="FinWeek" attribute="1" defaultMemberUniqueName="[Forecast].[FinWeek].[All]" allUniqueName="[Forecast].[FinWeek].[All]" dimensionUniqueName="[Forecast]" displayFolder="" count="0" memberValueDatatype="20" unbalanced="0"/>
    <cacheHierarchy uniqueName="[Forecast].[ForcastDollars]" caption="ForcastDollars" attribute="1" defaultMemberUniqueName="[Forecast].[ForcastDollars].[All]" allUniqueName="[Forecast].[ForcastDollars].[All]" dimensionUniqueName="[Forecast]" displayFolder="" count="0" memberValueDatatype="5" unbalanced="0"/>
    <cacheHierarchy uniqueName="[Forecast].[GM$]" caption="GM$" attribute="1" defaultMemberUniqueName="[Forecast].[GM$].[All]" allUniqueName="[Forecast].[GM$].[All]" dimensionUniqueName="[Forecast]" displayFolder="" count="0" memberValueDatatype="5" unbalanced="0"/>
    <cacheHierarchy uniqueName="[Forecast].[GM%]" caption="GM%" attribute="1" defaultMemberUniqueName="[Forecast].[GM%].[All]" allUniqueName="[Forecast].[GM%].[All]" dimensionUniqueName="[Forecast]" displayFolder="" count="0" memberValueDatatype="5" unbalanced="0"/>
    <cacheHierarchy uniqueName="[Forecast].[Period]" caption="Period" attribute="1" defaultMemberUniqueName="[Forecast].[Period].[All]" allUniqueName="[Forecast].[Period].[All]" dimensionUniqueName="[Forecast]" displayFolder="" count="0" memberValueDatatype="130" unbalanced="0"/>
    <cacheHierarchy uniqueName="[Forecast].[StoreType]" caption="StoreType" attribute="1" defaultMemberUniqueName="[Forecast].[StoreType].[All]" allUniqueName="[Forecast].[StoreType].[All]" dimensionUniqueName="[Forecast]" displayFolder="" count="0" memberValueDatatype="130" unbalanced="0"/>
    <cacheHierarchy uniqueName="[Measure].[StoreKey]" caption="StoreKey" attribute="1" defaultMemberUniqueName="[Measure].[StoreKey].[All]" allUniqueName="[Measure].[StoreKey].[All]" dimensionUniqueName="[Measure]" displayFolder="" count="0" memberValueDatatype="130" unbalanced="0"/>
    <cacheHierarchy uniqueName="[Measure Categories].[Cat Sort]" caption="Cat Sort" attribute="1" defaultMemberUniqueName="[Measure Categories].[Cat Sort].[All]" allUniqueName="[Measure Categories].[Cat Sort].[All]" dimensionUniqueName="[Measure Categories]" displayFolder="" count="0" memberValueDatatype="20" unbalanced="0"/>
    <cacheHierarchy uniqueName="[Measure Categories].[Measure Categories]" caption="Measure Categories" attribute="1" defaultMemberUniqueName="[Measure Categories].[Measure Categories].[All]" allUniqueName="[Measure Categories].[Measure Categories].[All]" dimensionUniqueName="[Measure Categories]" displayFolder="" count="0" memberValueDatatype="130" unbalanced="0"/>
    <cacheHierarchy uniqueName="[Product Parameter].[Product Parameter]" caption="Product Parameter" attribute="1" defaultMemberUniqueName="[Product Parameter].[Product Parameter].[All]" allUniqueName="[Product Parameter].[Product Parameter].[All]" dimensionUniqueName="[Product Parameter]" displayFolder="" count="0" memberValueDatatype="130" unbalanced="0"/>
    <cacheHierarchy uniqueName="[Query1].[Column1]" caption="Column1" attribute="1" time="1" defaultMemberUniqueName="[Query1].[Column1].[All]" allUniqueName="[Query1].[Column1].[All]" dimensionUniqueName="[Query1]" displayFolder="" count="0" memberValueDatatype="7" unbalanced="0"/>
    <cacheHierarchy uniqueName="[Query2].[Column1]" caption="Column1" attribute="1" defaultMemberUniqueName="[Query2].[Column1].[All]" allUniqueName="[Query2].[Column1].[All]" dimensionUniqueName="[Query2]" displayFolder="" count="0" memberValueDatatype="13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2" memberValueDatatype="130" unbalanced="0">
      <fieldsUsage count="2">
        <fieldUsage x="-1"/>
        <fieldUsage x="7"/>
      </fieldsUsage>
    </cacheHierarchy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LocalDateTable_0d9eeced-3257-4609-8cfb-234f1d7c24d7].[Date]" caption="Date" attribute="1" time="1" defaultMemberUniqueName="[LocalDateTable_0d9eeced-3257-4609-8cfb-234f1d7c24d7].[Date].[All]" allUniqueName="[LocalDateTable_0d9eeced-3257-4609-8cfb-234f1d7c24d7].[Date].[All]" dimensionUniqueName="[LocalDateTable_0d9eeced-3257-4609-8cfb-234f1d7c24d7]" displayFolder="" count="0" memberValueDatatype="7" unbalanced="0" hidden="1"/>
    <cacheHierarchy uniqueName="[LocalDateTable_0d9eeced-3257-4609-8cfb-234f1d7c24d7].[Day]" caption="Day" attribute="1" defaultMemberUniqueName="[LocalDateTable_0d9eeced-3257-4609-8cfb-234f1d7c24d7].[Day].[All]" allUniqueName="[LocalDateTable_0d9eeced-3257-4609-8cfb-234f1d7c24d7].[Day].[All]" dimensionUniqueName="[LocalDateTable_0d9eeced-3257-4609-8cfb-234f1d7c24d7]" displayFolder="" count="0" memberValueDatatype="20" unbalanced="0" hidden="1"/>
    <cacheHierarchy uniqueName="[LocalDateTable_0d9eeced-3257-4609-8cfb-234f1d7c24d7].[Month]" caption="Month" attribute="1" defaultMemberUniqueName="[LocalDateTable_0d9eeced-3257-4609-8cfb-234f1d7c24d7].[Month].[All]" allUniqueName="[LocalDateTable_0d9eeced-3257-4609-8cfb-234f1d7c24d7].[Month].[All]" dimensionUniqueName="[LocalDateTable_0d9eeced-3257-4609-8cfb-234f1d7c24d7]" displayFolder="" count="0" memberValueDatatype="130" unbalanced="0" hidden="1"/>
    <cacheHierarchy uniqueName="[LocalDateTable_0d9eeced-3257-4609-8cfb-234f1d7c24d7].[MonthNo]" caption="MonthNo" attribute="1" defaultMemberUniqueName="[LocalDateTable_0d9eeced-3257-4609-8cfb-234f1d7c24d7].[MonthNo].[All]" allUniqueName="[LocalDateTable_0d9eeced-3257-4609-8cfb-234f1d7c24d7].[MonthNo].[All]" dimensionUniqueName="[LocalDateTable_0d9eeced-3257-4609-8cfb-234f1d7c24d7]" displayFolder="" count="0" memberValueDatatype="20" unbalanced="0" hidden="1"/>
    <cacheHierarchy uniqueName="[LocalDateTable_0d9eeced-3257-4609-8cfb-234f1d7c24d7].[Quarter]" caption="Quarter" attribute="1" defaultMemberUniqueName="[LocalDateTable_0d9eeced-3257-4609-8cfb-234f1d7c24d7].[Quarter].[All]" allUniqueName="[LocalDateTable_0d9eeced-3257-4609-8cfb-234f1d7c24d7].[Quarter].[All]" dimensionUniqueName="[LocalDateTable_0d9eeced-3257-4609-8cfb-234f1d7c24d7]" displayFolder="" count="0" memberValueDatatype="130" unbalanced="0" hidden="1"/>
    <cacheHierarchy uniqueName="[LocalDateTable_0d9eeced-3257-4609-8cfb-234f1d7c24d7].[QuarterNo]" caption="QuarterNo" attribute="1" defaultMemberUniqueName="[LocalDateTable_0d9eeced-3257-4609-8cfb-234f1d7c24d7].[QuarterNo].[All]" allUniqueName="[LocalDateTable_0d9eeced-3257-4609-8cfb-234f1d7c24d7].[QuarterNo].[All]" dimensionUniqueName="[LocalDateTable_0d9eeced-3257-4609-8cfb-234f1d7c24d7]" displayFolder="" count="0" memberValueDatatype="20" unbalanced="0" hidden="1"/>
    <cacheHierarchy uniqueName="[LocalDateTable_0d9eeced-3257-4609-8cfb-234f1d7c24d7].[Year]" caption="Year" attribute="1" defaultMemberUniqueName="[LocalDateTable_0d9eeced-3257-4609-8cfb-234f1d7c24d7].[Year].[All]" allUniqueName="[LocalDateTable_0d9eeced-3257-4609-8cfb-234f1d7c24d7].[Year].[All]" dimensionUniqueName="[LocalDateTable_0d9eeced-3257-4609-8cfb-234f1d7c24d7]" displayFolder="" count="0" memberValueDatatype="20" unbalanced="0" hidden="1"/>
    <cacheHierarchy uniqueName="[LocalDateTable_3a17192d-ec7c-4dba-ac0e-bcf6b3a6a0ff].[Date]" caption="Date" attribute="1" time="1" defaultMemberUniqueName="[LocalDateTable_3a17192d-ec7c-4dba-ac0e-bcf6b3a6a0ff].[Date].[All]" allUniqueName="[LocalDateTable_3a17192d-ec7c-4dba-ac0e-bcf6b3a6a0ff].[Date].[All]" dimensionUniqueName="[LocalDateTable_3a17192d-ec7c-4dba-ac0e-bcf6b3a6a0ff]" displayFolder="" count="0" memberValueDatatype="7" unbalanced="0" hidden="1"/>
    <cacheHierarchy uniqueName="[LocalDateTable_3a17192d-ec7c-4dba-ac0e-bcf6b3a6a0ff].[Day]" caption="Day" attribute="1" defaultMemberUniqueName="[LocalDateTable_3a17192d-ec7c-4dba-ac0e-bcf6b3a6a0ff].[Day].[All]" allUniqueName="[LocalDateTable_3a17192d-ec7c-4dba-ac0e-bcf6b3a6a0ff].[Day].[All]" dimensionUniqueName="[LocalDateTable_3a17192d-ec7c-4dba-ac0e-bcf6b3a6a0ff]" displayFolder="" count="0" memberValueDatatype="20" unbalanced="0" hidden="1"/>
    <cacheHierarchy uniqueName="[LocalDateTable_3a17192d-ec7c-4dba-ac0e-bcf6b3a6a0ff].[Month]" caption="Month" attribute="1" defaultMemberUniqueName="[LocalDateTable_3a17192d-ec7c-4dba-ac0e-bcf6b3a6a0ff].[Month].[All]" allUniqueName="[LocalDateTable_3a17192d-ec7c-4dba-ac0e-bcf6b3a6a0ff].[Month].[All]" dimensionUniqueName="[LocalDateTable_3a17192d-ec7c-4dba-ac0e-bcf6b3a6a0ff]" displayFolder="" count="0" memberValueDatatype="130" unbalanced="0" hidden="1"/>
    <cacheHierarchy uniqueName="[LocalDateTable_3a17192d-ec7c-4dba-ac0e-bcf6b3a6a0ff].[MonthNo]" caption="MonthNo" attribute="1" defaultMemberUniqueName="[LocalDateTable_3a17192d-ec7c-4dba-ac0e-bcf6b3a6a0ff].[MonthNo].[All]" allUniqueName="[LocalDateTable_3a17192d-ec7c-4dba-ac0e-bcf6b3a6a0ff].[MonthNo].[All]" dimensionUniqueName="[LocalDateTable_3a17192d-ec7c-4dba-ac0e-bcf6b3a6a0ff]" displayFolder="" count="0" memberValueDatatype="20" unbalanced="0" hidden="1"/>
    <cacheHierarchy uniqueName="[LocalDateTable_3a17192d-ec7c-4dba-ac0e-bcf6b3a6a0ff].[Quarter]" caption="Quarter" attribute="1" defaultMemberUniqueName="[LocalDateTable_3a17192d-ec7c-4dba-ac0e-bcf6b3a6a0ff].[Quarter].[All]" allUniqueName="[LocalDateTable_3a17192d-ec7c-4dba-ac0e-bcf6b3a6a0ff].[Quarter].[All]" dimensionUniqueName="[LocalDateTable_3a17192d-ec7c-4dba-ac0e-bcf6b3a6a0ff]" displayFolder="" count="0" memberValueDatatype="130" unbalanced="0" hidden="1"/>
    <cacheHierarchy uniqueName="[LocalDateTable_3a17192d-ec7c-4dba-ac0e-bcf6b3a6a0ff].[QuarterNo]" caption="QuarterNo" attribute="1" defaultMemberUniqueName="[LocalDateTable_3a17192d-ec7c-4dba-ac0e-bcf6b3a6a0ff].[QuarterNo].[All]" allUniqueName="[LocalDateTable_3a17192d-ec7c-4dba-ac0e-bcf6b3a6a0ff].[QuarterNo].[All]" dimensionUniqueName="[LocalDateTable_3a17192d-ec7c-4dba-ac0e-bcf6b3a6a0ff]" displayFolder="" count="0" memberValueDatatype="20" unbalanced="0" hidden="1"/>
    <cacheHierarchy uniqueName="[LocalDateTable_3a17192d-ec7c-4dba-ac0e-bcf6b3a6a0ff].[Year]" caption="Year" attribute="1" defaultMemberUniqueName="[LocalDateTable_3a17192d-ec7c-4dba-ac0e-bcf6b3a6a0ff].[Year].[All]" allUniqueName="[LocalDateTable_3a17192d-ec7c-4dba-ac0e-bcf6b3a6a0ff].[Year].[All]" dimensionUniqueName="[LocalDateTable_3a17192d-ec7c-4dba-ac0e-bcf6b3a6a0ff]" displayFolder="" count="0" memberValueDatatype="20" unbalanced="0" hidden="1"/>
    <cacheHierarchy uniqueName="[LocalDateTable_3f117c71-2c04-4fa5-8c23-2b2c1ab14338].[Date]" caption="Date" attribute="1" time="1" defaultMemberUniqueName="[LocalDateTable_3f117c71-2c04-4fa5-8c23-2b2c1ab14338].[Date].[All]" allUniqueName="[LocalDateTable_3f117c71-2c04-4fa5-8c23-2b2c1ab14338].[Date].[All]" dimensionUniqueName="[LocalDateTable_3f117c71-2c04-4fa5-8c23-2b2c1ab14338]" displayFolder="" count="0" memberValueDatatype="7" unbalanced="0" hidden="1"/>
    <cacheHierarchy uniqueName="[LocalDateTable_3f117c71-2c04-4fa5-8c23-2b2c1ab14338].[Day]" caption="Day" attribute="1" defaultMemberUniqueName="[LocalDateTable_3f117c71-2c04-4fa5-8c23-2b2c1ab14338].[Day].[All]" allUniqueName="[LocalDateTable_3f117c71-2c04-4fa5-8c23-2b2c1ab14338].[Day].[All]" dimensionUniqueName="[LocalDateTable_3f117c71-2c04-4fa5-8c23-2b2c1ab14338]" displayFolder="" count="0" memberValueDatatype="20" unbalanced="0" hidden="1"/>
    <cacheHierarchy uniqueName="[LocalDateTable_3f117c71-2c04-4fa5-8c23-2b2c1ab14338].[Month]" caption="Month" attribute="1" defaultMemberUniqueName="[LocalDateTable_3f117c71-2c04-4fa5-8c23-2b2c1ab14338].[Month].[All]" allUniqueName="[LocalDateTable_3f117c71-2c04-4fa5-8c23-2b2c1ab14338].[Month].[All]" dimensionUniqueName="[LocalDateTable_3f117c71-2c04-4fa5-8c23-2b2c1ab14338]" displayFolder="" count="0" memberValueDatatype="130" unbalanced="0" hidden="1"/>
    <cacheHierarchy uniqueName="[LocalDateTable_3f117c71-2c04-4fa5-8c23-2b2c1ab14338].[MonthNo]" caption="MonthNo" attribute="1" defaultMemberUniqueName="[LocalDateTable_3f117c71-2c04-4fa5-8c23-2b2c1ab14338].[MonthNo].[All]" allUniqueName="[LocalDateTable_3f117c71-2c04-4fa5-8c23-2b2c1ab14338].[MonthNo].[All]" dimensionUniqueName="[LocalDateTable_3f117c71-2c04-4fa5-8c23-2b2c1ab14338]" displayFolder="" count="0" memberValueDatatype="20" unbalanced="0" hidden="1"/>
    <cacheHierarchy uniqueName="[LocalDateTable_3f117c71-2c04-4fa5-8c23-2b2c1ab14338].[Quarter]" caption="Quarter" attribute="1" defaultMemberUniqueName="[LocalDateTable_3f117c71-2c04-4fa5-8c23-2b2c1ab14338].[Quarter].[All]" allUniqueName="[LocalDateTable_3f117c71-2c04-4fa5-8c23-2b2c1ab14338].[Quarter].[All]" dimensionUniqueName="[LocalDateTable_3f117c71-2c04-4fa5-8c23-2b2c1ab14338]" displayFolder="" count="0" memberValueDatatype="130" unbalanced="0" hidden="1"/>
    <cacheHierarchy uniqueName="[LocalDateTable_3f117c71-2c04-4fa5-8c23-2b2c1ab14338].[QuarterNo]" caption="QuarterNo" attribute="1" defaultMemberUniqueName="[LocalDateTable_3f117c71-2c04-4fa5-8c23-2b2c1ab14338].[QuarterNo].[All]" allUniqueName="[LocalDateTable_3f117c71-2c04-4fa5-8c23-2b2c1ab14338].[QuarterNo].[All]" dimensionUniqueName="[LocalDateTable_3f117c71-2c04-4fa5-8c23-2b2c1ab14338]" displayFolder="" count="0" memberValueDatatype="20" unbalanced="0" hidden="1"/>
    <cacheHierarchy uniqueName="[LocalDateTable_3f117c71-2c04-4fa5-8c23-2b2c1ab14338].[Year]" caption="Year" attribute="1" defaultMemberUniqueName="[LocalDateTable_3f117c71-2c04-4fa5-8c23-2b2c1ab14338].[Year].[All]" allUniqueName="[LocalDateTable_3f117c71-2c04-4fa5-8c23-2b2c1ab14338].[Year].[All]" dimensionUniqueName="[LocalDateTable_3f117c71-2c04-4fa5-8c23-2b2c1ab14338]" displayFolder="" count="0" memberValueDatatype="20" unbalanced="0" hidden="1"/>
    <cacheHierarchy uniqueName="[LocalDateTable_66f09a5d-f864-46bc-a2f5-c0014bc05155].[Date]" caption="Date" attribute="1" time="1" defaultMemberUniqueName="[LocalDateTable_66f09a5d-f864-46bc-a2f5-c0014bc05155].[Date].[All]" allUniqueName="[LocalDateTable_66f09a5d-f864-46bc-a2f5-c0014bc05155].[Date].[All]" dimensionUniqueName="[LocalDateTable_66f09a5d-f864-46bc-a2f5-c0014bc05155]" displayFolder="" count="0" memberValueDatatype="7" unbalanced="0" hidden="1"/>
    <cacheHierarchy uniqueName="[LocalDateTable_66f09a5d-f864-46bc-a2f5-c0014bc05155].[Day]" caption="Day" attribute="1" defaultMemberUniqueName="[LocalDateTable_66f09a5d-f864-46bc-a2f5-c0014bc05155].[Day].[All]" allUniqueName="[LocalDateTable_66f09a5d-f864-46bc-a2f5-c0014bc05155].[Day].[All]" dimensionUniqueName="[LocalDateTable_66f09a5d-f864-46bc-a2f5-c0014bc05155]" displayFolder="" count="0" memberValueDatatype="20" unbalanced="0" hidden="1"/>
    <cacheHierarchy uniqueName="[LocalDateTable_66f09a5d-f864-46bc-a2f5-c0014bc05155].[Month]" caption="Month" attribute="1" defaultMemberUniqueName="[LocalDateTable_66f09a5d-f864-46bc-a2f5-c0014bc05155].[Month].[All]" allUniqueName="[LocalDateTable_66f09a5d-f864-46bc-a2f5-c0014bc05155].[Month].[All]" dimensionUniqueName="[LocalDateTable_66f09a5d-f864-46bc-a2f5-c0014bc05155]" displayFolder="" count="0" memberValueDatatype="130" unbalanced="0" hidden="1"/>
    <cacheHierarchy uniqueName="[LocalDateTable_66f09a5d-f864-46bc-a2f5-c0014bc05155].[MonthNo]" caption="MonthNo" attribute="1" defaultMemberUniqueName="[LocalDateTable_66f09a5d-f864-46bc-a2f5-c0014bc05155].[MonthNo].[All]" allUniqueName="[LocalDateTable_66f09a5d-f864-46bc-a2f5-c0014bc05155].[MonthNo].[All]" dimensionUniqueName="[LocalDateTable_66f09a5d-f864-46bc-a2f5-c0014bc05155]" displayFolder="" count="0" memberValueDatatype="20" unbalanced="0" hidden="1"/>
    <cacheHierarchy uniqueName="[LocalDateTable_66f09a5d-f864-46bc-a2f5-c0014bc05155].[Quarter]" caption="Quarter" attribute="1" defaultMemberUniqueName="[LocalDateTable_66f09a5d-f864-46bc-a2f5-c0014bc05155].[Quarter].[All]" allUniqueName="[LocalDateTable_66f09a5d-f864-46bc-a2f5-c0014bc05155].[Quarter].[All]" dimensionUniqueName="[LocalDateTable_66f09a5d-f864-46bc-a2f5-c0014bc05155]" displayFolder="" count="0" memberValueDatatype="130" unbalanced="0" hidden="1"/>
    <cacheHierarchy uniqueName="[LocalDateTable_66f09a5d-f864-46bc-a2f5-c0014bc05155].[QuarterNo]" caption="QuarterNo" attribute="1" defaultMemberUniqueName="[LocalDateTable_66f09a5d-f864-46bc-a2f5-c0014bc05155].[QuarterNo].[All]" allUniqueName="[LocalDateTable_66f09a5d-f864-46bc-a2f5-c0014bc05155].[QuarterNo].[All]" dimensionUniqueName="[LocalDateTable_66f09a5d-f864-46bc-a2f5-c0014bc05155]" displayFolder="" count="0" memberValueDatatype="20" unbalanced="0" hidden="1"/>
    <cacheHierarchy uniqueName="[LocalDateTable_66f09a5d-f864-46bc-a2f5-c0014bc05155].[Year]" caption="Year" attribute="1" defaultMemberUniqueName="[LocalDateTable_66f09a5d-f864-46bc-a2f5-c0014bc05155].[Year].[All]" allUniqueName="[LocalDateTable_66f09a5d-f864-46bc-a2f5-c0014bc05155].[Year].[All]" dimensionUniqueName="[LocalDateTable_66f09a5d-f864-46bc-a2f5-c0014bc05155]" displayFolder="" count="0" memberValueDatatype="20" unbalanced="0" hidden="1"/>
    <cacheHierarchy uniqueName="[LocalDateTable_754a5606-f042-4514-8c57-59f8f32672fc].[Date]" caption="Date" attribute="1" time="1" defaultMemberUniqueName="[LocalDateTable_754a5606-f042-4514-8c57-59f8f32672fc].[Date].[All]" allUniqueName="[LocalDateTable_754a5606-f042-4514-8c57-59f8f32672fc].[Date].[All]" dimensionUniqueName="[LocalDateTable_754a5606-f042-4514-8c57-59f8f32672fc]" displayFolder="" count="0" memberValueDatatype="7" unbalanced="0" hidden="1"/>
    <cacheHierarchy uniqueName="[LocalDateTable_754a5606-f042-4514-8c57-59f8f32672fc].[Day]" caption="Day" attribute="1" defaultMemberUniqueName="[LocalDateTable_754a5606-f042-4514-8c57-59f8f32672fc].[Day].[All]" allUniqueName="[LocalDateTable_754a5606-f042-4514-8c57-59f8f32672fc].[Day].[All]" dimensionUniqueName="[LocalDateTable_754a5606-f042-4514-8c57-59f8f32672fc]" displayFolder="" count="0" memberValueDatatype="20" unbalanced="0" hidden="1"/>
    <cacheHierarchy uniqueName="[LocalDateTable_754a5606-f042-4514-8c57-59f8f32672fc].[Month]" caption="Month" attribute="1" defaultMemberUniqueName="[LocalDateTable_754a5606-f042-4514-8c57-59f8f32672fc].[Month].[All]" allUniqueName="[LocalDateTable_754a5606-f042-4514-8c57-59f8f32672fc].[Month].[All]" dimensionUniqueName="[LocalDateTable_754a5606-f042-4514-8c57-59f8f32672fc]" displayFolder="" count="0" memberValueDatatype="130" unbalanced="0" hidden="1"/>
    <cacheHierarchy uniqueName="[LocalDateTable_754a5606-f042-4514-8c57-59f8f32672fc].[MonthNo]" caption="MonthNo" attribute="1" defaultMemberUniqueName="[LocalDateTable_754a5606-f042-4514-8c57-59f8f32672fc].[MonthNo].[All]" allUniqueName="[LocalDateTable_754a5606-f042-4514-8c57-59f8f32672fc].[MonthNo].[All]" dimensionUniqueName="[LocalDateTable_754a5606-f042-4514-8c57-59f8f32672fc]" displayFolder="" count="0" memberValueDatatype="20" unbalanced="0" hidden="1"/>
    <cacheHierarchy uniqueName="[LocalDateTable_754a5606-f042-4514-8c57-59f8f32672fc].[Quarter]" caption="Quarter" attribute="1" defaultMemberUniqueName="[LocalDateTable_754a5606-f042-4514-8c57-59f8f32672fc].[Quarter].[All]" allUniqueName="[LocalDateTable_754a5606-f042-4514-8c57-59f8f32672fc].[Quarter].[All]" dimensionUniqueName="[LocalDateTable_754a5606-f042-4514-8c57-59f8f32672fc]" displayFolder="" count="0" memberValueDatatype="130" unbalanced="0" hidden="1"/>
    <cacheHierarchy uniqueName="[LocalDateTable_754a5606-f042-4514-8c57-59f8f32672fc].[QuarterNo]" caption="QuarterNo" attribute="1" defaultMemberUniqueName="[LocalDateTable_754a5606-f042-4514-8c57-59f8f32672fc].[QuarterNo].[All]" allUniqueName="[LocalDateTable_754a5606-f042-4514-8c57-59f8f32672fc].[QuarterNo].[All]" dimensionUniqueName="[LocalDateTable_754a5606-f042-4514-8c57-59f8f32672fc]" displayFolder="" count="0" memberValueDatatype="20" unbalanced="0" hidden="1"/>
    <cacheHierarchy uniqueName="[LocalDateTable_754a5606-f042-4514-8c57-59f8f32672fc].[Year]" caption="Year" attribute="1" defaultMemberUniqueName="[LocalDateTable_754a5606-f042-4514-8c57-59f8f32672fc].[Year].[All]" allUniqueName="[LocalDateTable_754a5606-f042-4514-8c57-59f8f32672fc].[Year].[All]" dimensionUniqueName="[LocalDateTable_754a5606-f042-4514-8c57-59f8f32672fc]" displayFolder="" count="0" memberValueDatatype="20" unbalanced="0" hidden="1"/>
    <cacheHierarchy uniqueName="[LocalDateTable_9b9a9699-5b52-40e9-b4a0-c11cb55a9d61].[Date]" caption="Date" attribute="1" time="1" defaultMemberUniqueName="[LocalDateTable_9b9a9699-5b52-40e9-b4a0-c11cb55a9d61].[Date].[All]" allUniqueName="[LocalDateTable_9b9a9699-5b52-40e9-b4a0-c11cb55a9d61].[Date].[All]" dimensionUniqueName="[LocalDateTable_9b9a9699-5b52-40e9-b4a0-c11cb55a9d61]" displayFolder="" count="0" memberValueDatatype="7" unbalanced="0" hidden="1"/>
    <cacheHierarchy uniqueName="[LocalDateTable_9b9a9699-5b52-40e9-b4a0-c11cb55a9d61].[Day]" caption="Day" attribute="1" defaultMemberUniqueName="[LocalDateTable_9b9a9699-5b52-40e9-b4a0-c11cb55a9d61].[Day].[All]" allUniqueName="[LocalDateTable_9b9a9699-5b52-40e9-b4a0-c11cb55a9d61].[Day].[All]" dimensionUniqueName="[LocalDateTable_9b9a9699-5b52-40e9-b4a0-c11cb55a9d61]" displayFolder="" count="0" memberValueDatatype="20" unbalanced="0" hidden="1"/>
    <cacheHierarchy uniqueName="[LocalDateTable_9b9a9699-5b52-40e9-b4a0-c11cb55a9d61].[Month]" caption="Month" attribute="1" defaultMemberUniqueName="[LocalDateTable_9b9a9699-5b52-40e9-b4a0-c11cb55a9d61].[Month].[All]" allUniqueName="[LocalDateTable_9b9a9699-5b52-40e9-b4a0-c11cb55a9d61].[Month].[All]" dimensionUniqueName="[LocalDateTable_9b9a9699-5b52-40e9-b4a0-c11cb55a9d61]" displayFolder="" count="0" memberValueDatatype="130" unbalanced="0" hidden="1"/>
    <cacheHierarchy uniqueName="[LocalDateTable_9b9a9699-5b52-40e9-b4a0-c11cb55a9d61].[MonthNo]" caption="MonthNo" attribute="1" defaultMemberUniqueName="[LocalDateTable_9b9a9699-5b52-40e9-b4a0-c11cb55a9d61].[MonthNo].[All]" allUniqueName="[LocalDateTable_9b9a9699-5b52-40e9-b4a0-c11cb55a9d61].[MonthNo].[All]" dimensionUniqueName="[LocalDateTable_9b9a9699-5b52-40e9-b4a0-c11cb55a9d61]" displayFolder="" count="0" memberValueDatatype="20" unbalanced="0" hidden="1"/>
    <cacheHierarchy uniqueName="[LocalDateTable_9b9a9699-5b52-40e9-b4a0-c11cb55a9d61].[Quarter]" caption="Quarter" attribute="1" defaultMemberUniqueName="[LocalDateTable_9b9a9699-5b52-40e9-b4a0-c11cb55a9d61].[Quarter].[All]" allUniqueName="[LocalDateTable_9b9a9699-5b52-40e9-b4a0-c11cb55a9d61].[Quarter].[All]" dimensionUniqueName="[LocalDateTable_9b9a9699-5b52-40e9-b4a0-c11cb55a9d61]" displayFolder="" count="0" memberValueDatatype="130" unbalanced="0" hidden="1"/>
    <cacheHierarchy uniqueName="[LocalDateTable_9b9a9699-5b52-40e9-b4a0-c11cb55a9d61].[QuarterNo]" caption="QuarterNo" attribute="1" defaultMemberUniqueName="[LocalDateTable_9b9a9699-5b52-40e9-b4a0-c11cb55a9d61].[QuarterNo].[All]" allUniqueName="[LocalDateTable_9b9a9699-5b52-40e9-b4a0-c11cb55a9d61].[QuarterNo].[All]" dimensionUniqueName="[LocalDateTable_9b9a9699-5b52-40e9-b4a0-c11cb55a9d61]" displayFolder="" count="0" memberValueDatatype="20" unbalanced="0" hidden="1"/>
    <cacheHierarchy uniqueName="[LocalDateTable_9b9a9699-5b52-40e9-b4a0-c11cb55a9d61].[Year]" caption="Year" attribute="1" defaultMemberUniqueName="[LocalDateTable_9b9a9699-5b52-40e9-b4a0-c11cb55a9d61].[Year].[All]" allUniqueName="[LocalDateTable_9b9a9699-5b52-40e9-b4a0-c11cb55a9d61].[Year].[All]" dimensionUniqueName="[LocalDateTable_9b9a9699-5b52-40e9-b4a0-c11cb55a9d61]" displayFolder="" count="0" memberValueDatatype="20" unbalanced="0" hidden="1"/>
    <cacheHierarchy uniqueName="[LocalDateTable_a29de990-df00-42e6-9e8c-814d0b4b9a86].[Date]" caption="Date" attribute="1" time="1" defaultMemberUniqueName="[LocalDateTable_a29de990-df00-42e6-9e8c-814d0b4b9a86].[Date].[All]" allUniqueName="[LocalDateTable_a29de990-df00-42e6-9e8c-814d0b4b9a86].[Date].[All]" dimensionUniqueName="[LocalDateTable_a29de990-df00-42e6-9e8c-814d0b4b9a86]" displayFolder="" count="0" memberValueDatatype="7" unbalanced="0" hidden="1"/>
    <cacheHierarchy uniqueName="[LocalDateTable_a29de990-df00-42e6-9e8c-814d0b4b9a86].[Day]" caption="Day" attribute="1" defaultMemberUniqueName="[LocalDateTable_a29de990-df00-42e6-9e8c-814d0b4b9a86].[Day].[All]" allUniqueName="[LocalDateTable_a29de990-df00-42e6-9e8c-814d0b4b9a86].[Day].[All]" dimensionUniqueName="[LocalDateTable_a29de990-df00-42e6-9e8c-814d0b4b9a86]" displayFolder="" count="0" memberValueDatatype="20" unbalanced="0" hidden="1"/>
    <cacheHierarchy uniqueName="[LocalDateTable_a29de990-df00-42e6-9e8c-814d0b4b9a86].[Month]" caption="Month" attribute="1" defaultMemberUniqueName="[LocalDateTable_a29de990-df00-42e6-9e8c-814d0b4b9a86].[Month].[All]" allUniqueName="[LocalDateTable_a29de990-df00-42e6-9e8c-814d0b4b9a86].[Month].[All]" dimensionUniqueName="[LocalDateTable_a29de990-df00-42e6-9e8c-814d0b4b9a86]" displayFolder="" count="0" memberValueDatatype="130" unbalanced="0" hidden="1"/>
    <cacheHierarchy uniqueName="[LocalDateTable_a29de990-df00-42e6-9e8c-814d0b4b9a86].[MonthNo]" caption="MonthNo" attribute="1" defaultMemberUniqueName="[LocalDateTable_a29de990-df00-42e6-9e8c-814d0b4b9a86].[MonthNo].[All]" allUniqueName="[LocalDateTable_a29de990-df00-42e6-9e8c-814d0b4b9a86].[MonthNo].[All]" dimensionUniqueName="[LocalDateTable_a29de990-df00-42e6-9e8c-814d0b4b9a86]" displayFolder="" count="0" memberValueDatatype="20" unbalanced="0" hidden="1"/>
    <cacheHierarchy uniqueName="[LocalDateTable_a29de990-df00-42e6-9e8c-814d0b4b9a86].[Quarter]" caption="Quarter" attribute="1" defaultMemberUniqueName="[LocalDateTable_a29de990-df00-42e6-9e8c-814d0b4b9a86].[Quarter].[All]" allUniqueName="[LocalDateTable_a29de990-df00-42e6-9e8c-814d0b4b9a86].[Quarter].[All]" dimensionUniqueName="[LocalDateTable_a29de990-df00-42e6-9e8c-814d0b4b9a86]" displayFolder="" count="0" memberValueDatatype="130" unbalanced="0" hidden="1"/>
    <cacheHierarchy uniqueName="[LocalDateTable_a29de990-df00-42e6-9e8c-814d0b4b9a86].[QuarterNo]" caption="QuarterNo" attribute="1" defaultMemberUniqueName="[LocalDateTable_a29de990-df00-42e6-9e8c-814d0b4b9a86].[QuarterNo].[All]" allUniqueName="[LocalDateTable_a29de990-df00-42e6-9e8c-814d0b4b9a86].[QuarterNo].[All]" dimensionUniqueName="[LocalDateTable_a29de990-df00-42e6-9e8c-814d0b4b9a86]" displayFolder="" count="0" memberValueDatatype="20" unbalanced="0" hidden="1"/>
    <cacheHierarchy uniqueName="[LocalDateTable_a29de990-df00-42e6-9e8c-814d0b4b9a86].[Year]" caption="Year" attribute="1" defaultMemberUniqueName="[LocalDateTable_a29de990-df00-42e6-9e8c-814d0b4b9a86].[Year].[All]" allUniqueName="[LocalDateTable_a29de990-df00-42e6-9e8c-814d0b4b9a86].[Year].[All]" dimensionUniqueName="[LocalDateTable_a29de990-df00-42e6-9e8c-814d0b4b9a86]" displayFolder="" count="0" memberValueDatatype="20" unbalanced="0" hidden="1"/>
    <cacheHierarchy uniqueName="[LocalDateTable_e1d748f9-bc77-4c73-ba8d-fcf5ec29dd71].[Date]" caption="Date" attribute="1" time="1" defaultMemberUniqueName="[LocalDateTable_e1d748f9-bc77-4c73-ba8d-fcf5ec29dd71].[Date].[All]" allUniqueName="[LocalDateTable_e1d748f9-bc77-4c73-ba8d-fcf5ec29dd71].[Date].[All]" dimensionUniqueName="[LocalDateTable_e1d748f9-bc77-4c73-ba8d-fcf5ec29dd71]" displayFolder="" count="0" memberValueDatatype="7" unbalanced="0" hidden="1"/>
    <cacheHierarchy uniqueName="[LocalDateTable_e1d748f9-bc77-4c73-ba8d-fcf5ec29dd71].[Day]" caption="Day" attribute="1" defaultMemberUniqueName="[LocalDateTable_e1d748f9-bc77-4c73-ba8d-fcf5ec29dd71].[Day].[All]" allUniqueName="[LocalDateTable_e1d748f9-bc77-4c73-ba8d-fcf5ec29dd71].[Day].[All]" dimensionUniqueName="[LocalDateTable_e1d748f9-bc77-4c73-ba8d-fcf5ec29dd71]" displayFolder="" count="0" memberValueDatatype="20" unbalanced="0" hidden="1"/>
    <cacheHierarchy uniqueName="[LocalDateTable_e1d748f9-bc77-4c73-ba8d-fcf5ec29dd71].[Month]" caption="Month" attribute="1" defaultMemberUniqueName="[LocalDateTable_e1d748f9-bc77-4c73-ba8d-fcf5ec29dd71].[Month].[All]" allUniqueName="[LocalDateTable_e1d748f9-bc77-4c73-ba8d-fcf5ec29dd71].[Month].[All]" dimensionUniqueName="[LocalDateTable_e1d748f9-bc77-4c73-ba8d-fcf5ec29dd71]" displayFolder="" count="0" memberValueDatatype="130" unbalanced="0" hidden="1"/>
    <cacheHierarchy uniqueName="[LocalDateTable_e1d748f9-bc77-4c73-ba8d-fcf5ec29dd71].[MonthNo]" caption="MonthNo" attribute="1" defaultMemberUniqueName="[LocalDateTable_e1d748f9-bc77-4c73-ba8d-fcf5ec29dd71].[MonthNo].[All]" allUniqueName="[LocalDateTable_e1d748f9-bc77-4c73-ba8d-fcf5ec29dd71].[MonthNo].[All]" dimensionUniqueName="[LocalDateTable_e1d748f9-bc77-4c73-ba8d-fcf5ec29dd71]" displayFolder="" count="0" memberValueDatatype="20" unbalanced="0" hidden="1"/>
    <cacheHierarchy uniqueName="[LocalDateTable_e1d748f9-bc77-4c73-ba8d-fcf5ec29dd71].[Quarter]" caption="Quarter" attribute="1" defaultMemberUniqueName="[LocalDateTable_e1d748f9-bc77-4c73-ba8d-fcf5ec29dd71].[Quarter].[All]" allUniqueName="[LocalDateTable_e1d748f9-bc77-4c73-ba8d-fcf5ec29dd71].[Quarter].[All]" dimensionUniqueName="[LocalDateTable_e1d748f9-bc77-4c73-ba8d-fcf5ec29dd71]" displayFolder="" count="0" memberValueDatatype="130" unbalanced="0" hidden="1"/>
    <cacheHierarchy uniqueName="[LocalDateTable_e1d748f9-bc77-4c73-ba8d-fcf5ec29dd71].[QuarterNo]" caption="QuarterNo" attribute="1" defaultMemberUniqueName="[LocalDateTable_e1d748f9-bc77-4c73-ba8d-fcf5ec29dd71].[QuarterNo].[All]" allUniqueName="[LocalDateTable_e1d748f9-bc77-4c73-ba8d-fcf5ec29dd71].[QuarterNo].[All]" dimensionUniqueName="[LocalDateTable_e1d748f9-bc77-4c73-ba8d-fcf5ec29dd71]" displayFolder="" count="0" memberValueDatatype="20" unbalanced="0" hidden="1"/>
    <cacheHierarchy uniqueName="[LocalDateTable_e1d748f9-bc77-4c73-ba8d-fcf5ec29dd71].[Year]" caption="Year" attribute="1" defaultMemberUniqueName="[LocalDateTable_e1d748f9-bc77-4c73-ba8d-fcf5ec29dd71].[Year].[All]" allUniqueName="[LocalDateTable_e1d748f9-bc77-4c73-ba8d-fcf5ec29dd71].[Year].[All]" dimensionUniqueName="[LocalDateTable_e1d748f9-bc77-4c73-ba8d-fcf5ec29dd71]" displayFolder="" count="0" memberValueDatatype="20" unbalanced="0" hidden="1"/>
    <cacheHierarchy uniqueName="[Product Parameter].[Product Parameter Fields]" caption="Product Parameter Fields" attribute="1" defaultMemberUniqueName="[Product Parameter].[Product Parameter Fields].[All]" allUniqueName="[Product Parameter].[Product Parameter Fields].[All]" dimensionUniqueName="[Product Parameter]" displayFolder="" count="0" memberValueDatatype="130" unbalanced="0" hidden="1"/>
    <cacheHierarchy uniqueName="[Product Parameter].[Product Parameter Order]" caption="Product Parameter Order" attribute="1" defaultMemberUniqueName="[Product Parameter].[Product Parameter Order].[All]" allUniqueName="[Product Parameter].[Product Parameter Order].[All]" dimensionUniqueName="[Product Parameter]" displayFolder="" count="0" memberValueDatatype="20" unbalanced="0" hidden="1"/>
    <cacheHierarchy uniqueName="[Measures].[Total Retail Sales]" caption="Total Retail Sales" measure="1" displayFolder="" measureGroup="BI vw_WeeklyWrittenSalesMetrics" count="0"/>
    <cacheHierarchy uniqueName="[Measures].[Cancelled]" caption="Cancelled" measure="1" displayFolder="" measureGroup="BI vw_WeeklyWrittenSalesMetrics" count="0"/>
    <cacheHierarchy uniqueName="[Measures].[Return]" caption="Return" measure="1" displayFolder="" measureGroup="BI vw_WeeklyWrittenSalesMetrics" count="0"/>
    <cacheHierarchy uniqueName="[Measures].[R-SalesCost]" caption="R-SalesCost" measure="1" displayFolder="" measureGroup="BI metrics" count="0"/>
    <cacheHierarchy uniqueName="[Measures].[R-SalesatFullRet]" caption="R-SalesatFullRet" measure="1" displayFolder="" measureGroup="BI metrics" count="0"/>
    <cacheHierarchy uniqueName="[Measures].[R-GM$ TY]" caption="R-GM$ TY" measure="1" displayFolder="" measureGroup="BI metrics" count="0"/>
    <cacheHierarchy uniqueName="[Measures].[R-Sales TY $]" caption="R-Sales TY $" measure="1" displayFolder="" measureGroup="BI metrics" count="0" oneField="1">
      <fieldsUsage count="1">
        <fieldUsage x="11"/>
      </fieldsUsage>
    </cacheHierarchy>
    <cacheHierarchy uniqueName="[Measures].[R-Units TY]" caption="R-Units TY" measure="1" displayFolder="" measureGroup="BI metrics" count="0"/>
    <cacheHierarchy uniqueName="[Measures].[R-M/D$ TY]" caption="R-M/D$ TY" measure="1" displayFolder="" measureGroup="BI metrics" count="0"/>
    <cacheHierarchy uniqueName="[Measures].[R-Budget$-ItemDept]" caption="R-Budget$-ItemDept" measure="1" displayFolder="" measureGroup="BI metrics" count="0"/>
    <cacheHierarchy uniqueName="[Measures].[R-BudgetGM$-ItemDept]" caption="R-BudgetGM$-ItemDept" measure="1" displayFolder="" measureGroup="BI metrics" count="0"/>
    <cacheHierarchy uniqueName="[Measures].[R-Budget$-Store]" caption="R-Budget$-Store" measure="1" displayFolder="" measureGroup="BI metrics" count="0"/>
    <cacheHierarchy uniqueName="[Measures].[R-Units LY]" caption="R-Units LY" measure="1" displayFolder="" measureGroup="BI metrics" count="0"/>
    <cacheHierarchy uniqueName="[Measures].[R-Sales LY $]" caption="R-Sales LY $" measure="1" displayFolder="" measureGroup="BI metrics" count="0"/>
    <cacheHierarchy uniqueName="[Measures].[R-GM$ LY]" caption="R-GM$ LY" measure="1" displayFolder="" measureGroup="BI metrics" count="0"/>
    <cacheHierarchy uniqueName="[Measures].[R-Sales YoY]" caption="R-Sales YoY" measure="1" displayFolder="" measureGroup="BI metrics" count="0"/>
    <cacheHierarchy uniqueName="[Measures].[R-GM$ YoY]" caption="R-GM$ YoY" measure="1" displayFolder="" measureGroup="BI metrics" count="0"/>
    <cacheHierarchy uniqueName="[Measures].[R-Sales vs Budget]" caption="R-Sales vs Budget" measure="1" displayFolder="" measureGroup="BI metrics" count="0"/>
    <cacheHierarchy uniqueName="[Measures].[R-M/D$ LY]" caption="R-M/D$ LY" measure="1" displayFolder="" measureGroup="BI metrics" count="0"/>
    <cacheHierarchy uniqueName="[Measures].[period_test]" caption="period_test" measure="1" displayFolder="" measureGroup="BI metrics" count="0"/>
    <cacheHierarchy uniqueName="[Measures].[R-Traffic TY]" caption="R-Traffic TY" measure="1" displayFolder="" measureGroup="BI metrics" count="0"/>
    <cacheHierarchy uniqueName="[Measures].[R-ATV TY]" caption="R-ATV TY" measure="1" displayFolder="" measureGroup="BI metrics" count="0"/>
    <cacheHierarchy uniqueName="[Measures].[R Sales YoY]" caption="R Sales YoY" measure="1" displayFolder="" measureGroup="BI metrics" count="0"/>
    <cacheHierarchy uniqueName="[Measures].[R-GM$ budget TY]" caption="R-GM$ budget TY" measure="1" displayFolder="" measureGroup="BI metrics" count="0"/>
    <cacheHierarchy uniqueName="[Measures].[R-GM$ Budget LY]" caption="R-GM$ Budget LY" measure="1" displayFolder="" measureGroup="BI metrics" count="0"/>
    <cacheHierarchy uniqueName="[Measures].[R-GM vs Budget]" caption="R-GM vs Budget" measure="1" displayFolder="" measureGroup="BI metrics" count="0"/>
    <cacheHierarchy uniqueName="[Measures].[R-GM % TY]" caption="R-GM % TY" measure="1" displayFolder="" measureGroup="BI metrics" count="0"/>
    <cacheHierarchy uniqueName="[Measures].[R-GM % LY]" caption="R-GM % LY" measure="1" displayFolder="" measureGroup="BI metrics" count="0"/>
    <cacheHierarchy uniqueName="[Measures].[R-GM% Budget TY]" caption="R-GM% Budget TY" measure="1" displayFolder="" measureGroup="BI metrics" count="0"/>
    <cacheHierarchy uniqueName="[Measures].[R-M/D % TY]" caption="R-M/D % TY" measure="1" displayFolder="" measureGroup="BI metrics" count="0"/>
    <cacheHierarchy uniqueName="[Measures].[R-M/D % LY]" caption="R-M/D % LY" measure="1" displayFolder="" measureGroup="BI metrics" count="0"/>
    <cacheHierarchy uniqueName="[Measures].[R-ATV LY]" caption="R-ATV LY" measure="1" displayFolder="" measureGroup="BI metrics" count="0"/>
    <cacheHierarchy uniqueName="[Measures].[R-Traffic LY]" caption="R-Traffic LY" measure="1" displayFolder="" measureGroup="BI metrics" count="0"/>
    <cacheHierarchy uniqueName="[Measures].[R-Traffic YoY]" caption="R-Traffic YoY" measure="1" displayFolder="" measureGroup="BI metrics" count="0"/>
    <cacheHierarchy uniqueName="[Measures].[R-Store Trans LY]" caption="R-Store Trans LY" measure="1" displayFolder="" measureGroup="BI metrics" count="0"/>
    <cacheHierarchy uniqueName="[Measures].[R-Store Trans TY]" caption="R-Store Trans TY" measure="1" displayFolder="" measureGroup="BI metrics" count="0"/>
    <cacheHierarchy uniqueName="[Measures].[R-Conv TY]" caption="R-Conv TY" measure="1" displayFolder="" measureGroup="BI metrics" count="0"/>
    <cacheHierarchy uniqueName="[Measures].[R-Conv LY]" caption="R-Conv LY" measure="1" displayFolder="" measureGroup="BI metrics" count="0"/>
    <cacheHierarchy uniqueName="[Measures].[R-IPT TY]" caption="R-IPT TY" measure="1" displayFolder="" measureGroup="BI metrics" count="0"/>
    <cacheHierarchy uniqueName="[Measures].[R-GM% Budget LY]" caption="R-GM% Budget LY" measure="1" displayFolder="" measureGroup="BI metrics" count="0"/>
    <cacheHierarchy uniqueName="[Measures].[R-Store Trans YoY]" caption="R-Store Trans YoY" measure="1" displayFolder="" measureGroup="BI metrics" count="0"/>
    <cacheHierarchy uniqueName="[Measures].[R-Conv YoY]" caption="R-Conv YoY" measure="1" displayFolder="" measureGroup="BI metrics" count="0"/>
    <cacheHierarchy uniqueName="[Measures].[R-Sales vs Budget - ItemDept]" caption="R-Sales vs Budget - ItemDept" measure="1" displayFolder="" measureGroup="BI metrics" count="0"/>
    <cacheHierarchy uniqueName="[Measures].[R-ATV YoY]" caption="R-ATV YoY" measure="1" displayFolder="" measureGroup="BI metrics" count="0"/>
    <cacheHierarchy uniqueName="[Measures].[R-M/D$ Budget-ItemDept]" caption="R-M/D$ Budget-ItemDept" measure="1" displayFolder="" measureGroup="BI metrics" count="0"/>
    <cacheHierarchy uniqueName="[Measures].[R-M/D% Budget TY]" caption="R-M/D% Budget TY" measure="1" displayFolder="" measureGroup="BI metrics" count="0"/>
    <cacheHierarchy uniqueName="[Measures].[R-Dropship$ budget TY]" caption="R-Dropship$ budget TY" measure="1" displayFolder="" measureGroup="BI metrics" count="0"/>
    <cacheHierarchy uniqueName="[Measures].[R-GM$ Revenue budget TY]" caption="R-GM$ Revenue budget TY" measure="1" displayFolder="" measureGroup="BI metrics" count="0"/>
    <cacheHierarchy uniqueName="[Measures].[GM$ Revenue Budget TY]" caption="GM$ Revenue Budget TY" measure="1" displayFolder="" measureGroup="BI metrics" count="0"/>
    <cacheHierarchy uniqueName="[Measures].[R-Sales vs Plan]" caption="R-Sales vs Plan" measure="1" displayFolder="" measureGroup="BI metrics" count="0"/>
    <cacheHierarchy uniqueName="[Measures].[R-Cancellation TY $]" caption="R-Cancellation TY $" measure="1" displayFolder="" measureGroup="BI metrics" count="0"/>
    <cacheHierarchy uniqueName="[Measures].[R-Return TY $]" caption="R-Return TY $" measure="1" displayFolder="" measureGroup="BI metrics" count="0"/>
    <cacheHierarchy uniqueName="[Measures].[R-Sales TY $1]" caption="R-Sales TY $1" measure="1" displayFolder="" measureGroup="BI metrics" count="0"/>
    <cacheHierarchy uniqueName="[Measures].[R-Budget ATV Online]" caption="R-Budget ATV Online" measure="1" displayFolder="" measureGroup="BI metrics" count="0"/>
    <cacheHierarchy uniqueName="[Measures].[R-Budget Traffic Online]" caption="R-Budget Traffic Online" measure="1" displayFolder="" measureGroup="BI metrics" count="0"/>
    <cacheHierarchy uniqueName="[Measures].[R-Budget Store Trans Online]" caption="R-Budget Store Trans Online" measure="1" displayFolder="" measureGroup="BI metrics" count="0"/>
    <cacheHierarchy uniqueName="[Measures].[R-Budget Conv Online]" caption="R-Budget Conv Online" measure="1" displayFolder="" measureGroup="BI metrics" count="0"/>
    <cacheHierarchy uniqueName="[Measures].[R-M/D$ YoY]" caption="R-M/D$ YoY" measure="1" displayFolder="" measureGroup="BI metrics" count="0"/>
    <cacheHierarchy uniqueName="[Measures].[R-M/D vs Budget]" caption="R-M/D vs Budget" measure="1" displayFolder="" measureGroup="BI metrics" count="0"/>
    <cacheHierarchy uniqueName="[Measures].[R-Traffic Budget Online]" caption="R-Traffic Budget Online" measure="1" displayFolder="" measureGroup="BI metrics" count="0"/>
    <cacheHierarchy uniqueName="[Measures].[R-Traffic vs Budget]" caption="R-Traffic vs Budget" measure="1" displayFolder="" measureGroup="BI metrics" count="0"/>
    <cacheHierarchy uniqueName="[Measures].[R-Store Trans Budget Online]" caption="R-Store Trans Budget Online" measure="1" displayFolder="" measureGroup="BI metrics" count="0"/>
    <cacheHierarchy uniqueName="[Measures].[R-Store Trans vs Budget]" caption="R-Store Trans vs Budget" measure="1" displayFolder="" measureGroup="BI metrics" count="0"/>
    <cacheHierarchy uniqueName="[Measures].[R-Conv Budget Online]" caption="R-Conv Budget Online" measure="1" displayFolder="" measureGroup="BI metrics" count="0"/>
    <cacheHierarchy uniqueName="[Measures].[R-Conv vs Budget]" caption="R-Conv vs Budget" measure="1" displayFolder="" measureGroup="BI metrics" count="0"/>
    <cacheHierarchy uniqueName="[Measures].[R-ATV Budget Online]" caption="R-ATV Budget Online" measure="1" displayFolder="" measureGroup="BI metrics" count="0"/>
    <cacheHierarchy uniqueName="[Measures].[R-ATV vs Budget]" caption="R-ATV vs Budget" measure="1" displayFolder="" measureGroup="BI metrics" count="0"/>
    <cacheHierarchy uniqueName="[Measures].[R-Conv LY1]" caption="R-Conv LY1" measure="1" displayFolder="" measureGroup="BI metrics" count="0"/>
    <cacheHierarchy uniqueName="[Measures].[R-Conv TY1]" caption="R-Conv TY1" measure="1" displayFolder="" measureGroup="BI metrics" count="0"/>
    <cacheHierarchy uniqueName="[Measures].[R-ASP TY]" caption="R-ASP TY" measure="1" displayFolder="" measureGroup="BI metrics" count="0"/>
    <cacheHierarchy uniqueName="[Measures].[ASP LY]" caption="ASP LY" measure="1" displayFolder="" measureGroup="BI metrics" count="0"/>
    <cacheHierarchy uniqueName="[Measures].[R-ASP LY]" caption="R-ASP LY" measure="1" displayFolder="" measureGroup="BI metrics" count="0"/>
    <cacheHierarchy uniqueName="[Measures].[R-Sales TY In Store$]" caption="R-Sales TY In Store$" measure="1" displayFolder="aa_New Measures" measureGroup="BI metrics" count="0"/>
    <cacheHierarchy uniqueName="[Measures].[R-Sales TY Dropship$]" caption="R-Sales TY Dropship$" measure="1" displayFolder="aa_New Measures" measureGroup="BI metrics" count="0"/>
    <cacheHierarchy uniqueName="[Measures].[R-Sales TY Online$]" caption="R-Sales TY Online$" measure="1" displayFolder="aa_New Measures" measureGroup="BI metrics" count="0"/>
    <cacheHierarchy uniqueName="[Measures].[R-Sales TY Dropship Budget$]" caption="R-Sales TY Dropship Budget$" measure="1" displayFolder="aa_New Measures" measureGroup="BI metrics" count="0"/>
    <cacheHierarchy uniqueName="[Measures].[R-Sales TY In Store Budget$]" caption="R-Sales TY In Store Budget$" measure="1" displayFolder="aa_New Measures" measureGroup="BI metrics" count="0"/>
    <cacheHierarchy uniqueName="[Measures].[R-Sales TY Online Budget$]" caption="R-Sales TY Online Budget$" measure="1" displayFolder="aa_New Measures" measureGroup="BI metrics" count="0"/>
    <cacheHierarchy uniqueName="[Measures].[Delta Dropship]" caption="Delta Dropship" measure="1" displayFolder="aa_New Measures" measureGroup="BI metrics" count="0"/>
    <cacheHierarchy uniqueName="[Measures].[Delta Total]" caption="Delta Total" measure="1" displayFolder="aa_New Measures" measureGroup="BI metrics" count="0"/>
    <cacheHierarchy uniqueName="[Measures].[Delta In Store + Online]" caption="Delta In Store + Online" measure="1" displayFolder="aa_New Measures" measureGroup="BI metrics" count="0"/>
    <cacheHierarchy uniqueName="[Measures].[Delta Online]" caption="Delta Online" measure="1" displayFolder="aa_New Measures" measureGroup="BI metrics" count="0"/>
    <cacheHierarchy uniqueName="[Measures].[%Var Total]" caption="%Var Total" measure="1" displayFolder="aa_New Measures" measureGroup="BI metrics" count="0"/>
    <cacheHierarchy uniqueName="[Measures].[%Var In Store + Online]" caption="%Var In Store + Online" measure="1" displayFolder="aa_New Measures" measureGroup="BI metrics" count="0"/>
    <cacheHierarchy uniqueName="[Measures].[%Var Online]" caption="%Var Online" measure="1" displayFolder="aa_New Measures" measureGroup="BI metrics" count="0"/>
    <cacheHierarchy uniqueName="[Measures].[%Var Dropship]" caption="%Var Dropship" measure="1" displayFolder="aa_New Measures" measureGroup="BI metrics" count="0"/>
    <cacheHierarchy uniqueName="[Measures].[R-Sales TY In Store + Online$]" caption="R-Sales TY In Store + Online$" measure="1" displayFolder="aa_New Measures" measureGroup="BI metrics" count="0"/>
    <cacheHierarchy uniqueName="[Measures].[R-Sales TY In Store + Online Budget$]" caption="R-Sales TY In Store + Online Budget$" measure="1" displayFolder="aa_New Measures" measureGroup="BI metrics" count="0"/>
    <cacheHierarchy uniqueName="[Measures].[Delta In Store]" caption="Delta In Store" measure="1" displayFolder="aa_New Measures" measureGroup="BI metrics" count="0"/>
    <cacheHierarchy uniqueName="[Measures].[%Var In Store]" caption="%Var In Store" measure="1" displayFolder="aa_New Measures" measureGroup="BI metrics" count="0"/>
    <cacheHierarchy uniqueName="[Measures].[Sales TY In Store$]" caption="Sales TY In Store$" measure="1" displayFolder="aa_New Measures" measureGroup="BI metrics" count="0"/>
    <cacheHierarchy uniqueName="[Measures].[Sales TY Total$]" caption="Sales TY Total$" measure="1" displayFolder="aa_New Measures" measureGroup="BI metrics" count="0"/>
    <cacheHierarchy uniqueName="[Measures].[Sales TY Instore + Online$]" caption="Sales TY Instore + Online$" measure="1" displayFolder="aa_New Measures" measureGroup="BI metrics" count="0"/>
    <cacheHierarchy uniqueName="[Measures].[Sales TY Dropship$]" caption="Sales TY Dropship$" measure="1" displayFolder="aa_New Measures" measureGroup="BI metrics" count="0"/>
    <cacheHierarchy uniqueName="[Measures].[Budget TY Total$]" caption="Budget TY Total$" measure="1" displayFolder="aa_New Measures" measureGroup="BI metrics" count="0"/>
    <cacheHierarchy uniqueName="[Measures].[Budget TY In Store$]" caption="Budget TY In Store$" measure="1" displayFolder="aa_New Measures" measureGroup="BI metrics" count="0"/>
    <cacheHierarchy uniqueName="[Measures].[Budget TY Dropship$]" caption="Budget TY Dropship$" measure="1" displayFolder="aa_New Measures" measureGroup="BI metrics" count="0"/>
    <cacheHierarchy uniqueName="[Measures].[Budget TY Instore + Online$]" caption="Budget TY Instore + Online$" measure="1" displayFolder="aa_New Measures" measureGroup="BI metrics" count="0"/>
    <cacheHierarchy uniqueName="[Measures].[Delta1 Total]" caption="Delta1 Total" measure="1" displayFolder="aa_New Measures" measureGroup="BI metrics" count="0"/>
    <cacheHierarchy uniqueName="[Measures].[Delta1 In Store]" caption="Delta1 In Store" measure="1" displayFolder="aa_New Measures" measureGroup="BI metrics" count="0"/>
    <cacheHierarchy uniqueName="[Measures].[Delta1 In Store + Online]" caption="Delta1 In Store + Online" measure="1" displayFolder="aa_New Measures" measureGroup="BI metrics" count="0"/>
    <cacheHierarchy uniqueName="[Measures].[Delta1 In Dropship]" caption="Delta1 In Dropship" measure="1" displayFolder="aa_New Measures" measureGroup="BI metrics" count="0"/>
    <cacheHierarchy uniqueName="[Measures].[%Var1 Total]" caption="%Var1 Total" measure="1" displayFolder="aa_New Measures" measureGroup="BI metrics" count="0"/>
    <cacheHierarchy uniqueName="[Measures].[%Var1 In Store]" caption="%Var1 In Store" measure="1" displayFolder="aa_New Measures" measureGroup="BI metrics" count="0"/>
    <cacheHierarchy uniqueName="[Measures].[%Var1 In Store + Online]" caption="%Var1 In Store + Online" measure="1" displayFolder="aa_New Measures" measureGroup="BI metrics" count="0"/>
    <cacheHierarchy uniqueName="[Measures].[%Var1 Dropship]" caption="%Var1 Dropship" measure="1" displayFolder="aa_New Measures" measureGroup="BI metrics" count="0"/>
    <cacheHierarchy uniqueName="[Measures].[Total Budget]" caption="Total Budget" measure="1" displayFolder="" measureGroup="BI vw_BudgetByStore" count="0"/>
    <cacheHierarchy uniqueName="[Measures].[R-Budget$-Store1]" caption="R-Budget$-Store1" measure="1" displayFolder="" measureGroup="BI vw_BudgetByStore" count="0"/>
    <cacheHierarchy uniqueName="[Measures].[Total Budget1]" caption="Total Budget1" measure="1" displayFolder="" measureGroup="BI vw_BudgetByStore" count="0"/>
    <cacheHierarchy uniqueName="[Measures].[Sales/Budget KPIs]" caption="Sales/Budget KPIs" measure="1" displayFolder="" measureGroup="BI vw_BudgetByStore" count="0"/>
    <cacheHierarchy uniqueName="[Measures].[Sales/Budget Color]" caption="Sales/Budget Color" measure="1" displayFolder="" measureGroup="BI vw_BudgetByStore" count="0"/>
    <cacheHierarchy uniqueName="[Measures].[Sales TY/LY KPIs]" caption="Sales TY/LY KPIs" measure="1" displayFolder="" measureGroup="BI vw_BudgetByStore" count="0"/>
    <cacheHierarchy uniqueName="[Measures].[Sales TY/LY Color]" caption="Sales TY/LY Color" measure="1" displayFolder="" measureGroup="BI vw_BudgetByStore" count="0"/>
    <cacheHierarchy uniqueName="[Measures].[GM KPIs]" caption="GM KPIs" measure="1" displayFolder="" measureGroup="BI vw_BudgetByStore" count="0"/>
    <cacheHierarchy uniqueName="[Measures].[GM TY/LY Color]" caption="GM TY/LY Color" measure="1" displayFolder="" measureGroup="BI vw_BudgetByStore" count="0"/>
    <cacheHierarchy uniqueName="[Measures].[R-Budget-ItemDept Y/N]" caption="R-Budget-ItemDept Y/N" measure="1" displayFolder="" measureGroup="BI vw_BudgetByItemCategory" count="0"/>
    <cacheHierarchy uniqueName="[Measures].[R-Sales vs Budget-ItemDept Y/N]" caption="R-Sales vs Budget-ItemDept Y/N" measure="1" displayFolder="" measureGroup="BI vw_BudgetByItemCategory" count="0"/>
    <cacheHierarchy uniqueName="[Measures].[Rank]" caption="Rank" measure="1" displayFolder="" measureGroup="BI vw_WeeklyItemSales" count="0"/>
    <cacheHierarchy uniqueName="[Measures].[Store Trans]" caption="Store Trans" measure="1" displayFolder="" measureGroup="BI vw_WeeklyStoreATV" count="0"/>
    <cacheHierarchy uniqueName="[Measures].[Sales TY $]" caption="Sales TY $" measure="1" displayFolder="" measureGroup="Measure" count="0"/>
    <cacheHierarchy uniqueName="[Measures].[This Year]" caption="This Year" measure="1" displayFolder="" measureGroup="Measure" count="0"/>
    <cacheHierarchy uniqueName="[Measures].[Sales LY $]" caption="Sales LY $" measure="1" displayFolder="" measureGroup="Measure" count="0"/>
    <cacheHierarchy uniqueName="[Measures].[GM$ TY]" caption="GM$ TY" measure="1" displayFolder="" measureGroup="Measure" count="0"/>
    <cacheHierarchy uniqueName="[Measures].[GM$ LY]" caption="GM$ LY" measure="1" displayFolder="" measureGroup="Measure" count="0"/>
    <cacheHierarchy uniqueName="[Measures].[M/D$ TY]" caption="M/D$ TY" measure="1" displayFolder="" measureGroup="Measure" count="0"/>
    <cacheHierarchy uniqueName="[Measures].[M/D LY $]" caption="M/D LY $" measure="1" displayFolder="" measureGroup="Measure" count="0"/>
    <cacheHierarchy uniqueName="[Measures].[Budget$-Store]" caption="Budget$-Store" measure="1" displayFolder="" measureGroup="Measure" count="0"/>
    <cacheHierarchy uniqueName="[Measures].[ATV TY]" caption="ATV TY" measure="1" displayFolder="" measureGroup="Measure" count="0"/>
    <cacheHierarchy uniqueName="[Measures].[ATV LY $]" caption="ATV LY $" measure="1" displayFolder="" measureGroup="Measure" count="0"/>
    <cacheHierarchy uniqueName="[Measures].[BudgetDollar-ItemDept]" caption="BudgetDollar-ItemDept" measure="1" displayFolder="" measureGroup="Measure" count="0"/>
    <cacheHierarchy uniqueName="[Measures].[BudgetGMDollar-ItemDept]" caption="BudgetGMDollar-ItemDept" measure="1" displayFolder="" measureGroup="Measure" count="0"/>
    <cacheHierarchy uniqueName="[Measures].[GM$ YoY]" caption="GM$ YoY" measure="1" displayFolder="" measureGroup="Measure" count="0"/>
    <cacheHierarchy uniqueName="[Measures].[Sales vs Budget]" caption="Sales vs Budget" measure="1" displayFolder="" measureGroup="Measure" count="0"/>
    <cacheHierarchy uniqueName="[Measures].[Sales YoY]" caption="Sales YoY" measure="1" displayFolder="" measureGroup="Measure" count="0"/>
    <cacheHierarchy uniqueName="[Measures].[SalesatFullRet]" caption="SalesatFullRet" measure="1" displayFolder="" measureGroup="Measure" count="0"/>
    <cacheHierarchy uniqueName="[Measures].[SalesCost]" caption="SalesCost" measure="1" displayFolder="" measureGroup="Measure" count="0"/>
    <cacheHierarchy uniqueName="[Measures].[Traffic TY]" caption="Traffic TY" measure="1" displayFolder="" measureGroup="Measure" count="0"/>
    <cacheHierarchy uniqueName="[Measures].[Units TY]" caption="Units TY" measure="1" displayFolder="" measureGroup="Measure" count="0"/>
    <cacheHierarchy uniqueName="[Measures].[Units LY]" caption="Units LY" measure="1" displayFolder="" measureGroup="Measure" count="0"/>
    <cacheHierarchy uniqueName="[Measures].[Rolling 12 months Sales]" caption="Rolling 12 months Sales" measure="1" displayFolder="" measureGroup="Measure" count="0"/>
    <cacheHierarchy uniqueName="[Measures].[Rolling 12 months GM]" caption="Rolling 12 months GM" measure="1" displayFolder="" measureGroup="Measure" count="0"/>
    <cacheHierarchy uniqueName="[Measures].[Rolling 12 months M/D]" caption="Rolling 12 months M/D" measure="1" displayFolder="" measureGroup="Measure" count="0"/>
    <cacheHierarchy uniqueName="[Measures].[Transaction TY]" caption="Transaction TY" measure="1" displayFolder="" measureGroup="Measure" count="0"/>
    <cacheHierarchy uniqueName="[Measures].[Transactions LY]" caption="Transactions LY" measure="1" displayFolder="" measureGroup="Measure" count="0"/>
    <cacheHierarchy uniqueName="[Measures].[Transaction YOY]" caption="Transaction YOY" measure="1" displayFolder="" measureGroup="Measure" count="0"/>
    <cacheHierarchy uniqueName="[Measures].[GM$ Budget TY]" caption="GM$ Budget TY" measure="1" displayFolder="" measureGroup="Measure" count="0"/>
    <cacheHierarchy uniqueName="[Measures].[GM$ Budget LY]" caption="GM$ Budget LY" measure="1" displayFolder="" measureGroup="Measure" count="0"/>
    <cacheHierarchy uniqueName="[Measures].[GM vs Budget $]" caption="GM vs Budget $" measure="1" displayFolder="" measureGroup="Measure" count="0"/>
    <cacheHierarchy uniqueName="[Measures].[Measure]" caption="Measure" measure="1" displayFolder="" measureGroup="Measure" count="0"/>
    <cacheHierarchy uniqueName="[Measures].[GM % TY]" caption="GM % TY" measure="1" displayFolder="" measureGroup="Measure" count="0"/>
    <cacheHierarchy uniqueName="[Measures].[GM % LY]" caption="GM % LY" measure="1" displayFolder="" measureGroup="Measure" count="0"/>
    <cacheHierarchy uniqueName="[Measures].[GM% Budget]" caption="GM% Budget" measure="1" displayFolder="" measureGroup="Measure" count="0"/>
    <cacheHierarchy uniqueName="[Measures].[Measure 2]" caption="Measure 2" measure="1" displayFolder="" measureGroup="Measure" count="0"/>
    <cacheHierarchy uniqueName="[Measures].[M/D % TY]" caption="M/D % TY" measure="1" displayFolder="" measureGroup="Measure" count="0"/>
    <cacheHierarchy uniqueName="[Measures].[M/D % LY]" caption="M/D % LY" measure="1" displayFolder="" measureGroup="Measure" count="0"/>
    <cacheHierarchy uniqueName="[Measures].[Dropship$ Budget TY]" caption="Dropship$ Budget TY" measure="1" displayFolder="" measureGroup="Measure" count="0"/>
    <cacheHierarchy uniqueName="[Measures].[Rolling 12 months R-Sale $ TY]" caption="Rolling 12 months R-Sale $ TY" measure="1" displayFolder="" measureGroup="Measure" count="0"/>
    <cacheHierarchy uniqueName="[Measures].[Rolling 12 months Traffic YoY]" caption="Rolling 12 months Traffic YoY" measure="1" displayFolder="" measureGroup="Measure" count="0"/>
    <cacheHierarchy uniqueName="[Measures].[Rolling 12 months ATV YoY]" caption="Rolling 12 months ATV YoY" measure="1" displayFolder="" measureGroup="Measure" count="0"/>
    <cacheHierarchy uniqueName="[Measures].[Rolling 12 months Conv YoY]" caption="Rolling 12 months Conv YoY" measure="1" displayFolder="" measureGroup="Measure" count="0"/>
    <cacheHierarchy uniqueName="[Measures].[Rolling 12 months Store Trans YoY]" caption="Rolling 12 months Store Trans YoY" measure="1" displayFolder="" measureGroup="Measure" count="0"/>
    <cacheHierarchy uniqueName="[Measures].[LastRefreshedSydney]" caption="LastRefreshedSydney" measure="1" displayFolder="" measureGroup="Measure" count="0"/>
    <cacheHierarchy uniqueName="[Measures].[R-Sales Forecast TY]" caption="R-Sales Forecast TY" measure="1" displayFolder="" measureGroup="ForcastByClass" count="0"/>
    <cacheHierarchy uniqueName="[Measures].[Actual Select]" caption="Actual Select" measure="1" displayFolder="" measureGroup="Dim_Category" count="0"/>
    <cacheHierarchy uniqueName="[Measures].[Actual select1]" caption="Actual select1" measure="1" displayFolder="" measureGroup="Dim_Category" count="0"/>
    <cacheHierarchy uniqueName="[Measures].[Week Sales]" caption="Week Sales" measure="1" displayFolder="" measureGroup="Dim_Category" count="0"/>
    <cacheHierarchy uniqueName="[Measures].[MTD Sales]" caption="MTD Sales" measure="1" displayFolder="" measureGroup="Dim_Category" count="0"/>
    <cacheHierarchy uniqueName="[Measures].[YTD Sales]" caption="YTD Sales" measure="1" displayFolder="" measureGroup="Dim_Category" count="0"/>
    <cacheHierarchy uniqueName="[Measures].[Week Budget]" caption="Week Budget" measure="1" displayFolder="" measureGroup="Dim_Category" count="0"/>
    <cacheHierarchy uniqueName="[Measures].[MTD Budget]" caption="MTD Budget" measure="1" displayFolder="" measureGroup="Dim_Category" count="0"/>
    <cacheHierarchy uniqueName="[Measures].[YTD Budget]" caption="YTD Budget" measure="1" displayFolder="" measureGroup="Dim_Category" count="0"/>
    <cacheHierarchy uniqueName="[Measures].[SelectorNum]" caption="SelectorNum" measure="1" displayFolder="" measureGroup="Dim_Category" count="0"/>
    <cacheHierarchy uniqueName="[Measures].[Sales Select]" caption="Sales Select" measure="1" displayFolder="" measureGroup="Dim_Category" count="0"/>
    <cacheHierarchy uniqueName="[Measures].[Budget Select]" caption="Budget Select" measure="1" displayFolder="" measureGroup="Dim_Category" count="0"/>
    <cacheHierarchy uniqueName="[Measures].[TodayWeek]" caption="TodayWeek" measure="1" displayFolder="" measureGroup="Dim_Category" count="0"/>
    <cacheHierarchy uniqueName="[Measures].[MTD Sales Filter]" caption="MTD Sales Filter" measure="1" displayFolder="" measureGroup="Dim_Category" count="0"/>
    <cacheHierarchy uniqueName="[Measures].[Week Sales LY]" caption="Week Sales LY" measure="1" displayFolder="" measureGroup="Dim_Category" count="0"/>
    <cacheHierarchy uniqueName="[Measures].[MTD Sales LY]" caption="MTD Sales LY" measure="1" displayFolder="" measureGroup="Dim_Category" count="0"/>
    <cacheHierarchy uniqueName="[Measures].[YTD Sales LY]" caption="YTD Sales LY" measure="1" displayFolder="" measureGroup="Dim_Category" count="0"/>
    <cacheHierarchy uniqueName="[Measures].[Sales LY Select]" caption="Sales LY Select" measure="1" displayFolder="" measureGroup="Dim_Category" count="0"/>
    <cacheHierarchy uniqueName="[Measures].[GM TY Week]" caption="GM TY Week" measure="1" displayFolder="" measureGroup="Dim_Category" count="0"/>
    <cacheHierarchy uniqueName="[Measures].[GM TY MTD]" caption="GM TY MTD" measure="1" displayFolder="" measureGroup="Dim_Category" count="0"/>
    <cacheHierarchy uniqueName="[Measures].[GM TY YTD]" caption="GM TY YTD" measure="1" displayFolder="" measureGroup="Dim_Category" count="0"/>
    <cacheHierarchy uniqueName="[Measures].[GM TY Select]" caption="GM TY Select" measure="1" displayFolder="" measureGroup="Dim_Category" count="0"/>
    <cacheHierarchy uniqueName="[Measures].[Sales Categories]" caption="Sales Categories" measure="1" displayFolder="" measureGroup="Measure Categories" count="0"/>
    <cacheHierarchy uniqueName="[Measures].[Sales Categories 1]" caption="Sales Categories 1" measure="1" displayFolder="" measureGroup="Measure Categories" count="0"/>
    <cacheHierarchy uniqueName="[Measures].[Sales Title]" caption="Sales Title" measure="1" displayFolder="" measureGroup="Measure Categories" count="0"/>
    <cacheHierarchy uniqueName="[Measures].[Traffic KPIs]" caption="Traffic KPIs" measure="1" displayFolder="" measureGroup="Measure Tooltip" count="0"/>
    <cacheHierarchy uniqueName="[Measures].[Traffic TY/LY Color]" caption="Traffic TY/LY Color" measure="1" displayFolder="" measureGroup="Measure Tooltip" count="0"/>
    <cacheHierarchy uniqueName="[Measures].[Store Trans KPIs]" caption="Store Trans KPIs" measure="1" displayFolder="" measureGroup="Measure Tooltip" count="0"/>
    <cacheHierarchy uniqueName="[Measures].[Store Trans TY/LY Color]" caption="Store Trans TY/LY Color" measure="1" displayFolder="" measureGroup="Measure Tooltip" count="0"/>
    <cacheHierarchy uniqueName="[Measures].[Conv KPIs]" caption="Conv KPIs" measure="1" displayFolder="" measureGroup="Measure Tooltip" count="0"/>
    <cacheHierarchy uniqueName="[Measures].[Conv TY/LY Color]" caption="Conv TY/LY Color" measure="1" displayFolder="" measureGroup="Measure Tooltip" count="0"/>
    <cacheHierarchy uniqueName="[Measures].[ATV KPIs]" caption="ATV KPIs" measure="1" displayFolder="" measureGroup="Measure Tooltip" count="0"/>
    <cacheHierarchy uniqueName="[Measures].[ATV TY/LY Color]" caption="ATV TY/LY Color" measure="1" displayFolder="" measureGroup="Measure Tooltip" count="0"/>
    <cacheHierarchy uniqueName="[Measures].[Measure 4]" caption="Measure 4" measure="1" displayFolder="" measureGroup="Measure Tooltip" count="0"/>
    <cacheHierarchy uniqueName="[Measures].[R-M/D$ Budget Color]" caption="R-M/D$ Budget Color" measure="1" displayFolder="" measureGroup="Measure Tooltip" count="0"/>
    <cacheHierarchy uniqueName="[Measures].[R-Sales$ Budget Color]" caption="R-Sales$ Budget Color" measure="1" displayFolder="" measureGroup="Measure Tooltip" count="0"/>
    <cacheHierarchy uniqueName="[Measures].[R-GM TY Color]" caption="R-GM TY Color" measure="1" displayFolder="" measureGroup="Measure Tooltip" count="0"/>
    <cacheHierarchy uniqueName="[Measures].[R-Store Trans Color]" caption="R-Store Trans Color" measure="1" displayFolder="" measureGroup="Measure Tooltip" count="0"/>
    <cacheHierarchy uniqueName="[Measures].[R-Traffic Color]" caption="R-Traffic Color" measure="1" displayFolder="" measureGroup="Measure Tooltip" count="0"/>
    <cacheHierarchy uniqueName="[Measures].[R-COnv Color]" caption="R-COnv Color" measure="1" displayFolder="" measureGroup="Measure Tooltip" count="0"/>
    <cacheHierarchy uniqueName="[Measures].[R-ATV Color]" caption="R-ATV Color" measure="1" displayFolder="" measureGroup="Measure Tooltip" count="0"/>
    <cacheHierarchy uniqueName="[Measures].[R-M/D$% Budget Color]" caption="R-M/D$% Budget Color" measure="1" displayFolder="" measureGroup="Measure Tooltip" count="0"/>
    <cacheHierarchy uniqueName="[Measures].[R-Traffic Budget Color]" caption="R-Traffic Budget Color" measure="1" displayFolder="" measureGroup="Measure Tooltip" count="0"/>
    <cacheHierarchy uniqueName="[Measures].[R-Store Trans Budget Color]" caption="R-Store Trans Budget Color" measure="1" displayFolder="" measureGroup="Measure Tooltip" count="0"/>
    <cacheHierarchy uniqueName="[Measures].[R-Conv Budget Color]" caption="R-Conv Budget Color" measure="1" displayFolder="" measureGroup="Measure Tooltip" count="0"/>
    <cacheHierarchy uniqueName="[Measures].[R-ATV Budget Color]" caption="R-ATV Budget Color" measure="1" displayFolder="" measureGroup="Measure Tooltip" count="0"/>
    <cacheHierarchy uniqueName="[Measures].[R-Sales TY/LY Color]" caption="R-Sales TY/LY Color" measure="1" displayFolder="" measureGroup="Measure Tooltip" count="0"/>
    <cacheHierarchy uniqueName="[Measures].[R-Sales$ Plan Color]" caption="R-Sales$ Plan Color" measure="1" displayFolder="" measureGroup="Measure Tooltip" count="0"/>
    <cacheHierarchy uniqueName="[Measures].[R-GM % TY Color]" caption="R-GM % TY Color" measure="1" displayFolder="" measureGroup="Measure Tooltip" count="0"/>
    <cacheHierarchy uniqueName="[Measures].[R-Budget$-Online-Store]" caption="R-Budget$-Online-Store" measure="1" displayFolder="" measureGroup="BI vw_BudgetOnlineByStore" count="0"/>
    <cacheHierarchy uniqueName="[Measures].[R-Budget-Online Store Y/N]" caption="R-Budget-Online Store Y/N" measure="1" displayFolder="" measureGroup="BI vw_BudgetOnlineByStore" count="0"/>
    <cacheHierarchy uniqueName="[Measures].[R-Budget Y/N]" caption="R-Budget Y/N" measure="1" displayFolder="" measureGroup="BI vw_BudgetOnlineByStore" count="0"/>
    <cacheHierarchy uniqueName="[Measures].[Product Dynamic Title]" caption="Product Dynamic Title" measure="1" displayFolder="" measureGroup="Product Parameter" count="0"/>
    <cacheHierarchy uniqueName="[Measures].[Budget Online]" caption="Budget Online" measure="1" displayFolder="" measureGroup="BI vw_BudgetDigital" count="0"/>
    <cacheHierarchy uniqueName="[Measures].[R-Budget Online TY]" caption="R-Budget Online TY" measure="1" displayFolder="" measureGroup="BI vw_BudgetDigital" count="0"/>
    <cacheHierarchy uniqueName="[Measures].[Store Trans Budget]" caption="Store Trans Budget" measure="1" displayFolder="" measureGroup="BI vw_BudgetByWeek" count="0"/>
    <cacheHierarchy uniqueName="[Measures].[R-Store Trans InStore Budget]" caption="R-Store Trans InStore Budget" measure="1" displayFolder="" measureGroup="BI vw_BudgetByWeek" count="0"/>
    <cacheHierarchy uniqueName="[Measures].[Traffic Budget]" caption="Traffic Budget" measure="1" displayFolder="" measureGroup="BI vw_BudgetByWeek" count="0"/>
    <cacheHierarchy uniqueName="[Measures].[R-Traffic InStore Budget]" caption="R-Traffic InStore Budget" measure="1" displayFolder="" measureGroup="BI vw_BudgetByWeek" count="0"/>
    <cacheHierarchy uniqueName="[Measures].[R-Conv Instore Budget]" caption="R-Conv Instore Budget" measure="1" displayFolder="" measureGroup="BI vw_BudgetByWeek" count="0"/>
    <cacheHierarchy uniqueName="[Measures].[R-Budget InStore]" caption="R-Budget InStore" measure="1" displayFolder="" measureGroup="BI vw_BudgetByWeek" count="0"/>
    <cacheHierarchy uniqueName="[Measures].[R-Traffic Budget Channel]" caption="R-Traffic Budget Channel" measure="1" displayFolder="" measureGroup="BI vw_BudgetByWeek" count="0"/>
    <cacheHierarchy uniqueName="[Measures].[R-Conv Budget Channel]" caption="R-Conv Budget Channel" measure="1" displayFolder="" measureGroup="BI vw_BudgetByWeek" count="0"/>
    <cacheHierarchy uniqueName="[Measures].[R-Store trans Budget Channel]" caption="R-Store trans Budget Channel" measure="1" displayFolder="" measureGroup="BI vw_BudgetByWeek" count="0"/>
    <cacheHierarchy uniqueName="[Measures].[R-ATV InStore Budget Cal]" caption="R-ATV InStore Budget Cal" measure="1" displayFolder="" measureGroup="BI vw_BudgetByWeek" count="0"/>
    <cacheHierarchy uniqueName="[Measures].[R-ATV Budget Channel]" caption="R-ATV Budget Channel" measure="1" displayFolder="" measureGroup="BI vw_BudgetByWeek" count="0"/>
    <cacheHierarchy uniqueName="[Measures].[R-GM Plan TY]" caption="R-GM Plan TY" measure="1" displayFolder="" measureGroup="Forecast" count="0"/>
    <cacheHierarchy uniqueName="[Measures].[R-GM vs Plan]" caption="R-GM vs Plan" measure="1" displayFolder="" measureGroup="Forecast" count="0"/>
    <cacheHierarchy uniqueName="[Measures].[R-GM %]" caption="R-GM %" measure="1" displayFolder="" measureGroup="Forecast" count="0"/>
    <cacheHierarchy uniqueName="[Measures].[R-Sales Plan TY]" caption="R-Sales Plan TY" measure="1" displayFolder="" measureGroup="Forecast" count="0"/>
    <cacheHierarchy uniqueName="[Measures].[R-GM Plan %]" caption="R-GM Plan %" measure="1" displayFolder="" measureGroup="Forecast" count="0"/>
    <cacheHierarchy uniqueName="[Measures].[R-Sales Plan TY-K]" caption="R-Sales Plan TY-K" measure="1" displayFolder="" measureGroup="Forecast" count="0"/>
    <cacheHierarchy uniqueName="[Measures].[__Default measure]" caption="__Default measure" measure="1" displayFolder="" count="0" hidden="1"/>
  </cacheHierarchies>
  <kpis count="0"/>
  <dimensions count="35">
    <dimension name="BI ForecastClass" uniqueName="[BI ForecastClass]" caption="BI ForecastClass"/>
    <dimension name="BI Item" uniqueName="[BI Item]" caption="BI Item"/>
    <dimension name="BI metrics" uniqueName="[BI metrics]" caption="BI metrics"/>
    <dimension name="BI Store" uniqueName="[BI Store]" caption="BI Store"/>
    <dimension name="BI Store State Sort" uniqueName="[BI Store State Sort]" caption="BI Store State Sort"/>
    <dimension name="BI vw_BudgetByItemCategory" uniqueName="[BI vw_BudgetByItemCategory]" caption="BI vw_BudgetByItemCategory"/>
    <dimension name="BI vw_BudgetByStore" uniqueName="[BI vw_BudgetByStore]" caption="BI vw_BudgetByStore"/>
    <dimension name="BI vw_BudgetByWeek" uniqueName="[BI vw_BudgetByWeek]" caption="BI vw_BudgetByWeek"/>
    <dimension name="BI vw_BudgetDigital" uniqueName="[BI vw_BudgetDigital]" caption="BI vw_BudgetDigital"/>
    <dimension name="BI vw_BudgetOnlineByStore" uniqueName="[BI vw_BudgetOnlineByStore]" caption="BI vw_BudgetOnlineByStore"/>
    <dimension name="BI vw_DropshipBudget" uniqueName="[BI vw_DropshipBudget]" caption="BI vw_DropshipBudget"/>
    <dimension name="BI vw_Items" uniqueName="[BI vw_Items]" caption="BI vw_Items"/>
    <dimension name="BI vw_WeeklyItemSales" uniqueName="[BI vw_WeeklyItemSales]" caption="BI vw_WeeklyItemSales"/>
    <dimension name="BI vw_WeeklyStoreATV" uniqueName="[BI vw_WeeklyStoreATV]" caption="BI vw_WeeklyStoreATV"/>
    <dimension name="BI vw_WeeklyStoreTraffic" uniqueName="[BI vw_WeeklyStoreTraffic]" caption="BI vw_WeeklyStoreTraffic"/>
    <dimension name="BI vw_WeeklyWrittenSalesMetrics" uniqueName="[BI vw_WeeklyWrittenSalesMetrics]" caption="BI vw_WeeklyWrittenSalesMetrics"/>
    <dimension name="Dim_Category" uniqueName="[Dim_Category]" caption="Dim_Category"/>
    <dimension name="dim_period" uniqueName="[dim_period]" caption="dim_period"/>
    <dimension name="ForcastByClass" uniqueName="[ForcastByClass]" caption="ForcastByClass"/>
    <dimension name="Forecast" uniqueName="[Forecast]" caption="Forecast"/>
    <dimension name="LocalDateTable_0d9eeced-3257-4609-8cfb-234f1d7c24d7" uniqueName="[LocalDateTable_0d9eeced-3257-4609-8cfb-234f1d7c24d7]" caption="LocalDateTable_0d9eeced-3257-4609-8cfb-234f1d7c24d7"/>
    <dimension name="LocalDateTable_3a17192d-ec7c-4dba-ac0e-bcf6b3a6a0ff" uniqueName="[LocalDateTable_3a17192d-ec7c-4dba-ac0e-bcf6b3a6a0ff]" caption="LocalDateTable_3a17192d-ec7c-4dba-ac0e-bcf6b3a6a0ff"/>
    <dimension name="LocalDateTable_3f117c71-2c04-4fa5-8c23-2b2c1ab14338" uniqueName="[LocalDateTable_3f117c71-2c04-4fa5-8c23-2b2c1ab14338]" caption="LocalDateTable_3f117c71-2c04-4fa5-8c23-2b2c1ab14338"/>
    <dimension name="LocalDateTable_66f09a5d-f864-46bc-a2f5-c0014bc05155" uniqueName="[LocalDateTable_66f09a5d-f864-46bc-a2f5-c0014bc05155]" caption="LocalDateTable_66f09a5d-f864-46bc-a2f5-c0014bc05155"/>
    <dimension name="LocalDateTable_754a5606-f042-4514-8c57-59f8f32672fc" uniqueName="[LocalDateTable_754a5606-f042-4514-8c57-59f8f32672fc]" caption="LocalDateTable_754a5606-f042-4514-8c57-59f8f32672fc"/>
    <dimension name="LocalDateTable_9b9a9699-5b52-40e9-b4a0-c11cb55a9d61" uniqueName="[LocalDateTable_9b9a9699-5b52-40e9-b4a0-c11cb55a9d61]" caption="LocalDateTable_9b9a9699-5b52-40e9-b4a0-c11cb55a9d61"/>
    <dimension name="LocalDateTable_a29de990-df00-42e6-9e8c-814d0b4b9a86" uniqueName="[LocalDateTable_a29de990-df00-42e6-9e8c-814d0b4b9a86]" caption="LocalDateTable_a29de990-df00-42e6-9e8c-814d0b4b9a86"/>
    <dimension name="LocalDateTable_e1d748f9-bc77-4c73-ba8d-fcf5ec29dd71" uniqueName="[LocalDateTable_e1d748f9-bc77-4c73-ba8d-fcf5ec29dd71]" caption="LocalDateTable_e1d748f9-bc77-4c73-ba8d-fcf5ec29dd71"/>
    <dimension name="Measure" uniqueName="[Measure]" caption="Measure"/>
    <dimension name="Measure Categories" uniqueName="[Measure Categories]" caption="Measure Categories"/>
    <dimension measure="1" name="Measures" uniqueName="[Measures]" caption="Measures"/>
    <dimension name="Product Parameter" uniqueName="[Product Parameter]" caption="Product Parameter"/>
    <dimension name="Query1" uniqueName="[Query1]" caption="Query1"/>
    <dimension name="Query2" uniqueName="[Query2]" caption="Query2"/>
    <dimension name="TimePeriodSort" uniqueName="[TimePeriodSort]" caption="TimePeriodSort"/>
  </dimensions>
  <measureGroups count="35">
    <measureGroup name="BI ForecastClass" caption="BI ForecastClass"/>
    <measureGroup name="BI Item" caption="BI Item"/>
    <measureGroup name="BI metrics" caption="BI metrics"/>
    <measureGroup name="BI Store" caption="BI Store"/>
    <measureGroup name="BI Store State Sort" caption="BI Store State Sort"/>
    <measureGroup name="BI vw_BudgetByItemCategory" caption="BI vw_BudgetByItemCategory"/>
    <measureGroup name="BI vw_BudgetByStore" caption="BI vw_BudgetByStore"/>
    <measureGroup name="BI vw_BudgetByWeek" caption="BI vw_BudgetByWeek"/>
    <measureGroup name="BI vw_BudgetDigital" caption="BI vw_BudgetDigital"/>
    <measureGroup name="BI vw_BudgetOnlineByStore" caption="BI vw_BudgetOnlineByStore"/>
    <measureGroup name="BI vw_DropshipBudget" caption="BI vw_DropshipBudget"/>
    <measureGroup name="BI vw_Items" caption="BI vw_Items"/>
    <measureGroup name="BI vw_WeeklyItemSales" caption="BI vw_WeeklyItemSales"/>
    <measureGroup name="BI vw_WeeklyStoreATV" caption="BI vw_WeeklyStoreATV"/>
    <measureGroup name="BI vw_WeeklyStoreTraffic" caption="BI vw_WeeklyStoreTraffic"/>
    <measureGroup name="BI vw_WeeklyWrittenSalesMetrics" caption="BI vw_WeeklyWrittenSalesMetrics"/>
    <measureGroup name="Dim_Category" caption="Dim_Category"/>
    <measureGroup name="dim_period" caption="dim_period"/>
    <measureGroup name="ForcastByClass" caption="ForcastByClass"/>
    <measureGroup name="Forecast" caption="Forecast"/>
    <measureGroup name="LocalDateTable_0d9eeced-3257-4609-8cfb-234f1d7c24d7" caption="LocalDateTable_0d9eeced-3257-4609-8cfb-234f1d7c24d7"/>
    <measureGroup name="LocalDateTable_3a17192d-ec7c-4dba-ac0e-bcf6b3a6a0ff" caption="LocalDateTable_3a17192d-ec7c-4dba-ac0e-bcf6b3a6a0ff"/>
    <measureGroup name="LocalDateTable_3f117c71-2c04-4fa5-8c23-2b2c1ab14338" caption="LocalDateTable_3f117c71-2c04-4fa5-8c23-2b2c1ab14338"/>
    <measureGroup name="LocalDateTable_66f09a5d-f864-46bc-a2f5-c0014bc05155" caption="LocalDateTable_66f09a5d-f864-46bc-a2f5-c0014bc05155"/>
    <measureGroup name="LocalDateTable_754a5606-f042-4514-8c57-59f8f32672fc" caption="LocalDateTable_754a5606-f042-4514-8c57-59f8f32672fc"/>
    <measureGroup name="LocalDateTable_9b9a9699-5b52-40e9-b4a0-c11cb55a9d61" caption="LocalDateTable_9b9a9699-5b52-40e9-b4a0-c11cb55a9d61"/>
    <measureGroup name="LocalDateTable_a29de990-df00-42e6-9e8c-814d0b4b9a86" caption="LocalDateTable_a29de990-df00-42e6-9e8c-814d0b4b9a86"/>
    <measureGroup name="LocalDateTable_e1d748f9-bc77-4c73-ba8d-fcf5ec29dd71" caption="LocalDateTable_e1d748f9-bc77-4c73-ba8d-fcf5ec29dd71"/>
    <measureGroup name="Measure" caption="Measure"/>
    <measureGroup name="Measure Categories" caption="Measure Categories"/>
    <measureGroup name="Measure Tooltip" caption="Measure Tooltip"/>
    <measureGroup name="Product Parameter" caption="Product Parameter"/>
    <measureGroup name="Query1" caption="Query1"/>
    <measureGroup name="Query2" caption="Query2"/>
    <measureGroup name="TimePeriodSort" caption="TimePeriodSort"/>
  </measureGroups>
  <maps count="41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2"/>
    <map measureGroup="0" dimension="13"/>
    <map measureGroup="0" dimension="14"/>
    <map measureGroup="0" dimension="15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34"/>
    <map measureGroup="1" dimension="1"/>
    <map measureGroup="1" dimension="23"/>
    <map measureGroup="1" dimension="25"/>
    <map measureGroup="2" dimension="2"/>
    <map measureGroup="2" dimension="20"/>
    <map measureGroup="2" dimension="24"/>
    <map measureGroup="2" dimension="27"/>
    <map measureGroup="2" dimension="34"/>
    <map measureGroup="3" dimension="0"/>
    <map measureGroup="3" dimension="1"/>
    <map measureGroup="3" dimension="2"/>
    <map measureGroup="3" dimension="3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2"/>
    <map measureGroup="3" dimension="13"/>
    <map measureGroup="3" dimension="14"/>
    <map measureGroup="3" dimension="15"/>
    <map measureGroup="3" dimension="17"/>
    <map measureGroup="3" dimension="18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8"/>
    <map measureGroup="3" dimension="34"/>
    <map measureGroup="4" dimension="4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2"/>
    <map measureGroup="5" dimension="13"/>
    <map measureGroup="5" dimension="14"/>
    <map measureGroup="5" dimension="15"/>
    <map measureGroup="5" dimension="17"/>
    <map measureGroup="5" dimension="18"/>
    <map measureGroup="5" dimension="19"/>
    <map measureGroup="5" dimension="20"/>
    <map measureGroup="5" dimension="21"/>
    <map measureGroup="5" dimension="22"/>
    <map measureGroup="5" dimension="23"/>
    <map measureGroup="5" dimension="24"/>
    <map measureGroup="5" dimension="25"/>
    <map measureGroup="5" dimension="27"/>
    <map measureGroup="5" dimension="28"/>
    <map measureGroup="5" dimension="34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  <map measureGroup="6" dimension="8"/>
    <map measureGroup="6" dimension="9"/>
    <map measureGroup="6" dimension="10"/>
    <map measureGroup="6" dimension="12"/>
    <map measureGroup="6" dimension="13"/>
    <map measureGroup="6" dimension="14"/>
    <map measureGroup="6" dimension="15"/>
    <map measureGroup="6" dimension="17"/>
    <map measureGroup="6" dimension="18"/>
    <map measureGroup="6" dimension="19"/>
    <map measureGroup="6" dimension="20"/>
    <map measureGroup="6" dimension="21"/>
    <map measureGroup="6" dimension="22"/>
    <map measureGroup="6" dimension="23"/>
    <map measureGroup="6" dimension="24"/>
    <map measureGroup="6" dimension="25"/>
    <map measureGroup="6" dimension="27"/>
    <map measureGroup="6" dimension="28"/>
    <map measureGroup="6" dimension="34"/>
    <map measureGroup="7" dimension="0"/>
    <map measureGroup="7" dimension="1"/>
    <map measureGroup="7" dimension="2"/>
    <map measureGroup="7" dimension="3"/>
    <map measureGroup="7" dimension="5"/>
    <map measureGroup="7" dimension="6"/>
    <map measureGroup="7" dimension="7"/>
    <map measureGroup="7" dimension="8"/>
    <map measureGroup="7" dimension="9"/>
    <map measureGroup="7" dimension="10"/>
    <map measureGroup="7" dimension="12"/>
    <map measureGroup="7" dimension="13"/>
    <map measureGroup="7" dimension="14"/>
    <map measureGroup="7" dimension="15"/>
    <map measureGroup="7" dimension="17"/>
    <map measureGroup="7" dimension="18"/>
    <map measureGroup="7" dimension="19"/>
    <map measureGroup="7" dimension="20"/>
    <map measureGroup="7" dimension="21"/>
    <map measureGroup="7" dimension="22"/>
    <map measureGroup="7" dimension="23"/>
    <map measureGroup="7" dimension="24"/>
    <map measureGroup="7" dimension="25"/>
    <map measureGroup="7" dimension="27"/>
    <map measureGroup="7" dimension="28"/>
    <map measureGroup="7" dimension="34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8" dimension="12"/>
    <map measureGroup="8" dimension="13"/>
    <map measureGroup="8" dimension="14"/>
    <map measureGroup="8" dimension="15"/>
    <map measureGroup="8" dimension="17"/>
    <map measureGroup="8" dimension="18"/>
    <map measureGroup="8" dimension="19"/>
    <map measureGroup="8" dimension="20"/>
    <map measureGroup="8" dimension="21"/>
    <map measureGroup="8" dimension="22"/>
    <map measureGroup="8" dimension="23"/>
    <map measureGroup="8" dimension="24"/>
    <map measureGroup="8" dimension="25"/>
    <map measureGroup="8" dimension="27"/>
    <map measureGroup="8" dimension="28"/>
    <map measureGroup="8" dimension="34"/>
    <map measureGroup="9" dimension="0"/>
    <map measureGroup="9" dimension="1"/>
    <map measureGroup="9" dimension="2"/>
    <map measureGroup="9" dimension="3"/>
    <map measureGroup="9" dimension="5"/>
    <map measureGroup="9" dimension="6"/>
    <map measureGroup="9" dimension="7"/>
    <map measureGroup="9" dimension="8"/>
    <map measureGroup="9" dimension="9"/>
    <map measureGroup="9" dimension="10"/>
    <map measureGroup="9" dimension="12"/>
    <map measureGroup="9" dimension="13"/>
    <map measureGroup="9" dimension="14"/>
    <map measureGroup="9" dimension="15"/>
    <map measureGroup="9" dimension="17"/>
    <map measureGroup="9" dimension="18"/>
    <map measureGroup="9" dimension="19"/>
    <map measureGroup="9" dimension="20"/>
    <map measureGroup="9" dimension="21"/>
    <map measureGroup="9" dimension="22"/>
    <map measureGroup="9" dimension="23"/>
    <map measureGroup="9" dimension="24"/>
    <map measureGroup="9" dimension="25"/>
    <map measureGroup="9" dimension="27"/>
    <map measureGroup="9" dimension="28"/>
    <map measureGroup="9" dimension="34"/>
    <map measureGroup="10" dimension="0"/>
    <map measureGroup="10" dimension="1"/>
    <map measureGroup="10" dimension="2"/>
    <map measureGroup="10" dimension="3"/>
    <map measureGroup="10" dimension="5"/>
    <map measureGroup="10" dimension="6"/>
    <map measureGroup="10" dimension="7"/>
    <map measureGroup="10" dimension="8"/>
    <map measureGroup="10" dimension="9"/>
    <map measureGroup="10" dimension="10"/>
    <map measureGroup="10" dimension="12"/>
    <map measureGroup="10" dimension="13"/>
    <map measureGroup="10" dimension="14"/>
    <map measureGroup="10" dimension="15"/>
    <map measureGroup="10" dimension="17"/>
    <map measureGroup="10" dimension="18"/>
    <map measureGroup="10" dimension="19"/>
    <map measureGroup="10" dimension="20"/>
    <map measureGroup="10" dimension="21"/>
    <map measureGroup="10" dimension="22"/>
    <map measureGroup="10" dimension="23"/>
    <map measureGroup="10" dimension="24"/>
    <map measureGroup="10" dimension="25"/>
    <map measureGroup="10" dimension="27"/>
    <map measureGroup="10" dimension="28"/>
    <map measureGroup="10" dimension="34"/>
    <map measureGroup="11" dimension="11"/>
    <map measureGroup="12" dimension="0"/>
    <map measureGroup="12" dimension="1"/>
    <map measureGroup="12" dimension="2"/>
    <map measureGroup="12" dimension="3"/>
    <map measureGroup="12" dimension="5"/>
    <map measureGroup="12" dimension="6"/>
    <map measureGroup="12" dimension="7"/>
    <map measureGroup="12" dimension="8"/>
    <map measureGroup="12" dimension="9"/>
    <map measureGroup="12" dimension="10"/>
    <map measureGroup="12" dimension="12"/>
    <map measureGroup="12" dimension="13"/>
    <map measureGroup="12" dimension="14"/>
    <map measureGroup="12" dimension="15"/>
    <map measureGroup="12" dimension="17"/>
    <map measureGroup="12" dimension="18"/>
    <map measureGroup="12" dimension="19"/>
    <map measureGroup="12" dimension="20"/>
    <map measureGroup="12" dimension="21"/>
    <map measureGroup="12" dimension="22"/>
    <map measureGroup="12" dimension="23"/>
    <map measureGroup="12" dimension="24"/>
    <map measureGroup="12" dimension="25"/>
    <map measureGroup="12" dimension="27"/>
    <map measureGroup="12" dimension="28"/>
    <map measureGroup="12" dimension="34"/>
    <map measureGroup="13" dimension="0"/>
    <map measureGroup="13" dimension="1"/>
    <map measureGroup="13" dimension="2"/>
    <map measureGroup="13" dimension="3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2"/>
    <map measureGroup="13" dimension="13"/>
    <map measureGroup="13" dimension="14"/>
    <map measureGroup="13" dimension="15"/>
    <map measureGroup="13" dimension="17"/>
    <map measureGroup="13" dimension="18"/>
    <map measureGroup="13" dimension="19"/>
    <map measureGroup="13" dimension="20"/>
    <map measureGroup="13" dimension="21"/>
    <map measureGroup="13" dimension="22"/>
    <map measureGroup="13" dimension="23"/>
    <map measureGroup="13" dimension="24"/>
    <map measureGroup="13" dimension="25"/>
    <map measureGroup="13" dimension="27"/>
    <map measureGroup="13" dimension="28"/>
    <map measureGroup="13" dimension="34"/>
    <map measureGroup="14" dimension="0"/>
    <map measureGroup="14" dimension="1"/>
    <map measureGroup="14" dimension="2"/>
    <map measureGroup="14" dimension="3"/>
    <map measureGroup="14" dimension="5"/>
    <map measureGroup="14" dimension="6"/>
    <map measureGroup="14" dimension="7"/>
    <map measureGroup="14" dimension="8"/>
    <map measureGroup="14" dimension="9"/>
    <map measureGroup="14" dimension="10"/>
    <map measureGroup="14" dimension="12"/>
    <map measureGroup="14" dimension="13"/>
    <map measureGroup="14" dimension="14"/>
    <map measureGroup="14" dimension="15"/>
    <map measureGroup="14" dimension="17"/>
    <map measureGroup="14" dimension="18"/>
    <map measureGroup="14" dimension="19"/>
    <map measureGroup="14" dimension="20"/>
    <map measureGroup="14" dimension="21"/>
    <map measureGroup="14" dimension="22"/>
    <map measureGroup="14" dimension="23"/>
    <map measureGroup="14" dimension="24"/>
    <map measureGroup="14" dimension="25"/>
    <map measureGroup="14" dimension="27"/>
    <map measureGroup="14" dimension="28"/>
    <map measureGroup="14" dimension="34"/>
    <map measureGroup="15" dimension="0"/>
    <map measureGroup="15" dimension="1"/>
    <map measureGroup="15" dimension="2"/>
    <map measureGroup="15" dimension="3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2"/>
    <map measureGroup="15" dimension="13"/>
    <map measureGroup="15" dimension="14"/>
    <map measureGroup="15" dimension="15"/>
    <map measureGroup="15" dimension="17"/>
    <map measureGroup="15" dimension="18"/>
    <map measureGroup="15" dimension="19"/>
    <map measureGroup="15" dimension="20"/>
    <map measureGroup="15" dimension="21"/>
    <map measureGroup="15" dimension="22"/>
    <map measureGroup="15" dimension="23"/>
    <map measureGroup="15" dimension="24"/>
    <map measureGroup="15" dimension="25"/>
    <map measureGroup="15" dimension="27"/>
    <map measureGroup="15" dimension="28"/>
    <map measureGroup="15" dimension="34"/>
    <map measureGroup="16" dimension="16"/>
    <map measureGroup="17" dimension="17"/>
    <map measureGroup="17" dimension="21"/>
    <map measureGroup="17" dimension="22"/>
    <map measureGroup="18" dimension="0"/>
    <map measureGroup="18" dimension="1"/>
    <map measureGroup="18" dimension="2"/>
    <map measureGroup="18" dimension="3"/>
    <map measureGroup="18" dimension="5"/>
    <map measureGroup="18" dimension="6"/>
    <map measureGroup="18" dimension="7"/>
    <map measureGroup="18" dimension="8"/>
    <map measureGroup="18" dimension="9"/>
    <map measureGroup="18" dimension="10"/>
    <map measureGroup="18" dimension="12"/>
    <map measureGroup="18" dimension="13"/>
    <map measureGroup="18" dimension="14"/>
    <map measureGroup="18" dimension="15"/>
    <map measureGroup="18" dimension="17"/>
    <map measureGroup="18" dimension="18"/>
    <map measureGroup="18" dimension="19"/>
    <map measureGroup="18" dimension="20"/>
    <map measureGroup="18" dimension="21"/>
    <map measureGroup="18" dimension="22"/>
    <map measureGroup="18" dimension="23"/>
    <map measureGroup="18" dimension="24"/>
    <map measureGroup="18" dimension="25"/>
    <map measureGroup="18" dimension="27"/>
    <map measureGroup="18" dimension="28"/>
    <map measureGroup="18" dimension="34"/>
    <map measureGroup="19" dimension="0"/>
    <map measureGroup="19" dimension="1"/>
    <map measureGroup="19" dimension="2"/>
    <map measureGroup="19" dimension="3"/>
    <map measureGroup="19" dimension="5"/>
    <map measureGroup="19" dimension="6"/>
    <map measureGroup="19" dimension="7"/>
    <map measureGroup="19" dimension="8"/>
    <map measureGroup="19" dimension="9"/>
    <map measureGroup="19" dimension="10"/>
    <map measureGroup="19" dimension="12"/>
    <map measureGroup="19" dimension="13"/>
    <map measureGroup="19" dimension="14"/>
    <map measureGroup="19" dimension="15"/>
    <map measureGroup="19" dimension="17"/>
    <map measureGroup="19" dimension="18"/>
    <map measureGroup="19" dimension="19"/>
    <map measureGroup="19" dimension="20"/>
    <map measureGroup="19" dimension="21"/>
    <map measureGroup="19" dimension="22"/>
    <map measureGroup="19" dimension="23"/>
    <map measureGroup="19" dimension="24"/>
    <map measureGroup="19" dimension="25"/>
    <map measureGroup="19" dimension="27"/>
    <map measureGroup="19" dimension="28"/>
    <map measureGroup="19" dimension="34"/>
    <map measureGroup="20" dimension="20"/>
    <map measureGroup="21" dimension="21"/>
    <map measureGroup="22" dimension="22"/>
    <map measureGroup="23" dimension="23"/>
    <map measureGroup="24" dimension="24"/>
    <map measureGroup="25" dimension="25"/>
    <map measureGroup="26" dimension="26"/>
    <map measureGroup="27" dimension="27"/>
    <map measureGroup="28" dimension="0"/>
    <map measureGroup="28" dimension="1"/>
    <map measureGroup="28" dimension="2"/>
    <map measureGroup="28" dimension="3"/>
    <map measureGroup="28" dimension="5"/>
    <map measureGroup="28" dimension="6"/>
    <map measureGroup="28" dimension="7"/>
    <map measureGroup="28" dimension="8"/>
    <map measureGroup="28" dimension="9"/>
    <map measureGroup="28" dimension="10"/>
    <map measureGroup="28" dimension="12"/>
    <map measureGroup="28" dimension="13"/>
    <map measureGroup="28" dimension="14"/>
    <map measureGroup="28" dimension="15"/>
    <map measureGroup="28" dimension="17"/>
    <map measureGroup="28" dimension="18"/>
    <map measureGroup="28" dimension="19"/>
    <map measureGroup="28" dimension="20"/>
    <map measureGroup="28" dimension="21"/>
    <map measureGroup="28" dimension="22"/>
    <map measureGroup="28" dimension="23"/>
    <map measureGroup="28" dimension="24"/>
    <map measureGroup="28" dimension="25"/>
    <map measureGroup="28" dimension="27"/>
    <map measureGroup="28" dimension="28"/>
    <map measureGroup="28" dimension="34"/>
    <map measureGroup="29" dimension="29"/>
    <map measureGroup="31" dimension="31"/>
    <map measureGroup="32" dimension="26"/>
    <map measureGroup="32" dimension="32"/>
    <map measureGroup="33" dimension="33"/>
    <map measureGroup="34" dimension="3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5.596882986109" backgroundQuery="1" createdVersion="8" refreshedVersion="8" minRefreshableVersion="3" recordCount="0" supportSubquery="1" supportAdvancedDrill="1" xr:uid="{77A5B4CC-1607-4294-B002-937EE02EFB38}">
  <cacheSource type="external" connectionId="1"/>
  <cacheFields count="8">
    <cacheField name="[BI metrics].[TimePeriod].[TimePeriod]" caption="TimePeriod" numFmtId="0" hierarchy="16" level="1">
      <sharedItems containsSemiMixedTypes="0" containsString="0"/>
    </cacheField>
    <cacheField name="[BI metrics].[Fin_Period].[Fin_Period]" caption="Fin_Period" numFmtId="0" level="1">
      <sharedItems count="140">
        <s v="[BI metrics].[Fin_Period].&amp;[202414]" c="202414"/>
        <s v="[BI metrics].[Fin_Period].&amp;[202415]" c="202415"/>
        <s v="[BI metrics].[Fin_Period].&amp;[202416]" c="202416"/>
        <s v="[BI metrics].[Fin_Period].&amp;[202417]" c="202417"/>
        <s v="[BI metrics].[Fin_Period].&amp;[202418]" c="202418"/>
        <s v="[BI metrics].[Fin_Period].&amp;[202419]" c="202419"/>
        <s v="[BI metrics].[Fin_Period].&amp;[202420]" c="202420"/>
        <s v="[BI metrics].[Fin_Period].&amp;[202421]" c="202421"/>
        <s v="[BI metrics].[Fin_Period].&amp;[202422]" c="202422"/>
        <s v="[BI metrics].[Fin_Period].&amp;[202423]" c="202423"/>
        <s v="[BI metrics].[Fin_Period].&amp;[202424]" c="202424"/>
        <s v="[BI metrics].[Fin_Period].&amp;[202425]" c="202425"/>
        <s v="[BI metrics].[Fin_Period].&amp;[202426]" c="202426"/>
        <s v="[BI metrics].[Fin_Period].&amp;[202427]" c="202427"/>
        <s v="[BI metrics].[Fin_Period].&amp;[202428]" c="202428"/>
        <s v="[BI metrics].[Fin_Period].&amp;[202429]" c="202429"/>
        <s v="[BI metrics].[Fin_Period].&amp;[202430]" c="202430"/>
        <s v="[BI metrics].[Fin_Period].&amp;[202431]" c="202431"/>
        <s v="[BI metrics].[Fin_Period].&amp;[202432]" c="202432"/>
        <s v="[BI metrics].[Fin_Period].&amp;[202433]" c="202433"/>
        <s v="[BI metrics].[Fin_Period].&amp;[202434]" c="202434"/>
        <s v="[BI metrics].[Fin_Period].&amp;[202435]" c="202435"/>
        <s v="[BI metrics].[Fin_Period].&amp;[202436]" c="202436"/>
        <s v="[BI metrics].[Fin_Period].&amp;[202437]" c="202437"/>
        <s v="[BI metrics].[Fin_Period].&amp;[202438]" c="202438"/>
        <s v="[BI metrics].[Fin_Period].&amp;[202439]" c="202439"/>
        <s v="[BI metrics].[Fin_Period].&amp;[202440]" c="202440"/>
        <s v="[BI metrics].[Fin_Period].&amp;[202441]" c="202441"/>
        <s v="[BI metrics].[Fin_Period].&amp;[202442]" c="202442"/>
        <s v="[BI metrics].[Fin_Period].&amp;[202443]" c="202443"/>
        <s v="[BI metrics].[Fin_Period].&amp;[202444]" c="202444"/>
        <s v="[BI metrics].[Fin_Period].&amp;[202445]" c="202445"/>
        <s v="[BI metrics].[Fin_Period].&amp;[202446]" c="202446"/>
        <s v="[BI metrics].[Fin_Period].&amp;[202447]" c="202447"/>
        <s v="[BI metrics].[Fin_Period].&amp;[202448]" c="202448"/>
        <s v="[BI metrics].[Fin_Period].&amp;[202449]" c="202449"/>
        <s v="[BI metrics].[Fin_Period].&amp;[202450]" c="202450"/>
        <s v="[BI metrics].[Fin_Period].&amp;[202451]" c="202451"/>
        <s v="[BI metrics].[Fin_Period].&amp;[202452]" c="202452"/>
        <s v="[BI metrics].[Fin_Period].&amp;[202501]" c="202501"/>
        <s v="[BI metrics].[Fin_Period].&amp;[202502]" c="202502"/>
        <s v="[BI metrics].[Fin_Period].&amp;[202503]" c="202503"/>
        <s v="[BI metrics].[Fin_Period].&amp;[202504]" c="202504"/>
        <s v="[BI metrics].[Fin_Period].&amp;[202505]" c="202505"/>
        <s v="[BI metrics].[Fin_Period].&amp;[202506]" c="202506"/>
        <s v="[BI metrics].[Fin_Period].&amp;[202507]" c="202507"/>
        <s v="[BI metrics].[Fin_Period].&amp;[202508]" c="202508"/>
        <s v="[BI metrics].[Fin_Period].&amp;[202509]" c="202509"/>
        <s v="[BI metrics].[Fin_Period].&amp;[202510]" c="202510"/>
        <s v="[BI metrics].[Fin_Period].&amp;[202511]" c="202511"/>
        <s v="[BI metrics].[Fin_Period].&amp;[202512]" c="202512"/>
        <s v="[BI metrics].[Fin_Period].&amp;[202513]" c="202513"/>
        <s v="[BI metrics].[Fin_Period].&amp;[202514]" c="202514"/>
        <s v="[BI metrics].[Fin_Period].&amp;[202515]" c="202515"/>
        <s v="[BI metrics].[Fin_Period].&amp;[202516]" c="202516"/>
        <s v="[BI metrics].[Fin_Period].&amp;[202517]" c="202517"/>
        <s v="[BI metrics].[Fin_Period].&amp;[202518]" c="202518"/>
        <s v="[BI metrics].[Fin_Period].&amp;[202519]" c="202519"/>
        <s v="[BI metrics].[Fin_Period].&amp;[202520]" c="202520"/>
        <s v="[BI metrics].[Fin_Period].&amp;[202521]" c="202521"/>
        <s v="[BI metrics].[Fin_Period].&amp;[202522]" c="202522"/>
        <s v="[BI metrics].[Fin_Period].&amp;[202523]" c="202523"/>
        <s v="[BI metrics].[Fin_Period].&amp;[202524]" c="202524"/>
        <s v="[BI metrics].[Fin_Period].&amp;[202525]" c="202525"/>
        <s v="[BI metrics].[Fin_Period].&amp;[202526]" c="202526"/>
        <s v="[BI metrics].[Fin_Period].&amp;[202527]" c="202527"/>
        <s v="[BI metrics].[Fin_Period].&amp;[202528]" c="202528"/>
        <s v="[BI metrics].[Fin_Period].&amp;[202529]" c="202529"/>
        <s v="[BI metrics].[Fin_Period].&amp;[202530]" c="202530"/>
        <s v="[BI metrics].[Fin_Period].&amp;[202531]" c="202531"/>
        <s v="[BI metrics].[Fin_Period].&amp;[202532]" c="202532"/>
        <s v="[BI metrics].[Fin_Period].&amp;[202533]" c="202533"/>
        <s v="[BI metrics].[Fin_Period].&amp;[202534]" c="202534"/>
        <s v="[BI metrics].[Fin_Period].&amp;[202535]" c="202535"/>
        <s v="[BI metrics].[Fin_Period].&amp;[202536]" c="202536"/>
        <s v="[BI metrics].[Fin_Period].&amp;[202537]" c="202537"/>
        <s v="[BI metrics].[Fin_Period].&amp;[202538]" c="202538"/>
        <s v="[BI metrics].[Fin_Period].&amp;[202539]" c="202539"/>
        <s v="[BI metrics].[Fin_Period].&amp;[202540]" c="202540"/>
        <s v="[BI metrics].[Fin_Period].&amp;[202541]" c="202541"/>
        <s v="[BI metrics].[Fin_Period].&amp;[202542]" c="202542"/>
        <s v="[BI metrics].[Fin_Period].&amp;[202543]" c="202543"/>
        <s v="[BI metrics].[Fin_Period].&amp;[202544]" c="202544"/>
        <s v="[BI metrics].[Fin_Period].&amp;[202545]" c="202545"/>
        <s v="[BI metrics].[Fin_Period].&amp;[202546]" c="202546"/>
        <s v="[BI metrics].[Fin_Period].&amp;[202547]" c="202547"/>
        <s v="[BI metrics].[Fin_Period].&amp;[202548]" c="202548"/>
        <s v="[BI metrics].[Fin_Period].&amp;[202549]" c="202549"/>
        <s v="[BI metrics].[Fin_Period].&amp;[202550]" c="202550"/>
        <s v="[BI metrics].[Fin_Period].&amp;[202551]" c="202551"/>
        <s v="[BI metrics].[Fin_Period].&amp;[202552]" c="202552"/>
        <s v="[BI metrics].[Fin_Period].&amp;[202601]" c="202601"/>
        <s v="[BI metrics].[Fin_Period].&amp;[202602]" c="202602"/>
        <s v="[BI metrics].[Fin_Period].&amp;[202603]" c="202603"/>
        <s v="[BI metrics].[Fin_Period].&amp;[202604]" c="202604"/>
        <s v="[BI metrics].[Fin_Period].&amp;[202605]" c="202605"/>
        <s v="[BI metrics].[Fin_Period].&amp;[202606]" c="202606"/>
        <s v="[BI metrics].[Fin_Period].&amp;[202607]" c="202607"/>
        <s v="[BI metrics].[Fin_Period].&amp;[202608]" c="202608"/>
        <s v="[BI metrics].[Fin_Period].&amp;[202609]" c="202609"/>
        <s v="[BI metrics].[Fin_Period].&amp;[202610]" c="202610"/>
        <s v="[BI metrics].[Fin_Period].&amp;[202611]" c="202611"/>
        <s v="[BI metrics].[Fin_Period].&amp;[202612]" c="202612"/>
        <s v="[BI metrics].[Fin_Period].&amp;[202613]" c="202613"/>
        <s v="[BI metrics].[Fin_Period].&amp;[202614]" c="202614"/>
        <s v="[BI metrics].[Fin_Period].&amp;[202615]" c="202615"/>
        <s v="[BI metrics].[Fin_Period].&amp;[202616]" c="202616"/>
        <s v="[BI metrics].[Fin_Period].&amp;[202617]" c="202617"/>
        <s v="[BI metrics].[Fin_Period].&amp;[202618]" c="202618"/>
        <s v="[BI metrics].[Fin_Period].&amp;[202619]" c="202619"/>
        <s v="[BI metrics].[Fin_Period].&amp;[202620]" c="202620"/>
        <s v="[BI metrics].[Fin_Period].&amp;[202621]" c="202621"/>
        <s v="[BI metrics].[Fin_Period].&amp;[202622]" c="202622"/>
        <s v="[BI metrics].[Fin_Period].&amp;[202623]" c="202623"/>
        <s v="[BI metrics].[Fin_Period].&amp;[202624]" c="202624"/>
        <s v="[BI metrics].[Fin_Period].&amp;[202625]" c="202625"/>
        <s v="[BI metrics].[Fin_Period].&amp;[202626]" c="202626"/>
        <s v="[BI metrics].[Fin_Period].&amp;[202627]" c="202627"/>
        <s v="[BI metrics].[Fin_Period].&amp;[202628]" c="202628"/>
        <s v="[BI metrics].[Fin_Period].&amp;[202629]" c="202629"/>
        <s v="[BI metrics].[Fin_Period].&amp;[202630]" c="202630"/>
        <s v="[BI metrics].[Fin_Period].&amp;[202631]" c="202631"/>
        <s v="[BI metrics].[Fin_Period].&amp;[202632]" c="202632"/>
        <s v="[BI metrics].[Fin_Period].&amp;[202633]" c="202633"/>
        <s v="[BI metrics].[Fin_Period].&amp;[202634]" c="202634"/>
        <s v="[BI metrics].[Fin_Period].&amp;[202635]" c="202635"/>
        <s v="[BI metrics].[Fin_Period].&amp;[202636]" c="202636"/>
        <s v="[BI metrics].[Fin_Period].&amp;[202637]" c="202637"/>
        <s v="[BI metrics].[Fin_Period].&amp;[202638]" c="202638"/>
        <s v="[BI metrics].[Fin_Period].&amp;[202639]" c="202639"/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  <s v="[BI metrics].[Fin_Period].&amp;[202708]" c="202708"/>
        <s v="[BI metrics].[Fin_Period].&amp;[202709]" c="202709"/>
        <s v="[BI metrics].[Fin_Period].&amp;[202710]" c="202710"/>
      </sharedItems>
    </cacheField>
    <cacheField name="[BI vw_DynamicsDeliveredSales].[CHANNEL].[CHANNEL]" caption="CHANNEL" numFmtId="0" hierarchy="38" level="1">
      <sharedItems count="2">
        <s v="[BI vw_DynamicsDeliveredSales].[CHANNEL].&amp;[In Store]" c="In Store"/>
        <s v="[BI vw_DynamicsDeliveredSales].[CHANNEL].&amp;[Online]" c="Online"/>
      </sharedItems>
    </cacheField>
    <cacheField name="[BI vw_Store].[Country].[Country]" caption="Country" numFmtId="0" hierarchy="142" level="1">
      <sharedItems count="1">
        <s v="[BI vw_Store].[Country].&amp;[NZ]" c="NZ"/>
      </sharedItems>
    </cacheField>
    <cacheField name="[BI vw_Store].[BranchType].[BranchType]" caption="BranchType" numFmtId="0" hierarchy="140" level="1">
      <sharedItems containsSemiMixedTypes="0" containsString="0"/>
    </cacheField>
    <cacheField name="[BI vw_DynamicsDeliveredSales].[Sales Order Type].[Sales Order Type]" caption="Sales Order Type" numFmtId="0" hierarchy="101" level="1">
      <sharedItems containsSemiMixedTypes="0" containsString="0"/>
    </cacheField>
    <cacheField name="[BI vw_DynamicsDeliveredSales].[Division].[Division]" caption="Division" numFmtId="0" hierarchy="60" level="1">
      <sharedItems count="2">
        <s v="[BI vw_DynamicsDeliveredSales].[Division].&amp;[Furniture]" c="Furniture"/>
        <s v="[BI vw_DynamicsDeliveredSales].[Division].&amp;[Homewares]" c="Homewares"/>
      </sharedItems>
    </cacheField>
    <cacheField name="[Measures].[R-Trading Margin TY $]" caption="R-Trading Margin TY $" numFmtId="0" hierarchy="270" level="32767"/>
  </cacheFields>
  <cacheHierarchies count="311"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1"/>
      </fieldsUsage>
    </cacheHierarchy>
    <cacheHierarchy uniqueName="[BI metrics].[Fin_Week]" caption="Fin_Week" attribute="1" defaultMemberUniqueName="[BI metrics].[Fin_Week].[All]" allUniqueName="[BI metrics].[Fin_Week].[All]" dimensionUniqueName="[BI metrics]" displayFolder="" count="0" memberValueDatatype="130" unbalanced="0"/>
    <cacheHierarchy uniqueName="[BI metrics].[Fin_Year]" caption="Fin_Year" attribute="1" defaultMemberUniqueName="[BI metrics].[Fin_Year].[All]" allUniqueName="[BI metrics].[Fin_Year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13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5" unbalanced="0"/>
    <cacheHierarchy uniqueName="[BI metrics].[LastYear_Week]" caption="LastYear_Week" attribute="1" defaultMemberUniqueName="[BI metrics].[LastYear_Week].[All]" allUniqueName="[BI metrics].[LastYear_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5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5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0"/>
      </fieldsUsage>
    </cacheHierarchy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vw_Budget Duplicate].[BudgetDollar]" caption="BudgetDollar" attribute="1" defaultMemberUniqueName="[BI vw_Budget Duplicate].[BudgetDollar].[All]" allUniqueName="[BI vw_Budget Duplicate].[BudgetDollar].[All]" dimensionUniqueName="[BI vw_Budget Duplicate]" displayFolder="" count="0" memberValueDatatype="6" unbalanced="0"/>
    <cacheHierarchy uniqueName="[BI vw_Budget Duplicate].[BudgetYear]" caption="BudgetYear" attribute="1" defaultMemberUniqueName="[BI vw_Budget Duplicate].[BudgetYear].[All]" allUniqueName="[BI vw_Budget Duplicate].[BudgetYear].[All]" dimensionUniqueName="[BI vw_Budget Duplicate]" displayFolder="" count="0" memberValueDatatype="20" unbalanced="0"/>
    <cacheHierarchy uniqueName="[BI vw_Budget Duplicate].[FinPeriod]" caption="FinPeriod" attribute="1" defaultMemberUniqueName="[BI vw_Budget Duplicate].[FinPeriod].[All]" allUniqueName="[BI vw_Budget Duplicate].[FinPeriod].[All]" dimensionUniqueName="[BI vw_Budget Duplicate]" displayFolder="" count="0" memberValueDatatype="130" unbalanced="0"/>
    <cacheHierarchy uniqueName="[BI vw_Budget Duplicate].[Store]" caption="Store" attribute="1" defaultMemberUniqueName="[BI vw_Budget Duplicate].[Store].[All]" allUniqueName="[BI vw_Budget Duplicate].[Store].[All]" dimensionUniqueName="[BI vw_Budget Duplicate]" displayFolder="" count="0" memberValueDatatype="130" unbalanced="0"/>
    <cacheHierarchy uniqueName="[BI vw_Budget Duplicate].[YearFinPeriod]" caption="YearFinPeriod" attribute="1" defaultMemberUniqueName="[BI vw_Budget Duplicate].[YearFinPeriod].[All]" allUniqueName="[BI vw_Budget Duplicate].[YearFinPeriod].[All]" dimensionUniqueName="[BI vw_Budget Duplicate]" displayFolder="" count="0" memberValueDatatype="130" unbalanced="0"/>
    <cacheHierarchy uniqueName="[BI vw_BudgetDeliveredSalesByStore].[Budget_Key]" caption="Budget_Key" attribute="1" defaultMemberUniqueName="[BI vw_BudgetDeliveredSalesByStore].[Budget_Key].[All]" allUniqueName="[BI vw_BudgetDeliveredSalesByStore].[Budget_Key].[All]" dimensionUniqueName="[BI vw_BudgetDeliveredSalesByStore]" displayFolder="" count="0" memberValueDatatype="130" unbalanced="0"/>
    <cacheHierarchy uniqueName="[BI vw_BudgetDeliveredSalesByStore].[BudgetDollar]" caption="BudgetDollar" attribute="1" defaultMemberUniqueName="[BI vw_BudgetDeliveredSalesByStore].[BudgetDollar].[All]" allUniqueName="[BI vw_BudgetDeliveredSalesByStore].[BudgetDollar].[All]" dimensionUniqueName="[BI vw_BudgetDeliveredSalesByStore]" displayFolder="" count="0" memberValueDatatype="6" unbalanced="0"/>
    <cacheHierarchy uniqueName="[BI vw_BudgetDeliveredSalesByStore].[BudgetYear]" caption="BudgetYear" attribute="1" defaultMemberUniqueName="[BI vw_BudgetDeliveredSalesByStore].[BudgetYear].[All]" allUniqueName="[BI vw_BudgetDeliveredSalesByStore].[BudgetYear].[All]" dimensionUniqueName="[BI vw_BudgetDeliveredSalesByStore]" displayFolder="" count="0" memberValueDatatype="20" unbalanced="0"/>
    <cacheHierarchy uniqueName="[BI vw_BudgetDeliveredSalesByStore].[FinPeriod]" caption="FinPeriod" attribute="1" defaultMemberUniqueName="[BI vw_BudgetDeliveredSalesByStore].[FinPeriod].[All]" allUniqueName="[BI vw_BudgetDeliveredSalesByStore].[FinPeriod].[All]" dimensionUniqueName="[BI vw_BudgetDeliveredSalesByStore]" displayFolder="" count="0" memberValueDatatype="130" unbalanced="0"/>
    <cacheHierarchy uniqueName="[BI vw_BudgetDeliveredSalesByStore].[Store]" caption="Store" attribute="1" defaultMemberUniqueName="[BI vw_BudgetDeliveredSalesByStore].[Store].[All]" allUniqueName="[BI vw_BudgetDeliveredSalesByStore].[Store].[All]" dimensionUniqueName="[BI vw_BudgetDeliveredSalesByStore]" displayFolder="" count="0" memberValueDatatype="130" unbalanced="0"/>
    <cacheHierarchy uniqueName="[BI vw_BudgetDeliveredSalesByStore].[YearFinPeriod]" caption="YearFinPeriod" attribute="1" defaultMemberUniqueName="[BI vw_BudgetDeliveredSalesByStore].[YearFinPeriod].[All]" allUniqueName="[BI vw_BudgetDeliveredSalesByStore].[YearFinPeriod].[All]" dimensionUniqueName="[BI vw_BudgetDeliveredSalesByStore]" displayFolder="" count="0" memberValueDatatype="130" unbalanced="0"/>
    <cacheHierarchy uniqueName="[BI vw_Dynamics_FFAFDropshipwholesaleprice].[Key]" caption="Key" attribute="1" defaultMemberUniqueName="[BI vw_Dynamics_FFAFDropshipwholesaleprice].[Key].[All]" allUniqueName="[BI vw_Dynamics_FFAFDropshipwholesaleprice].[Key].[All]" dimensionUniqueName="[BI vw_Dynamics_FFAFDropshipwholesaleprice]" displayFolder="" count="0" memberValueDatatype="130" unbalanced="0"/>
    <cacheHierarchy uniqueName="[BI vw_Dynamics_FFAFDropshipwholesaleprice].[WholeSalePrice_FFAFdropship]" caption="WholeSalePrice_FFAFdropship" attribute="1" defaultMemberUniqueName="[BI vw_Dynamics_FFAFDropshipwholesaleprice].[WholeSalePrice_FFAFdropship].[All]" allUniqueName="[BI vw_Dynamics_FFAFDropshipwholesaleprice].[WholeSalePrice_FFAFdropship].[All]" dimensionUniqueName="[BI vw_Dynamics_FFAFDropshipwholesaleprice]" displayFolder="" count="0" memberValueDatatype="5" unbalanced="0"/>
    <cacheHierarchy uniqueName="[BI vw_DynamicsDeliveredSales].[AU-AU]" caption="AU-AU" attribute="1" defaultMemberUniqueName="[BI vw_DynamicsDeliveredSales].[AU-AU].[All]" allUniqueName="[BI vw_DynamicsDeliveredSales].[AU-AU].[All]" dimensionUniqueName="[BI vw_DynamicsDeliveredSales]" displayFolder="" count="0" memberValueDatatype="5" unbalanced="0"/>
    <cacheHierarchy uniqueName="[BI vw_DynamicsDeliveredSales].[AU-NZ]" caption="AU-NZ" attribute="1" defaultMemberUniqueName="[BI vw_DynamicsDeliveredSales].[AU-NZ].[All]" allUniqueName="[BI vw_DynamicsDeliveredSales].[AU-NZ].[All]" dimensionUniqueName="[BI vw_DynamicsDeliveredSales]" displayFolder="" count="0" memberValueDatatype="5" unbalanced="0"/>
    <cacheHierarchy uniqueName="[BI vw_DynamicsDeliveredSales].[BI vw_Dynamics_FFAFDropshipwholesaleprice.WholeSalePrice_FFAFdropship]" caption="BI vw_Dynamics_FFAFDropshipwholesaleprice.WholeSalePrice_FFAFdropship" attribute="1" defaultMemberUniqueName="[BI vw_DynamicsDeliveredSales].[BI vw_Dynamics_FFAFDropshipwholesaleprice.WholeSalePrice_FFAFdropship].[All]" allUniqueName="[BI vw_DynamicsDeliveredSales].[BI vw_Dynamics_FFAFDropshipwholesaleprice.WholeSalePrice_FFAFdropship].[All]" dimensionUniqueName="[BI vw_DynamicsDeliveredSales]" displayFolder="" count="0" memberValueDatatype="5" unbalanced="0"/>
    <cacheHierarchy uniqueName="[BI vw_DynamicsDeliveredSales].[BranchType]" caption="BranchType" attribute="1" defaultMemberUniqueName="[BI vw_DynamicsDeliveredSales].[BranchType].[All]" allUniqueName="[BI vw_DynamicsDeliveredSales].[BranchType].[All]" dimensionUniqueName="[BI vw_DynamicsDeliveredSales]" displayFolder="" count="0" memberValueDatatype="130" unbalanced="0"/>
    <cacheHierarchy uniqueName="[BI vw_DynamicsDeliveredSales].[Budget_Key]" caption="Budget_Key" attribute="1" defaultMemberUniqueName="[BI vw_DynamicsDeliveredSales].[Budget_Key].[All]" allUniqueName="[BI vw_DynamicsDeliveredSales].[Budget_Key].[All]" dimensionUniqueName="[BI vw_DynamicsDeliveredSales]" displayFolder="" count="0" memberValueDatatype="130" unbalanced="0"/>
    <cacheHierarchy uniqueName="[BI vw_DynamicsDeliveredSales].[CHANNEL]" caption="CHANNEL" attribute="1" defaultMemberUniqueName="[BI vw_DynamicsDeliveredSales].[CHANNEL].[All]" allUniqueName="[BI vw_DynamicsDeliveredSales].[CHANNEL].[All]" dimensionUniqueName="[BI vw_DynamicsDeliveredSales]" displayFolder="" count="2" memberValueDatatype="130" unbalanced="0">
      <fieldsUsage count="2">
        <fieldUsage x="-1"/>
        <fieldUsage x="2"/>
      </fieldsUsage>
    </cacheHierarchy>
    <cacheHierarchy uniqueName="[BI vw_DynamicsDeliveredSales].[ClassDesc]" caption="ClassDesc" attribute="1" defaultMemberUniqueName="[BI vw_DynamicsDeliveredSales].[ClassDesc].[All]" allUniqueName="[BI vw_DynamicsDeliveredSales].[ClassDesc].[All]" dimensionUniqueName="[BI vw_DynamicsDeliveredSales]" displayFolder="" count="0" memberValueDatatype="130" unbalanced="0"/>
    <cacheHierarchy uniqueName="[BI vw_DynamicsDeliveredSales].[COMPANY]" caption="COMPANY" attribute="1" defaultMemberUniqueName="[BI vw_DynamicsDeliveredSales].[COMPANY].[All]" allUniqueName="[BI vw_DynamicsDeliveredSales].[COMPANY].[All]" dimensionUniqueName="[BI vw_DynamicsDeliveredSales]" displayFolder="" count="0" memberValueDatatype="130" unbalanced="0"/>
    <cacheHierarchy uniqueName="[BI vw_DynamicsDeliveredSales].[CONTRIBUTIONMARGIN]" caption="CONTRIBUTIONMARGIN" attribute="1" defaultMemberUniqueName="[BI vw_DynamicsDeliveredSales].[CONTRIBUTIONMARGIN].[All]" allUniqueName="[BI vw_DynamicsDeliveredSales].[CONTRIBUTIONMARGIN].[All]" dimensionUniqueName="[BI vw_DynamicsDeliveredSales]" displayFolder="" count="0" memberValueDatatype="5" unbalanced="0"/>
    <cacheHierarchy uniqueName="[BI vw_DynamicsDeliveredSales].[CONTRIBUTIONMARGININVOICED]" caption="CONTRIBUTIONMARGININVOICED" attribute="1" defaultMemberUniqueName="[BI vw_DynamicsDeliveredSales].[CONTRIBUTIONMARGININVOICED].[All]" allUniqueName="[BI vw_DynamicsDeliveredSales].[CONTRIBUTIONMARGININVOICED].[All]" dimensionUniqueName="[BI vw_DynamicsDeliveredSales]" displayFolder="" count="0" memberValueDatatype="5" unbalanced="0"/>
    <cacheHierarchy uniqueName="[BI vw_DynamicsDeliveredSales].[COSTAMOUNTSTD]" caption="COSTAMOUNTSTD" attribute="1" defaultMemberUniqueName="[BI vw_DynamicsDeliveredSales].[COSTAMOUNTSTD].[All]" allUniqueName="[BI vw_DynamicsDeliveredSales].[COSTAMOUNTSTD].[All]" dimensionUniqueName="[BI vw_DynamicsDeliveredSales]" displayFolder="" count="0" memberValueDatatype="5" unbalanced="0"/>
    <cacheHierarchy uniqueName="[BI vw_DynamicsDeliveredSales].[COSTAMOUNTSTDADJUSTMENT]" caption="COSTAMOUNTSTDADJUSTMENT" attribute="1" defaultMemberUniqueName="[BI vw_DynamicsDeliveredSales].[COSTAMOUNTSTDADJUSTMENT].[All]" allUniqueName="[BI vw_DynamicsDeliveredSales].[COSTAMOUNTSTDADJUSTMENT].[All]" dimensionUniqueName="[BI vw_DynamicsDeliveredSales]" displayFolder="" count="0" memberValueDatatype="5" unbalanced="0"/>
    <cacheHierarchy uniqueName="[BI vw_DynamicsDeliveredSales].[COSTINVOICEDCOST]" caption="COSTINVOICEDCOST" attribute="1" defaultMemberUniqueName="[BI vw_DynamicsDeliveredSales].[COSTINVOICEDCOST].[All]" allUniqueName="[BI vw_DynamicsDeliveredSales].[COSTINVOICEDCOST].[All]" dimensionUniqueName="[BI vw_DynamicsDeliveredSales]" displayFolder="" count="0" memberValueDatatype="5" unbalanced="0"/>
    <cacheHierarchy uniqueName="[BI vw_DynamicsDeliveredSales].[Country]" caption="Country" attribute="1" defaultMemberUniqueName="[BI vw_DynamicsDeliveredSales].[Country].[All]" allUniqueName="[BI vw_DynamicsDeliveredSales].[Country].[All]" dimensionUniqueName="[BI vw_DynamicsDeliveredSales]" displayFolder="" count="0" memberValueDatatype="130" unbalanced="0"/>
    <cacheHierarchy uniqueName="[BI vw_DynamicsDeliveredSales].[CUSTACCOUNT]" caption="CUSTACCOUNT" attribute="1" defaultMemberUniqueName="[BI vw_DynamicsDeliveredSales].[CUSTACCOUNT].[All]" allUniqueName="[BI vw_DynamicsDeliveredSales].[CUSTACCOUNT].[All]" dimensionUniqueName="[BI vw_DynamicsDeliveredSales]" displayFolder="" count="0" memberValueDatatype="130" unbalanced="0"/>
    <cacheHierarchy uniqueName="[BI vw_DynamicsDeliveredSales].[CUSTACCOUNT - Copy]" caption="CUSTACCOUNT - Copy" attribute="1" defaultMemberUniqueName="[BI vw_DynamicsDeliveredSales].[CUSTACCOUNT - Copy].[All]" allUniqueName="[BI vw_DynamicsDeliveredSales].[CUSTACCOUNT - Copy].[All]" dimensionUniqueName="[BI vw_DynamicsDeliveredSales]" displayFolder="" count="0" memberValueDatatype="130" unbalanced="0"/>
    <cacheHierarchy uniqueName="[BI vw_DynamicsDeliveredSales].[CUSTOMERNAME]" caption="CUSTOMERNAME" attribute="1" defaultMemberUniqueName="[BI vw_DynamicsDeliveredSales].[CUSTOMERNAME].[All]" allUniqueName="[BI vw_DynamicsDeliveredSales].[CUSTOMERNAME].[All]" dimensionUniqueName="[BI vw_DynamicsDeliveredSales]" displayFolder="" count="0" memberValueDatatype="130" unbalanced="0"/>
    <cacheHierarchy uniqueName="[BI vw_DynamicsDeliveredSales].[CUSTOMERSORDERREFERENCE]" caption="CUSTOMERSORDERREFERENCE" attribute="1" defaultMemberUniqueName="[BI vw_DynamicsDeliveredSales].[CUSTOMERSORDERREFERENCE].[All]" allUniqueName="[BI vw_DynamicsDeliveredSales].[CUSTOMERSORDERREFERENCE].[All]" dimensionUniqueName="[BI vw_DynamicsDeliveredSales]" displayFolder="" count="0" memberValueDatatype="130" unbalanced="0"/>
    <cacheHierarchy uniqueName="[BI vw_DynamicsDeliveredSales].[DATAAREAID]" caption="DATAAREAID" attribute="1" defaultMemberUniqueName="[BI vw_DynamicsDeliveredSales].[DATAAREAID].[All]" allUniqueName="[BI vw_DynamicsDeliveredSales].[DATAAREAID].[All]" dimensionUniqueName="[BI vw_DynamicsDeliveredSales]" displayFolder="" count="0" memberValueDatatype="130" unbalanced="0"/>
    <cacheHierarchy uniqueName="[BI vw_DynamicsDeliveredSales].[DC Name]" caption="DC Name" attribute="1" defaultMemberUniqueName="[BI vw_DynamicsDeliveredSales].[DC Name].[All]" allUniqueName="[BI vw_DynamicsDeliveredSales].[DC Name].[All]" dimensionUniqueName="[BI vw_DynamicsDeliveredSales]" displayFolder="" count="0" memberValueDatatype="130" unbalanced="0"/>
    <cacheHierarchy uniqueName="[BI vw_DynamicsDeliveredSales].[DC SO Name]" caption="DC SO Name" attribute="1" defaultMemberUniqueName="[BI vw_DynamicsDeliveredSales].[DC SO Name].[All]" allUniqueName="[BI vw_DynamicsDeliveredSales].[DC SO Name].[All]" dimensionUniqueName="[BI vw_DynamicsDeliveredSales]" displayFolder="" count="0" memberValueDatatype="20" unbalanced="0"/>
    <cacheHierarchy uniqueName="[BI vw_DynamicsDeliveredSales].[DEFAULTLEDGERDIMENSIONDISPLAYVALUE]" caption="DEFAULTLEDGERDIMENSIONDISPLAYVALUE" attribute="1" defaultMemberUniqueName="[BI vw_DynamicsDeliveredSales].[DEFAULTLEDGERDIMENSIONDISPLAYVALUE].[All]" allUniqueName="[BI vw_DynamicsDeliveredSales].[DEFAULTLEDGERDIMENSIONDISPLAYVALUE].[All]" dimensionUniqueName="[BI vw_DynamicsDeliveredSales]" displayFolder="" count="0" memberValueDatatype="130" unbalanced="0"/>
    <cacheHierarchy uniqueName="[BI vw_DynamicsDeliveredSales].[DEFAULTSHIPPINGWAREHOUSEID]" caption="DEFAULTSHIPPINGWAREHOUSEID" attribute="1" defaultMemberUniqueName="[BI vw_DynamicsDeliveredSales].[DEFAULTSHIPPINGWAREHOUSEID].[All]" allUniqueName="[BI vw_DynamicsDeliveredSales].[DEFAULTSHIPPINGWAREHOUSEID].[All]" dimensionUniqueName="[BI vw_DynamicsDeliveredSales]" displayFolder="" count="0" memberValueDatatype="130" unbalanced="0"/>
    <cacheHierarchy uniqueName="[BI vw_DynamicsDeliveredSales].[DELIVERYMODECODE]" caption="DELIVERYMODECODE" attribute="1" defaultMemberUniqueName="[BI vw_DynamicsDeliveredSales].[DELIVERYMODECODE].[All]" allUniqueName="[BI vw_DynamicsDeliveredSales].[DELIVERYMODECODE].[All]" dimensionUniqueName="[BI vw_DynamicsDeliveredSales]" displayFolder="" count="0" memberValueDatatype="130" unbalanced="0"/>
    <cacheHierarchy uniqueName="[BI vw_DynamicsDeliveredSales].[Department]" caption="Department" attribute="1" defaultMemberUniqueName="[BI vw_DynamicsDeliveredSales].[Department].[All]" allUniqueName="[BI vw_DynamicsDeliveredSales].[Department].[All]" dimensionUniqueName="[BI vw_DynamicsDeliveredSales]" displayFolder="" count="0" memberValueDatatype="5" unbalanced="0"/>
    <cacheHierarchy uniqueName="[BI vw_DynamicsDeliveredSales].[DepartmentDesc]" caption="DepartmentDesc" attribute="1" defaultMemberUniqueName="[BI vw_DynamicsDeliveredSales].[DepartmentDesc].[All]" allUniqueName="[BI vw_DynamicsDeliveredSales].[DepartmentDesc].[All]" dimensionUniqueName="[BI vw_DynamicsDeliveredSales]" displayFolder="" count="0" memberValueDatatype="130" unbalanced="0"/>
    <cacheHierarchy uniqueName="[BI vw_DynamicsDeliveredSales].[DISCINVOICEDDISC]" caption="DISCINVOICEDDISC" attribute="1" defaultMemberUniqueName="[BI vw_DynamicsDeliveredSales].[DISCINVOICEDDISC].[All]" allUniqueName="[BI vw_DynamicsDeliveredSales].[DISCINVOICEDDISC].[All]" dimensionUniqueName="[BI vw_DynamicsDeliveredSales]" displayFolder="" count="0" memberValueDatatype="5" unbalanced="0"/>
    <cacheHierarchy uniqueName="[BI vw_DynamicsDeliveredSales].[Division]" caption="Division" attribute="1" defaultMemberUniqueName="[BI vw_DynamicsDeliveredSales].[Division].[All]" allUniqueName="[BI vw_DynamicsDeliveredSales].[Division].[All]" dimensionUniqueName="[BI vw_DynamicsDeliveredSales]" displayFolder="" count="2" memberValueDatatype="130" unbalanced="0">
      <fieldsUsage count="2">
        <fieldUsage x="-1"/>
        <fieldUsage x="6"/>
      </fieldsUsage>
    </cacheHierarchy>
    <cacheHierarchy uniqueName="[BI vw_DynamicsDeliveredSales].[Dropship]" caption="Dropship" attribute="1" defaultMemberUniqueName="[BI vw_DynamicsDeliveredSales].[Dropship].[All]" allUniqueName="[BI vw_DynamicsDeliveredSales].[Dropship].[All]" dimensionUniqueName="[BI vw_DynamicsDeliveredSales]" displayFolder="" count="0" memberValueDatatype="130" unbalanced="0"/>
    <cacheHierarchy uniqueName="[BI vw_DynamicsDeliveredSales].[DXC_BASEITEMNUMBER]" caption="DXC_BASEITEMNUMBER" attribute="1" defaultMemberUniqueName="[BI vw_DynamicsDeliveredSales].[DXC_BASEITEMNUMBER].[All]" allUniqueName="[BI vw_DynamicsDeliveredSales].[DXC_BASEITEMNUMBER].[All]" dimensionUniqueName="[BI vw_DynamicsDeliveredSales]" displayFolder="" count="0" memberValueDatatype="130" unbalanced="0"/>
    <cacheHierarchy uniqueName="[BI vw_DynamicsDeliveredSales].[dxc_EXTERNALCREATEDDATE]" caption="dxc_EXTERNALCREATEDDATE" attribute="1" time="1" defaultMemberUniqueName="[BI vw_DynamicsDeliveredSales].[dxc_EXTERNALCREATEDDATE].[All]" allUniqueName="[BI vw_DynamicsDeliveredSales].[dxc_EXTERNALCREATEDDATE].[All]" dimensionUniqueName="[BI vw_DynamicsDeliveredSales]" displayFolder="" count="0" memberValueDatatype="7" unbalanced="0"/>
    <cacheHierarchy uniqueName="[BI vw_DynamicsDeliveredSales].[DXC_EXTERNALITEMNUMBER]" caption="DXC_EXTERNALITEMNUMBER" attribute="1" defaultMemberUniqueName="[BI vw_DynamicsDeliveredSales].[DXC_EXTERNALITEMNUMBER].[All]" allUniqueName="[BI vw_DynamicsDeliveredSales].[DXC_EXTERNALITEMNUMBER].[All]" dimensionUniqueName="[BI vw_DynamicsDeliveredSales]" displayFolder="" count="0" memberValueDatatype="130" unbalanced="0"/>
    <cacheHierarchy uniqueName="[BI vw_DynamicsDeliveredSales].[DXC_SALESPERSONID]" caption="DXC_SALESPERSONID" attribute="1" defaultMemberUniqueName="[BI vw_DynamicsDeliveredSales].[DXC_SALESPERSONID].[All]" allUniqueName="[BI vw_DynamicsDeliveredSales].[DXC_SALESPERSONID].[All]" dimensionUniqueName="[BI vw_DynamicsDeliveredSales]" displayFolder="" count="0" memberValueDatatype="130" unbalanced="0"/>
    <cacheHierarchy uniqueName="[BI vw_DynamicsDeliveredSales].[FINALUPC]" caption="FINALUPC" attribute="1" defaultMemberUniqueName="[BI vw_DynamicsDeliveredSales].[FINALUPC].[All]" allUniqueName="[BI vw_DynamicsDeliveredSales].[FINALUPC].[All]" dimensionUniqueName="[BI vw_DynamicsDeliveredSales]" displayFolder="" count="0" memberValueDatatype="20" unbalanced="0"/>
    <cacheHierarchy uniqueName="[BI vw_DynamicsDeliveredSales].[FinPeriod]" caption="FinPeriod" attribute="1" defaultMemberUniqueName="[BI vw_DynamicsDeliveredSales].[FinPeriod].[All]" allUniqueName="[BI vw_DynamicsDeliveredSales].[FinPeriod].[All]" dimensionUniqueName="[BI vw_DynamicsDeliveredSales]" displayFolder="" count="0" memberValueDatatype="20" unbalanced="0"/>
    <cacheHierarchy uniqueName="[BI vw_DynamicsDeliveredSales].[FinPeriod Cal]" caption="FinPeriod Cal" attribute="1" defaultMemberUniqueName="[BI vw_DynamicsDeliveredSales].[FinPeriod Cal].[All]" allUniqueName="[BI vw_DynamicsDeliveredSales].[FinPeriod Cal].[All]" dimensionUniqueName="[BI vw_DynamicsDeliveredSales]" displayFolder="" count="0" memberValueDatatype="20" unbalanced="0"/>
    <cacheHierarchy uniqueName="[BI vw_DynamicsDeliveredSales].[FirstWeek-Month]" caption="FirstWeek-Month" attribute="1" defaultMemberUniqueName="[BI vw_DynamicsDeliveredSales].[FirstWeek-Month].[All]" allUniqueName="[BI vw_DynamicsDeliveredSales].[FirstWeek-Month].[All]" dimensionUniqueName="[BI vw_DynamicsDeliveredSales]" displayFolder="" count="0" memberValueDatatype="20" unbalanced="0"/>
    <cacheHierarchy uniqueName="[BI vw_DynamicsDeliveredSales].[FirstWeek-QTD]" caption="FirstWeek-QTD" attribute="1" defaultMemberUniqueName="[BI vw_DynamicsDeliveredSales].[FirstWeek-QTD].[All]" allUniqueName="[BI vw_DynamicsDeliveredSales].[FirstWeek-QTD].[All]" dimensionUniqueName="[BI vw_DynamicsDeliveredSales]" displayFolder="" count="0" memberValueDatatype="20" unbalanced="0"/>
    <cacheHierarchy uniqueName="[BI vw_DynamicsDeliveredSales].[FirstWeek-Year]" caption="FirstWeek-Year" attribute="1" defaultMemberUniqueName="[BI vw_DynamicsDeliveredSales].[FirstWeek-Year].[All]" allUniqueName="[BI vw_DynamicsDeliveredSales].[FirstWeek-Year].[All]" dimensionUniqueName="[BI vw_DynamicsDeliveredSales]" displayFolder="" count="0" memberValueDatatype="130" unbalanced="0"/>
    <cacheHierarchy uniqueName="[BI vw_DynamicsDeliveredSales].[GROSSINVOICEDGROSS]" caption="GROSSINVOICEDGROSS" attribute="1" defaultMemberUniqueName="[BI vw_DynamicsDeliveredSales].[GROSSINVOICEDGROSS].[All]" allUniqueName="[BI vw_DynamicsDeliveredSales].[GROSSINVOICEDGROSS].[All]" dimensionUniqueName="[BI vw_DynamicsDeliveredSales]" displayFolder="" count="0" memberValueDatatype="5" unbalanced="0"/>
    <cacheHierarchy uniqueName="[BI vw_DynamicsDeliveredSales].[INVENTTRANSID]" caption="INVENTTRANSID" attribute="1" defaultMemberUniqueName="[BI vw_DynamicsDeliveredSales].[INVENTTRANSID].[All]" allUniqueName="[BI vw_DynamicsDeliveredSales].[INVENTTRANSID].[All]" dimensionUniqueName="[BI vw_DynamicsDeliveredSales]" displayFolder="" count="0" memberValueDatatype="130" unbalanced="0"/>
    <cacheHierarchy uniqueName="[BI vw_DynamicsDeliveredSales].[INVOICEDATE]" caption="INVOICEDATE" attribute="1" time="1" defaultMemberUniqueName="[BI vw_DynamicsDeliveredSales].[INVOICEDATE].[All]" allUniqueName="[BI vw_DynamicsDeliveredSales].[INVOICEDATE].[All]" dimensionUniqueName="[BI vw_DynamicsDeliveredSales]" displayFolder="" count="0" memberValueDatatype="7" unbalanced="0"/>
    <cacheHierarchy uniqueName="[BI vw_DynamicsDeliveredSales].[INVOICEID]" caption="INVOICEID" attribute="1" defaultMemberUniqueName="[BI vw_DynamicsDeliveredSales].[INVOICEID].[All]" allUniqueName="[BI vw_DynamicsDeliveredSales].[INVOICEID].[All]" dimensionUniqueName="[BI vw_DynamicsDeliveredSales]" displayFolder="" count="0" memberValueDatatype="130" unbalanced="0"/>
    <cacheHierarchy uniqueName="[BI vw_DynamicsDeliveredSales].[ISSELECTED]" caption="ISSELECTED" attribute="1" defaultMemberUniqueName="[BI vw_DynamicsDeliveredSales].[ISSELECTED].[All]" allUniqueName="[BI vw_DynamicsDeliveredSales].[ISSELECTED].[All]" dimensionUniqueName="[BI vw_DynamicsDeliveredSales]" displayFolder="" count="0" memberValueDatatype="20" unbalanced="0"/>
    <cacheHierarchy uniqueName="[BI vw_DynamicsDeliveredSales].[ITEMID]" caption="ITEMID" attribute="1" defaultMemberUniqueName="[BI vw_DynamicsDeliveredSales].[ITEMID].[All]" allUniqueName="[BI vw_DynamicsDeliveredSales].[ITEMID].[All]" dimensionUniqueName="[BI vw_DynamicsDeliveredSales]" displayFolder="" count="0" memberValueDatatype="130" unbalanced="0"/>
    <cacheHierarchy uniqueName="[BI vw_DynamicsDeliveredSales].[ITEMNAME]" caption="ITEMNAME" attribute="1" defaultMemberUniqueName="[BI vw_DynamicsDeliveredSales].[ITEMNAME].[All]" allUniqueName="[BI vw_DynamicsDeliveredSales].[ITEMNAME].[All]" dimensionUniqueName="[BI vw_DynamicsDeliveredSales]" displayFolder="" count="0" memberValueDatatype="130" unbalanced="0"/>
    <cacheHierarchy uniqueName="[BI vw_DynamicsDeliveredSales].[ITEMTYPE]" caption="ITEMTYPE" attribute="1" defaultMemberUniqueName="[BI vw_DynamicsDeliveredSales].[ITEMTYPE].[All]" allUniqueName="[BI vw_DynamicsDeliveredSales].[ITEMTYPE].[All]" dimensionUniqueName="[BI vw_DynamicsDeliveredSales]" displayFolder="" count="0" memberValueDatatype="130" unbalanced="0"/>
    <cacheHierarchy uniqueName="[BI vw_DynamicsDeliveredSales].[LINECREATIONSEQUENCENUMBER]" caption="LINECREATIONSEQUENCENUMBER" attribute="1" defaultMemberUniqueName="[BI vw_DynamicsDeliveredSales].[LINECREATIONSEQUENCENUMBER].[All]" allUniqueName="[BI vw_DynamicsDeliveredSales].[LINECREATIONSEQUENCENUMBER].[All]" dimensionUniqueName="[BI vw_DynamicsDeliveredSales]" displayFolder="" count="0" memberValueDatatype="20" unbalanced="0"/>
    <cacheHierarchy uniqueName="[BI vw_DynamicsDeliveredSales].[LINEDISC]" caption="LINEDISC" attribute="1" defaultMemberUniqueName="[BI vw_DynamicsDeliveredSales].[LINEDISC].[All]" allUniqueName="[BI vw_DynamicsDeliveredSales].[LINEDISC].[All]" dimensionUniqueName="[BI vw_DynamicsDeliveredSales]" displayFolder="" count="0" memberValueDatatype="5" unbalanced="0"/>
    <cacheHierarchy uniqueName="[BI vw_DynamicsDeliveredSales].[LINENUM]" caption="LINENUM" attribute="1" defaultMemberUniqueName="[BI vw_DynamicsDeliveredSales].[LINENUM].[All]" allUniqueName="[BI vw_DynamicsDeliveredSales].[LINENUM].[All]" dimensionUniqueName="[BI vw_DynamicsDeliveredSales]" displayFolder="" count="0" memberValueDatatype="20" unbalanced="0"/>
    <cacheHierarchy uniqueName="[BI vw_DynamicsDeliveredSales].[MarkdownAmounts.1]" caption="MarkdownAmounts.1" attribute="1" defaultMemberUniqueName="[BI vw_DynamicsDeliveredSales].[MarkdownAmounts.1].[All]" allUniqueName="[BI vw_DynamicsDeliveredSales].[MarkdownAmounts.1].[All]" dimensionUniqueName="[BI vw_DynamicsDeliveredSales]" displayFolder="" count="0" memberValueDatatype="5" unbalanced="0"/>
    <cacheHierarchy uniqueName="[BI vw_DynamicsDeliveredSales].[MarkdownAmounts.2]" caption="MarkdownAmounts.2" attribute="1" defaultMemberUniqueName="[BI vw_DynamicsDeliveredSales].[MarkdownAmounts.2].[All]" allUniqueName="[BI vw_DynamicsDeliveredSales].[MarkdownAmounts.2].[All]" dimensionUniqueName="[BI vw_DynamicsDeliveredSales]" displayFolder="" count="0" memberValueDatatype="5" unbalanced="0"/>
    <cacheHierarchy uniqueName="[BI vw_DynamicsDeliveredSales].[MarkdownCategory.1]" caption="MarkdownCategory.1" attribute="1" defaultMemberUniqueName="[BI vw_DynamicsDeliveredSales].[MarkdownCategory.1].[All]" allUniqueName="[BI vw_DynamicsDeliveredSales].[MarkdownCategory.1].[All]" dimensionUniqueName="[BI vw_DynamicsDeliveredSales]" displayFolder="" count="0" memberValueDatatype="130" unbalanced="0"/>
    <cacheHierarchy uniqueName="[BI vw_DynamicsDeliveredSales].[MarkdownCategory.2]" caption="MarkdownCategory.2" attribute="1" defaultMemberUniqueName="[BI vw_DynamicsDeliveredSales].[MarkdownCategory.2].[All]" allUniqueName="[BI vw_DynamicsDeliveredSales].[MarkdownCategory.2].[All]" dimensionUniqueName="[BI vw_DynamicsDeliveredSales]" displayFolder="" count="0" memberValueDatatype="130" unbalanced="0"/>
    <cacheHierarchy uniqueName="[BI vw_DynamicsDeliveredSales].[MarkdownCodes.1]" caption="MarkdownCodes.1" attribute="1" defaultMemberUniqueName="[BI vw_DynamicsDeliveredSales].[MarkdownCodes.1].[All]" allUniqueName="[BI vw_DynamicsDeliveredSales].[MarkdownCodes.1].[All]" dimensionUniqueName="[BI vw_DynamicsDeliveredSales]" displayFolder="" count="0" memberValueDatatype="130" unbalanced="0"/>
    <cacheHierarchy uniqueName="[BI vw_DynamicsDeliveredSales].[MarkdownCodes.2]" caption="MarkdownCodes.2" attribute="1" defaultMemberUniqueName="[BI vw_DynamicsDeliveredSales].[MarkdownCodes.2].[All]" allUniqueName="[BI vw_DynamicsDeliveredSales].[MarkdownCodes.2].[All]" dimensionUniqueName="[BI vw_DynamicsDeliveredSales]" displayFolder="" count="0" memberValueDatatype="130" unbalanced="0"/>
    <cacheHierarchy uniqueName="[BI vw_DynamicsDeliveredSales].[Merged]" caption="Merged" attribute="1" defaultMemberUniqueName="[BI vw_DynamicsDeliveredSales].[Merged].[All]" allUniqueName="[BI vw_DynamicsDeliveredSales].[Merged].[All]" dimensionUniqueName="[BI vw_DynamicsDeliveredSales]" displayFolder="" count="0" memberValueDatatype="130" unbalanced="0"/>
    <cacheHierarchy uniqueName="[BI vw_DynamicsDeliveredSales].[NETINVOICEDNET]" caption="NETINVOICEDNET" attribute="1" defaultMemberUniqueName="[BI vw_DynamicsDeliveredSales].[NETINVOICEDNET].[All]" allUniqueName="[BI vw_DynamicsDeliveredSales].[NETINVOICEDNET].[All]" dimensionUniqueName="[BI vw_DynamicsDeliveredSales]" displayFolder="" count="0" memberValueDatatype="5" unbalanced="0"/>
    <cacheHierarchy uniqueName="[BI vw_DynamicsDeliveredSales].[NETSALESNET]" caption="NETSALESNET" attribute="1" defaultMemberUniqueName="[BI vw_DynamicsDeliveredSales].[NETSALESNET].[All]" allUniqueName="[BI vw_DynamicsDeliveredSales].[NETSALESNET].[All]" dimensionUniqueName="[BI vw_DynamicsDeliveredSales]" displayFolder="" count="0" memberValueDatatype="5" unbalanced="0"/>
    <cacheHierarchy uniqueName="[BI vw_DynamicsDeliveredSales].[NZ-NZ]" caption="NZ-NZ" attribute="1" defaultMemberUniqueName="[BI vw_DynamicsDeliveredSales].[NZ-NZ].[All]" allUniqueName="[BI vw_DynamicsDeliveredSales].[NZ-NZ].[All]" dimensionUniqueName="[BI vw_DynamicsDeliveredSales]" displayFolder="" count="0" memberValueDatatype="5" unbalanced="0"/>
    <cacheHierarchy uniqueName="[BI vw_DynamicsDeliveredSales].[ORDERCREATIONDATETIME]" caption="ORDERCREATIONDATETIME" attribute="1" time="1" defaultMemberUniqueName="[BI vw_DynamicsDeliveredSales].[ORDERCREATIONDATETIME].[All]" allUniqueName="[BI vw_DynamicsDeliveredSales].[ORDERCREATIONDATETIME].[All]" dimensionUniqueName="[BI vw_DynamicsDeliveredSales]" displayFolder="" count="0" memberValueDatatype="7" unbalanced="0"/>
    <cacheHierarchy uniqueName="[BI vw_DynamicsDeliveredSales].[PARTITION]" caption="PARTITION" attribute="1" defaultMemberUniqueName="[BI vw_DynamicsDeliveredSales].[PARTITION].[All]" allUniqueName="[BI vw_DynamicsDeliveredSales].[PARTITION].[All]" dimensionUniqueName="[BI vw_DynamicsDeliveredSales]" displayFolder="" count="0" memberValueDatatype="130" unbalanced="0"/>
    <cacheHierarchy uniqueName="[BI vw_DynamicsDeliveredSales].[PRODUCTTYPE]" caption="PRODUCTTYPE" attribute="1" defaultMemberUniqueName="[BI vw_DynamicsDeliveredSales].[PRODUCTTYPE].[All]" allUniqueName="[BI vw_DynamicsDeliveredSales].[PRODUCTTYPE].[All]" dimensionUniqueName="[BI vw_DynamicsDeliveredSales]" displayFolder="" count="0" memberValueDatatype="20" unbalanced="0"/>
    <cacheHierarchy uniqueName="[BI vw_DynamicsDeliveredSales].[QTY]" caption="QTY" attribute="1" defaultMemberUniqueName="[BI vw_DynamicsDeliveredSales].[QTY].[All]" allUniqueName="[BI vw_DynamicsDeliveredSales].[QTY].[All]" dimensionUniqueName="[BI vw_DynamicsDeliveredSales]" displayFolder="" count="0" memberValueDatatype="5" unbalanced="0"/>
    <cacheHierarchy uniqueName="[BI vw_DynamicsDeliveredSales].[Range]" caption="Range" attribute="1" defaultMemberUniqueName="[BI vw_DynamicsDeliveredSales].[Range].[All]" allUniqueName="[BI vw_DynamicsDeliveredSales].[Range].[All]" dimensionUniqueName="[BI vw_DynamicsDeliveredSales]" displayFolder="" count="0" memberValueDatatype="130" unbalanced="0"/>
    <cacheHierarchy uniqueName="[BI vw_DynamicsDeliveredSales].[RECID]" caption="RECID" attribute="1" defaultMemberUniqueName="[BI vw_DynamicsDeliveredSales].[RECID].[All]" allUniqueName="[BI vw_DynamicsDeliveredSales].[RECID].[All]" dimensionUniqueName="[BI vw_DynamicsDeliveredSales]" displayFolder="" count="0" memberValueDatatype="20" unbalanced="0"/>
    <cacheHierarchy uniqueName="[BI vw_DynamicsDeliveredSales].[Retail/Not]" caption="Retail/Not" attribute="1" defaultMemberUniqueName="[BI vw_DynamicsDeliveredSales].[Retail/Not].[All]" allUniqueName="[BI vw_DynamicsDeliveredSales].[Retail/Not].[All]" dimensionUniqueName="[BI vw_DynamicsDeliveredSales]" displayFolder="" count="0" memberValueDatatype="130" unbalanced="0"/>
    <cacheHierarchy uniqueName="[BI vw_DynamicsDeliveredSales].[SaleOrderLineNumber]" caption="SaleOrderLineNumber" attribute="1" defaultMemberUniqueName="[BI vw_DynamicsDeliveredSales].[SaleOrderLineNumber].[All]" allUniqueName="[BI vw_DynamicsDeliveredSales].[SaleOrderLineNumber].[All]" dimensionUniqueName="[BI vw_DynamicsDeliveredSales]" displayFolder="" count="0" memberValueDatatype="20" unbalanced="0"/>
    <cacheHierarchy uniqueName="[BI vw_DynamicsDeliveredSales].[Sales Order Type]" caption="Sales Order Type" attribute="1" defaultMemberUniqueName="[BI vw_DynamicsDeliveredSales].[Sales Order Type].[All]" allUniqueName="[BI vw_DynamicsDeliveredSales].[Sales Order Type].[All]" dimensionUniqueName="[BI vw_DynamicsDeliveredSales]" displayFolder="" count="2" memberValueDatatype="130" unbalanced="0">
      <fieldsUsage count="2">
        <fieldUsage x="-1"/>
        <fieldUsage x="5"/>
      </fieldsUsage>
    </cacheHierarchy>
    <cacheHierarchy uniqueName="[BI vw_DynamicsDeliveredSales].[Sales Type]" caption="Sales Type" attribute="1" defaultMemberUniqueName="[BI vw_DynamicsDeliveredSales].[Sales Type].[All]" allUniqueName="[BI vw_DynamicsDeliveredSales].[Sales Type].[All]" dimensionUniqueName="[BI vw_DynamicsDeliveredSales]" displayFolder="" count="0" memberValueDatatype="130" unbalanced="0"/>
    <cacheHierarchy uniqueName="[BI vw_DynamicsDeliveredSales].[SALESID]" caption="SALESID" attribute="1" defaultMemberUniqueName="[BI vw_DynamicsDeliveredSales].[SALESID].[All]" allUniqueName="[BI vw_DynamicsDeliveredSales].[SALESID].[All]" dimensionUniqueName="[BI vw_DynamicsDeliveredSales]" displayFolder="" count="0" memberValueDatatype="130" unbalanced="0"/>
    <cacheHierarchy uniqueName="[BI vw_DynamicsDeliveredSales].[SALESORDERNUMBER]" caption="SALESORDERNUMBER" attribute="1" defaultMemberUniqueName="[BI vw_DynamicsDeliveredSales].[SALESORDERNUMBER].[All]" allUniqueName="[BI vw_DynamicsDeliveredSales].[SALESORDERNUMBER].[All]" dimensionUniqueName="[BI vw_DynamicsDeliveredSales]" displayFolder="" count="0" memberValueDatatype="130" unbalanced="0"/>
    <cacheHierarchy uniqueName="[BI vw_DynamicsDeliveredSales].[SALESPRICE]" caption="SALESPRICE" attribute="1" defaultMemberUniqueName="[BI vw_DynamicsDeliveredSales].[SALESPRICE].[All]" allUniqueName="[BI vw_DynamicsDeliveredSales].[SALESPRICE].[All]" dimensionUniqueName="[BI vw_DynamicsDeliveredSales]" displayFolder="" count="0" memberValueDatatype="5" unbalanced="0"/>
    <cacheHierarchy uniqueName="[BI vw_DynamicsDeliveredSales].[SHIPPINGWAREHOUSEID]" caption="SHIPPINGWAREHOUSEID" attribute="1" defaultMemberUniqueName="[BI vw_DynamicsDeliveredSales].[SHIPPINGWAREHOUSEID].[All]" allUniqueName="[BI vw_DynamicsDeliveredSales].[SHIPPINGWAREHOUSEID].[All]" dimensionUniqueName="[BI vw_DynamicsDeliveredSales]" displayFolder="" count="0" memberValueDatatype="130" unbalanced="0"/>
    <cacheHierarchy uniqueName="[BI vw_DynamicsDeliveredSales].[StoreCode]" caption="StoreCode" attribute="1" defaultMemberUniqueName="[BI vw_DynamicsDeliveredSales].[StoreCode].[All]" allUniqueName="[BI vw_DynamicsDeliveredSales].[StoreCode].[All]" dimensionUniqueName="[BI vw_DynamicsDeliveredSales]" displayFolder="" count="0" memberValueDatatype="130" unbalanced="0"/>
    <cacheHierarchy uniqueName="[BI vw_DynamicsDeliveredSales].[SubDepartmentDesc]" caption="SubDepartmentDesc" attribute="1" defaultMemberUniqueName="[BI vw_DynamicsDeliveredSales].[SubDepartmentDesc].[All]" allUniqueName="[BI vw_DynamicsDeliveredSales].[SubDepartmentDesc].[All]" dimensionUniqueName="[BI vw_DynamicsDeliveredSales]" displayFolder="" count="0" memberValueDatatype="130" unbalanced="0"/>
    <cacheHierarchy uniqueName="[BI vw_DynamicsDeliveredSales].[TAXAMOUNT]" caption="TAXAMOUNT" attribute="1" defaultMemberUniqueName="[BI vw_DynamicsDeliveredSales].[TAXAMOUNT].[All]" allUniqueName="[BI vw_DynamicsDeliveredSales].[TAXAMOUNT].[All]" dimensionUniqueName="[BI vw_DynamicsDeliveredSales]" displayFolder="" count="0" memberValueDatatype="5" unbalanced="0"/>
    <cacheHierarchy uniqueName="[BI vw_DynamicsDeliveredSales].[TAXGROUP]" caption="TAXGROUP" attribute="1" defaultMemberUniqueName="[BI vw_DynamicsDeliveredSales].[TAXGROUP].[All]" allUniqueName="[BI vw_DynamicsDeliveredSales].[TAXGROUP].[All]" dimensionUniqueName="[BI vw_DynamicsDeliveredSales]" displayFolder="" count="0" memberValueDatatype="130" unbalanced="0"/>
    <cacheHierarchy uniqueName="[BI vw_DynamicsDeliveredSales].[Total Cost Final]" caption="Total Cost Final" attribute="1" defaultMemberUniqueName="[BI vw_DynamicsDeliveredSales].[Total Cost Final].[All]" allUniqueName="[BI vw_DynamicsDeliveredSales].[Total Cost Final].[All]" dimensionUniqueName="[BI vw_DynamicsDeliveredSales]" displayFolder="" count="0" memberValueDatatype="130" unbalanced="0"/>
    <cacheHierarchy uniqueName="[BI vw_DynamicsDeliveredSales].[TRANSFERSTATUS]" caption="TRANSFERSTATUS" attribute="1" defaultMemberUniqueName="[BI vw_DynamicsDeliveredSales].[TRANSFERSTATUS].[All]" allUniqueName="[BI vw_DynamicsDeliveredSales].[TRANSFERSTATUS].[All]" dimensionUniqueName="[BI vw_DynamicsDeliveredSales]" displayFolder="" count="0" memberValueDatatype="20" unbalanced="0"/>
    <cacheHierarchy uniqueName="[BI vw_DynamicsDeliveredSales].[WAREHOUSE]" caption="WAREHOUSE" attribute="1" defaultMemberUniqueName="[BI vw_DynamicsDeliveredSales].[WAREHOUSE].[All]" allUniqueName="[BI vw_DynamicsDeliveredSales].[WAREHOUSE].[All]" dimensionUniqueName="[BI vw_DynamicsDeliveredSales]" displayFolder="" count="0" memberValueDatatype="130" unbalanced="0"/>
    <cacheHierarchy uniqueName="[BI vw_DynamicsDeliveredSales].[Week]" caption="Week" attribute="1" defaultMemberUniqueName="[BI vw_DynamicsDeliveredSales].[Week].[All]" allUniqueName="[BI vw_DynamicsDeliveredSales].[Week].[All]" dimensionUniqueName="[BI vw_DynamicsDeliveredSales]" displayFolder="" count="0" memberValueDatatype="20" unbalanced="0"/>
    <cacheHierarchy uniqueName="[BI vw_DynamicsDeliveredSales].[Year Month]" caption="Year Month" attribute="1" defaultMemberUniqueName="[BI vw_DynamicsDeliveredSales].[Year Month].[All]" allUniqueName="[BI vw_DynamicsDeliveredSales].[Year Month].[All]" dimensionUniqueName="[BI vw_DynamicsDeliveredSales]" displayFolder="" count="0" memberValueDatatype="20" unbalanced="0"/>
    <cacheHierarchy uniqueName="[BI vw_FinCalendar].[Date]" caption="Date" attribute="1" time="1" defaultMemberUniqueName="[BI vw_FinCalendar].[Date].[All]" allUniqueName="[BI vw_FinCalendar].[Date].[All]" dimensionUniqueName="[BI vw_FinCalendar]" displayFolder="" count="0" memberValueDatatype="7" unbalanced="0"/>
    <cacheHierarchy uniqueName="[BI vw_FinCalendar].[Day_Of_Week]" caption="Day_Of_Week" attribute="1" defaultMemberUniqueName="[BI vw_FinCalendar].[Day_Of_Week].[All]" allUniqueName="[BI vw_FinCalendar].[Day_Of_Week].[All]" dimensionUniqueName="[BI vw_FinCalendar]" displayFolder="" count="0" memberValueDatatype="130" unbalanced="0"/>
    <cacheHierarchy uniqueName="[BI vw_FinCalendar].[Day_Of_Week_Sort]" caption="Day_Of_Week_Sort" attribute="1" defaultMemberUniqueName="[BI vw_FinCalendar].[Day_Of_Week_Sort].[All]" allUniqueName="[BI vw_FinCalendar].[Day_Of_Week_Sort].[All]" dimensionUniqueName="[BI vw_FinCalendar]" displayFolder="" count="0" memberValueDatatype="130" unbalanced="0"/>
    <cacheHierarchy uniqueName="[BI vw_FinCalendar].[Fin_Period]" caption="Fin_Period" attribute="1" defaultMemberUniqueName="[BI vw_FinCalendar].[Fin_Period].[All]" allUniqueName="[BI vw_FinCalendar].[Fin_Period].[All]" dimensionUniqueName="[BI vw_FinCalendar]" displayFolder="" count="0" memberValueDatatype="20" unbalanced="0"/>
    <cacheHierarchy uniqueName="[BI vw_FinCalendar].[Fin_Week]" caption="Fin_Week" attribute="1" defaultMemberUniqueName="[BI vw_FinCalendar].[Fin_Week].[All]" allUniqueName="[BI vw_FinCalendar].[Fin_Week].[All]" dimensionUniqueName="[BI vw_FinCalendar]" displayFolder="" count="0" memberValueDatatype="20" unbalanced="0"/>
    <cacheHierarchy uniqueName="[BI vw_FinCalendar].[Fin_Year]" caption="Fin_Year" attribute="1" defaultMemberUniqueName="[BI vw_FinCalendar].[Fin_Year].[All]" allUniqueName="[BI vw_FinCalendar].[Fin_Year].[All]" dimensionUniqueName="[BI vw_FinCalendar]" displayFolder="" count="0" memberValueDatatype="20" unbalanced="0"/>
    <cacheHierarchy uniqueName="[BI vw_FinCalendar].[Fiscal Month]" caption="Fiscal Month" attribute="1" defaultMemberUniqueName="[BI vw_FinCalendar].[Fiscal Month].[All]" allUniqueName="[BI vw_FinCalendar].[Fiscal Month].[All]" dimensionUniqueName="[BI vw_FinCalendar]" displayFolder="" count="0" memberValueDatatype="130" unbalanced="0"/>
    <cacheHierarchy uniqueName="[BI vw_FinCalendar].[FY]" caption="FY" attribute="1" defaultMemberUniqueName="[BI vw_FinCalendar].[FY].[All]" allUniqueName="[BI vw_FinCalendar].[FY].[All]" dimensionUniqueName="[BI vw_FinCalendar]" displayFolder="" count="0" memberValueDatatype="130" unbalanced="0"/>
    <cacheHierarchy uniqueName="[BI vw_FinCalendar].[Is_Last_Week]" caption="Is_Last_Week" attribute="1" defaultMemberUniqueName="[BI vw_FinCalendar].[Is_Last_Week].[All]" allUniqueName="[BI vw_FinCalendar].[Is_Last_Week].[All]" dimensionUniqueName="[BI vw_FinCalendar]" displayFolder="" count="0" memberValueDatatype="20" unbalanced="0"/>
    <cacheHierarchy uniqueName="[BI vw_FinCalendar].[Is_ThisMonth]" caption="Is_ThisMonth" attribute="1" defaultMemberUniqueName="[BI vw_FinCalendar].[Is_ThisMonth].[All]" allUniqueName="[BI vw_FinCalendar].[Is_ThisMonth].[All]" dimensionUniqueName="[BI vw_FinCalendar]" displayFolder="" count="0" memberValueDatatype="20" unbalanced="0"/>
    <cacheHierarchy uniqueName="[BI vw_FinCalendar].[Is_ThisWeek]" caption="Is_ThisWeek" attribute="1" defaultMemberUniqueName="[BI vw_FinCalendar].[Is_ThisWeek].[All]" allUniqueName="[BI vw_FinCalendar].[Is_ThisWeek].[All]" dimensionUniqueName="[BI vw_FinCalendar]" displayFolder="" count="0" memberValueDatatype="20" unbalanced="0"/>
    <cacheHierarchy uniqueName="[BI vw_FinCalendar].[Is_ThisYear]" caption="Is_ThisYear" attribute="1" defaultMemberUniqueName="[BI vw_FinCalendar].[Is_ThisYear].[All]" allUniqueName="[BI vw_FinCalendar].[Is_ThisYear].[All]" dimensionUniqueName="[BI vw_FinCalendar]" displayFolder="" count="0" memberValueDatatype="20" unbalanced="0"/>
    <cacheHierarchy uniqueName="[BI vw_FinCalendar].[Is_Today]" caption="Is_Today" attribute="1" defaultMemberUniqueName="[BI vw_FinCalendar].[Is_Today].[All]" allUniqueName="[BI vw_FinCalendar].[Is_Today].[All]" dimensionUniqueName="[BI vw_FinCalendar]" displayFolder="" count="0" memberValueDatatype="20" unbalanced="0"/>
    <cacheHierarchy uniqueName="[BI vw_FinCalendar].[Month]" caption="Month" attribute="1" defaultMemberUniqueName="[BI vw_FinCalendar].[Month].[All]" allUniqueName="[BI vw_FinCalendar].[Month].[All]" dimensionUniqueName="[BI vw_FinCalendar]" displayFolder="" count="0" memberValueDatatype="130" unbalanced="0"/>
    <cacheHierarchy uniqueName="[BI vw_FinCalendar].[Month_Display]" caption="Month_Display" attribute="1" defaultMemberUniqueName="[BI vw_FinCalendar].[Month_Display].[All]" allUniqueName="[BI vw_FinCalendar].[Month_Display].[All]" dimensionUniqueName="[BI vw_FinCalendar]" displayFolder="" count="0" memberValueDatatype="130" unbalanced="0"/>
    <cacheHierarchy uniqueName="[BI vw_FinCalendar].[Month_Number]" caption="Month_Number" attribute="1" defaultMemberUniqueName="[BI vw_FinCalendar].[Month_Number].[All]" allUniqueName="[BI vw_FinCalendar].[Month_Number].[All]" dimensionUniqueName="[BI vw_FinCalendar]" displayFolder="" count="0" memberValueDatatype="20" unbalanced="0"/>
    <cacheHierarchy uniqueName="[BI vw_FinCalendar].[Quarter]" caption="Quarter" attribute="1" defaultMemberUniqueName="[BI vw_FinCalendar].[Quarter].[All]" allUniqueName="[BI vw_FinCalendar].[Quarter].[All]" dimensionUniqueName="[BI vw_FinCalendar]" displayFolder="" count="0" memberValueDatatype="130" unbalanced="0"/>
    <cacheHierarchy uniqueName="[BI vw_FinCalendar].[Quarter date]" caption="Quarter date" attribute="1" time="1" defaultMemberUniqueName="[BI vw_FinCalendar].[Quarter date].[All]" allUniqueName="[BI vw_FinCalendar].[Quarter date].[All]" dimensionUniqueName="[BI vw_FinCalendar]" displayFolder="" count="0" memberValueDatatype="7" unbalanced="0"/>
    <cacheHierarchy uniqueName="[BI vw_FinCalendar].[Querter]" caption="Querter" attribute="1" defaultMemberUniqueName="[BI vw_FinCalendar].[Querter].[All]" allUniqueName="[BI vw_FinCalendar].[Querter].[All]" dimensionUniqueName="[BI vw_FinCalendar]" displayFolder="" count="0" memberValueDatatype="20" unbalanced="0"/>
    <cacheHierarchy uniqueName="[BI vw_FinCalendar].[Sort_Order]" caption="Sort_Order" attribute="1" defaultMemberUniqueName="[BI vw_FinCalendar].[Sort_Order].[All]" allUniqueName="[BI vw_FinCalendar].[Sort_Order].[All]" dimensionUniqueName="[BI vw_FinCalendar]" displayFolder="" count="0" memberValueDatatype="20" unbalanced="0"/>
    <cacheHierarchy uniqueName="[BI vw_FinCalendar].[Sort_Order1]" caption="Sort_Order1" attribute="1" defaultMemberUniqueName="[BI vw_FinCalendar].[Sort_Order1].[All]" allUniqueName="[BI vw_FinCalendar].[Sort_Order1].[All]" dimensionUniqueName="[BI vw_FinCalendar]" displayFolder="" count="0" memberValueDatatype="20" unbalanced="0"/>
    <cacheHierarchy uniqueName="[BI vw_FinCalendar].[ThisQuarter]" caption="ThisQuarter" attribute="1" defaultMemberUniqueName="[BI vw_FinCalendar].[ThisQuarter].[All]" allUniqueName="[BI vw_FinCalendar].[ThisQuarter].[All]" dimensionUniqueName="[BI vw_FinCalendar]" displayFolder="" count="0" memberValueDatatype="130" unbalanced="0"/>
    <cacheHierarchy uniqueName="[BI vw_FinCalendar].[YearFinPeriod]" caption="YearFinPeriod" attribute="1" defaultMemberUniqueName="[BI vw_FinCalendar].[YearFinPeriod].[All]" allUniqueName="[BI vw_FinCalendar].[YearFinPeriod].[All]" dimensionUniqueName="[BI vw_FinCalendar]" displayFolder="" count="0" memberValueDatatype="130" unbalanced="0"/>
    <cacheHierarchy uniqueName="[BI vw_Store].[AreaLeader]" caption="AreaLeader" attribute="1" defaultMemberUniqueName="[BI vw_Store].[AreaLeader].[All]" allUniqueName="[BI vw_Store].[AreaLeader].[All]" dimensionUniqueName="[BI vw_Store]" displayFolder="" count="0" memberValueDatatype="130" unbalanced="0"/>
    <cacheHierarchy uniqueName="[BI vw_Store].[BranchType]" caption="BranchType" attribute="1" defaultMemberUniqueName="[BI vw_Store].[BranchType].[All]" allUniqueName="[BI vw_Store].[BranchType].[All]" dimensionUniqueName="[BI vw_Store]" displayFolder="" count="2" memberValueDatatype="130" unbalanced="0">
      <fieldsUsage count="2">
        <fieldUsage x="-1"/>
        <fieldUsage x="4"/>
      </fieldsUsage>
    </cacheHierarchy>
    <cacheHierarchy uniqueName="[BI vw_Store].[CompFlag]" caption="CompFlag" attribute="1" defaultMemberUniqueName="[BI vw_Store].[CompFlag].[All]" allUniqueName="[BI vw_Store].[CompFlag].[All]" dimensionUniqueName="[BI vw_Store]" displayFolder="" count="0" memberValueDatatype="130" unbalanced="0"/>
    <cacheHierarchy uniqueName="[BI vw_Store].[Country]" caption="Country" attribute="1" defaultMemberUniqueName="[BI vw_Store].[Country].[All]" allUniqueName="[BI vw_Store].[Country].[All]" dimensionUniqueName="[BI vw_Store]" displayFolder="" count="2" memberValueDatatype="130" unbalanced="0">
      <fieldsUsage count="2">
        <fieldUsage x="-1"/>
        <fieldUsage x="3"/>
      </fieldsUsage>
    </cacheHierarchy>
    <cacheHierarchy uniqueName="[BI vw_Store].[FreedomArea]" caption="FreedomArea" attribute="1" defaultMemberUniqueName="[BI vw_Store].[FreedomArea].[All]" allUniqueName="[BI vw_Store].[FreedomArea].[All]" dimensionUniqueName="[BI vw_Store]" displayFolder="" count="0" memberValueDatatype="5" unbalanced="0"/>
    <cacheHierarchy uniqueName="[BI vw_Store].[IsActive]" caption="IsActive" attribute="1" defaultMemberUniqueName="[BI vw_Store].[IsActive].[All]" allUniqueName="[BI vw_Store].[IsActive].[All]" dimensionUniqueName="[BI vw_Store]" displayFolder="" count="0" memberValueDatatype="130" unbalanced="0"/>
    <cacheHierarchy uniqueName="[BI vw_Store].[IsDC]" caption="IsDC" attribute="1" defaultMemberUniqueName="[BI vw_Store].[IsDC].[All]" allUniqueName="[BI vw_Store].[IsDC].[All]" dimensionUniqueName="[BI vw_Store]" displayFolder="" count="0" memberValueDatatype="11" unbalanced="0"/>
    <cacheHierarchy uniqueName="[BI vw_Store].[IsHO]" caption="IsHO" attribute="1" defaultMemberUniqueName="[BI vw_Store].[IsHO].[All]" allUniqueName="[BI vw_Store].[IsHO].[All]" dimensionUniqueName="[BI vw_Store]" displayFolder="" count="0" memberValueDatatype="11" unbalanced="0"/>
    <cacheHierarchy uniqueName="[BI vw_Store].[State]" caption="State" attribute="1" defaultMemberUniqueName="[BI vw_Store].[State].[All]" allUniqueName="[BI vw_Store].[State].[All]" dimensionUniqueName="[BI vw_Store]" displayFolder="" count="0" memberValueDatatype="130" unbalanced="0"/>
    <cacheHierarchy uniqueName="[BI vw_Store].[StoreCategory]" caption="StoreCategory" attribute="1" defaultMemberUniqueName="[BI vw_Store].[StoreCategory].[All]" allUniqueName="[BI vw_Store].[StoreCategory].[All]" dimensionUniqueName="[BI vw_Store]" displayFolder="" count="0" memberValueDatatype="130" unbalanced="0"/>
    <cacheHierarchy uniqueName="[BI vw_Store].[StoreCode]" caption="StoreCode" attribute="1" defaultMemberUniqueName="[BI vw_Store].[StoreCode].[All]" allUniqueName="[BI vw_Store].[StoreCode].[All]" dimensionUniqueName="[BI vw_Store]" displayFolder="" count="0" memberValueDatatype="130" unbalanced="0"/>
    <cacheHierarchy uniqueName="[BI vw_Store].[StoreKey]" caption="StoreKey" attribute="1" defaultMemberUniqueName="[BI vw_Store].[StoreKey].[All]" allUniqueName="[BI vw_Store].[StoreKey].[All]" dimensionUniqueName="[BI vw_Store]" displayFolder="" count="0" memberValueDatatype="130" unbalanced="0"/>
    <cacheHierarchy uniqueName="[BI vw_Store].[StoreName]" caption="StoreName" attribute="1" defaultMemberUniqueName="[BI vw_Store].[StoreName].[All]" allUniqueName="[BI vw_Store].[StoreName].[All]" dimensionUniqueName="[BI vw_Store]" displayFolder="" count="0" memberValueDatatype="130" unbalanced="0"/>
    <cacheHierarchy uniqueName="[BI vw_Store].[StoreType]" caption="StoreType" attribute="1" defaultMemberUniqueName="[BI vw_Store].[StoreType].[All]" allUniqueName="[BI vw_Store].[StoreType].[All]" dimensionUniqueName="[BI vw_Store]" displayFolder="" count="0" memberValueDatatype="130" unbalanced="0"/>
    <cacheHierarchy uniqueName="[BI vw_Store].[SubLeasedArea]" caption="SubLeasedArea" attribute="1" defaultMemberUniqueName="[BI vw_Store].[SubLeasedArea].[All]" allUniqueName="[BI vw_Store].[SubLeasedArea].[All]" dimensionUniqueName="[BI vw_Store]" displayFolder="" count="0" memberValueDatatype="5" unbalanced="0"/>
    <cacheHierarchy uniqueName="[BI vw_Store].[SubLeasedCompany]" caption="SubLeasedCompany" attribute="1" defaultMemberUniqueName="[BI vw_Store].[SubLeasedCompany].[All]" allUniqueName="[BI vw_Store].[SubLeasedCompany].[All]" dimensionUniqueName="[BI vw_Store]" displayFolder="" count="0" memberValueDatatype="130" unbalanced="0"/>
    <cacheHierarchy uniqueName="[BI vw_Store].[TotalArea]" caption="TotalArea" attribute="1" defaultMemberUniqueName="[BI vw_Store].[TotalArea].[All]" allUniqueName="[BI vw_Store].[TotalArea].[All]" dimensionUniqueName="[BI vw_Store]" displayFolder="" count="0" memberValueDatatype="5" unbalanced="0"/>
    <cacheHierarchy uniqueName="[CalendarMapping].[Fin_Year]" caption="Fin_Year" attribute="1" defaultMemberUniqueName="[CalendarMapping].[Fin_Year].[All]" allUniqueName="[CalendarMapping].[Fin_Year].[All]" dimensionUniqueName="[CalendarMapping]" displayFolder="" count="0" memberValueDatatype="20" unbalanced="0"/>
    <cacheHierarchy uniqueName="[CalendarMapping].[YearFinPeriod]" caption="YearFinPeriod" attribute="1" defaultMemberUniqueName="[CalendarMapping].[YearFinPeriod].[All]" allUniqueName="[CalendarMapping].[YearFinPeriod].[All]" dimensionUniqueName="[CalendarMapping]" displayFolder="" count="0" memberValueDatatype="130" unbalanced="0"/>
    <cacheHierarchy uniqueName="[DC SO].[EntityName]" caption="EntityName" attribute="1" defaultMemberUniqueName="[DC SO].[EntityName].[All]" allUniqueName="[DC SO].[EntityName].[All]" dimensionUniqueName="[DC SO]" displayFolder="" count="0" memberValueDatatype="130" unbalanced="0"/>
    <cacheHierarchy uniqueName="[DC SO].[SortOrder]" caption="SortOrder" attribute="1" defaultMemberUniqueName="[DC SO].[SortOrder].[All]" allUniqueName="[DC SO].[SortOrder].[All]" dimensionUniqueName="[DC SO]" displayFolder="" count="0" memberValueDatatype="20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5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5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5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5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5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Quarter]" caption="Quarter" attribute="1" defaultMemberUniqueName="[dim_period].[Quarter].[All]" allUniqueName="[dim_period].[Quarter].[All]" dimensionUniqueName="[dim_period]" displayFolder="" count="0" memberValueDatatype="13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Month Sort].[Month_Display]" caption="Month_Display" attribute="1" defaultMemberUniqueName="[Month Sort].[Month_Display].[All]" allUniqueName="[Month Sort].[Month_Display].[All]" dimensionUniqueName="[Month Sort]" displayFolder="" count="0" memberValueDatatype="130" unbalanced="0"/>
    <cacheHierarchy uniqueName="[Month Sort].[Number]" caption="Number" attribute="1" defaultMemberUniqueName="[Month Sort].[Number].[All]" allUniqueName="[Month Sort].[Number].[All]" dimensionUniqueName="[Month Sort]" displayFolder="" count="0" memberValueDatatype="20" unbalanced="0"/>
    <cacheHierarchy uniqueName="[Month Sort].[Sort_Order1]" caption="Sort_Order1" attribute="1" defaultMemberUniqueName="[Month Sort].[Sort_Order1].[All]" allUniqueName="[Month Sort].[Sort_Order1].[All]" dimensionUniqueName="[Month Sort]" displayFolder="" count="0" memberValueDatatype="20" unbalanced="0"/>
    <cacheHierarchy uniqueName="[TimePeriod].[TimePeriod]" caption="TimePeriod" attribute="1" defaultMemberUniqueName="[TimePeriod].[TimePeriod].[All]" allUniqueName="[TimePeriod].[TimePeriod].[All]" dimensionUniqueName="[TimePeriod]" displayFolder="" count="0" memberValueDatatype="130" unbalanced="0"/>
    <cacheHierarchy uniqueName="[TimePeriod].[TimePeriodSort]" caption="TimePeriodSort" attribute="1" defaultMemberUniqueName="[TimePeriod].[TimePeriodSort].[All]" allUniqueName="[TimePeriod].[TimePeriodSort].[All]" dimensionUniqueName="[TimePeriod]" displayFolder="" count="0" memberValueDatatype="2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0" memberValueDatatype="130" unbalanced="0"/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TimePeriodSort_Amart].[Timeline Slicer]" caption="Timeline Slicer" attribute="1" defaultMemberUniqueName="[TimePeriodSort_Amart].[Timeline Slicer].[All]" allUniqueName="[TimePeriodSort_Amart].[Timeline Slicer].[All]" dimensionUniqueName="[TimePeriodSort_Amart]" displayFolder="" count="0" memberValueDatatype="130" unbalanced="0"/>
    <cacheHierarchy uniqueName="[TimePeriodSort_Amart].[TimePeriod]" caption="TimePeriod" attribute="1" defaultMemberUniqueName="[TimePeriodSort_Amart].[TimePeriod].[All]" allUniqueName="[TimePeriodSort_Amart].[TimePeriod].[All]" dimensionUniqueName="[TimePeriodSort_Amart]" displayFolder="" count="0" memberValueDatatype="130" unbalanced="0"/>
    <cacheHierarchy uniqueName="[TimePeriodSort_Amart].[TimePeriodSort]" caption="TimePeriodSort" attribute="1" defaultMemberUniqueName="[TimePeriodSort_Amart].[TimePeriodSort].[All]" allUniqueName="[TimePeriodSort_Amart].[TimePeriodSort].[All]" dimensionUniqueName="[TimePeriodSort_Amart]" displayFolder="" count="0" memberValueDatatype="20" unbalanced="0"/>
    <cacheHierarchy uniqueName="[BI vw_MarkdownCategory].[Category]" caption="Category" attribute="1" defaultMemberUniqueName="[BI vw_MarkdownCategory].[Category].[All]" allUniqueName="[BI vw_MarkdownCategory].[Category].[All]" dimensionUniqueName="[BI vw_MarkdownCategory]" displayFolder="" count="0" memberValueDatatype="130" unbalanced="0" hidden="1"/>
    <cacheHierarchy uniqueName="[BI vw_MarkdownCategory].[Code]" caption="Code" attribute="1" defaultMemberUniqueName="[BI vw_MarkdownCategory].[Code].[All]" allUniqueName="[BI vw_MarkdownCategory].[Code].[All]" dimensionUniqueName="[BI vw_MarkdownCategory]" displayFolder="" count="0" memberValueDatatype="130" unbalanced="0" hidden="1"/>
    <cacheHierarchy uniqueName="[BI vw_Store (2)].[BranchType]" caption="BranchType" attribute="1" defaultMemberUniqueName="[BI vw_Store (2)].[BranchType].[All]" allUniqueName="[BI vw_Store (2)].[BranchType].[All]" dimensionUniqueName="[BI vw_Store (2)]" displayFolder="" count="0" memberValueDatatype="130" unbalanced="0" hidden="1"/>
    <cacheHierarchy uniqueName="[BI vw_Store (2)].[Country]" caption="Country" attribute="1" defaultMemberUniqueName="[BI vw_Store (2)].[Country].[All]" allUniqueName="[BI vw_Store (2)].[Country].[All]" dimensionUniqueName="[BI vw_Store (2)]" displayFolder="" count="0" memberValueDatatype="130" unbalanced="0" hidden="1"/>
    <cacheHierarchy uniqueName="[BI vw_Store (2)].[StoreCode]" caption="StoreCode" attribute="1" defaultMemberUniqueName="[BI vw_Store (2)].[StoreCode].[All]" allUniqueName="[BI vw_Store (2)].[StoreCode].[All]" dimensionUniqueName="[BI vw_Store (2)]" displayFolder="" count="0" memberValueDatatype="130" unbalanced="0" hidden="1"/>
    <cacheHierarchy uniqueName="[DateTableTemplate_3f9b2c98-215a-4ac6-bb5b-5edb3fb7613d].[Date]" caption="Date" attribute="1" time="1" defaultMemberUniqueName="[DateTableTemplate_3f9b2c98-215a-4ac6-bb5b-5edb3fb7613d].[Date].[All]" allUniqueName="[DateTableTemplate_3f9b2c98-215a-4ac6-bb5b-5edb3fb7613d].[Date].[All]" dimensionUniqueName="[DateTableTemplate_3f9b2c98-215a-4ac6-bb5b-5edb3fb7613d]" displayFolder="" count="0" memberValueDatatype="7" unbalanced="0" hidden="1"/>
    <cacheHierarchy uniqueName="[DateTableTemplate_3f9b2c98-215a-4ac6-bb5b-5edb3fb7613d].[Date Hierarchy]" caption="Date Hierarchy" defaultMemberUniqueName="[DateTableTemplate_3f9b2c98-215a-4ac6-bb5b-5edb3fb7613d].[Date Hierarchy].[All]" allUniqueName="[DateTableTemplate_3f9b2c98-215a-4ac6-bb5b-5edb3fb7613d].[Date Hierarchy].[All]" dimensionUniqueName="[DateTableTemplate_3f9b2c98-215a-4ac6-bb5b-5edb3fb7613d]" displayFolder="" count="0" unbalanced="0" hidden="1"/>
    <cacheHierarchy uniqueName="[DateTableTemplate_3f9b2c98-215a-4ac6-bb5b-5edb3fb7613d].[Day]" caption="Day" attribute="1" defaultMemberUniqueName="[DateTableTemplate_3f9b2c98-215a-4ac6-bb5b-5edb3fb7613d].[Day].[All]" allUniqueName="[DateTableTemplate_3f9b2c98-215a-4ac6-bb5b-5edb3fb7613d].[Day].[All]" dimensionUniqueName="[DateTableTemplate_3f9b2c98-215a-4ac6-bb5b-5edb3fb7613d]" displayFolder="" count="0" memberValueDatatype="20" unbalanced="0" hidden="1"/>
    <cacheHierarchy uniqueName="[DateTableTemplate_3f9b2c98-215a-4ac6-bb5b-5edb3fb7613d].[Month]" caption="Month" attribute="1" defaultMemberUniqueName="[DateTableTemplate_3f9b2c98-215a-4ac6-bb5b-5edb3fb7613d].[Month].[All]" allUniqueName="[DateTableTemplate_3f9b2c98-215a-4ac6-bb5b-5edb3fb7613d].[Month].[All]" dimensionUniqueName="[DateTableTemplate_3f9b2c98-215a-4ac6-bb5b-5edb3fb7613d]" displayFolder="" count="0" memberValueDatatype="130" unbalanced="0" hidden="1"/>
    <cacheHierarchy uniqueName="[DateTableTemplate_3f9b2c98-215a-4ac6-bb5b-5edb3fb7613d].[MonthNo]" caption="MonthNo" attribute="1" defaultMemberUniqueName="[DateTableTemplate_3f9b2c98-215a-4ac6-bb5b-5edb3fb7613d].[MonthNo].[All]" allUniqueName="[DateTableTemplate_3f9b2c98-215a-4ac6-bb5b-5edb3fb7613d].[MonthNo].[All]" dimensionUniqueName="[DateTableTemplate_3f9b2c98-215a-4ac6-bb5b-5edb3fb7613d]" displayFolder="" count="0" memberValueDatatype="20" unbalanced="0" hidden="1"/>
    <cacheHierarchy uniqueName="[DateTableTemplate_3f9b2c98-215a-4ac6-bb5b-5edb3fb7613d].[Quarter]" caption="Quarter" attribute="1" defaultMemberUniqueName="[DateTableTemplate_3f9b2c98-215a-4ac6-bb5b-5edb3fb7613d].[Quarter].[All]" allUniqueName="[DateTableTemplate_3f9b2c98-215a-4ac6-bb5b-5edb3fb7613d].[Quarter].[All]" dimensionUniqueName="[DateTableTemplate_3f9b2c98-215a-4ac6-bb5b-5edb3fb7613d]" displayFolder="" count="0" memberValueDatatype="130" unbalanced="0" hidden="1"/>
    <cacheHierarchy uniqueName="[DateTableTemplate_3f9b2c98-215a-4ac6-bb5b-5edb3fb7613d].[QuarterNo]" caption="QuarterNo" attribute="1" defaultMemberUniqueName="[DateTableTemplate_3f9b2c98-215a-4ac6-bb5b-5edb3fb7613d].[QuarterNo].[All]" allUniqueName="[DateTableTemplate_3f9b2c98-215a-4ac6-bb5b-5edb3fb7613d].[QuarterNo].[All]" dimensionUniqueName="[DateTableTemplate_3f9b2c98-215a-4ac6-bb5b-5edb3fb7613d]" displayFolder="" count="0" memberValueDatatype="20" unbalanced="0" hidden="1"/>
    <cacheHierarchy uniqueName="[DateTableTemplate_3f9b2c98-215a-4ac6-bb5b-5edb3fb7613d].[Year]" caption="Year" attribute="1" defaultMemberUniqueName="[DateTableTemplate_3f9b2c98-215a-4ac6-bb5b-5edb3fb7613d].[Year].[All]" allUniqueName="[DateTableTemplate_3f9b2c98-215a-4ac6-bb5b-5edb3fb7613d].[Year].[All]" dimensionUniqueName="[DateTableTemplate_3f9b2c98-215a-4ac6-bb5b-5edb3fb7613d]" displayFolder="" count="0" memberValueDatatype="20" unbalanced="0" hidden="1"/>
    <cacheHierarchy uniqueName="[LocalDateTable_2dc8ec59-2991-4ed7-b97f-b3968012b3bf].[Date]" caption="Date" attribute="1" time="1" defaultMemberUniqueName="[LocalDateTable_2dc8ec59-2991-4ed7-b97f-b3968012b3bf].[Date].[All]" allUniqueName="[LocalDateTable_2dc8ec59-2991-4ed7-b97f-b3968012b3bf].[Date].[All]" dimensionUniqueName="[LocalDateTable_2dc8ec59-2991-4ed7-b97f-b3968012b3bf]" displayFolder="" count="0" memberValueDatatype="7" unbalanced="0" hidden="1"/>
    <cacheHierarchy uniqueName="[LocalDateTable_2dc8ec59-2991-4ed7-b97f-b3968012b3bf].[Date Hierarchy]" caption="Date Hierarchy" defaultMemberUniqueName="[LocalDateTable_2dc8ec59-2991-4ed7-b97f-b3968012b3bf].[Date Hierarchy].[All]" allUniqueName="[LocalDateTable_2dc8ec59-2991-4ed7-b97f-b3968012b3bf].[Date Hierarchy].[All]" dimensionUniqueName="[LocalDateTable_2dc8ec59-2991-4ed7-b97f-b3968012b3bf]" displayFolder="" count="0" unbalanced="0" hidden="1"/>
    <cacheHierarchy uniqueName="[LocalDateTable_2dc8ec59-2991-4ed7-b97f-b3968012b3bf].[Day]" caption="Day" attribute="1" defaultMemberUniqueName="[LocalDateTable_2dc8ec59-2991-4ed7-b97f-b3968012b3bf].[Day].[All]" allUniqueName="[LocalDateTable_2dc8ec59-2991-4ed7-b97f-b3968012b3bf].[Day].[All]" dimensionUniqueName="[LocalDateTable_2dc8ec59-2991-4ed7-b97f-b3968012b3bf]" displayFolder="" count="0" memberValueDatatype="20" unbalanced="0" hidden="1"/>
    <cacheHierarchy uniqueName="[LocalDateTable_2dc8ec59-2991-4ed7-b97f-b3968012b3bf].[Month]" caption="Month" attribute="1" defaultMemberUniqueName="[LocalDateTable_2dc8ec59-2991-4ed7-b97f-b3968012b3bf].[Month].[All]" allUniqueName="[LocalDateTable_2dc8ec59-2991-4ed7-b97f-b3968012b3bf].[Month].[All]" dimensionUniqueName="[LocalDateTable_2dc8ec59-2991-4ed7-b97f-b3968012b3bf]" displayFolder="" count="0" memberValueDatatype="130" unbalanced="0" hidden="1"/>
    <cacheHierarchy uniqueName="[LocalDateTable_2dc8ec59-2991-4ed7-b97f-b3968012b3bf].[MonthNo]" caption="MonthNo" attribute="1" defaultMemberUniqueName="[LocalDateTable_2dc8ec59-2991-4ed7-b97f-b3968012b3bf].[MonthNo].[All]" allUniqueName="[LocalDateTable_2dc8ec59-2991-4ed7-b97f-b3968012b3bf].[MonthNo].[All]" dimensionUniqueName="[LocalDateTable_2dc8ec59-2991-4ed7-b97f-b3968012b3bf]" displayFolder="" count="0" memberValueDatatype="20" unbalanced="0" hidden="1"/>
    <cacheHierarchy uniqueName="[LocalDateTable_2dc8ec59-2991-4ed7-b97f-b3968012b3bf].[Quarter]" caption="Quarter" attribute="1" defaultMemberUniqueName="[LocalDateTable_2dc8ec59-2991-4ed7-b97f-b3968012b3bf].[Quarter].[All]" allUniqueName="[LocalDateTable_2dc8ec59-2991-4ed7-b97f-b3968012b3bf].[Quarter].[All]" dimensionUniqueName="[LocalDateTable_2dc8ec59-2991-4ed7-b97f-b3968012b3bf]" displayFolder="" count="0" memberValueDatatype="130" unbalanced="0" hidden="1"/>
    <cacheHierarchy uniqueName="[LocalDateTable_2dc8ec59-2991-4ed7-b97f-b3968012b3bf].[QuarterNo]" caption="QuarterNo" attribute="1" defaultMemberUniqueName="[LocalDateTable_2dc8ec59-2991-4ed7-b97f-b3968012b3bf].[QuarterNo].[All]" allUniqueName="[LocalDateTable_2dc8ec59-2991-4ed7-b97f-b3968012b3bf].[QuarterNo].[All]" dimensionUniqueName="[LocalDateTable_2dc8ec59-2991-4ed7-b97f-b3968012b3bf]" displayFolder="" count="0" memberValueDatatype="20" unbalanced="0" hidden="1"/>
    <cacheHierarchy uniqueName="[LocalDateTable_2dc8ec59-2991-4ed7-b97f-b3968012b3bf].[Year]" caption="Year" attribute="1" defaultMemberUniqueName="[LocalDateTable_2dc8ec59-2991-4ed7-b97f-b3968012b3bf].[Year].[All]" allUniqueName="[LocalDateTable_2dc8ec59-2991-4ed7-b97f-b3968012b3bf].[Year].[All]" dimensionUniqueName="[LocalDateTable_2dc8ec59-2991-4ed7-b97f-b3968012b3bf]" displayFolder="" count="0" memberValueDatatype="20" unbalanced="0" hidden="1"/>
    <cacheHierarchy uniqueName="[LocalDateTable_35b2b28c-5e49-4861-9014-eb0865a61f58].[Date]" caption="Date" attribute="1" time="1" defaultMemberUniqueName="[LocalDateTable_35b2b28c-5e49-4861-9014-eb0865a61f58].[Date].[All]" allUniqueName="[LocalDateTable_35b2b28c-5e49-4861-9014-eb0865a61f58].[Date].[All]" dimensionUniqueName="[LocalDateTable_35b2b28c-5e49-4861-9014-eb0865a61f58]" displayFolder="" count="0" memberValueDatatype="7" unbalanced="0" hidden="1"/>
    <cacheHierarchy uniqueName="[LocalDateTable_35b2b28c-5e49-4861-9014-eb0865a61f58].[Date Hierarchy]" caption="Date Hierarchy" defaultMemberUniqueName="[LocalDateTable_35b2b28c-5e49-4861-9014-eb0865a61f58].[Date Hierarchy].[All]" allUniqueName="[LocalDateTable_35b2b28c-5e49-4861-9014-eb0865a61f58].[Date Hierarchy].[All]" dimensionUniqueName="[LocalDateTable_35b2b28c-5e49-4861-9014-eb0865a61f58]" displayFolder="" count="0" unbalanced="0" hidden="1"/>
    <cacheHierarchy uniqueName="[LocalDateTable_35b2b28c-5e49-4861-9014-eb0865a61f58].[Day]" caption="Day" attribute="1" defaultMemberUniqueName="[LocalDateTable_35b2b28c-5e49-4861-9014-eb0865a61f58].[Day].[All]" allUniqueName="[LocalDateTable_35b2b28c-5e49-4861-9014-eb0865a61f58].[Day].[All]" dimensionUniqueName="[LocalDateTable_35b2b28c-5e49-4861-9014-eb0865a61f58]" displayFolder="" count="0" memberValueDatatype="20" unbalanced="0" hidden="1"/>
    <cacheHierarchy uniqueName="[LocalDateTable_35b2b28c-5e49-4861-9014-eb0865a61f58].[Month]" caption="Month" attribute="1" defaultMemberUniqueName="[LocalDateTable_35b2b28c-5e49-4861-9014-eb0865a61f58].[Month].[All]" allUniqueName="[LocalDateTable_35b2b28c-5e49-4861-9014-eb0865a61f58].[Month].[All]" dimensionUniqueName="[LocalDateTable_35b2b28c-5e49-4861-9014-eb0865a61f58]" displayFolder="" count="0" memberValueDatatype="130" unbalanced="0" hidden="1"/>
    <cacheHierarchy uniqueName="[LocalDateTable_35b2b28c-5e49-4861-9014-eb0865a61f58].[MonthNo]" caption="MonthNo" attribute="1" defaultMemberUniqueName="[LocalDateTable_35b2b28c-5e49-4861-9014-eb0865a61f58].[MonthNo].[All]" allUniqueName="[LocalDateTable_35b2b28c-5e49-4861-9014-eb0865a61f58].[MonthNo].[All]" dimensionUniqueName="[LocalDateTable_35b2b28c-5e49-4861-9014-eb0865a61f58]" displayFolder="" count="0" memberValueDatatype="20" unbalanced="0" hidden="1"/>
    <cacheHierarchy uniqueName="[LocalDateTable_35b2b28c-5e49-4861-9014-eb0865a61f58].[Quarter]" caption="Quarter" attribute="1" defaultMemberUniqueName="[LocalDateTable_35b2b28c-5e49-4861-9014-eb0865a61f58].[Quarter].[All]" allUniqueName="[LocalDateTable_35b2b28c-5e49-4861-9014-eb0865a61f58].[Quarter].[All]" dimensionUniqueName="[LocalDateTable_35b2b28c-5e49-4861-9014-eb0865a61f58]" displayFolder="" count="0" memberValueDatatype="130" unbalanced="0" hidden="1"/>
    <cacheHierarchy uniqueName="[LocalDateTable_35b2b28c-5e49-4861-9014-eb0865a61f58].[QuarterNo]" caption="QuarterNo" attribute="1" defaultMemberUniqueName="[LocalDateTable_35b2b28c-5e49-4861-9014-eb0865a61f58].[QuarterNo].[All]" allUniqueName="[LocalDateTable_35b2b28c-5e49-4861-9014-eb0865a61f58].[QuarterNo].[All]" dimensionUniqueName="[LocalDateTable_35b2b28c-5e49-4861-9014-eb0865a61f58]" displayFolder="" count="0" memberValueDatatype="20" unbalanced="0" hidden="1"/>
    <cacheHierarchy uniqueName="[LocalDateTable_35b2b28c-5e49-4861-9014-eb0865a61f58].[Year]" caption="Year" attribute="1" defaultMemberUniqueName="[LocalDateTable_35b2b28c-5e49-4861-9014-eb0865a61f58].[Year].[All]" allUniqueName="[LocalDateTable_35b2b28c-5e49-4861-9014-eb0865a61f58].[Year].[All]" dimensionUniqueName="[LocalDateTable_35b2b28c-5e49-4861-9014-eb0865a61f58]" displayFolder="" count="0" memberValueDatatype="20" unbalanced="0" hidden="1"/>
    <cacheHierarchy uniqueName="[LocalDateTable_3ea1f34c-3b67-443a-8479-d47192825849].[Date]" caption="Date" attribute="1" time="1" defaultMemberUniqueName="[LocalDateTable_3ea1f34c-3b67-443a-8479-d47192825849].[Date].[All]" allUniqueName="[LocalDateTable_3ea1f34c-3b67-443a-8479-d47192825849].[Date].[All]" dimensionUniqueName="[LocalDateTable_3ea1f34c-3b67-443a-8479-d47192825849]" displayFolder="" count="0" memberValueDatatype="7" unbalanced="0" hidden="1"/>
    <cacheHierarchy uniqueName="[LocalDateTable_3ea1f34c-3b67-443a-8479-d47192825849].[Date Hierarchy]" caption="Date Hierarchy" defaultMemberUniqueName="[LocalDateTable_3ea1f34c-3b67-443a-8479-d47192825849].[Date Hierarchy].[All]" allUniqueName="[LocalDateTable_3ea1f34c-3b67-443a-8479-d47192825849].[Date Hierarchy].[All]" dimensionUniqueName="[LocalDateTable_3ea1f34c-3b67-443a-8479-d47192825849]" displayFolder="" count="0" unbalanced="0" hidden="1"/>
    <cacheHierarchy uniqueName="[LocalDateTable_3ea1f34c-3b67-443a-8479-d47192825849].[Day]" caption="Day" attribute="1" defaultMemberUniqueName="[LocalDateTable_3ea1f34c-3b67-443a-8479-d47192825849].[Day].[All]" allUniqueName="[LocalDateTable_3ea1f34c-3b67-443a-8479-d47192825849].[Day].[All]" dimensionUniqueName="[LocalDateTable_3ea1f34c-3b67-443a-8479-d47192825849]" displayFolder="" count="0" memberValueDatatype="20" unbalanced="0" hidden="1"/>
    <cacheHierarchy uniqueName="[LocalDateTable_3ea1f34c-3b67-443a-8479-d47192825849].[Month]" caption="Month" attribute="1" defaultMemberUniqueName="[LocalDateTable_3ea1f34c-3b67-443a-8479-d47192825849].[Month].[All]" allUniqueName="[LocalDateTable_3ea1f34c-3b67-443a-8479-d47192825849].[Month].[All]" dimensionUniqueName="[LocalDateTable_3ea1f34c-3b67-443a-8479-d47192825849]" displayFolder="" count="0" memberValueDatatype="130" unbalanced="0" hidden="1"/>
    <cacheHierarchy uniqueName="[LocalDateTable_3ea1f34c-3b67-443a-8479-d47192825849].[MonthNo]" caption="MonthNo" attribute="1" defaultMemberUniqueName="[LocalDateTable_3ea1f34c-3b67-443a-8479-d47192825849].[MonthNo].[All]" allUniqueName="[LocalDateTable_3ea1f34c-3b67-443a-8479-d47192825849].[MonthNo].[All]" dimensionUniqueName="[LocalDateTable_3ea1f34c-3b67-443a-8479-d47192825849]" displayFolder="" count="0" memberValueDatatype="20" unbalanced="0" hidden="1"/>
    <cacheHierarchy uniqueName="[LocalDateTable_3ea1f34c-3b67-443a-8479-d47192825849].[Quarter]" caption="Quarter" attribute="1" defaultMemberUniqueName="[LocalDateTable_3ea1f34c-3b67-443a-8479-d47192825849].[Quarter].[All]" allUniqueName="[LocalDateTable_3ea1f34c-3b67-443a-8479-d47192825849].[Quarter].[All]" dimensionUniqueName="[LocalDateTable_3ea1f34c-3b67-443a-8479-d47192825849]" displayFolder="" count="0" memberValueDatatype="130" unbalanced="0" hidden="1"/>
    <cacheHierarchy uniqueName="[LocalDateTable_3ea1f34c-3b67-443a-8479-d47192825849].[QuarterNo]" caption="QuarterNo" attribute="1" defaultMemberUniqueName="[LocalDateTable_3ea1f34c-3b67-443a-8479-d47192825849].[QuarterNo].[All]" allUniqueName="[LocalDateTable_3ea1f34c-3b67-443a-8479-d47192825849].[QuarterNo].[All]" dimensionUniqueName="[LocalDateTable_3ea1f34c-3b67-443a-8479-d47192825849]" displayFolder="" count="0" memberValueDatatype="20" unbalanced="0" hidden="1"/>
    <cacheHierarchy uniqueName="[LocalDateTable_3ea1f34c-3b67-443a-8479-d47192825849].[Year]" caption="Year" attribute="1" defaultMemberUniqueName="[LocalDateTable_3ea1f34c-3b67-443a-8479-d47192825849].[Year].[All]" allUniqueName="[LocalDateTable_3ea1f34c-3b67-443a-8479-d47192825849].[Year].[All]" dimensionUniqueName="[LocalDateTable_3ea1f34c-3b67-443a-8479-d47192825849]" displayFolder="" count="0" memberValueDatatype="20" unbalanced="0" hidden="1"/>
    <cacheHierarchy uniqueName="[LocalDateTable_44c7d4ef-ea67-4ad2-970c-4dd712d1bff0].[Date]" caption="Date" attribute="1" time="1" defaultMemberUniqueName="[LocalDateTable_44c7d4ef-ea67-4ad2-970c-4dd712d1bff0].[Date].[All]" allUniqueName="[LocalDateTable_44c7d4ef-ea67-4ad2-970c-4dd712d1bff0].[Date].[All]" dimensionUniqueName="[LocalDateTable_44c7d4ef-ea67-4ad2-970c-4dd712d1bff0]" displayFolder="" count="0" memberValueDatatype="7" unbalanced="0" hidden="1"/>
    <cacheHierarchy uniqueName="[LocalDateTable_44c7d4ef-ea67-4ad2-970c-4dd712d1bff0].[Date Hierarchy]" caption="Date Hierarchy" defaultMemberUniqueName="[LocalDateTable_44c7d4ef-ea67-4ad2-970c-4dd712d1bff0].[Date Hierarchy].[All]" allUniqueName="[LocalDateTable_44c7d4ef-ea67-4ad2-970c-4dd712d1bff0].[Date Hierarchy].[All]" dimensionUniqueName="[LocalDateTable_44c7d4ef-ea67-4ad2-970c-4dd712d1bff0]" displayFolder="" count="0" unbalanced="0" hidden="1"/>
    <cacheHierarchy uniqueName="[LocalDateTable_44c7d4ef-ea67-4ad2-970c-4dd712d1bff0].[Day]" caption="Day" attribute="1" defaultMemberUniqueName="[LocalDateTable_44c7d4ef-ea67-4ad2-970c-4dd712d1bff0].[Day].[All]" allUniqueName="[LocalDateTable_44c7d4ef-ea67-4ad2-970c-4dd712d1bff0].[Day].[All]" dimensionUniqueName="[LocalDateTable_44c7d4ef-ea67-4ad2-970c-4dd712d1bff0]" displayFolder="" count="0" memberValueDatatype="20" unbalanced="0" hidden="1"/>
    <cacheHierarchy uniqueName="[LocalDateTable_44c7d4ef-ea67-4ad2-970c-4dd712d1bff0].[Month]" caption="Month" attribute="1" defaultMemberUniqueName="[LocalDateTable_44c7d4ef-ea67-4ad2-970c-4dd712d1bff0].[Month].[All]" allUniqueName="[LocalDateTable_44c7d4ef-ea67-4ad2-970c-4dd712d1bff0].[Month].[All]" dimensionUniqueName="[LocalDateTable_44c7d4ef-ea67-4ad2-970c-4dd712d1bff0]" displayFolder="" count="0" memberValueDatatype="130" unbalanced="0" hidden="1"/>
    <cacheHierarchy uniqueName="[LocalDateTable_44c7d4ef-ea67-4ad2-970c-4dd712d1bff0].[MonthNo]" caption="MonthNo" attribute="1" defaultMemberUniqueName="[LocalDateTable_44c7d4ef-ea67-4ad2-970c-4dd712d1bff0].[MonthNo].[All]" allUniqueName="[LocalDateTable_44c7d4ef-ea67-4ad2-970c-4dd712d1bff0].[MonthNo].[All]" dimensionUniqueName="[LocalDateTable_44c7d4ef-ea67-4ad2-970c-4dd712d1bff0]" displayFolder="" count="0" memberValueDatatype="20" unbalanced="0" hidden="1"/>
    <cacheHierarchy uniqueName="[LocalDateTable_44c7d4ef-ea67-4ad2-970c-4dd712d1bff0].[Quarter]" caption="Quarter" attribute="1" defaultMemberUniqueName="[LocalDateTable_44c7d4ef-ea67-4ad2-970c-4dd712d1bff0].[Quarter].[All]" allUniqueName="[LocalDateTable_44c7d4ef-ea67-4ad2-970c-4dd712d1bff0].[Quarter].[All]" dimensionUniqueName="[LocalDateTable_44c7d4ef-ea67-4ad2-970c-4dd712d1bff0]" displayFolder="" count="0" memberValueDatatype="130" unbalanced="0" hidden="1"/>
    <cacheHierarchy uniqueName="[LocalDateTable_44c7d4ef-ea67-4ad2-970c-4dd712d1bff0].[QuarterNo]" caption="QuarterNo" attribute="1" defaultMemberUniqueName="[LocalDateTable_44c7d4ef-ea67-4ad2-970c-4dd712d1bff0].[QuarterNo].[All]" allUniqueName="[LocalDateTable_44c7d4ef-ea67-4ad2-970c-4dd712d1bff0].[QuarterNo].[All]" dimensionUniqueName="[LocalDateTable_44c7d4ef-ea67-4ad2-970c-4dd712d1bff0]" displayFolder="" count="0" memberValueDatatype="20" unbalanced="0" hidden="1"/>
    <cacheHierarchy uniqueName="[LocalDateTable_44c7d4ef-ea67-4ad2-970c-4dd712d1bff0].[Year]" caption="Year" attribute="1" defaultMemberUniqueName="[LocalDateTable_44c7d4ef-ea67-4ad2-970c-4dd712d1bff0].[Year].[All]" allUniqueName="[LocalDateTable_44c7d4ef-ea67-4ad2-970c-4dd712d1bff0].[Year].[All]" dimensionUniqueName="[LocalDateTable_44c7d4ef-ea67-4ad2-970c-4dd712d1bff0]" displayFolder="" count="0" memberValueDatatype="20" unbalanced="0" hidden="1"/>
    <cacheHierarchy uniqueName="[Measure].[Column]" caption="Column" attribute="1" defaultMemberUniqueName="[Measure].[Column].[All]" allUniqueName="[Measure].[Column].[All]" dimensionUniqueName="[Measure]" displayFolder="" count="0" memberValueDatatype="20" unbalanced="0" hidden="1"/>
    <cacheHierarchy uniqueName="[Measures].[Current Quarter]" caption="Current Quarter" measure="1" displayFolder="" measureGroup="BI vw_FinCalendar" count="0"/>
    <cacheHierarchy uniqueName="[Measures].[Delivered Sales Ex GST]" caption="Delivered Sales Ex GST" measure="1" displayFolder="" measureGroup="Measure" count="0"/>
    <cacheHierarchy uniqueName="[Measures].[Sales Price]" caption="Sales Price" measure="1" displayFolder="" measureGroup="Measure" count="0"/>
    <cacheHierarchy uniqueName="[Measures].[CostInvoicedCost]" caption="CostInvoicedCost" measure="1" displayFolder="" measureGroup="Measure" count="0"/>
    <cacheHierarchy uniqueName="[Measures].[CostAmountAdjustment]" caption="CostAmountAdjustment" measure="1" displayFolder="" measureGroup="Measure" count="0"/>
    <cacheHierarchy uniqueName="[Measures].[Gross Sales]" caption="Gross Sales" measure="1" displayFolder="" measureGroup="Measure" count="0"/>
    <cacheHierarchy uniqueName="[Measures].[GM %]" caption="GM %" measure="1" displayFolder="" measureGroup="Measure" count="0"/>
    <cacheHierarchy uniqueName="[Measures].[Total Markdown]" caption="Total Markdown" measure="1" displayFolder="" measureGroup="Measure" count="0"/>
    <cacheHierarchy uniqueName="[Measures].[Quantity]" caption="Quantity" measure="1" displayFolder="" measureGroup="Measure" count="0"/>
    <cacheHierarchy uniqueName="[Measures].[Tax]" caption="Tax" measure="1" displayFolder="" measureGroup="Measure" count="0"/>
    <cacheHierarchy uniqueName="[Measures].[Gross Margin]" caption="Gross Margin" measure="1" displayFolder="" measureGroup="Measure" count="0"/>
    <cacheHierarchy uniqueName="[Measures].[ItemWholeSalePrice]" caption="ItemWholeSalePrice" measure="1" displayFolder="" measureGroup="Measure" count="0"/>
    <cacheHierarchy uniqueName="[Measures].[Line Disc]" caption="Line Disc" measure="1" displayFolder="" measureGroup="Measure" count="0"/>
    <cacheHierarchy uniqueName="[Measures].[COSTFINAL]" caption="COSTFINAL" measure="1" displayFolder="" measureGroup="Measure" count="0"/>
    <cacheHierarchy uniqueName="[Measures].[Markdown$1]" caption="Markdown$1" measure="1" displayFolder="" measureGroup="Measure" count="0"/>
    <cacheHierarchy uniqueName="[Measures].[Markdown$2]" caption="Markdown$2" measure="1" displayFolder="" measureGroup="Measure" count="0"/>
    <cacheHierarchy uniqueName="[Measures].[Total Markdown $]" caption="Total Markdown $" measure="1" displayFolder="" measureGroup="Measure" count="0"/>
    <cacheHierarchy uniqueName="[Measures].[Delivered Sales Inc GST]" caption="Delivered Sales Inc GST" measure="1" displayFolder="" measureGroup="Measure" count="0"/>
    <cacheHierarchy uniqueName="[Measures].[39% Margin]" caption="39% Margin" measure="1" displayFolder="" measureGroup="Measure" count="0"/>
    <cacheHierarchy uniqueName="[Measures].[Rebate Amount]" caption="Rebate Amount" measure="1" displayFolder="" measureGroup="Measure" count="0"/>
    <cacheHierarchy uniqueName="[Measures].[Eligible for Rebate]" caption="Eligible for Rebate" measure="1" displayFolder="" measureGroup="Measure" count="0"/>
    <cacheHierarchy uniqueName="[Measures].[Budget Variance]" caption="Budget Variance" measure="1" displayFolder="" measureGroup="Measure" count="0"/>
    <cacheHierarchy uniqueName="[Measures].[DeliveredSalesBudget]" caption="DeliveredSalesBudget" measure="1" displayFolder="" measureGroup="Measure" count="0"/>
    <cacheHierarchy uniqueName="[Measures].[% Budget Complete]" caption="% Budget Complete" measure="1" displayFolder="" measureGroup="Measure" count="0"/>
    <cacheHierarchy uniqueName="[Measures].[MarkDown]" caption="MarkDown" measure="1" displayFolder="" measureGroup="Measure" count="0"/>
    <cacheHierarchy uniqueName="[Measures].[ItemWholeSalePrice_old]" caption="ItemWholeSalePrice_old" measure="1" displayFolder="" measureGroup="Measure" count="0"/>
    <cacheHierarchy uniqueName="[Measures].[R-Gross Sales]" caption="R-Gross Sales" measure="1" displayFolder="" measureGroup="Period Measures" count="0"/>
    <cacheHierarchy uniqueName="[Measures].[R-M/D]" caption="R-M/D" measure="1" displayFolder="" measureGroup="Period Measures" count="0"/>
    <cacheHierarchy uniqueName="[Measures].[R-Delivered Sales Ex GST]" caption="R-Delivered Sales Ex GST" measure="1" displayFolder="" measureGroup="Period Measures" count="0"/>
    <cacheHierarchy uniqueName="[Measures].[R-CostFinal]" caption="R-CostFinal" measure="1" displayFolder="" measureGroup="Period Measures" count="0"/>
    <cacheHierarchy uniqueName="[Measures].[R-Trading Margin]" caption="R-Trading Margin" measure="1" displayFolder="" measureGroup="Period Measures" count="0"/>
    <cacheHierarchy uniqueName="[Measures].[R-GM%]" caption="R-GM%" measure="1" displayFolder="" measureGroup="Period Measures" count="0"/>
    <cacheHierarchy uniqueName="[Measures].[R-DeliveredSalesBudget]" caption="R-DeliveredSalesBudget" measure="1" displayFolder="" measureGroup="Period Measures" count="0"/>
    <cacheHierarchy uniqueName="[Measures].[R-Budget Variance]" caption="R-Budget Variance" measure="1" displayFolder="" measureGroup="Period Measures" count="0"/>
    <cacheHierarchy uniqueName="[Measures].[R-Gross Sales rolling]" caption="R-Gross Sales rolling" measure="1" displayFolder="" measureGroup="Period Measures" count="0"/>
    <cacheHierarchy uniqueName="[Measures].[R-Gross Sales TY $]" caption="R-Gross Sales TY $" measure="1" displayFolder="" measureGroup="BI metrics" count="0"/>
    <cacheHierarchy uniqueName="[Measures].[R-M/D TY $]" caption="R-M/D TY $" measure="1" displayFolder="" measureGroup="BI metrics" count="0"/>
    <cacheHierarchy uniqueName="[Measures].[R-Sales ExGST TY $]" caption="R-Sales ExGST TY $" measure="1" displayFolder="" measureGroup="BI metrics" count="0"/>
    <cacheHierarchy uniqueName="[Measures].[R-CostFinal TY $]" caption="R-CostFinal TY $" measure="1" displayFolder="" measureGroup="BI metrics" count="0"/>
    <cacheHierarchy uniqueName="[Measures].[R-Sale Budget TY $]" caption="R-Sale Budget TY $" measure="1" displayFolder="" measureGroup="BI metrics" count="0"/>
    <cacheHierarchy uniqueName="[Measures].[R-Trading Margin TY $]" caption="R-Trading Margin TY $" measure="1" displayFolder="" measureGroup="BI metrics" count="0" oneField="1">
      <fieldsUsage count="1">
        <fieldUsage x="7"/>
      </fieldsUsage>
    </cacheHierarchy>
    <cacheHierarchy uniqueName="[Measures].[R-GM % TY]" caption="R-GM % TY" measure="1" displayFolder="" measureGroup="BI metrics" count="0"/>
    <cacheHierarchy uniqueName="[Measures].[R-Budget Variance TY]" caption="R-Budget Variance TY" measure="1" displayFolder="" measureGroup="BI metrics" count="0"/>
    <cacheHierarchy uniqueName="[Measures].[R-Gross Sales LY $]" caption="R-Gross Sales LY $" measure="1" displayFolder="" measureGroup="BI metrics" count="0"/>
    <cacheHierarchy uniqueName="[Measures].[R-M/D LY $]" caption="R-M/D LY $" measure="1" displayFolder="" measureGroup="BI metrics" count="0"/>
    <cacheHierarchy uniqueName="[Measures].[R-Sales ExGST LY $]" caption="R-Sales ExGST LY $" measure="1" displayFolder="" measureGroup="BI metrics" count="0"/>
    <cacheHierarchy uniqueName="[Measures].[R-CostFinal LY $]" caption="R-CostFinal LY $" measure="1" displayFolder="" measureGroup="BI metrics" count="0"/>
    <cacheHierarchy uniqueName="[Measures].[R-Trading Margin LY $]" caption="R-Trading Margin LY $" measure="1" displayFolder="" measureGroup="BI metrics" count="0"/>
    <cacheHierarchy uniqueName="[Measures].[R-Sales Budget LY $]" caption="R-Sales Budget LY $" measure="1" displayFolder="" measureGroup="BI metrics" count="0"/>
    <cacheHierarchy uniqueName="[Measures].[R-Gross Sales YoY]" caption="R-Gross Sales YoY" measure="1" displayFolder="" measureGroup="BI metrics" count="0"/>
    <cacheHierarchy uniqueName="[Measures].[R-M/D YoY]" caption="R-M/D YoY" measure="1" displayFolder="" measureGroup="BI metrics" count="0"/>
    <cacheHierarchy uniqueName="[Measures].[R-Sales ExGST YoY]" caption="R-Sales ExGST YoY" measure="1" displayFolder="" measureGroup="BI metrics" count="0"/>
    <cacheHierarchy uniqueName="[Measures].[R-CostFinal YoY]" caption="R-CostFinal YoY" measure="1" displayFolder="" measureGroup="BI metrics" count="0"/>
    <cacheHierarchy uniqueName="[Measures].[R-Trading Margin YoY]" caption="R-Trading Margin YoY" measure="1" displayFolder="" measureGroup="BI metrics" count="0"/>
    <cacheHierarchy uniqueName="[Measures].[R-Sales ExGST TY $(Amart)]" caption="R-Sales ExGST TY $(Amart)" measure="1" displayFolder="aa_Quadrant-Amart" measureGroup="BI metrics" count="0"/>
    <cacheHierarchy uniqueName="[Measures].[Delivered Sales Ex GST LY]" caption="Delivered Sales Ex GST LY" measure="1" displayFolder="" measureGroup="BI metrics" count="0"/>
    <cacheHierarchy uniqueName="[Measures].[R-Sales ExGST LY $(Amart)]" caption="R-Sales ExGST LY $(Amart)" measure="1" displayFolder="aa_Quadrant-Amart" measureGroup="BI metrics" count="0"/>
    <cacheHierarchy uniqueName="[Measures].[Delivered Sales ExGST LY 1]" caption="Delivered Sales ExGST LY 1" measure="1" displayFolder="" measureGroup="BI metrics" count="0"/>
    <cacheHierarchy uniqueName="[Measures].[R-Sales ExGST YoY(Amart)]" caption="R-Sales ExGST YoY(Amart)" measure="1" displayFolder="aa_Quadrant-Amart" measureGroup="BI metrics" count="0"/>
    <cacheHierarchy uniqueName="[Measures].[R-Sale Budget TY $(Amart)]" caption="R-Sale Budget TY $(Amart)" measure="1" displayFolder="aa_Quadrant-Amart" measureGroup="BI metrics" count="0"/>
    <cacheHierarchy uniqueName="[Measures].[R-Budget Variance TY(Amart)]" caption="R-Budget Variance TY(Amart)" measure="1" displayFolder="aa_Quadrant-Amart" measureGroup="BI metrics" count="0"/>
    <cacheHierarchy uniqueName="[Measures].[R-Trading Margin TY $(Amart)]" caption="R-Trading Margin TY $(Amart)" measure="1" displayFolder="aa_Quadrant-Amart" measureGroup="BI metrics" count="0"/>
    <cacheHierarchy uniqueName="[Measures].[Gross Margin LY]" caption="Gross Margin LY" measure="1" displayFolder="aa_Quadrant-Amart" measureGroup="BI metrics" count="0"/>
    <cacheHierarchy uniqueName="[Measures].[R-Trading Margin LY $(Amart)]" caption="R-Trading Margin LY $(Amart)" measure="1" displayFolder="aa_Quadrant-Amart" measureGroup="BI metrics" count="0"/>
    <cacheHierarchy uniqueName="[Measures].[Gross Sales LY]" caption="Gross Sales LY" measure="1" displayFolder="aa_Quadrant-Amart" measureGroup="BI metrics" count="0"/>
    <cacheHierarchy uniqueName="[Measures].[R-Gross Sales TY $(Amart)]" caption="R-Gross Sales TY $(Amart)" measure="1" displayFolder="aa_Quadrant-Amart" measureGroup="BI metrics" count="0"/>
    <cacheHierarchy uniqueName="[Measures].[R-Gross Sales LY $(Amart)]" caption="R-Gross Sales LY $(Amart)" measure="1" displayFolder="aa_Quadrant-Amart" measureGroup="BI metrics" count="0"/>
    <cacheHierarchy uniqueName="[Measures].[R-Gross Sales YoY(Amart)]" caption="R-Gross Sales YoY(Amart)" measure="1" displayFolder="aa_Quadrant-Amart" measureGroup="BI metrics" count="0"/>
    <cacheHierarchy uniqueName="[Measures].[R-Trading Margin YoY(Amart)]" caption="R-Trading Margin YoY(Amart)" measure="1" displayFolder="aa_Quadrant-Amart" measureGroup="BI metrics" count="0"/>
    <cacheHierarchy uniqueName="[Measures].[Markdown LY]" caption="Markdown LY" measure="1" displayFolder="aa_Quadrant-Amart" measureGroup="BI metrics" count="0"/>
    <cacheHierarchy uniqueName="[Measures].[R-M/D TY $(Amart)]" caption="R-M/D TY $(Amart)" measure="1" displayFolder="aa_Quadrant-Amart" measureGroup="BI metrics" count="0"/>
    <cacheHierarchy uniqueName="[Measures].[R-M/D LY $(Amart)]" caption="R-M/D LY $(Amart)" measure="1" displayFolder="aa_Quadrant-Amart" measureGroup="BI metrics" count="0"/>
    <cacheHierarchy uniqueName="[Measures].[R-M/D YoY(Amart)]" caption="R-M/D YoY(Amart)" measure="1" displayFolder="aa_Quadrant-Amart" measureGroup="BI metrics" count="0"/>
    <cacheHierarchy uniqueName="[Measures].[COSTFINAL LY]" caption="COSTFINAL LY" measure="1" displayFolder="aa_Quadrant-Amart" measureGroup="BI metrics" count="0"/>
    <cacheHierarchy uniqueName="[Measures].[R-CostFinal TY $(Amart)]" caption="R-CostFinal TY $(Amart)" measure="1" displayFolder="aa_Quadrant-Amart" measureGroup="BI metrics" count="0"/>
    <cacheHierarchy uniqueName="[Measures].[R-CostFinal LY $(Amart)]" caption="R-CostFinal LY $(Amart)" measure="1" displayFolder="aa_Quadrant-Amart" measureGroup="BI metrics" count="0"/>
    <cacheHierarchy uniqueName="[Measures].[R-CostFinal YoY(Amart)]" caption="R-CostFinal YoY(Amart)" measure="1" displayFolder="aa_Quadrant-Amart" measureGroup="BI metrics" count="0"/>
    <cacheHierarchy uniqueName="[Measures].[R-GM % TY(Amart)]" caption="R-GM % TY(Amart)" measure="1" displayFolder="aa_Quadrant-Amart" measureGroup="BI metrics" count="0"/>
    <cacheHierarchy uniqueName="[Measures].[R-sales ExGST LY NFY]" caption="R-sales ExGST LY NFY" measure="1" displayFolder="" measureGroup="BI metrics" count="0"/>
    <cacheHierarchy uniqueName="[Measures].[R-Sales ExGST LY $(Amart) NFY]" caption="R-Sales ExGST LY $(Amart) NFY" measure="1" displayFolder="aa_Quadrant-Amart" measureGroup="BI metrics" count="0"/>
    <cacheHierarchy uniqueName="[Measures].[__Default measure]" caption="__Default measure" measure="1" displayFolder="" count="0" hidden="1"/>
  </cacheHierarchies>
  <kpis count="0"/>
  <dimensions count="15">
    <dimension name="BI metrics" uniqueName="[BI metrics]" caption="BI metrics"/>
    <dimension name="BI vw_Budget Duplicate" uniqueName="[BI vw_Budget Duplicate]" caption="BI vw_Budget Duplicate"/>
    <dimension name="BI vw_BudgetDeliveredSalesByStore" uniqueName="[BI vw_BudgetDeliveredSalesByStore]" caption="BI vw_BudgetDeliveredSalesByStore"/>
    <dimension name="BI vw_Dynamics_FFAFDropshipwholesaleprice" uniqueName="[BI vw_Dynamics_FFAFDropshipwholesaleprice]" caption="BI vw_Dynamics_FFAFDropshipwholesaleprice"/>
    <dimension name="BI vw_DynamicsDeliveredSales" uniqueName="[BI vw_DynamicsDeliveredSales]" caption="BI vw_DynamicsDeliveredSales"/>
    <dimension name="BI vw_FinCalendar" uniqueName="[BI vw_FinCalendar]" caption="BI vw_FinCalendar"/>
    <dimension name="BI vw_Store" uniqueName="[BI vw_Store]" caption="BI vw_Store"/>
    <dimension name="CalendarMapping" uniqueName="[CalendarMapping]" caption="CalendarMapping"/>
    <dimension name="DC SO" uniqueName="[DC SO]" caption="DC SO"/>
    <dimension name="dim_period" uniqueName="[dim_period]" caption="dim_period"/>
    <dimension measure="1" name="Measures" uniqueName="[Measures]" caption="Measures"/>
    <dimension name="Month Sort" uniqueName="[Month Sort]" caption="Month Sort"/>
    <dimension name="TimePeriod" uniqueName="[TimePeriod]" caption="TimePeriod"/>
    <dimension name="TimePeriodSort" uniqueName="[TimePeriodSort]" caption="TimePeriodSort"/>
    <dimension name="TimePeriodSort_Amart" uniqueName="[TimePeriodSort_Amart]" caption="TimePeriodSort_Amart"/>
  </dimensions>
  <measureGroups count="23">
    <measureGroup name="BI metrics" caption="BI metrics"/>
    <measureGroup name="BI vw_Budget Duplicate" caption="BI vw_Budget Duplicate"/>
    <measureGroup name="BI vw_BudgetDeliveredSalesByStore" caption="BI vw_BudgetDeliveredSalesByStore"/>
    <measureGroup name="BI vw_Dynamics_FFAFDropshipwholesaleprice" caption="BI vw_Dynamics_FFAFDropshipwholesaleprice"/>
    <measureGroup name="BI vw_DynamicsDeliveredSales" caption="BI vw_DynamicsDeliveredSales"/>
    <measureGroup name="BI vw_FinCalendar" caption="BI vw_FinCalendar"/>
    <measureGroup name="BI vw_MarkdownCategory" caption="BI vw_MarkdownCategory"/>
    <measureGroup name="BI vw_Store" caption="BI vw_Store"/>
    <measureGroup name="BI vw_Store (2)" caption="BI vw_Store (2)"/>
    <measureGroup name="CalendarMapping" caption="CalendarMapping"/>
    <measureGroup name="DateTableTemplate_3f9b2c98-215a-4ac6-bb5b-5edb3fb7613d" caption="DateTableTemplate_3f9b2c98-215a-4ac6-bb5b-5edb3fb7613d"/>
    <measureGroup name="DC SO" caption="DC SO"/>
    <measureGroup name="dim_period" caption="dim_period"/>
    <measureGroup name="LocalDateTable_2dc8ec59-2991-4ed7-b97f-b3968012b3bf" caption="LocalDateTable_2dc8ec59-2991-4ed7-b97f-b3968012b3bf"/>
    <measureGroup name="LocalDateTable_35b2b28c-5e49-4861-9014-eb0865a61f58" caption="LocalDateTable_35b2b28c-5e49-4861-9014-eb0865a61f58"/>
    <measureGroup name="LocalDateTable_3ea1f34c-3b67-443a-8479-d47192825849" caption="LocalDateTable_3ea1f34c-3b67-443a-8479-d47192825849"/>
    <measureGroup name="LocalDateTable_44c7d4ef-ea67-4ad2-970c-4dd712d1bff0" caption="LocalDateTable_44c7d4ef-ea67-4ad2-970c-4dd712d1bff0"/>
    <measureGroup name="Measure" caption="Measure"/>
    <measureGroup name="Month Sort" caption="Month Sort"/>
    <measureGroup name="Period Measures" caption="Period Measures"/>
    <measureGroup name="TimePeriod" caption="TimePeriod"/>
    <measureGroup name="TimePeriodSort" caption="TimePeriodSort"/>
    <measureGroup name="TimePeriodSort_Amart" caption="TimePeriodSort_Amart"/>
  </measureGroups>
  <maps count="49">
    <map measureGroup="0" dimension="0"/>
    <map measureGroup="0" dimension="13"/>
    <map measureGroup="0" dimension="14"/>
    <map measureGroup="1" dimension="1"/>
    <map measureGroup="1" dimension="5"/>
    <map measureGroup="1" dimension="6"/>
    <map measureGroup="1" dimension="7"/>
    <map measureGroup="1" dimension="11"/>
    <map measureGroup="2" dimension="0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1"/>
    <map measureGroup="2" dimension="13"/>
    <map measureGroup="2" dimension="14"/>
    <map measureGroup="3" dimension="3"/>
    <map measureGroup="4" dimension="0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  <map measureGroup="4" dimension="11"/>
    <map measureGroup="4" dimension="13"/>
    <map measureGroup="4" dimension="14"/>
    <map measureGroup="5" dimension="5"/>
    <map measureGroup="5" dimension="7"/>
    <map measureGroup="5" dimension="11"/>
    <map measureGroup="7" dimension="6"/>
    <map measureGroup="8" dimension="6"/>
    <map measureGroup="9" dimension="5"/>
    <map measureGroup="9" dimension="7"/>
    <map measureGroup="9" dimension="11"/>
    <map measureGroup="11" dimension="8"/>
    <map measureGroup="12" dimension="9"/>
    <map measureGroup="18" dimension="11"/>
    <map measureGroup="20" dimension="12"/>
    <map measureGroup="21" dimension="13"/>
    <map measureGroup="21" dimension="14"/>
    <map measureGroup="22" dimension="13"/>
    <map measureGroup="2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5.60482083333" backgroundQuery="1" createdVersion="8" refreshedVersion="8" minRefreshableVersion="3" recordCount="0" supportSubquery="1" supportAdvancedDrill="1" xr:uid="{0EC1A808-B1E6-4009-8C6B-6E5E59E5288A}">
  <cacheSource type="external" connectionId="1"/>
  <cacheFields count="9">
    <cacheField name="[BI metrics].[TimePeriod].[TimePeriod]" caption="TimePeriod" numFmtId="0" hierarchy="16" level="1">
      <sharedItems containsSemiMixedTypes="0" containsString="0"/>
    </cacheField>
    <cacheField name="[BI metrics].[Fin_Period].[Fin_Period]" caption="Fin_Period" numFmtId="0" level="1">
      <sharedItems count="9">
        <s v="[BI metrics].[Fin_Period].&amp;[202701]" c="202701"/>
        <s v="[BI metrics].[Fin_Period].&amp;[202702]" c="202702"/>
        <s v="[BI metrics].[Fin_Period].&amp;[202703]" c="202703"/>
        <s v="[BI metrics].[Fin_Period].&amp;[202704]" c="202704"/>
        <s v="[BI metrics].[Fin_Period].&amp;[202705]" c="202705"/>
        <s v="[BI metrics].[Fin_Period].&amp;[202706]" c="202706"/>
        <s v="[BI metrics].[Fin_Period].&amp;[202707]" c="202707"/>
        <s v="[BI metrics].[Fin_Period].&amp;[202708]" c="202708"/>
        <s v="[BI metrics].[Fin_Period].&amp;[202709]" c="202709"/>
      </sharedItems>
    </cacheField>
    <cacheField name="[BI vw_DynamicsDeliveredSales].[CHANNEL].[CHANNEL]" caption="CHANNEL" numFmtId="0" hierarchy="38" level="1">
      <sharedItems count="2">
        <s v="[BI vw_DynamicsDeliveredSales].[CHANNEL].&amp;[In Store]" c="In Store"/>
        <s v="[BI vw_DynamicsDeliveredSales].[CHANNEL].&amp;[Online]" c="Online"/>
      </sharedItems>
    </cacheField>
    <cacheField name="[BI vw_Store].[Country].[Country]" caption="Country" numFmtId="0" hierarchy="142" level="1">
      <sharedItems count="1">
        <s v="[BI vw_Store].[Country].&amp;[AU]" c="AU"/>
      </sharedItems>
    </cacheField>
    <cacheField name="[BI vw_Store].[BranchType].[BranchType]" caption="BranchType" numFmtId="0" hierarchy="140" level="1">
      <sharedItems containsSemiMixedTypes="0" containsString="0"/>
    </cacheField>
    <cacheField name="[BI vw_DynamicsDeliveredSales].[Sales Order Type].[Sales Order Type]" caption="Sales Order Type" numFmtId="0" hierarchy="101" level="1">
      <sharedItems containsSemiMixedTypes="0" containsString="0"/>
    </cacheField>
    <cacheField name="[BI vw_DynamicsDeliveredSales].[Division].[Division]" caption="Division" numFmtId="0" hierarchy="60" level="1">
      <sharedItems count="2">
        <s v="[BI vw_DynamicsDeliveredSales].[Division].&amp;[Furniture]" c="Furniture"/>
        <s v="[BI vw_DynamicsDeliveredSales].[Division].&amp;[Homewares]" c="Homewares"/>
      </sharedItems>
    </cacheField>
    <cacheField name="[BI vw_Store].[StoreName].[StoreName]" caption="StoreName" numFmtId="0" hierarchy="151" level="1">
      <sharedItems count="2">
        <s v="[BI vw_Store].[StoreName].&amp;[freedom QLD Sunshine Coast (C)]" c="freedom QLD Sunshine Coast (C)"/>
        <s v="[BI vw_Store].[StoreName].&amp;[Freedom QLD Toowoomba]" c="Freedom QLD Toowoomba"/>
      </sharedItems>
    </cacheField>
    <cacheField name="[Measures].[R-Sales ExGST TY $]" caption="R-Sales ExGST TY $" numFmtId="0" hierarchy="267" level="32767"/>
  </cacheFields>
  <cacheHierarchies count="311"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1"/>
      </fieldsUsage>
    </cacheHierarchy>
    <cacheHierarchy uniqueName="[BI metrics].[Fin_Week]" caption="Fin_Week" attribute="1" defaultMemberUniqueName="[BI metrics].[Fin_Week].[All]" allUniqueName="[BI metrics].[Fin_Week].[All]" dimensionUniqueName="[BI metrics]" displayFolder="" count="0" memberValueDatatype="130" unbalanced="0"/>
    <cacheHierarchy uniqueName="[BI metrics].[Fin_Year]" caption="Fin_Year" attribute="1" defaultMemberUniqueName="[BI metrics].[Fin_Year].[All]" allUniqueName="[BI metrics].[Fin_Year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13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5" unbalanced="0"/>
    <cacheHierarchy uniqueName="[BI metrics].[LastYear_Week]" caption="LastYear_Week" attribute="1" defaultMemberUniqueName="[BI metrics].[LastYear_Week].[All]" allUniqueName="[BI metrics].[LastYear_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5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5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0"/>
      </fieldsUsage>
    </cacheHierarchy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vw_Budget Duplicate].[BudgetDollar]" caption="BudgetDollar" attribute="1" defaultMemberUniqueName="[BI vw_Budget Duplicate].[BudgetDollar].[All]" allUniqueName="[BI vw_Budget Duplicate].[BudgetDollar].[All]" dimensionUniqueName="[BI vw_Budget Duplicate]" displayFolder="" count="0" memberValueDatatype="6" unbalanced="0"/>
    <cacheHierarchy uniqueName="[BI vw_Budget Duplicate].[BudgetYear]" caption="BudgetYear" attribute="1" defaultMemberUniqueName="[BI vw_Budget Duplicate].[BudgetYear].[All]" allUniqueName="[BI vw_Budget Duplicate].[BudgetYear].[All]" dimensionUniqueName="[BI vw_Budget Duplicate]" displayFolder="" count="0" memberValueDatatype="20" unbalanced="0"/>
    <cacheHierarchy uniqueName="[BI vw_Budget Duplicate].[FinPeriod]" caption="FinPeriod" attribute="1" defaultMemberUniqueName="[BI vw_Budget Duplicate].[FinPeriod].[All]" allUniqueName="[BI vw_Budget Duplicate].[FinPeriod].[All]" dimensionUniqueName="[BI vw_Budget Duplicate]" displayFolder="" count="0" memberValueDatatype="130" unbalanced="0"/>
    <cacheHierarchy uniqueName="[BI vw_Budget Duplicate].[Store]" caption="Store" attribute="1" defaultMemberUniqueName="[BI vw_Budget Duplicate].[Store].[All]" allUniqueName="[BI vw_Budget Duplicate].[Store].[All]" dimensionUniqueName="[BI vw_Budget Duplicate]" displayFolder="" count="0" memberValueDatatype="130" unbalanced="0"/>
    <cacheHierarchy uniqueName="[BI vw_Budget Duplicate].[YearFinPeriod]" caption="YearFinPeriod" attribute="1" defaultMemberUniqueName="[BI vw_Budget Duplicate].[YearFinPeriod].[All]" allUniqueName="[BI vw_Budget Duplicate].[YearFinPeriod].[All]" dimensionUniqueName="[BI vw_Budget Duplicate]" displayFolder="" count="0" memberValueDatatype="130" unbalanced="0"/>
    <cacheHierarchy uniqueName="[BI vw_BudgetDeliveredSalesByStore].[Budget_Key]" caption="Budget_Key" attribute="1" defaultMemberUniqueName="[BI vw_BudgetDeliveredSalesByStore].[Budget_Key].[All]" allUniqueName="[BI vw_BudgetDeliveredSalesByStore].[Budget_Key].[All]" dimensionUniqueName="[BI vw_BudgetDeliveredSalesByStore]" displayFolder="" count="0" memberValueDatatype="130" unbalanced="0"/>
    <cacheHierarchy uniqueName="[BI vw_BudgetDeliveredSalesByStore].[BudgetDollar]" caption="BudgetDollar" attribute="1" defaultMemberUniqueName="[BI vw_BudgetDeliveredSalesByStore].[BudgetDollar].[All]" allUniqueName="[BI vw_BudgetDeliveredSalesByStore].[BudgetDollar].[All]" dimensionUniqueName="[BI vw_BudgetDeliveredSalesByStore]" displayFolder="" count="0" memberValueDatatype="6" unbalanced="0"/>
    <cacheHierarchy uniqueName="[BI vw_BudgetDeliveredSalesByStore].[BudgetYear]" caption="BudgetYear" attribute="1" defaultMemberUniqueName="[BI vw_BudgetDeliveredSalesByStore].[BudgetYear].[All]" allUniqueName="[BI vw_BudgetDeliveredSalesByStore].[BudgetYear].[All]" dimensionUniqueName="[BI vw_BudgetDeliveredSalesByStore]" displayFolder="" count="0" memberValueDatatype="20" unbalanced="0"/>
    <cacheHierarchy uniqueName="[BI vw_BudgetDeliveredSalesByStore].[FinPeriod]" caption="FinPeriod" attribute="1" defaultMemberUniqueName="[BI vw_BudgetDeliveredSalesByStore].[FinPeriod].[All]" allUniqueName="[BI vw_BudgetDeliveredSalesByStore].[FinPeriod].[All]" dimensionUniqueName="[BI vw_BudgetDeliveredSalesByStore]" displayFolder="" count="0" memberValueDatatype="130" unbalanced="0"/>
    <cacheHierarchy uniqueName="[BI vw_BudgetDeliveredSalesByStore].[Store]" caption="Store" attribute="1" defaultMemberUniqueName="[BI vw_BudgetDeliveredSalesByStore].[Store].[All]" allUniqueName="[BI vw_BudgetDeliveredSalesByStore].[Store].[All]" dimensionUniqueName="[BI vw_BudgetDeliveredSalesByStore]" displayFolder="" count="0" memberValueDatatype="130" unbalanced="0"/>
    <cacheHierarchy uniqueName="[BI vw_BudgetDeliveredSalesByStore].[YearFinPeriod]" caption="YearFinPeriod" attribute="1" defaultMemberUniqueName="[BI vw_BudgetDeliveredSalesByStore].[YearFinPeriod].[All]" allUniqueName="[BI vw_BudgetDeliveredSalesByStore].[YearFinPeriod].[All]" dimensionUniqueName="[BI vw_BudgetDeliveredSalesByStore]" displayFolder="" count="0" memberValueDatatype="130" unbalanced="0"/>
    <cacheHierarchy uniqueName="[BI vw_Dynamics_FFAFDropshipwholesaleprice].[Key]" caption="Key" attribute="1" defaultMemberUniqueName="[BI vw_Dynamics_FFAFDropshipwholesaleprice].[Key].[All]" allUniqueName="[BI vw_Dynamics_FFAFDropshipwholesaleprice].[Key].[All]" dimensionUniqueName="[BI vw_Dynamics_FFAFDropshipwholesaleprice]" displayFolder="" count="0" memberValueDatatype="130" unbalanced="0"/>
    <cacheHierarchy uniqueName="[BI vw_Dynamics_FFAFDropshipwholesaleprice].[WholeSalePrice_FFAFdropship]" caption="WholeSalePrice_FFAFdropship" attribute="1" defaultMemberUniqueName="[BI vw_Dynamics_FFAFDropshipwholesaleprice].[WholeSalePrice_FFAFdropship].[All]" allUniqueName="[BI vw_Dynamics_FFAFDropshipwholesaleprice].[WholeSalePrice_FFAFdropship].[All]" dimensionUniqueName="[BI vw_Dynamics_FFAFDropshipwholesaleprice]" displayFolder="" count="0" memberValueDatatype="5" unbalanced="0"/>
    <cacheHierarchy uniqueName="[BI vw_DynamicsDeliveredSales].[AU-AU]" caption="AU-AU" attribute="1" defaultMemberUniqueName="[BI vw_DynamicsDeliveredSales].[AU-AU].[All]" allUniqueName="[BI vw_DynamicsDeliveredSales].[AU-AU].[All]" dimensionUniqueName="[BI vw_DynamicsDeliveredSales]" displayFolder="" count="0" memberValueDatatype="5" unbalanced="0"/>
    <cacheHierarchy uniqueName="[BI vw_DynamicsDeliveredSales].[AU-NZ]" caption="AU-NZ" attribute="1" defaultMemberUniqueName="[BI vw_DynamicsDeliveredSales].[AU-NZ].[All]" allUniqueName="[BI vw_DynamicsDeliveredSales].[AU-NZ].[All]" dimensionUniqueName="[BI vw_DynamicsDeliveredSales]" displayFolder="" count="0" memberValueDatatype="5" unbalanced="0"/>
    <cacheHierarchy uniqueName="[BI vw_DynamicsDeliveredSales].[BI vw_Dynamics_FFAFDropshipwholesaleprice.WholeSalePrice_FFAFdropship]" caption="BI vw_Dynamics_FFAFDropshipwholesaleprice.WholeSalePrice_FFAFdropship" attribute="1" defaultMemberUniqueName="[BI vw_DynamicsDeliveredSales].[BI vw_Dynamics_FFAFDropshipwholesaleprice.WholeSalePrice_FFAFdropship].[All]" allUniqueName="[BI vw_DynamicsDeliveredSales].[BI vw_Dynamics_FFAFDropshipwholesaleprice.WholeSalePrice_FFAFdropship].[All]" dimensionUniqueName="[BI vw_DynamicsDeliveredSales]" displayFolder="" count="0" memberValueDatatype="5" unbalanced="0"/>
    <cacheHierarchy uniqueName="[BI vw_DynamicsDeliveredSales].[BranchType]" caption="BranchType" attribute="1" defaultMemberUniqueName="[BI vw_DynamicsDeliveredSales].[BranchType].[All]" allUniqueName="[BI vw_DynamicsDeliveredSales].[BranchType].[All]" dimensionUniqueName="[BI vw_DynamicsDeliveredSales]" displayFolder="" count="0" memberValueDatatype="130" unbalanced="0"/>
    <cacheHierarchy uniqueName="[BI vw_DynamicsDeliveredSales].[Budget_Key]" caption="Budget_Key" attribute="1" defaultMemberUniqueName="[BI vw_DynamicsDeliveredSales].[Budget_Key].[All]" allUniqueName="[BI vw_DynamicsDeliveredSales].[Budget_Key].[All]" dimensionUniqueName="[BI vw_DynamicsDeliveredSales]" displayFolder="" count="0" memberValueDatatype="130" unbalanced="0"/>
    <cacheHierarchy uniqueName="[BI vw_DynamicsDeliveredSales].[CHANNEL]" caption="CHANNEL" attribute="1" defaultMemberUniqueName="[BI vw_DynamicsDeliveredSales].[CHANNEL].[All]" allUniqueName="[BI vw_DynamicsDeliveredSales].[CHANNEL].[All]" dimensionUniqueName="[BI vw_DynamicsDeliveredSales]" displayFolder="" count="2" memberValueDatatype="130" unbalanced="0">
      <fieldsUsage count="2">
        <fieldUsage x="-1"/>
        <fieldUsage x="2"/>
      </fieldsUsage>
    </cacheHierarchy>
    <cacheHierarchy uniqueName="[BI vw_DynamicsDeliveredSales].[ClassDesc]" caption="ClassDesc" attribute="1" defaultMemberUniqueName="[BI vw_DynamicsDeliveredSales].[ClassDesc].[All]" allUniqueName="[BI vw_DynamicsDeliveredSales].[ClassDesc].[All]" dimensionUniqueName="[BI vw_DynamicsDeliveredSales]" displayFolder="" count="0" memberValueDatatype="130" unbalanced="0"/>
    <cacheHierarchy uniqueName="[BI vw_DynamicsDeliveredSales].[COMPANY]" caption="COMPANY" attribute="1" defaultMemberUniqueName="[BI vw_DynamicsDeliveredSales].[COMPANY].[All]" allUniqueName="[BI vw_DynamicsDeliveredSales].[COMPANY].[All]" dimensionUniqueName="[BI vw_DynamicsDeliveredSales]" displayFolder="" count="0" memberValueDatatype="130" unbalanced="0"/>
    <cacheHierarchy uniqueName="[BI vw_DynamicsDeliveredSales].[CONTRIBUTIONMARGIN]" caption="CONTRIBUTIONMARGIN" attribute="1" defaultMemberUniqueName="[BI vw_DynamicsDeliveredSales].[CONTRIBUTIONMARGIN].[All]" allUniqueName="[BI vw_DynamicsDeliveredSales].[CONTRIBUTIONMARGIN].[All]" dimensionUniqueName="[BI vw_DynamicsDeliveredSales]" displayFolder="" count="0" memberValueDatatype="5" unbalanced="0"/>
    <cacheHierarchy uniqueName="[BI vw_DynamicsDeliveredSales].[CONTRIBUTIONMARGININVOICED]" caption="CONTRIBUTIONMARGININVOICED" attribute="1" defaultMemberUniqueName="[BI vw_DynamicsDeliveredSales].[CONTRIBUTIONMARGININVOICED].[All]" allUniqueName="[BI vw_DynamicsDeliveredSales].[CONTRIBUTIONMARGININVOICED].[All]" dimensionUniqueName="[BI vw_DynamicsDeliveredSales]" displayFolder="" count="0" memberValueDatatype="5" unbalanced="0"/>
    <cacheHierarchy uniqueName="[BI vw_DynamicsDeliveredSales].[COSTAMOUNTSTD]" caption="COSTAMOUNTSTD" attribute="1" defaultMemberUniqueName="[BI vw_DynamicsDeliveredSales].[COSTAMOUNTSTD].[All]" allUniqueName="[BI vw_DynamicsDeliveredSales].[COSTAMOUNTSTD].[All]" dimensionUniqueName="[BI vw_DynamicsDeliveredSales]" displayFolder="" count="0" memberValueDatatype="5" unbalanced="0"/>
    <cacheHierarchy uniqueName="[BI vw_DynamicsDeliveredSales].[COSTAMOUNTSTDADJUSTMENT]" caption="COSTAMOUNTSTDADJUSTMENT" attribute="1" defaultMemberUniqueName="[BI vw_DynamicsDeliveredSales].[COSTAMOUNTSTDADJUSTMENT].[All]" allUniqueName="[BI vw_DynamicsDeliveredSales].[COSTAMOUNTSTDADJUSTMENT].[All]" dimensionUniqueName="[BI vw_DynamicsDeliveredSales]" displayFolder="" count="0" memberValueDatatype="5" unbalanced="0"/>
    <cacheHierarchy uniqueName="[BI vw_DynamicsDeliveredSales].[COSTINVOICEDCOST]" caption="COSTINVOICEDCOST" attribute="1" defaultMemberUniqueName="[BI vw_DynamicsDeliveredSales].[COSTINVOICEDCOST].[All]" allUniqueName="[BI vw_DynamicsDeliveredSales].[COSTINVOICEDCOST].[All]" dimensionUniqueName="[BI vw_DynamicsDeliveredSales]" displayFolder="" count="0" memberValueDatatype="5" unbalanced="0"/>
    <cacheHierarchy uniqueName="[BI vw_DynamicsDeliveredSales].[Country]" caption="Country" attribute="1" defaultMemberUniqueName="[BI vw_DynamicsDeliveredSales].[Country].[All]" allUniqueName="[BI vw_DynamicsDeliveredSales].[Country].[All]" dimensionUniqueName="[BI vw_DynamicsDeliveredSales]" displayFolder="" count="0" memberValueDatatype="130" unbalanced="0"/>
    <cacheHierarchy uniqueName="[BI vw_DynamicsDeliveredSales].[CUSTACCOUNT]" caption="CUSTACCOUNT" attribute="1" defaultMemberUniqueName="[BI vw_DynamicsDeliveredSales].[CUSTACCOUNT].[All]" allUniqueName="[BI vw_DynamicsDeliveredSales].[CUSTACCOUNT].[All]" dimensionUniqueName="[BI vw_DynamicsDeliveredSales]" displayFolder="" count="0" memberValueDatatype="130" unbalanced="0"/>
    <cacheHierarchy uniqueName="[BI vw_DynamicsDeliveredSales].[CUSTACCOUNT - Copy]" caption="CUSTACCOUNT - Copy" attribute="1" defaultMemberUniqueName="[BI vw_DynamicsDeliveredSales].[CUSTACCOUNT - Copy].[All]" allUniqueName="[BI vw_DynamicsDeliveredSales].[CUSTACCOUNT - Copy].[All]" dimensionUniqueName="[BI vw_DynamicsDeliveredSales]" displayFolder="" count="0" memberValueDatatype="130" unbalanced="0"/>
    <cacheHierarchy uniqueName="[BI vw_DynamicsDeliveredSales].[CUSTOMERNAME]" caption="CUSTOMERNAME" attribute="1" defaultMemberUniqueName="[BI vw_DynamicsDeliveredSales].[CUSTOMERNAME].[All]" allUniqueName="[BI vw_DynamicsDeliveredSales].[CUSTOMERNAME].[All]" dimensionUniqueName="[BI vw_DynamicsDeliveredSales]" displayFolder="" count="0" memberValueDatatype="130" unbalanced="0"/>
    <cacheHierarchy uniqueName="[BI vw_DynamicsDeliveredSales].[CUSTOMERSORDERREFERENCE]" caption="CUSTOMERSORDERREFERENCE" attribute="1" defaultMemberUniqueName="[BI vw_DynamicsDeliveredSales].[CUSTOMERSORDERREFERENCE].[All]" allUniqueName="[BI vw_DynamicsDeliveredSales].[CUSTOMERSORDERREFERENCE].[All]" dimensionUniqueName="[BI vw_DynamicsDeliveredSales]" displayFolder="" count="0" memberValueDatatype="130" unbalanced="0"/>
    <cacheHierarchy uniqueName="[BI vw_DynamicsDeliveredSales].[DATAAREAID]" caption="DATAAREAID" attribute="1" defaultMemberUniqueName="[BI vw_DynamicsDeliveredSales].[DATAAREAID].[All]" allUniqueName="[BI vw_DynamicsDeliveredSales].[DATAAREAID].[All]" dimensionUniqueName="[BI vw_DynamicsDeliveredSales]" displayFolder="" count="0" memberValueDatatype="130" unbalanced="0"/>
    <cacheHierarchy uniqueName="[BI vw_DynamicsDeliveredSales].[DC Name]" caption="DC Name" attribute="1" defaultMemberUniqueName="[BI vw_DynamicsDeliveredSales].[DC Name].[All]" allUniqueName="[BI vw_DynamicsDeliveredSales].[DC Name].[All]" dimensionUniqueName="[BI vw_DynamicsDeliveredSales]" displayFolder="" count="0" memberValueDatatype="130" unbalanced="0"/>
    <cacheHierarchy uniqueName="[BI vw_DynamicsDeliveredSales].[DC SO Name]" caption="DC SO Name" attribute="1" defaultMemberUniqueName="[BI vw_DynamicsDeliveredSales].[DC SO Name].[All]" allUniqueName="[BI vw_DynamicsDeliveredSales].[DC SO Name].[All]" dimensionUniqueName="[BI vw_DynamicsDeliveredSales]" displayFolder="" count="0" memberValueDatatype="20" unbalanced="0"/>
    <cacheHierarchy uniqueName="[BI vw_DynamicsDeliveredSales].[DEFAULTLEDGERDIMENSIONDISPLAYVALUE]" caption="DEFAULTLEDGERDIMENSIONDISPLAYVALUE" attribute="1" defaultMemberUniqueName="[BI vw_DynamicsDeliveredSales].[DEFAULTLEDGERDIMENSIONDISPLAYVALUE].[All]" allUniqueName="[BI vw_DynamicsDeliveredSales].[DEFAULTLEDGERDIMENSIONDISPLAYVALUE].[All]" dimensionUniqueName="[BI vw_DynamicsDeliveredSales]" displayFolder="" count="0" memberValueDatatype="130" unbalanced="0"/>
    <cacheHierarchy uniqueName="[BI vw_DynamicsDeliveredSales].[DEFAULTSHIPPINGWAREHOUSEID]" caption="DEFAULTSHIPPINGWAREHOUSEID" attribute="1" defaultMemberUniqueName="[BI vw_DynamicsDeliveredSales].[DEFAULTSHIPPINGWAREHOUSEID].[All]" allUniqueName="[BI vw_DynamicsDeliveredSales].[DEFAULTSHIPPINGWAREHOUSEID].[All]" dimensionUniqueName="[BI vw_DynamicsDeliveredSales]" displayFolder="" count="0" memberValueDatatype="130" unbalanced="0"/>
    <cacheHierarchy uniqueName="[BI vw_DynamicsDeliveredSales].[DELIVERYMODECODE]" caption="DELIVERYMODECODE" attribute="1" defaultMemberUniqueName="[BI vw_DynamicsDeliveredSales].[DELIVERYMODECODE].[All]" allUniqueName="[BI vw_DynamicsDeliveredSales].[DELIVERYMODECODE].[All]" dimensionUniqueName="[BI vw_DynamicsDeliveredSales]" displayFolder="" count="0" memberValueDatatype="130" unbalanced="0"/>
    <cacheHierarchy uniqueName="[BI vw_DynamicsDeliveredSales].[Department]" caption="Department" attribute="1" defaultMemberUniqueName="[BI vw_DynamicsDeliveredSales].[Department].[All]" allUniqueName="[BI vw_DynamicsDeliveredSales].[Department].[All]" dimensionUniqueName="[BI vw_DynamicsDeliveredSales]" displayFolder="" count="0" memberValueDatatype="5" unbalanced="0"/>
    <cacheHierarchy uniqueName="[BI vw_DynamicsDeliveredSales].[DepartmentDesc]" caption="DepartmentDesc" attribute="1" defaultMemberUniqueName="[BI vw_DynamicsDeliveredSales].[DepartmentDesc].[All]" allUniqueName="[BI vw_DynamicsDeliveredSales].[DepartmentDesc].[All]" dimensionUniqueName="[BI vw_DynamicsDeliveredSales]" displayFolder="" count="0" memberValueDatatype="130" unbalanced="0"/>
    <cacheHierarchy uniqueName="[BI vw_DynamicsDeliveredSales].[DISCINVOICEDDISC]" caption="DISCINVOICEDDISC" attribute="1" defaultMemberUniqueName="[BI vw_DynamicsDeliveredSales].[DISCINVOICEDDISC].[All]" allUniqueName="[BI vw_DynamicsDeliveredSales].[DISCINVOICEDDISC].[All]" dimensionUniqueName="[BI vw_DynamicsDeliveredSales]" displayFolder="" count="0" memberValueDatatype="5" unbalanced="0"/>
    <cacheHierarchy uniqueName="[BI vw_DynamicsDeliveredSales].[Division]" caption="Division" attribute="1" defaultMemberUniqueName="[BI vw_DynamicsDeliveredSales].[Division].[All]" allUniqueName="[BI vw_DynamicsDeliveredSales].[Division].[All]" dimensionUniqueName="[BI vw_DynamicsDeliveredSales]" displayFolder="" count="2" memberValueDatatype="130" unbalanced="0">
      <fieldsUsage count="2">
        <fieldUsage x="-1"/>
        <fieldUsage x="6"/>
      </fieldsUsage>
    </cacheHierarchy>
    <cacheHierarchy uniqueName="[BI vw_DynamicsDeliveredSales].[Dropship]" caption="Dropship" attribute="1" defaultMemberUniqueName="[BI vw_DynamicsDeliveredSales].[Dropship].[All]" allUniqueName="[BI vw_DynamicsDeliveredSales].[Dropship].[All]" dimensionUniqueName="[BI vw_DynamicsDeliveredSales]" displayFolder="" count="0" memberValueDatatype="130" unbalanced="0"/>
    <cacheHierarchy uniqueName="[BI vw_DynamicsDeliveredSales].[DXC_BASEITEMNUMBER]" caption="DXC_BASEITEMNUMBER" attribute="1" defaultMemberUniqueName="[BI vw_DynamicsDeliveredSales].[DXC_BASEITEMNUMBER].[All]" allUniqueName="[BI vw_DynamicsDeliveredSales].[DXC_BASEITEMNUMBER].[All]" dimensionUniqueName="[BI vw_DynamicsDeliveredSales]" displayFolder="" count="0" memberValueDatatype="130" unbalanced="0"/>
    <cacheHierarchy uniqueName="[BI vw_DynamicsDeliveredSales].[dxc_EXTERNALCREATEDDATE]" caption="dxc_EXTERNALCREATEDDATE" attribute="1" time="1" defaultMemberUniqueName="[BI vw_DynamicsDeliveredSales].[dxc_EXTERNALCREATEDDATE].[All]" allUniqueName="[BI vw_DynamicsDeliveredSales].[dxc_EXTERNALCREATEDDATE].[All]" dimensionUniqueName="[BI vw_DynamicsDeliveredSales]" displayFolder="" count="0" memberValueDatatype="7" unbalanced="0"/>
    <cacheHierarchy uniqueName="[BI vw_DynamicsDeliveredSales].[DXC_EXTERNALITEMNUMBER]" caption="DXC_EXTERNALITEMNUMBER" attribute="1" defaultMemberUniqueName="[BI vw_DynamicsDeliveredSales].[DXC_EXTERNALITEMNUMBER].[All]" allUniqueName="[BI vw_DynamicsDeliveredSales].[DXC_EXTERNALITEMNUMBER].[All]" dimensionUniqueName="[BI vw_DynamicsDeliveredSales]" displayFolder="" count="0" memberValueDatatype="130" unbalanced="0"/>
    <cacheHierarchy uniqueName="[BI vw_DynamicsDeliveredSales].[DXC_SALESPERSONID]" caption="DXC_SALESPERSONID" attribute="1" defaultMemberUniqueName="[BI vw_DynamicsDeliveredSales].[DXC_SALESPERSONID].[All]" allUniqueName="[BI vw_DynamicsDeliveredSales].[DXC_SALESPERSONID].[All]" dimensionUniqueName="[BI vw_DynamicsDeliveredSales]" displayFolder="" count="0" memberValueDatatype="130" unbalanced="0"/>
    <cacheHierarchy uniqueName="[BI vw_DynamicsDeliveredSales].[FINALUPC]" caption="FINALUPC" attribute="1" defaultMemberUniqueName="[BI vw_DynamicsDeliveredSales].[FINALUPC].[All]" allUniqueName="[BI vw_DynamicsDeliveredSales].[FINALUPC].[All]" dimensionUniqueName="[BI vw_DynamicsDeliveredSales]" displayFolder="" count="0" memberValueDatatype="20" unbalanced="0"/>
    <cacheHierarchy uniqueName="[BI vw_DynamicsDeliveredSales].[FinPeriod]" caption="FinPeriod" attribute="1" defaultMemberUniqueName="[BI vw_DynamicsDeliveredSales].[FinPeriod].[All]" allUniqueName="[BI vw_DynamicsDeliveredSales].[FinPeriod].[All]" dimensionUniqueName="[BI vw_DynamicsDeliveredSales]" displayFolder="" count="0" memberValueDatatype="20" unbalanced="0"/>
    <cacheHierarchy uniqueName="[BI vw_DynamicsDeliveredSales].[FinPeriod Cal]" caption="FinPeriod Cal" attribute="1" defaultMemberUniqueName="[BI vw_DynamicsDeliveredSales].[FinPeriod Cal].[All]" allUniqueName="[BI vw_DynamicsDeliveredSales].[FinPeriod Cal].[All]" dimensionUniqueName="[BI vw_DynamicsDeliveredSales]" displayFolder="" count="0" memberValueDatatype="20" unbalanced="0"/>
    <cacheHierarchy uniqueName="[BI vw_DynamicsDeliveredSales].[FirstWeek-Month]" caption="FirstWeek-Month" attribute="1" defaultMemberUniqueName="[BI vw_DynamicsDeliveredSales].[FirstWeek-Month].[All]" allUniqueName="[BI vw_DynamicsDeliveredSales].[FirstWeek-Month].[All]" dimensionUniqueName="[BI vw_DynamicsDeliveredSales]" displayFolder="" count="0" memberValueDatatype="20" unbalanced="0"/>
    <cacheHierarchy uniqueName="[BI vw_DynamicsDeliveredSales].[FirstWeek-QTD]" caption="FirstWeek-QTD" attribute="1" defaultMemberUniqueName="[BI vw_DynamicsDeliveredSales].[FirstWeek-QTD].[All]" allUniqueName="[BI vw_DynamicsDeliveredSales].[FirstWeek-QTD].[All]" dimensionUniqueName="[BI vw_DynamicsDeliveredSales]" displayFolder="" count="0" memberValueDatatype="20" unbalanced="0"/>
    <cacheHierarchy uniqueName="[BI vw_DynamicsDeliveredSales].[FirstWeek-Year]" caption="FirstWeek-Year" attribute="1" defaultMemberUniqueName="[BI vw_DynamicsDeliveredSales].[FirstWeek-Year].[All]" allUniqueName="[BI vw_DynamicsDeliveredSales].[FirstWeek-Year].[All]" dimensionUniqueName="[BI vw_DynamicsDeliveredSales]" displayFolder="" count="0" memberValueDatatype="130" unbalanced="0"/>
    <cacheHierarchy uniqueName="[BI vw_DynamicsDeliveredSales].[GROSSINVOICEDGROSS]" caption="GROSSINVOICEDGROSS" attribute="1" defaultMemberUniqueName="[BI vw_DynamicsDeliveredSales].[GROSSINVOICEDGROSS].[All]" allUniqueName="[BI vw_DynamicsDeliveredSales].[GROSSINVOICEDGROSS].[All]" dimensionUniqueName="[BI vw_DynamicsDeliveredSales]" displayFolder="" count="0" memberValueDatatype="5" unbalanced="0"/>
    <cacheHierarchy uniqueName="[BI vw_DynamicsDeliveredSales].[INVENTTRANSID]" caption="INVENTTRANSID" attribute="1" defaultMemberUniqueName="[BI vw_DynamicsDeliveredSales].[INVENTTRANSID].[All]" allUniqueName="[BI vw_DynamicsDeliveredSales].[INVENTTRANSID].[All]" dimensionUniqueName="[BI vw_DynamicsDeliveredSales]" displayFolder="" count="0" memberValueDatatype="130" unbalanced="0"/>
    <cacheHierarchy uniqueName="[BI vw_DynamicsDeliveredSales].[INVOICEDATE]" caption="INVOICEDATE" attribute="1" time="1" defaultMemberUniqueName="[BI vw_DynamicsDeliveredSales].[INVOICEDATE].[All]" allUniqueName="[BI vw_DynamicsDeliveredSales].[INVOICEDATE].[All]" dimensionUniqueName="[BI vw_DynamicsDeliveredSales]" displayFolder="" count="0" memberValueDatatype="7" unbalanced="0"/>
    <cacheHierarchy uniqueName="[BI vw_DynamicsDeliveredSales].[INVOICEID]" caption="INVOICEID" attribute="1" defaultMemberUniqueName="[BI vw_DynamicsDeliveredSales].[INVOICEID].[All]" allUniqueName="[BI vw_DynamicsDeliveredSales].[INVOICEID].[All]" dimensionUniqueName="[BI vw_DynamicsDeliveredSales]" displayFolder="" count="0" memberValueDatatype="130" unbalanced="0"/>
    <cacheHierarchy uniqueName="[BI vw_DynamicsDeliveredSales].[ISSELECTED]" caption="ISSELECTED" attribute="1" defaultMemberUniqueName="[BI vw_DynamicsDeliveredSales].[ISSELECTED].[All]" allUniqueName="[BI vw_DynamicsDeliveredSales].[ISSELECTED].[All]" dimensionUniqueName="[BI vw_DynamicsDeliveredSales]" displayFolder="" count="0" memberValueDatatype="20" unbalanced="0"/>
    <cacheHierarchy uniqueName="[BI vw_DynamicsDeliveredSales].[ITEMID]" caption="ITEMID" attribute="1" defaultMemberUniqueName="[BI vw_DynamicsDeliveredSales].[ITEMID].[All]" allUniqueName="[BI vw_DynamicsDeliveredSales].[ITEMID].[All]" dimensionUniqueName="[BI vw_DynamicsDeliveredSales]" displayFolder="" count="0" memberValueDatatype="130" unbalanced="0"/>
    <cacheHierarchy uniqueName="[BI vw_DynamicsDeliveredSales].[ITEMNAME]" caption="ITEMNAME" attribute="1" defaultMemberUniqueName="[BI vw_DynamicsDeliveredSales].[ITEMNAME].[All]" allUniqueName="[BI vw_DynamicsDeliveredSales].[ITEMNAME].[All]" dimensionUniqueName="[BI vw_DynamicsDeliveredSales]" displayFolder="" count="0" memberValueDatatype="130" unbalanced="0"/>
    <cacheHierarchy uniqueName="[BI vw_DynamicsDeliveredSales].[ITEMTYPE]" caption="ITEMTYPE" attribute="1" defaultMemberUniqueName="[BI vw_DynamicsDeliveredSales].[ITEMTYPE].[All]" allUniqueName="[BI vw_DynamicsDeliveredSales].[ITEMTYPE].[All]" dimensionUniqueName="[BI vw_DynamicsDeliveredSales]" displayFolder="" count="0" memberValueDatatype="130" unbalanced="0"/>
    <cacheHierarchy uniqueName="[BI vw_DynamicsDeliveredSales].[LINECREATIONSEQUENCENUMBER]" caption="LINECREATIONSEQUENCENUMBER" attribute="1" defaultMemberUniqueName="[BI vw_DynamicsDeliveredSales].[LINECREATIONSEQUENCENUMBER].[All]" allUniqueName="[BI vw_DynamicsDeliveredSales].[LINECREATIONSEQUENCENUMBER].[All]" dimensionUniqueName="[BI vw_DynamicsDeliveredSales]" displayFolder="" count="0" memberValueDatatype="20" unbalanced="0"/>
    <cacheHierarchy uniqueName="[BI vw_DynamicsDeliveredSales].[LINEDISC]" caption="LINEDISC" attribute="1" defaultMemberUniqueName="[BI vw_DynamicsDeliveredSales].[LINEDISC].[All]" allUniqueName="[BI vw_DynamicsDeliveredSales].[LINEDISC].[All]" dimensionUniqueName="[BI vw_DynamicsDeliveredSales]" displayFolder="" count="0" memberValueDatatype="5" unbalanced="0"/>
    <cacheHierarchy uniqueName="[BI vw_DynamicsDeliveredSales].[LINENUM]" caption="LINENUM" attribute="1" defaultMemberUniqueName="[BI vw_DynamicsDeliveredSales].[LINENUM].[All]" allUniqueName="[BI vw_DynamicsDeliveredSales].[LINENUM].[All]" dimensionUniqueName="[BI vw_DynamicsDeliveredSales]" displayFolder="" count="0" memberValueDatatype="20" unbalanced="0"/>
    <cacheHierarchy uniqueName="[BI vw_DynamicsDeliveredSales].[MarkdownAmounts.1]" caption="MarkdownAmounts.1" attribute="1" defaultMemberUniqueName="[BI vw_DynamicsDeliveredSales].[MarkdownAmounts.1].[All]" allUniqueName="[BI vw_DynamicsDeliveredSales].[MarkdownAmounts.1].[All]" dimensionUniqueName="[BI vw_DynamicsDeliveredSales]" displayFolder="" count="0" memberValueDatatype="5" unbalanced="0"/>
    <cacheHierarchy uniqueName="[BI vw_DynamicsDeliveredSales].[MarkdownAmounts.2]" caption="MarkdownAmounts.2" attribute="1" defaultMemberUniqueName="[BI vw_DynamicsDeliveredSales].[MarkdownAmounts.2].[All]" allUniqueName="[BI vw_DynamicsDeliveredSales].[MarkdownAmounts.2].[All]" dimensionUniqueName="[BI vw_DynamicsDeliveredSales]" displayFolder="" count="0" memberValueDatatype="5" unbalanced="0"/>
    <cacheHierarchy uniqueName="[BI vw_DynamicsDeliveredSales].[MarkdownCategory.1]" caption="MarkdownCategory.1" attribute="1" defaultMemberUniqueName="[BI vw_DynamicsDeliveredSales].[MarkdownCategory.1].[All]" allUniqueName="[BI vw_DynamicsDeliveredSales].[MarkdownCategory.1].[All]" dimensionUniqueName="[BI vw_DynamicsDeliveredSales]" displayFolder="" count="0" memberValueDatatype="130" unbalanced="0"/>
    <cacheHierarchy uniqueName="[BI vw_DynamicsDeliveredSales].[MarkdownCategory.2]" caption="MarkdownCategory.2" attribute="1" defaultMemberUniqueName="[BI vw_DynamicsDeliveredSales].[MarkdownCategory.2].[All]" allUniqueName="[BI vw_DynamicsDeliveredSales].[MarkdownCategory.2].[All]" dimensionUniqueName="[BI vw_DynamicsDeliveredSales]" displayFolder="" count="0" memberValueDatatype="130" unbalanced="0"/>
    <cacheHierarchy uniqueName="[BI vw_DynamicsDeliveredSales].[MarkdownCodes.1]" caption="MarkdownCodes.1" attribute="1" defaultMemberUniqueName="[BI vw_DynamicsDeliveredSales].[MarkdownCodes.1].[All]" allUniqueName="[BI vw_DynamicsDeliveredSales].[MarkdownCodes.1].[All]" dimensionUniqueName="[BI vw_DynamicsDeliveredSales]" displayFolder="" count="0" memberValueDatatype="130" unbalanced="0"/>
    <cacheHierarchy uniqueName="[BI vw_DynamicsDeliveredSales].[MarkdownCodes.2]" caption="MarkdownCodes.2" attribute="1" defaultMemberUniqueName="[BI vw_DynamicsDeliveredSales].[MarkdownCodes.2].[All]" allUniqueName="[BI vw_DynamicsDeliveredSales].[MarkdownCodes.2].[All]" dimensionUniqueName="[BI vw_DynamicsDeliveredSales]" displayFolder="" count="0" memberValueDatatype="130" unbalanced="0"/>
    <cacheHierarchy uniqueName="[BI vw_DynamicsDeliveredSales].[Merged]" caption="Merged" attribute="1" defaultMemberUniqueName="[BI vw_DynamicsDeliveredSales].[Merged].[All]" allUniqueName="[BI vw_DynamicsDeliveredSales].[Merged].[All]" dimensionUniqueName="[BI vw_DynamicsDeliveredSales]" displayFolder="" count="0" memberValueDatatype="130" unbalanced="0"/>
    <cacheHierarchy uniqueName="[BI vw_DynamicsDeliveredSales].[NETINVOICEDNET]" caption="NETINVOICEDNET" attribute="1" defaultMemberUniqueName="[BI vw_DynamicsDeliveredSales].[NETINVOICEDNET].[All]" allUniqueName="[BI vw_DynamicsDeliveredSales].[NETINVOICEDNET].[All]" dimensionUniqueName="[BI vw_DynamicsDeliveredSales]" displayFolder="" count="0" memberValueDatatype="5" unbalanced="0"/>
    <cacheHierarchy uniqueName="[BI vw_DynamicsDeliveredSales].[NETSALESNET]" caption="NETSALESNET" attribute="1" defaultMemberUniqueName="[BI vw_DynamicsDeliveredSales].[NETSALESNET].[All]" allUniqueName="[BI vw_DynamicsDeliveredSales].[NETSALESNET].[All]" dimensionUniqueName="[BI vw_DynamicsDeliveredSales]" displayFolder="" count="0" memberValueDatatype="5" unbalanced="0"/>
    <cacheHierarchy uniqueName="[BI vw_DynamicsDeliveredSales].[NZ-NZ]" caption="NZ-NZ" attribute="1" defaultMemberUniqueName="[BI vw_DynamicsDeliveredSales].[NZ-NZ].[All]" allUniqueName="[BI vw_DynamicsDeliveredSales].[NZ-NZ].[All]" dimensionUniqueName="[BI vw_DynamicsDeliveredSales]" displayFolder="" count="0" memberValueDatatype="5" unbalanced="0"/>
    <cacheHierarchy uniqueName="[BI vw_DynamicsDeliveredSales].[ORDERCREATIONDATETIME]" caption="ORDERCREATIONDATETIME" attribute="1" time="1" defaultMemberUniqueName="[BI vw_DynamicsDeliveredSales].[ORDERCREATIONDATETIME].[All]" allUniqueName="[BI vw_DynamicsDeliveredSales].[ORDERCREATIONDATETIME].[All]" dimensionUniqueName="[BI vw_DynamicsDeliveredSales]" displayFolder="" count="0" memberValueDatatype="7" unbalanced="0"/>
    <cacheHierarchy uniqueName="[BI vw_DynamicsDeliveredSales].[PARTITION]" caption="PARTITION" attribute="1" defaultMemberUniqueName="[BI vw_DynamicsDeliveredSales].[PARTITION].[All]" allUniqueName="[BI vw_DynamicsDeliveredSales].[PARTITION].[All]" dimensionUniqueName="[BI vw_DynamicsDeliveredSales]" displayFolder="" count="0" memberValueDatatype="130" unbalanced="0"/>
    <cacheHierarchy uniqueName="[BI vw_DynamicsDeliveredSales].[PRODUCTTYPE]" caption="PRODUCTTYPE" attribute="1" defaultMemberUniqueName="[BI vw_DynamicsDeliveredSales].[PRODUCTTYPE].[All]" allUniqueName="[BI vw_DynamicsDeliveredSales].[PRODUCTTYPE].[All]" dimensionUniqueName="[BI vw_DynamicsDeliveredSales]" displayFolder="" count="0" memberValueDatatype="20" unbalanced="0"/>
    <cacheHierarchy uniqueName="[BI vw_DynamicsDeliveredSales].[QTY]" caption="QTY" attribute="1" defaultMemberUniqueName="[BI vw_DynamicsDeliveredSales].[QTY].[All]" allUniqueName="[BI vw_DynamicsDeliveredSales].[QTY].[All]" dimensionUniqueName="[BI vw_DynamicsDeliveredSales]" displayFolder="" count="0" memberValueDatatype="5" unbalanced="0"/>
    <cacheHierarchy uniqueName="[BI vw_DynamicsDeliveredSales].[Range]" caption="Range" attribute="1" defaultMemberUniqueName="[BI vw_DynamicsDeliveredSales].[Range].[All]" allUniqueName="[BI vw_DynamicsDeliveredSales].[Range].[All]" dimensionUniqueName="[BI vw_DynamicsDeliveredSales]" displayFolder="" count="0" memberValueDatatype="130" unbalanced="0"/>
    <cacheHierarchy uniqueName="[BI vw_DynamicsDeliveredSales].[RECID]" caption="RECID" attribute="1" defaultMemberUniqueName="[BI vw_DynamicsDeliveredSales].[RECID].[All]" allUniqueName="[BI vw_DynamicsDeliveredSales].[RECID].[All]" dimensionUniqueName="[BI vw_DynamicsDeliveredSales]" displayFolder="" count="0" memberValueDatatype="20" unbalanced="0"/>
    <cacheHierarchy uniqueName="[BI vw_DynamicsDeliveredSales].[Retail/Not]" caption="Retail/Not" attribute="1" defaultMemberUniqueName="[BI vw_DynamicsDeliveredSales].[Retail/Not].[All]" allUniqueName="[BI vw_DynamicsDeliveredSales].[Retail/Not].[All]" dimensionUniqueName="[BI vw_DynamicsDeliveredSales]" displayFolder="" count="0" memberValueDatatype="130" unbalanced="0"/>
    <cacheHierarchy uniqueName="[BI vw_DynamicsDeliveredSales].[SaleOrderLineNumber]" caption="SaleOrderLineNumber" attribute="1" defaultMemberUniqueName="[BI vw_DynamicsDeliveredSales].[SaleOrderLineNumber].[All]" allUniqueName="[BI vw_DynamicsDeliveredSales].[SaleOrderLineNumber].[All]" dimensionUniqueName="[BI vw_DynamicsDeliveredSales]" displayFolder="" count="0" memberValueDatatype="20" unbalanced="0"/>
    <cacheHierarchy uniqueName="[BI vw_DynamicsDeliveredSales].[Sales Order Type]" caption="Sales Order Type" attribute="1" defaultMemberUniqueName="[BI vw_DynamicsDeliveredSales].[Sales Order Type].[All]" allUniqueName="[BI vw_DynamicsDeliveredSales].[Sales Order Type].[All]" dimensionUniqueName="[BI vw_DynamicsDeliveredSales]" displayFolder="" count="2" memberValueDatatype="130" unbalanced="0">
      <fieldsUsage count="2">
        <fieldUsage x="-1"/>
        <fieldUsage x="5"/>
      </fieldsUsage>
    </cacheHierarchy>
    <cacheHierarchy uniqueName="[BI vw_DynamicsDeliveredSales].[Sales Type]" caption="Sales Type" attribute="1" defaultMemberUniqueName="[BI vw_DynamicsDeliveredSales].[Sales Type].[All]" allUniqueName="[BI vw_DynamicsDeliveredSales].[Sales Type].[All]" dimensionUniqueName="[BI vw_DynamicsDeliveredSales]" displayFolder="" count="0" memberValueDatatype="130" unbalanced="0"/>
    <cacheHierarchy uniqueName="[BI vw_DynamicsDeliveredSales].[SALESID]" caption="SALESID" attribute="1" defaultMemberUniqueName="[BI vw_DynamicsDeliveredSales].[SALESID].[All]" allUniqueName="[BI vw_DynamicsDeliveredSales].[SALESID].[All]" dimensionUniqueName="[BI vw_DynamicsDeliveredSales]" displayFolder="" count="0" memberValueDatatype="130" unbalanced="0"/>
    <cacheHierarchy uniqueName="[BI vw_DynamicsDeliveredSales].[SALESORDERNUMBER]" caption="SALESORDERNUMBER" attribute="1" defaultMemberUniqueName="[BI vw_DynamicsDeliveredSales].[SALESORDERNUMBER].[All]" allUniqueName="[BI vw_DynamicsDeliveredSales].[SALESORDERNUMBER].[All]" dimensionUniqueName="[BI vw_DynamicsDeliveredSales]" displayFolder="" count="0" memberValueDatatype="130" unbalanced="0"/>
    <cacheHierarchy uniqueName="[BI vw_DynamicsDeliveredSales].[SALESPRICE]" caption="SALESPRICE" attribute="1" defaultMemberUniqueName="[BI vw_DynamicsDeliveredSales].[SALESPRICE].[All]" allUniqueName="[BI vw_DynamicsDeliveredSales].[SALESPRICE].[All]" dimensionUniqueName="[BI vw_DynamicsDeliveredSales]" displayFolder="" count="0" memberValueDatatype="5" unbalanced="0"/>
    <cacheHierarchy uniqueName="[BI vw_DynamicsDeliveredSales].[SHIPPINGWAREHOUSEID]" caption="SHIPPINGWAREHOUSEID" attribute="1" defaultMemberUniqueName="[BI vw_DynamicsDeliveredSales].[SHIPPINGWAREHOUSEID].[All]" allUniqueName="[BI vw_DynamicsDeliveredSales].[SHIPPINGWAREHOUSEID].[All]" dimensionUniqueName="[BI vw_DynamicsDeliveredSales]" displayFolder="" count="0" memberValueDatatype="130" unbalanced="0"/>
    <cacheHierarchy uniqueName="[BI vw_DynamicsDeliveredSales].[StoreCode]" caption="StoreCode" attribute="1" defaultMemberUniqueName="[BI vw_DynamicsDeliveredSales].[StoreCode].[All]" allUniqueName="[BI vw_DynamicsDeliveredSales].[StoreCode].[All]" dimensionUniqueName="[BI vw_DynamicsDeliveredSales]" displayFolder="" count="0" memberValueDatatype="130" unbalanced="0"/>
    <cacheHierarchy uniqueName="[BI vw_DynamicsDeliveredSales].[SubDepartmentDesc]" caption="SubDepartmentDesc" attribute="1" defaultMemberUniqueName="[BI vw_DynamicsDeliveredSales].[SubDepartmentDesc].[All]" allUniqueName="[BI vw_DynamicsDeliveredSales].[SubDepartmentDesc].[All]" dimensionUniqueName="[BI vw_DynamicsDeliveredSales]" displayFolder="" count="0" memberValueDatatype="130" unbalanced="0"/>
    <cacheHierarchy uniqueName="[BI vw_DynamicsDeliveredSales].[TAXAMOUNT]" caption="TAXAMOUNT" attribute="1" defaultMemberUniqueName="[BI vw_DynamicsDeliveredSales].[TAXAMOUNT].[All]" allUniqueName="[BI vw_DynamicsDeliveredSales].[TAXAMOUNT].[All]" dimensionUniqueName="[BI vw_DynamicsDeliveredSales]" displayFolder="" count="0" memberValueDatatype="5" unbalanced="0"/>
    <cacheHierarchy uniqueName="[BI vw_DynamicsDeliveredSales].[TAXGROUP]" caption="TAXGROUP" attribute="1" defaultMemberUniqueName="[BI vw_DynamicsDeliveredSales].[TAXGROUP].[All]" allUniqueName="[BI vw_DynamicsDeliveredSales].[TAXGROUP].[All]" dimensionUniqueName="[BI vw_DynamicsDeliveredSales]" displayFolder="" count="0" memberValueDatatype="130" unbalanced="0"/>
    <cacheHierarchy uniqueName="[BI vw_DynamicsDeliveredSales].[Total Cost Final]" caption="Total Cost Final" attribute="1" defaultMemberUniqueName="[BI vw_DynamicsDeliveredSales].[Total Cost Final].[All]" allUniqueName="[BI vw_DynamicsDeliveredSales].[Total Cost Final].[All]" dimensionUniqueName="[BI vw_DynamicsDeliveredSales]" displayFolder="" count="0" memberValueDatatype="130" unbalanced="0"/>
    <cacheHierarchy uniqueName="[BI vw_DynamicsDeliveredSales].[TRANSFERSTATUS]" caption="TRANSFERSTATUS" attribute="1" defaultMemberUniqueName="[BI vw_DynamicsDeliveredSales].[TRANSFERSTATUS].[All]" allUniqueName="[BI vw_DynamicsDeliveredSales].[TRANSFERSTATUS].[All]" dimensionUniqueName="[BI vw_DynamicsDeliveredSales]" displayFolder="" count="0" memberValueDatatype="20" unbalanced="0"/>
    <cacheHierarchy uniqueName="[BI vw_DynamicsDeliveredSales].[WAREHOUSE]" caption="WAREHOUSE" attribute="1" defaultMemberUniqueName="[BI vw_DynamicsDeliveredSales].[WAREHOUSE].[All]" allUniqueName="[BI vw_DynamicsDeliveredSales].[WAREHOUSE].[All]" dimensionUniqueName="[BI vw_DynamicsDeliveredSales]" displayFolder="" count="0" memberValueDatatype="130" unbalanced="0"/>
    <cacheHierarchy uniqueName="[BI vw_DynamicsDeliveredSales].[Week]" caption="Week" attribute="1" defaultMemberUniqueName="[BI vw_DynamicsDeliveredSales].[Week].[All]" allUniqueName="[BI vw_DynamicsDeliveredSales].[Week].[All]" dimensionUniqueName="[BI vw_DynamicsDeliveredSales]" displayFolder="" count="0" memberValueDatatype="20" unbalanced="0"/>
    <cacheHierarchy uniqueName="[BI vw_DynamicsDeliveredSales].[Year Month]" caption="Year Month" attribute="1" defaultMemberUniqueName="[BI vw_DynamicsDeliveredSales].[Year Month].[All]" allUniqueName="[BI vw_DynamicsDeliveredSales].[Year Month].[All]" dimensionUniqueName="[BI vw_DynamicsDeliveredSales]" displayFolder="" count="0" memberValueDatatype="20" unbalanced="0"/>
    <cacheHierarchy uniqueName="[BI vw_FinCalendar].[Date]" caption="Date" attribute="1" time="1" defaultMemberUniqueName="[BI vw_FinCalendar].[Date].[All]" allUniqueName="[BI vw_FinCalendar].[Date].[All]" dimensionUniqueName="[BI vw_FinCalendar]" displayFolder="" count="0" memberValueDatatype="7" unbalanced="0"/>
    <cacheHierarchy uniqueName="[BI vw_FinCalendar].[Day_Of_Week]" caption="Day_Of_Week" attribute="1" defaultMemberUniqueName="[BI vw_FinCalendar].[Day_Of_Week].[All]" allUniqueName="[BI vw_FinCalendar].[Day_Of_Week].[All]" dimensionUniqueName="[BI vw_FinCalendar]" displayFolder="" count="0" memberValueDatatype="130" unbalanced="0"/>
    <cacheHierarchy uniqueName="[BI vw_FinCalendar].[Day_Of_Week_Sort]" caption="Day_Of_Week_Sort" attribute="1" defaultMemberUniqueName="[BI vw_FinCalendar].[Day_Of_Week_Sort].[All]" allUniqueName="[BI vw_FinCalendar].[Day_Of_Week_Sort].[All]" dimensionUniqueName="[BI vw_FinCalendar]" displayFolder="" count="0" memberValueDatatype="130" unbalanced="0"/>
    <cacheHierarchy uniqueName="[BI vw_FinCalendar].[Fin_Period]" caption="Fin_Period" attribute="1" defaultMemberUniqueName="[BI vw_FinCalendar].[Fin_Period].[All]" allUniqueName="[BI vw_FinCalendar].[Fin_Period].[All]" dimensionUniqueName="[BI vw_FinCalendar]" displayFolder="" count="0" memberValueDatatype="20" unbalanced="0"/>
    <cacheHierarchy uniqueName="[BI vw_FinCalendar].[Fin_Week]" caption="Fin_Week" attribute="1" defaultMemberUniqueName="[BI vw_FinCalendar].[Fin_Week].[All]" allUniqueName="[BI vw_FinCalendar].[Fin_Week].[All]" dimensionUniqueName="[BI vw_FinCalendar]" displayFolder="" count="0" memberValueDatatype="20" unbalanced="0"/>
    <cacheHierarchy uniqueName="[BI vw_FinCalendar].[Fin_Year]" caption="Fin_Year" attribute="1" defaultMemberUniqueName="[BI vw_FinCalendar].[Fin_Year].[All]" allUniqueName="[BI vw_FinCalendar].[Fin_Year].[All]" dimensionUniqueName="[BI vw_FinCalendar]" displayFolder="" count="0" memberValueDatatype="20" unbalanced="0"/>
    <cacheHierarchy uniqueName="[BI vw_FinCalendar].[Fiscal Month]" caption="Fiscal Month" attribute="1" defaultMemberUniqueName="[BI vw_FinCalendar].[Fiscal Month].[All]" allUniqueName="[BI vw_FinCalendar].[Fiscal Month].[All]" dimensionUniqueName="[BI vw_FinCalendar]" displayFolder="" count="0" memberValueDatatype="130" unbalanced="0"/>
    <cacheHierarchy uniqueName="[BI vw_FinCalendar].[FY]" caption="FY" attribute="1" defaultMemberUniqueName="[BI vw_FinCalendar].[FY].[All]" allUniqueName="[BI vw_FinCalendar].[FY].[All]" dimensionUniqueName="[BI vw_FinCalendar]" displayFolder="" count="0" memberValueDatatype="130" unbalanced="0"/>
    <cacheHierarchy uniqueName="[BI vw_FinCalendar].[Is_Last_Week]" caption="Is_Last_Week" attribute="1" defaultMemberUniqueName="[BI vw_FinCalendar].[Is_Last_Week].[All]" allUniqueName="[BI vw_FinCalendar].[Is_Last_Week].[All]" dimensionUniqueName="[BI vw_FinCalendar]" displayFolder="" count="0" memberValueDatatype="20" unbalanced="0"/>
    <cacheHierarchy uniqueName="[BI vw_FinCalendar].[Is_ThisMonth]" caption="Is_ThisMonth" attribute="1" defaultMemberUniqueName="[BI vw_FinCalendar].[Is_ThisMonth].[All]" allUniqueName="[BI vw_FinCalendar].[Is_ThisMonth].[All]" dimensionUniqueName="[BI vw_FinCalendar]" displayFolder="" count="0" memberValueDatatype="20" unbalanced="0"/>
    <cacheHierarchy uniqueName="[BI vw_FinCalendar].[Is_ThisWeek]" caption="Is_ThisWeek" attribute="1" defaultMemberUniqueName="[BI vw_FinCalendar].[Is_ThisWeek].[All]" allUniqueName="[BI vw_FinCalendar].[Is_ThisWeek].[All]" dimensionUniqueName="[BI vw_FinCalendar]" displayFolder="" count="0" memberValueDatatype="20" unbalanced="0"/>
    <cacheHierarchy uniqueName="[BI vw_FinCalendar].[Is_ThisYear]" caption="Is_ThisYear" attribute="1" defaultMemberUniqueName="[BI vw_FinCalendar].[Is_ThisYear].[All]" allUniqueName="[BI vw_FinCalendar].[Is_ThisYear].[All]" dimensionUniqueName="[BI vw_FinCalendar]" displayFolder="" count="0" memberValueDatatype="20" unbalanced="0"/>
    <cacheHierarchy uniqueName="[BI vw_FinCalendar].[Is_Today]" caption="Is_Today" attribute="1" defaultMemberUniqueName="[BI vw_FinCalendar].[Is_Today].[All]" allUniqueName="[BI vw_FinCalendar].[Is_Today].[All]" dimensionUniqueName="[BI vw_FinCalendar]" displayFolder="" count="0" memberValueDatatype="20" unbalanced="0"/>
    <cacheHierarchy uniqueName="[BI vw_FinCalendar].[Month]" caption="Month" attribute="1" defaultMemberUniqueName="[BI vw_FinCalendar].[Month].[All]" allUniqueName="[BI vw_FinCalendar].[Month].[All]" dimensionUniqueName="[BI vw_FinCalendar]" displayFolder="" count="0" memberValueDatatype="130" unbalanced="0"/>
    <cacheHierarchy uniqueName="[BI vw_FinCalendar].[Month_Display]" caption="Month_Display" attribute="1" defaultMemberUniqueName="[BI vw_FinCalendar].[Month_Display].[All]" allUniqueName="[BI vw_FinCalendar].[Month_Display].[All]" dimensionUniqueName="[BI vw_FinCalendar]" displayFolder="" count="0" memberValueDatatype="130" unbalanced="0"/>
    <cacheHierarchy uniqueName="[BI vw_FinCalendar].[Month_Number]" caption="Month_Number" attribute="1" defaultMemberUniqueName="[BI vw_FinCalendar].[Month_Number].[All]" allUniqueName="[BI vw_FinCalendar].[Month_Number].[All]" dimensionUniqueName="[BI vw_FinCalendar]" displayFolder="" count="0" memberValueDatatype="20" unbalanced="0"/>
    <cacheHierarchy uniqueName="[BI vw_FinCalendar].[Quarter]" caption="Quarter" attribute="1" defaultMemberUniqueName="[BI vw_FinCalendar].[Quarter].[All]" allUniqueName="[BI vw_FinCalendar].[Quarter].[All]" dimensionUniqueName="[BI vw_FinCalendar]" displayFolder="" count="0" memberValueDatatype="130" unbalanced="0"/>
    <cacheHierarchy uniqueName="[BI vw_FinCalendar].[Quarter date]" caption="Quarter date" attribute="1" time="1" defaultMemberUniqueName="[BI vw_FinCalendar].[Quarter date].[All]" allUniqueName="[BI vw_FinCalendar].[Quarter date].[All]" dimensionUniqueName="[BI vw_FinCalendar]" displayFolder="" count="0" memberValueDatatype="7" unbalanced="0"/>
    <cacheHierarchy uniqueName="[BI vw_FinCalendar].[Querter]" caption="Querter" attribute="1" defaultMemberUniqueName="[BI vw_FinCalendar].[Querter].[All]" allUniqueName="[BI vw_FinCalendar].[Querter].[All]" dimensionUniqueName="[BI vw_FinCalendar]" displayFolder="" count="0" memberValueDatatype="20" unbalanced="0"/>
    <cacheHierarchy uniqueName="[BI vw_FinCalendar].[Sort_Order]" caption="Sort_Order" attribute="1" defaultMemberUniqueName="[BI vw_FinCalendar].[Sort_Order].[All]" allUniqueName="[BI vw_FinCalendar].[Sort_Order].[All]" dimensionUniqueName="[BI vw_FinCalendar]" displayFolder="" count="0" memberValueDatatype="20" unbalanced="0"/>
    <cacheHierarchy uniqueName="[BI vw_FinCalendar].[Sort_Order1]" caption="Sort_Order1" attribute="1" defaultMemberUniqueName="[BI vw_FinCalendar].[Sort_Order1].[All]" allUniqueName="[BI vw_FinCalendar].[Sort_Order1].[All]" dimensionUniqueName="[BI vw_FinCalendar]" displayFolder="" count="0" memberValueDatatype="20" unbalanced="0"/>
    <cacheHierarchy uniqueName="[BI vw_FinCalendar].[ThisQuarter]" caption="ThisQuarter" attribute="1" defaultMemberUniqueName="[BI vw_FinCalendar].[ThisQuarter].[All]" allUniqueName="[BI vw_FinCalendar].[ThisQuarter].[All]" dimensionUniqueName="[BI vw_FinCalendar]" displayFolder="" count="0" memberValueDatatype="130" unbalanced="0"/>
    <cacheHierarchy uniqueName="[BI vw_FinCalendar].[YearFinPeriod]" caption="YearFinPeriod" attribute="1" defaultMemberUniqueName="[BI vw_FinCalendar].[YearFinPeriod].[All]" allUniqueName="[BI vw_FinCalendar].[YearFinPeriod].[All]" dimensionUniqueName="[BI vw_FinCalendar]" displayFolder="" count="0" memberValueDatatype="130" unbalanced="0"/>
    <cacheHierarchy uniqueName="[BI vw_Store].[AreaLeader]" caption="AreaLeader" attribute="1" defaultMemberUniqueName="[BI vw_Store].[AreaLeader].[All]" allUniqueName="[BI vw_Store].[AreaLeader].[All]" dimensionUniqueName="[BI vw_Store]" displayFolder="" count="0" memberValueDatatype="130" unbalanced="0"/>
    <cacheHierarchy uniqueName="[BI vw_Store].[BranchType]" caption="BranchType" attribute="1" defaultMemberUniqueName="[BI vw_Store].[BranchType].[All]" allUniqueName="[BI vw_Store].[BranchType].[All]" dimensionUniqueName="[BI vw_Store]" displayFolder="" count="2" memberValueDatatype="130" unbalanced="0">
      <fieldsUsage count="2">
        <fieldUsage x="-1"/>
        <fieldUsage x="4"/>
      </fieldsUsage>
    </cacheHierarchy>
    <cacheHierarchy uniqueName="[BI vw_Store].[CompFlag]" caption="CompFlag" attribute="1" defaultMemberUniqueName="[BI vw_Store].[CompFlag].[All]" allUniqueName="[BI vw_Store].[CompFlag].[All]" dimensionUniqueName="[BI vw_Store]" displayFolder="" count="0" memberValueDatatype="130" unbalanced="0"/>
    <cacheHierarchy uniqueName="[BI vw_Store].[Country]" caption="Country" attribute="1" defaultMemberUniqueName="[BI vw_Store].[Country].[All]" allUniqueName="[BI vw_Store].[Country].[All]" dimensionUniqueName="[BI vw_Store]" displayFolder="" count="2" memberValueDatatype="130" unbalanced="0">
      <fieldsUsage count="2">
        <fieldUsage x="-1"/>
        <fieldUsage x="3"/>
      </fieldsUsage>
    </cacheHierarchy>
    <cacheHierarchy uniqueName="[BI vw_Store].[FreedomArea]" caption="FreedomArea" attribute="1" defaultMemberUniqueName="[BI vw_Store].[FreedomArea].[All]" allUniqueName="[BI vw_Store].[FreedomArea].[All]" dimensionUniqueName="[BI vw_Store]" displayFolder="" count="0" memberValueDatatype="5" unbalanced="0"/>
    <cacheHierarchy uniqueName="[BI vw_Store].[IsActive]" caption="IsActive" attribute="1" defaultMemberUniqueName="[BI vw_Store].[IsActive].[All]" allUniqueName="[BI vw_Store].[IsActive].[All]" dimensionUniqueName="[BI vw_Store]" displayFolder="" count="0" memberValueDatatype="130" unbalanced="0"/>
    <cacheHierarchy uniqueName="[BI vw_Store].[IsDC]" caption="IsDC" attribute="1" defaultMemberUniqueName="[BI vw_Store].[IsDC].[All]" allUniqueName="[BI vw_Store].[IsDC].[All]" dimensionUniqueName="[BI vw_Store]" displayFolder="" count="0" memberValueDatatype="11" unbalanced="0"/>
    <cacheHierarchy uniqueName="[BI vw_Store].[IsHO]" caption="IsHO" attribute="1" defaultMemberUniqueName="[BI vw_Store].[IsHO].[All]" allUniqueName="[BI vw_Store].[IsHO].[All]" dimensionUniqueName="[BI vw_Store]" displayFolder="" count="0" memberValueDatatype="11" unbalanced="0"/>
    <cacheHierarchy uniqueName="[BI vw_Store].[State]" caption="State" attribute="1" defaultMemberUniqueName="[BI vw_Store].[State].[All]" allUniqueName="[BI vw_Store].[State].[All]" dimensionUniqueName="[BI vw_Store]" displayFolder="" count="0" memberValueDatatype="130" unbalanced="0"/>
    <cacheHierarchy uniqueName="[BI vw_Store].[StoreCategory]" caption="StoreCategory" attribute="1" defaultMemberUniqueName="[BI vw_Store].[StoreCategory].[All]" allUniqueName="[BI vw_Store].[StoreCategory].[All]" dimensionUniqueName="[BI vw_Store]" displayFolder="" count="0" memberValueDatatype="130" unbalanced="0"/>
    <cacheHierarchy uniqueName="[BI vw_Store].[StoreCode]" caption="StoreCode" attribute="1" defaultMemberUniqueName="[BI vw_Store].[StoreCode].[All]" allUniqueName="[BI vw_Store].[StoreCode].[All]" dimensionUniqueName="[BI vw_Store]" displayFolder="" count="0" memberValueDatatype="130" unbalanced="0"/>
    <cacheHierarchy uniqueName="[BI vw_Store].[StoreKey]" caption="StoreKey" attribute="1" defaultMemberUniqueName="[BI vw_Store].[StoreKey].[All]" allUniqueName="[BI vw_Store].[StoreKey].[All]" dimensionUniqueName="[BI vw_Store]" displayFolder="" count="0" memberValueDatatype="130" unbalanced="0"/>
    <cacheHierarchy uniqueName="[BI vw_Store].[StoreName]" caption="StoreName" attribute="1" defaultMemberUniqueName="[BI vw_Store].[StoreName].[All]" allUniqueName="[BI vw_Store].[StoreName].[All]" dimensionUniqueName="[BI vw_Store]" displayFolder="" count="2" memberValueDatatype="130" unbalanced="0">
      <fieldsUsage count="2">
        <fieldUsage x="-1"/>
        <fieldUsage x="7"/>
      </fieldsUsage>
    </cacheHierarchy>
    <cacheHierarchy uniqueName="[BI vw_Store].[StoreType]" caption="StoreType" attribute="1" defaultMemberUniqueName="[BI vw_Store].[StoreType].[All]" allUniqueName="[BI vw_Store].[StoreType].[All]" dimensionUniqueName="[BI vw_Store]" displayFolder="" count="0" memberValueDatatype="130" unbalanced="0"/>
    <cacheHierarchy uniqueName="[BI vw_Store].[SubLeasedArea]" caption="SubLeasedArea" attribute="1" defaultMemberUniqueName="[BI vw_Store].[SubLeasedArea].[All]" allUniqueName="[BI vw_Store].[SubLeasedArea].[All]" dimensionUniqueName="[BI vw_Store]" displayFolder="" count="0" memberValueDatatype="5" unbalanced="0"/>
    <cacheHierarchy uniqueName="[BI vw_Store].[SubLeasedCompany]" caption="SubLeasedCompany" attribute="1" defaultMemberUniqueName="[BI vw_Store].[SubLeasedCompany].[All]" allUniqueName="[BI vw_Store].[SubLeasedCompany].[All]" dimensionUniqueName="[BI vw_Store]" displayFolder="" count="0" memberValueDatatype="130" unbalanced="0"/>
    <cacheHierarchy uniqueName="[BI vw_Store].[TotalArea]" caption="TotalArea" attribute="1" defaultMemberUniqueName="[BI vw_Store].[TotalArea].[All]" allUniqueName="[BI vw_Store].[TotalArea].[All]" dimensionUniqueName="[BI vw_Store]" displayFolder="" count="0" memberValueDatatype="5" unbalanced="0"/>
    <cacheHierarchy uniqueName="[CalendarMapping].[Fin_Year]" caption="Fin_Year" attribute="1" defaultMemberUniqueName="[CalendarMapping].[Fin_Year].[All]" allUniqueName="[CalendarMapping].[Fin_Year].[All]" dimensionUniqueName="[CalendarMapping]" displayFolder="" count="0" memberValueDatatype="20" unbalanced="0"/>
    <cacheHierarchy uniqueName="[CalendarMapping].[YearFinPeriod]" caption="YearFinPeriod" attribute="1" defaultMemberUniqueName="[CalendarMapping].[YearFinPeriod].[All]" allUniqueName="[CalendarMapping].[YearFinPeriod].[All]" dimensionUniqueName="[CalendarMapping]" displayFolder="" count="0" memberValueDatatype="130" unbalanced="0"/>
    <cacheHierarchy uniqueName="[DC SO].[EntityName]" caption="EntityName" attribute="1" defaultMemberUniqueName="[DC SO].[EntityName].[All]" allUniqueName="[DC SO].[EntityName].[All]" dimensionUniqueName="[DC SO]" displayFolder="" count="0" memberValueDatatype="130" unbalanced="0"/>
    <cacheHierarchy uniqueName="[DC SO].[SortOrder]" caption="SortOrder" attribute="1" defaultMemberUniqueName="[DC SO].[SortOrder].[All]" allUniqueName="[DC SO].[SortOrder].[All]" dimensionUniqueName="[DC SO]" displayFolder="" count="0" memberValueDatatype="20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Quarter]" caption="Quarter" attribute="1" defaultMemberUniqueName="[dim_period].[Quarter].[All]" allUniqueName="[dim_period].[Quarter].[All]" dimensionUniqueName="[dim_period]" displayFolder="" count="0" memberValueDatatype="13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Month Sort].[Month_Display]" caption="Month_Display" attribute="1" defaultMemberUniqueName="[Month Sort].[Month_Display].[All]" allUniqueName="[Month Sort].[Month_Display].[All]" dimensionUniqueName="[Month Sort]" displayFolder="" count="0" memberValueDatatype="130" unbalanced="0"/>
    <cacheHierarchy uniqueName="[Month Sort].[Number]" caption="Number" attribute="1" defaultMemberUniqueName="[Month Sort].[Number].[All]" allUniqueName="[Month Sort].[Number].[All]" dimensionUniqueName="[Month Sort]" displayFolder="" count="0" memberValueDatatype="20" unbalanced="0"/>
    <cacheHierarchy uniqueName="[Month Sort].[Sort_Order1]" caption="Sort_Order1" attribute="1" defaultMemberUniqueName="[Month Sort].[Sort_Order1].[All]" allUniqueName="[Month Sort].[Sort_Order1].[All]" dimensionUniqueName="[Month Sort]" displayFolder="" count="0" memberValueDatatype="20" unbalanced="0"/>
    <cacheHierarchy uniqueName="[TimePeriod].[TimePeriod]" caption="TimePeriod" attribute="1" defaultMemberUniqueName="[TimePeriod].[TimePeriod].[All]" allUniqueName="[TimePeriod].[TimePeriod].[All]" dimensionUniqueName="[TimePeriod]" displayFolder="" count="0" memberValueDatatype="130" unbalanced="0"/>
    <cacheHierarchy uniqueName="[TimePeriod].[TimePeriodSort]" caption="TimePeriodSort" attribute="1" defaultMemberUniqueName="[TimePeriod].[TimePeriodSort].[All]" allUniqueName="[TimePeriod].[TimePeriodSort].[All]" dimensionUniqueName="[TimePeriod]" displayFolder="" count="0" memberValueDatatype="2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0" memberValueDatatype="130" unbalanced="0"/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TimePeriodSort_Amart].[Timeline Slicer]" caption="Timeline Slicer" attribute="1" defaultMemberUniqueName="[TimePeriodSort_Amart].[Timeline Slicer].[All]" allUniqueName="[TimePeriodSort_Amart].[Timeline Slicer].[All]" dimensionUniqueName="[TimePeriodSort_Amart]" displayFolder="" count="0" memberValueDatatype="130" unbalanced="0"/>
    <cacheHierarchy uniqueName="[TimePeriodSort_Amart].[TimePeriod]" caption="TimePeriod" attribute="1" defaultMemberUniqueName="[TimePeriodSort_Amart].[TimePeriod].[All]" allUniqueName="[TimePeriodSort_Amart].[TimePeriod].[All]" dimensionUniqueName="[TimePeriodSort_Amart]" displayFolder="" count="0" memberValueDatatype="130" unbalanced="0"/>
    <cacheHierarchy uniqueName="[TimePeriodSort_Amart].[TimePeriodSort]" caption="TimePeriodSort" attribute="1" defaultMemberUniqueName="[TimePeriodSort_Amart].[TimePeriodSort].[All]" allUniqueName="[TimePeriodSort_Amart].[TimePeriodSort].[All]" dimensionUniqueName="[TimePeriodSort_Amart]" displayFolder="" count="0" memberValueDatatype="20" unbalanced="0"/>
    <cacheHierarchy uniqueName="[BI vw_MarkdownCategory].[Category]" caption="Category" attribute="1" defaultMemberUniqueName="[BI vw_MarkdownCategory].[Category].[All]" allUniqueName="[BI vw_MarkdownCategory].[Category].[All]" dimensionUniqueName="[BI vw_MarkdownCategory]" displayFolder="" count="0" memberValueDatatype="130" unbalanced="0" hidden="1"/>
    <cacheHierarchy uniqueName="[BI vw_MarkdownCategory].[Code]" caption="Code" attribute="1" defaultMemberUniqueName="[BI vw_MarkdownCategory].[Code].[All]" allUniqueName="[BI vw_MarkdownCategory].[Code].[All]" dimensionUniqueName="[BI vw_MarkdownCategory]" displayFolder="" count="0" memberValueDatatype="130" unbalanced="0" hidden="1"/>
    <cacheHierarchy uniqueName="[BI vw_Store (2)].[BranchType]" caption="BranchType" attribute="1" defaultMemberUniqueName="[BI vw_Store (2)].[BranchType].[All]" allUniqueName="[BI vw_Store (2)].[BranchType].[All]" dimensionUniqueName="[BI vw_Store (2)]" displayFolder="" count="0" memberValueDatatype="130" unbalanced="0" hidden="1"/>
    <cacheHierarchy uniqueName="[BI vw_Store (2)].[Country]" caption="Country" attribute="1" defaultMemberUniqueName="[BI vw_Store (2)].[Country].[All]" allUniqueName="[BI vw_Store (2)].[Country].[All]" dimensionUniqueName="[BI vw_Store (2)]" displayFolder="" count="0" memberValueDatatype="130" unbalanced="0" hidden="1"/>
    <cacheHierarchy uniqueName="[BI vw_Store (2)].[StoreCode]" caption="StoreCode" attribute="1" defaultMemberUniqueName="[BI vw_Store (2)].[StoreCode].[All]" allUniqueName="[BI vw_Store (2)].[StoreCode].[All]" dimensionUniqueName="[BI vw_Store (2)]" displayFolder="" count="0" memberValueDatatype="130" unbalanced="0" hidden="1"/>
    <cacheHierarchy uniqueName="[DateTableTemplate_3f9b2c98-215a-4ac6-bb5b-5edb3fb7613d].[Date]" caption="Date" attribute="1" time="1" defaultMemberUniqueName="[DateTableTemplate_3f9b2c98-215a-4ac6-bb5b-5edb3fb7613d].[Date].[All]" allUniqueName="[DateTableTemplate_3f9b2c98-215a-4ac6-bb5b-5edb3fb7613d].[Date].[All]" dimensionUniqueName="[DateTableTemplate_3f9b2c98-215a-4ac6-bb5b-5edb3fb7613d]" displayFolder="" count="0" memberValueDatatype="7" unbalanced="0" hidden="1"/>
    <cacheHierarchy uniqueName="[DateTableTemplate_3f9b2c98-215a-4ac6-bb5b-5edb3fb7613d].[Date Hierarchy]" caption="Date Hierarchy" defaultMemberUniqueName="[DateTableTemplate_3f9b2c98-215a-4ac6-bb5b-5edb3fb7613d].[Date Hierarchy].[All]" allUniqueName="[DateTableTemplate_3f9b2c98-215a-4ac6-bb5b-5edb3fb7613d].[Date Hierarchy].[All]" dimensionUniqueName="[DateTableTemplate_3f9b2c98-215a-4ac6-bb5b-5edb3fb7613d]" displayFolder="" count="0" unbalanced="0" hidden="1"/>
    <cacheHierarchy uniqueName="[DateTableTemplate_3f9b2c98-215a-4ac6-bb5b-5edb3fb7613d].[Day]" caption="Day" attribute="1" defaultMemberUniqueName="[DateTableTemplate_3f9b2c98-215a-4ac6-bb5b-5edb3fb7613d].[Day].[All]" allUniqueName="[DateTableTemplate_3f9b2c98-215a-4ac6-bb5b-5edb3fb7613d].[Day].[All]" dimensionUniqueName="[DateTableTemplate_3f9b2c98-215a-4ac6-bb5b-5edb3fb7613d]" displayFolder="" count="0" memberValueDatatype="20" unbalanced="0" hidden="1"/>
    <cacheHierarchy uniqueName="[DateTableTemplate_3f9b2c98-215a-4ac6-bb5b-5edb3fb7613d].[Month]" caption="Month" attribute="1" defaultMemberUniqueName="[DateTableTemplate_3f9b2c98-215a-4ac6-bb5b-5edb3fb7613d].[Month].[All]" allUniqueName="[DateTableTemplate_3f9b2c98-215a-4ac6-bb5b-5edb3fb7613d].[Month].[All]" dimensionUniqueName="[DateTableTemplate_3f9b2c98-215a-4ac6-bb5b-5edb3fb7613d]" displayFolder="" count="0" memberValueDatatype="130" unbalanced="0" hidden="1"/>
    <cacheHierarchy uniqueName="[DateTableTemplate_3f9b2c98-215a-4ac6-bb5b-5edb3fb7613d].[MonthNo]" caption="MonthNo" attribute="1" defaultMemberUniqueName="[DateTableTemplate_3f9b2c98-215a-4ac6-bb5b-5edb3fb7613d].[MonthNo].[All]" allUniqueName="[DateTableTemplate_3f9b2c98-215a-4ac6-bb5b-5edb3fb7613d].[MonthNo].[All]" dimensionUniqueName="[DateTableTemplate_3f9b2c98-215a-4ac6-bb5b-5edb3fb7613d]" displayFolder="" count="0" memberValueDatatype="20" unbalanced="0" hidden="1"/>
    <cacheHierarchy uniqueName="[DateTableTemplate_3f9b2c98-215a-4ac6-bb5b-5edb3fb7613d].[Quarter]" caption="Quarter" attribute="1" defaultMemberUniqueName="[DateTableTemplate_3f9b2c98-215a-4ac6-bb5b-5edb3fb7613d].[Quarter].[All]" allUniqueName="[DateTableTemplate_3f9b2c98-215a-4ac6-bb5b-5edb3fb7613d].[Quarter].[All]" dimensionUniqueName="[DateTableTemplate_3f9b2c98-215a-4ac6-bb5b-5edb3fb7613d]" displayFolder="" count="0" memberValueDatatype="130" unbalanced="0" hidden="1"/>
    <cacheHierarchy uniqueName="[DateTableTemplate_3f9b2c98-215a-4ac6-bb5b-5edb3fb7613d].[QuarterNo]" caption="QuarterNo" attribute="1" defaultMemberUniqueName="[DateTableTemplate_3f9b2c98-215a-4ac6-bb5b-5edb3fb7613d].[QuarterNo].[All]" allUniqueName="[DateTableTemplate_3f9b2c98-215a-4ac6-bb5b-5edb3fb7613d].[QuarterNo].[All]" dimensionUniqueName="[DateTableTemplate_3f9b2c98-215a-4ac6-bb5b-5edb3fb7613d]" displayFolder="" count="0" memberValueDatatype="20" unbalanced="0" hidden="1"/>
    <cacheHierarchy uniqueName="[DateTableTemplate_3f9b2c98-215a-4ac6-bb5b-5edb3fb7613d].[Year]" caption="Year" attribute="1" defaultMemberUniqueName="[DateTableTemplate_3f9b2c98-215a-4ac6-bb5b-5edb3fb7613d].[Year].[All]" allUniqueName="[DateTableTemplate_3f9b2c98-215a-4ac6-bb5b-5edb3fb7613d].[Year].[All]" dimensionUniqueName="[DateTableTemplate_3f9b2c98-215a-4ac6-bb5b-5edb3fb7613d]" displayFolder="" count="0" memberValueDatatype="20" unbalanced="0" hidden="1"/>
    <cacheHierarchy uniqueName="[LocalDateTable_2dc8ec59-2991-4ed7-b97f-b3968012b3bf].[Date]" caption="Date" attribute="1" time="1" defaultMemberUniqueName="[LocalDateTable_2dc8ec59-2991-4ed7-b97f-b3968012b3bf].[Date].[All]" allUniqueName="[LocalDateTable_2dc8ec59-2991-4ed7-b97f-b3968012b3bf].[Date].[All]" dimensionUniqueName="[LocalDateTable_2dc8ec59-2991-4ed7-b97f-b3968012b3bf]" displayFolder="" count="0" memberValueDatatype="7" unbalanced="0" hidden="1"/>
    <cacheHierarchy uniqueName="[LocalDateTable_2dc8ec59-2991-4ed7-b97f-b3968012b3bf].[Date Hierarchy]" caption="Date Hierarchy" defaultMemberUniqueName="[LocalDateTable_2dc8ec59-2991-4ed7-b97f-b3968012b3bf].[Date Hierarchy].[All]" allUniqueName="[LocalDateTable_2dc8ec59-2991-4ed7-b97f-b3968012b3bf].[Date Hierarchy].[All]" dimensionUniqueName="[LocalDateTable_2dc8ec59-2991-4ed7-b97f-b3968012b3bf]" displayFolder="" count="0" unbalanced="0" hidden="1"/>
    <cacheHierarchy uniqueName="[LocalDateTable_2dc8ec59-2991-4ed7-b97f-b3968012b3bf].[Day]" caption="Day" attribute="1" defaultMemberUniqueName="[LocalDateTable_2dc8ec59-2991-4ed7-b97f-b3968012b3bf].[Day].[All]" allUniqueName="[LocalDateTable_2dc8ec59-2991-4ed7-b97f-b3968012b3bf].[Day].[All]" dimensionUniqueName="[LocalDateTable_2dc8ec59-2991-4ed7-b97f-b3968012b3bf]" displayFolder="" count="0" memberValueDatatype="20" unbalanced="0" hidden="1"/>
    <cacheHierarchy uniqueName="[LocalDateTable_2dc8ec59-2991-4ed7-b97f-b3968012b3bf].[Month]" caption="Month" attribute="1" defaultMemberUniqueName="[LocalDateTable_2dc8ec59-2991-4ed7-b97f-b3968012b3bf].[Month].[All]" allUniqueName="[LocalDateTable_2dc8ec59-2991-4ed7-b97f-b3968012b3bf].[Month].[All]" dimensionUniqueName="[LocalDateTable_2dc8ec59-2991-4ed7-b97f-b3968012b3bf]" displayFolder="" count="0" memberValueDatatype="130" unbalanced="0" hidden="1"/>
    <cacheHierarchy uniqueName="[LocalDateTable_2dc8ec59-2991-4ed7-b97f-b3968012b3bf].[MonthNo]" caption="MonthNo" attribute="1" defaultMemberUniqueName="[LocalDateTable_2dc8ec59-2991-4ed7-b97f-b3968012b3bf].[MonthNo].[All]" allUniqueName="[LocalDateTable_2dc8ec59-2991-4ed7-b97f-b3968012b3bf].[MonthNo].[All]" dimensionUniqueName="[LocalDateTable_2dc8ec59-2991-4ed7-b97f-b3968012b3bf]" displayFolder="" count="0" memberValueDatatype="20" unbalanced="0" hidden="1"/>
    <cacheHierarchy uniqueName="[LocalDateTable_2dc8ec59-2991-4ed7-b97f-b3968012b3bf].[Quarter]" caption="Quarter" attribute="1" defaultMemberUniqueName="[LocalDateTable_2dc8ec59-2991-4ed7-b97f-b3968012b3bf].[Quarter].[All]" allUniqueName="[LocalDateTable_2dc8ec59-2991-4ed7-b97f-b3968012b3bf].[Quarter].[All]" dimensionUniqueName="[LocalDateTable_2dc8ec59-2991-4ed7-b97f-b3968012b3bf]" displayFolder="" count="0" memberValueDatatype="130" unbalanced="0" hidden="1"/>
    <cacheHierarchy uniqueName="[LocalDateTable_2dc8ec59-2991-4ed7-b97f-b3968012b3bf].[QuarterNo]" caption="QuarterNo" attribute="1" defaultMemberUniqueName="[LocalDateTable_2dc8ec59-2991-4ed7-b97f-b3968012b3bf].[QuarterNo].[All]" allUniqueName="[LocalDateTable_2dc8ec59-2991-4ed7-b97f-b3968012b3bf].[QuarterNo].[All]" dimensionUniqueName="[LocalDateTable_2dc8ec59-2991-4ed7-b97f-b3968012b3bf]" displayFolder="" count="0" memberValueDatatype="20" unbalanced="0" hidden="1"/>
    <cacheHierarchy uniqueName="[LocalDateTable_2dc8ec59-2991-4ed7-b97f-b3968012b3bf].[Year]" caption="Year" attribute="1" defaultMemberUniqueName="[LocalDateTable_2dc8ec59-2991-4ed7-b97f-b3968012b3bf].[Year].[All]" allUniqueName="[LocalDateTable_2dc8ec59-2991-4ed7-b97f-b3968012b3bf].[Year].[All]" dimensionUniqueName="[LocalDateTable_2dc8ec59-2991-4ed7-b97f-b3968012b3bf]" displayFolder="" count="0" memberValueDatatype="20" unbalanced="0" hidden="1"/>
    <cacheHierarchy uniqueName="[LocalDateTable_35b2b28c-5e49-4861-9014-eb0865a61f58].[Date]" caption="Date" attribute="1" time="1" defaultMemberUniqueName="[LocalDateTable_35b2b28c-5e49-4861-9014-eb0865a61f58].[Date].[All]" allUniqueName="[LocalDateTable_35b2b28c-5e49-4861-9014-eb0865a61f58].[Date].[All]" dimensionUniqueName="[LocalDateTable_35b2b28c-5e49-4861-9014-eb0865a61f58]" displayFolder="" count="0" memberValueDatatype="7" unbalanced="0" hidden="1"/>
    <cacheHierarchy uniqueName="[LocalDateTable_35b2b28c-5e49-4861-9014-eb0865a61f58].[Date Hierarchy]" caption="Date Hierarchy" defaultMemberUniqueName="[LocalDateTable_35b2b28c-5e49-4861-9014-eb0865a61f58].[Date Hierarchy].[All]" allUniqueName="[LocalDateTable_35b2b28c-5e49-4861-9014-eb0865a61f58].[Date Hierarchy].[All]" dimensionUniqueName="[LocalDateTable_35b2b28c-5e49-4861-9014-eb0865a61f58]" displayFolder="" count="0" unbalanced="0" hidden="1"/>
    <cacheHierarchy uniqueName="[LocalDateTable_35b2b28c-5e49-4861-9014-eb0865a61f58].[Day]" caption="Day" attribute="1" defaultMemberUniqueName="[LocalDateTable_35b2b28c-5e49-4861-9014-eb0865a61f58].[Day].[All]" allUniqueName="[LocalDateTable_35b2b28c-5e49-4861-9014-eb0865a61f58].[Day].[All]" dimensionUniqueName="[LocalDateTable_35b2b28c-5e49-4861-9014-eb0865a61f58]" displayFolder="" count="0" memberValueDatatype="20" unbalanced="0" hidden="1"/>
    <cacheHierarchy uniqueName="[LocalDateTable_35b2b28c-5e49-4861-9014-eb0865a61f58].[Month]" caption="Month" attribute="1" defaultMemberUniqueName="[LocalDateTable_35b2b28c-5e49-4861-9014-eb0865a61f58].[Month].[All]" allUniqueName="[LocalDateTable_35b2b28c-5e49-4861-9014-eb0865a61f58].[Month].[All]" dimensionUniqueName="[LocalDateTable_35b2b28c-5e49-4861-9014-eb0865a61f58]" displayFolder="" count="0" memberValueDatatype="130" unbalanced="0" hidden="1"/>
    <cacheHierarchy uniqueName="[LocalDateTable_35b2b28c-5e49-4861-9014-eb0865a61f58].[MonthNo]" caption="MonthNo" attribute="1" defaultMemberUniqueName="[LocalDateTable_35b2b28c-5e49-4861-9014-eb0865a61f58].[MonthNo].[All]" allUniqueName="[LocalDateTable_35b2b28c-5e49-4861-9014-eb0865a61f58].[MonthNo].[All]" dimensionUniqueName="[LocalDateTable_35b2b28c-5e49-4861-9014-eb0865a61f58]" displayFolder="" count="0" memberValueDatatype="20" unbalanced="0" hidden="1"/>
    <cacheHierarchy uniqueName="[LocalDateTable_35b2b28c-5e49-4861-9014-eb0865a61f58].[Quarter]" caption="Quarter" attribute="1" defaultMemberUniqueName="[LocalDateTable_35b2b28c-5e49-4861-9014-eb0865a61f58].[Quarter].[All]" allUniqueName="[LocalDateTable_35b2b28c-5e49-4861-9014-eb0865a61f58].[Quarter].[All]" dimensionUniqueName="[LocalDateTable_35b2b28c-5e49-4861-9014-eb0865a61f58]" displayFolder="" count="0" memberValueDatatype="130" unbalanced="0" hidden="1"/>
    <cacheHierarchy uniqueName="[LocalDateTable_35b2b28c-5e49-4861-9014-eb0865a61f58].[QuarterNo]" caption="QuarterNo" attribute="1" defaultMemberUniqueName="[LocalDateTable_35b2b28c-5e49-4861-9014-eb0865a61f58].[QuarterNo].[All]" allUniqueName="[LocalDateTable_35b2b28c-5e49-4861-9014-eb0865a61f58].[QuarterNo].[All]" dimensionUniqueName="[LocalDateTable_35b2b28c-5e49-4861-9014-eb0865a61f58]" displayFolder="" count="0" memberValueDatatype="20" unbalanced="0" hidden="1"/>
    <cacheHierarchy uniqueName="[LocalDateTable_35b2b28c-5e49-4861-9014-eb0865a61f58].[Year]" caption="Year" attribute="1" defaultMemberUniqueName="[LocalDateTable_35b2b28c-5e49-4861-9014-eb0865a61f58].[Year].[All]" allUniqueName="[LocalDateTable_35b2b28c-5e49-4861-9014-eb0865a61f58].[Year].[All]" dimensionUniqueName="[LocalDateTable_35b2b28c-5e49-4861-9014-eb0865a61f58]" displayFolder="" count="0" memberValueDatatype="20" unbalanced="0" hidden="1"/>
    <cacheHierarchy uniqueName="[LocalDateTable_3ea1f34c-3b67-443a-8479-d47192825849].[Date]" caption="Date" attribute="1" time="1" defaultMemberUniqueName="[LocalDateTable_3ea1f34c-3b67-443a-8479-d47192825849].[Date].[All]" allUniqueName="[LocalDateTable_3ea1f34c-3b67-443a-8479-d47192825849].[Date].[All]" dimensionUniqueName="[LocalDateTable_3ea1f34c-3b67-443a-8479-d47192825849]" displayFolder="" count="0" memberValueDatatype="7" unbalanced="0" hidden="1"/>
    <cacheHierarchy uniqueName="[LocalDateTable_3ea1f34c-3b67-443a-8479-d47192825849].[Date Hierarchy]" caption="Date Hierarchy" defaultMemberUniqueName="[LocalDateTable_3ea1f34c-3b67-443a-8479-d47192825849].[Date Hierarchy].[All]" allUniqueName="[LocalDateTable_3ea1f34c-3b67-443a-8479-d47192825849].[Date Hierarchy].[All]" dimensionUniqueName="[LocalDateTable_3ea1f34c-3b67-443a-8479-d47192825849]" displayFolder="" count="0" unbalanced="0" hidden="1"/>
    <cacheHierarchy uniqueName="[LocalDateTable_3ea1f34c-3b67-443a-8479-d47192825849].[Day]" caption="Day" attribute="1" defaultMemberUniqueName="[LocalDateTable_3ea1f34c-3b67-443a-8479-d47192825849].[Day].[All]" allUniqueName="[LocalDateTable_3ea1f34c-3b67-443a-8479-d47192825849].[Day].[All]" dimensionUniqueName="[LocalDateTable_3ea1f34c-3b67-443a-8479-d47192825849]" displayFolder="" count="0" memberValueDatatype="20" unbalanced="0" hidden="1"/>
    <cacheHierarchy uniqueName="[LocalDateTable_3ea1f34c-3b67-443a-8479-d47192825849].[Month]" caption="Month" attribute="1" defaultMemberUniqueName="[LocalDateTable_3ea1f34c-3b67-443a-8479-d47192825849].[Month].[All]" allUniqueName="[LocalDateTable_3ea1f34c-3b67-443a-8479-d47192825849].[Month].[All]" dimensionUniqueName="[LocalDateTable_3ea1f34c-3b67-443a-8479-d47192825849]" displayFolder="" count="0" memberValueDatatype="130" unbalanced="0" hidden="1"/>
    <cacheHierarchy uniqueName="[LocalDateTable_3ea1f34c-3b67-443a-8479-d47192825849].[MonthNo]" caption="MonthNo" attribute="1" defaultMemberUniqueName="[LocalDateTable_3ea1f34c-3b67-443a-8479-d47192825849].[MonthNo].[All]" allUniqueName="[LocalDateTable_3ea1f34c-3b67-443a-8479-d47192825849].[MonthNo].[All]" dimensionUniqueName="[LocalDateTable_3ea1f34c-3b67-443a-8479-d47192825849]" displayFolder="" count="0" memberValueDatatype="20" unbalanced="0" hidden="1"/>
    <cacheHierarchy uniqueName="[LocalDateTable_3ea1f34c-3b67-443a-8479-d47192825849].[Quarter]" caption="Quarter" attribute="1" defaultMemberUniqueName="[LocalDateTable_3ea1f34c-3b67-443a-8479-d47192825849].[Quarter].[All]" allUniqueName="[LocalDateTable_3ea1f34c-3b67-443a-8479-d47192825849].[Quarter].[All]" dimensionUniqueName="[LocalDateTable_3ea1f34c-3b67-443a-8479-d47192825849]" displayFolder="" count="0" memberValueDatatype="130" unbalanced="0" hidden="1"/>
    <cacheHierarchy uniqueName="[LocalDateTable_3ea1f34c-3b67-443a-8479-d47192825849].[QuarterNo]" caption="QuarterNo" attribute="1" defaultMemberUniqueName="[LocalDateTable_3ea1f34c-3b67-443a-8479-d47192825849].[QuarterNo].[All]" allUniqueName="[LocalDateTable_3ea1f34c-3b67-443a-8479-d47192825849].[QuarterNo].[All]" dimensionUniqueName="[LocalDateTable_3ea1f34c-3b67-443a-8479-d47192825849]" displayFolder="" count="0" memberValueDatatype="20" unbalanced="0" hidden="1"/>
    <cacheHierarchy uniqueName="[LocalDateTable_3ea1f34c-3b67-443a-8479-d47192825849].[Year]" caption="Year" attribute="1" defaultMemberUniqueName="[LocalDateTable_3ea1f34c-3b67-443a-8479-d47192825849].[Year].[All]" allUniqueName="[LocalDateTable_3ea1f34c-3b67-443a-8479-d47192825849].[Year].[All]" dimensionUniqueName="[LocalDateTable_3ea1f34c-3b67-443a-8479-d47192825849]" displayFolder="" count="0" memberValueDatatype="20" unbalanced="0" hidden="1"/>
    <cacheHierarchy uniqueName="[LocalDateTable_44c7d4ef-ea67-4ad2-970c-4dd712d1bff0].[Date]" caption="Date" attribute="1" time="1" defaultMemberUniqueName="[LocalDateTable_44c7d4ef-ea67-4ad2-970c-4dd712d1bff0].[Date].[All]" allUniqueName="[LocalDateTable_44c7d4ef-ea67-4ad2-970c-4dd712d1bff0].[Date].[All]" dimensionUniqueName="[LocalDateTable_44c7d4ef-ea67-4ad2-970c-4dd712d1bff0]" displayFolder="" count="0" memberValueDatatype="7" unbalanced="0" hidden="1"/>
    <cacheHierarchy uniqueName="[LocalDateTable_44c7d4ef-ea67-4ad2-970c-4dd712d1bff0].[Date Hierarchy]" caption="Date Hierarchy" defaultMemberUniqueName="[LocalDateTable_44c7d4ef-ea67-4ad2-970c-4dd712d1bff0].[Date Hierarchy].[All]" allUniqueName="[LocalDateTable_44c7d4ef-ea67-4ad2-970c-4dd712d1bff0].[Date Hierarchy].[All]" dimensionUniqueName="[LocalDateTable_44c7d4ef-ea67-4ad2-970c-4dd712d1bff0]" displayFolder="" count="0" unbalanced="0" hidden="1"/>
    <cacheHierarchy uniqueName="[LocalDateTable_44c7d4ef-ea67-4ad2-970c-4dd712d1bff0].[Day]" caption="Day" attribute="1" defaultMemberUniqueName="[LocalDateTable_44c7d4ef-ea67-4ad2-970c-4dd712d1bff0].[Day].[All]" allUniqueName="[LocalDateTable_44c7d4ef-ea67-4ad2-970c-4dd712d1bff0].[Day].[All]" dimensionUniqueName="[LocalDateTable_44c7d4ef-ea67-4ad2-970c-4dd712d1bff0]" displayFolder="" count="0" memberValueDatatype="20" unbalanced="0" hidden="1"/>
    <cacheHierarchy uniqueName="[LocalDateTable_44c7d4ef-ea67-4ad2-970c-4dd712d1bff0].[Month]" caption="Month" attribute="1" defaultMemberUniqueName="[LocalDateTable_44c7d4ef-ea67-4ad2-970c-4dd712d1bff0].[Month].[All]" allUniqueName="[LocalDateTable_44c7d4ef-ea67-4ad2-970c-4dd712d1bff0].[Month].[All]" dimensionUniqueName="[LocalDateTable_44c7d4ef-ea67-4ad2-970c-4dd712d1bff0]" displayFolder="" count="0" memberValueDatatype="130" unbalanced="0" hidden="1"/>
    <cacheHierarchy uniqueName="[LocalDateTable_44c7d4ef-ea67-4ad2-970c-4dd712d1bff0].[MonthNo]" caption="MonthNo" attribute="1" defaultMemberUniqueName="[LocalDateTable_44c7d4ef-ea67-4ad2-970c-4dd712d1bff0].[MonthNo].[All]" allUniqueName="[LocalDateTable_44c7d4ef-ea67-4ad2-970c-4dd712d1bff0].[MonthNo].[All]" dimensionUniqueName="[LocalDateTable_44c7d4ef-ea67-4ad2-970c-4dd712d1bff0]" displayFolder="" count="0" memberValueDatatype="20" unbalanced="0" hidden="1"/>
    <cacheHierarchy uniqueName="[LocalDateTable_44c7d4ef-ea67-4ad2-970c-4dd712d1bff0].[Quarter]" caption="Quarter" attribute="1" defaultMemberUniqueName="[LocalDateTable_44c7d4ef-ea67-4ad2-970c-4dd712d1bff0].[Quarter].[All]" allUniqueName="[LocalDateTable_44c7d4ef-ea67-4ad2-970c-4dd712d1bff0].[Quarter].[All]" dimensionUniqueName="[LocalDateTable_44c7d4ef-ea67-4ad2-970c-4dd712d1bff0]" displayFolder="" count="0" memberValueDatatype="130" unbalanced="0" hidden="1"/>
    <cacheHierarchy uniqueName="[LocalDateTable_44c7d4ef-ea67-4ad2-970c-4dd712d1bff0].[QuarterNo]" caption="QuarterNo" attribute="1" defaultMemberUniqueName="[LocalDateTable_44c7d4ef-ea67-4ad2-970c-4dd712d1bff0].[QuarterNo].[All]" allUniqueName="[LocalDateTable_44c7d4ef-ea67-4ad2-970c-4dd712d1bff0].[QuarterNo].[All]" dimensionUniqueName="[LocalDateTable_44c7d4ef-ea67-4ad2-970c-4dd712d1bff0]" displayFolder="" count="0" memberValueDatatype="20" unbalanced="0" hidden="1"/>
    <cacheHierarchy uniqueName="[LocalDateTable_44c7d4ef-ea67-4ad2-970c-4dd712d1bff0].[Year]" caption="Year" attribute="1" defaultMemberUniqueName="[LocalDateTable_44c7d4ef-ea67-4ad2-970c-4dd712d1bff0].[Year].[All]" allUniqueName="[LocalDateTable_44c7d4ef-ea67-4ad2-970c-4dd712d1bff0].[Year].[All]" dimensionUniqueName="[LocalDateTable_44c7d4ef-ea67-4ad2-970c-4dd712d1bff0]" displayFolder="" count="0" memberValueDatatype="20" unbalanced="0" hidden="1"/>
    <cacheHierarchy uniqueName="[Measure].[Column]" caption="Column" attribute="1" defaultMemberUniqueName="[Measure].[Column].[All]" allUniqueName="[Measure].[Column].[All]" dimensionUniqueName="[Measure]" displayFolder="" count="0" memberValueDatatype="20" unbalanced="0" hidden="1"/>
    <cacheHierarchy uniqueName="[Measures].[Current Quarter]" caption="Current Quarter" measure="1" displayFolder="" measureGroup="BI vw_FinCalendar" count="0"/>
    <cacheHierarchy uniqueName="[Measures].[Delivered Sales Ex GST]" caption="Delivered Sales Ex GST" measure="1" displayFolder="" measureGroup="Measure" count="0"/>
    <cacheHierarchy uniqueName="[Measures].[Sales Price]" caption="Sales Price" measure="1" displayFolder="" measureGroup="Measure" count="0"/>
    <cacheHierarchy uniqueName="[Measures].[CostInvoicedCost]" caption="CostInvoicedCost" measure="1" displayFolder="" measureGroup="Measure" count="0"/>
    <cacheHierarchy uniqueName="[Measures].[CostAmountAdjustment]" caption="CostAmountAdjustment" measure="1" displayFolder="" measureGroup="Measure" count="0"/>
    <cacheHierarchy uniqueName="[Measures].[Gross Sales]" caption="Gross Sales" measure="1" displayFolder="" measureGroup="Measure" count="0"/>
    <cacheHierarchy uniqueName="[Measures].[GM %]" caption="GM %" measure="1" displayFolder="" measureGroup="Measure" count="0"/>
    <cacheHierarchy uniqueName="[Measures].[Total Markdown]" caption="Total Markdown" measure="1" displayFolder="" measureGroup="Measure" count="0"/>
    <cacheHierarchy uniqueName="[Measures].[Quantity]" caption="Quantity" measure="1" displayFolder="" measureGroup="Measure" count="0"/>
    <cacheHierarchy uniqueName="[Measures].[Tax]" caption="Tax" measure="1" displayFolder="" measureGroup="Measure" count="0"/>
    <cacheHierarchy uniqueName="[Measures].[Gross Margin]" caption="Gross Margin" measure="1" displayFolder="" measureGroup="Measure" count="0"/>
    <cacheHierarchy uniqueName="[Measures].[ItemWholeSalePrice]" caption="ItemWholeSalePrice" measure="1" displayFolder="" measureGroup="Measure" count="0"/>
    <cacheHierarchy uniqueName="[Measures].[Line Disc]" caption="Line Disc" measure="1" displayFolder="" measureGroup="Measure" count="0"/>
    <cacheHierarchy uniqueName="[Measures].[COSTFINAL]" caption="COSTFINAL" measure="1" displayFolder="" measureGroup="Measure" count="0"/>
    <cacheHierarchy uniqueName="[Measures].[Markdown$1]" caption="Markdown$1" measure="1" displayFolder="" measureGroup="Measure" count="0"/>
    <cacheHierarchy uniqueName="[Measures].[Markdown$2]" caption="Markdown$2" measure="1" displayFolder="" measureGroup="Measure" count="0"/>
    <cacheHierarchy uniqueName="[Measures].[Total Markdown $]" caption="Total Markdown $" measure="1" displayFolder="" measureGroup="Measure" count="0"/>
    <cacheHierarchy uniqueName="[Measures].[Delivered Sales Inc GST]" caption="Delivered Sales Inc GST" measure="1" displayFolder="" measureGroup="Measure" count="0"/>
    <cacheHierarchy uniqueName="[Measures].[39% Margin]" caption="39% Margin" measure="1" displayFolder="" measureGroup="Measure" count="0"/>
    <cacheHierarchy uniqueName="[Measures].[Rebate Amount]" caption="Rebate Amount" measure="1" displayFolder="" measureGroup="Measure" count="0"/>
    <cacheHierarchy uniqueName="[Measures].[Eligible for Rebate]" caption="Eligible for Rebate" measure="1" displayFolder="" measureGroup="Measure" count="0"/>
    <cacheHierarchy uniqueName="[Measures].[Budget Variance]" caption="Budget Variance" measure="1" displayFolder="" measureGroup="Measure" count="0"/>
    <cacheHierarchy uniqueName="[Measures].[DeliveredSalesBudget]" caption="DeliveredSalesBudget" measure="1" displayFolder="" measureGroup="Measure" count="0"/>
    <cacheHierarchy uniqueName="[Measures].[% Budget Complete]" caption="% Budget Complete" measure="1" displayFolder="" measureGroup="Measure" count="0"/>
    <cacheHierarchy uniqueName="[Measures].[MarkDown]" caption="MarkDown" measure="1" displayFolder="" measureGroup="Measure" count="0"/>
    <cacheHierarchy uniqueName="[Measures].[ItemWholeSalePrice_old]" caption="ItemWholeSalePrice_old" measure="1" displayFolder="" measureGroup="Measure" count="0"/>
    <cacheHierarchy uniqueName="[Measures].[R-Gross Sales]" caption="R-Gross Sales" measure="1" displayFolder="" measureGroup="Period Measures" count="0"/>
    <cacheHierarchy uniqueName="[Measures].[R-M/D]" caption="R-M/D" measure="1" displayFolder="" measureGroup="Period Measures" count="0"/>
    <cacheHierarchy uniqueName="[Measures].[R-Delivered Sales Ex GST]" caption="R-Delivered Sales Ex GST" measure="1" displayFolder="" measureGroup="Period Measures" count="0"/>
    <cacheHierarchy uniqueName="[Measures].[R-CostFinal]" caption="R-CostFinal" measure="1" displayFolder="" measureGroup="Period Measures" count="0"/>
    <cacheHierarchy uniqueName="[Measures].[R-Trading Margin]" caption="R-Trading Margin" measure="1" displayFolder="" measureGroup="Period Measures" count="0"/>
    <cacheHierarchy uniqueName="[Measures].[R-GM%]" caption="R-GM%" measure="1" displayFolder="" measureGroup="Period Measures" count="0"/>
    <cacheHierarchy uniqueName="[Measures].[R-DeliveredSalesBudget]" caption="R-DeliveredSalesBudget" measure="1" displayFolder="" measureGroup="Period Measures" count="0"/>
    <cacheHierarchy uniqueName="[Measures].[R-Budget Variance]" caption="R-Budget Variance" measure="1" displayFolder="" measureGroup="Period Measures" count="0"/>
    <cacheHierarchy uniqueName="[Measures].[R-Gross Sales rolling]" caption="R-Gross Sales rolling" measure="1" displayFolder="" measureGroup="Period Measures" count="0"/>
    <cacheHierarchy uniqueName="[Measures].[R-Gross Sales TY $]" caption="R-Gross Sales TY $" measure="1" displayFolder="" measureGroup="BI metrics" count="0"/>
    <cacheHierarchy uniqueName="[Measures].[R-M/D TY $]" caption="R-M/D TY $" measure="1" displayFolder="" measureGroup="BI metrics" count="0"/>
    <cacheHierarchy uniqueName="[Measures].[R-Sales ExGST TY $]" caption="R-Sales ExGST TY $" measure="1" displayFolder="" measureGroup="BI metrics" count="0" oneField="1">
      <fieldsUsage count="1">
        <fieldUsage x="8"/>
      </fieldsUsage>
    </cacheHierarchy>
    <cacheHierarchy uniqueName="[Measures].[R-CostFinal TY $]" caption="R-CostFinal TY $" measure="1" displayFolder="" measureGroup="BI metrics" count="0"/>
    <cacheHierarchy uniqueName="[Measures].[R-Sale Budget TY $]" caption="R-Sale Budget TY $" measure="1" displayFolder="" measureGroup="BI metrics" count="0"/>
    <cacheHierarchy uniqueName="[Measures].[R-Trading Margin TY $]" caption="R-Trading Margin TY $" measure="1" displayFolder="" measureGroup="BI metrics" count="0"/>
    <cacheHierarchy uniqueName="[Measures].[R-GM % TY]" caption="R-GM % TY" measure="1" displayFolder="" measureGroup="BI metrics" count="0"/>
    <cacheHierarchy uniqueName="[Measures].[R-Budget Variance TY]" caption="R-Budget Variance TY" measure="1" displayFolder="" measureGroup="BI metrics" count="0"/>
    <cacheHierarchy uniqueName="[Measures].[R-Gross Sales LY $]" caption="R-Gross Sales LY $" measure="1" displayFolder="" measureGroup="BI metrics" count="0"/>
    <cacheHierarchy uniqueName="[Measures].[R-M/D LY $]" caption="R-M/D LY $" measure="1" displayFolder="" measureGroup="BI metrics" count="0"/>
    <cacheHierarchy uniqueName="[Measures].[R-Sales ExGST LY $]" caption="R-Sales ExGST LY $" measure="1" displayFolder="" measureGroup="BI metrics" count="0"/>
    <cacheHierarchy uniqueName="[Measures].[R-CostFinal LY $]" caption="R-CostFinal LY $" measure="1" displayFolder="" measureGroup="BI metrics" count="0"/>
    <cacheHierarchy uniqueName="[Measures].[R-Trading Margin LY $]" caption="R-Trading Margin LY $" measure="1" displayFolder="" measureGroup="BI metrics" count="0"/>
    <cacheHierarchy uniqueName="[Measures].[R-Sales Budget LY $]" caption="R-Sales Budget LY $" measure="1" displayFolder="" measureGroup="BI metrics" count="0"/>
    <cacheHierarchy uniqueName="[Measures].[R-Gross Sales YoY]" caption="R-Gross Sales YoY" measure="1" displayFolder="" measureGroup="BI metrics" count="0"/>
    <cacheHierarchy uniqueName="[Measures].[R-M/D YoY]" caption="R-M/D YoY" measure="1" displayFolder="" measureGroup="BI metrics" count="0"/>
    <cacheHierarchy uniqueName="[Measures].[R-Sales ExGST YoY]" caption="R-Sales ExGST YoY" measure="1" displayFolder="" measureGroup="BI metrics" count="0"/>
    <cacheHierarchy uniqueName="[Measures].[R-CostFinal YoY]" caption="R-CostFinal YoY" measure="1" displayFolder="" measureGroup="BI metrics" count="0"/>
    <cacheHierarchy uniqueName="[Measures].[R-Trading Margin YoY]" caption="R-Trading Margin YoY" measure="1" displayFolder="" measureGroup="BI metrics" count="0"/>
    <cacheHierarchy uniqueName="[Measures].[R-Sales ExGST TY $(Amart)]" caption="R-Sales ExGST TY $(Amart)" measure="1" displayFolder="aa_Quadrant-Amart" measureGroup="BI metrics" count="0"/>
    <cacheHierarchy uniqueName="[Measures].[Delivered Sales Ex GST LY]" caption="Delivered Sales Ex GST LY" measure="1" displayFolder="" measureGroup="BI metrics" count="0"/>
    <cacheHierarchy uniqueName="[Measures].[R-Sales ExGST LY $(Amart)]" caption="R-Sales ExGST LY $(Amart)" measure="1" displayFolder="aa_Quadrant-Amart" measureGroup="BI metrics" count="0"/>
    <cacheHierarchy uniqueName="[Measures].[Delivered Sales ExGST LY 1]" caption="Delivered Sales ExGST LY 1" measure="1" displayFolder="" measureGroup="BI metrics" count="0"/>
    <cacheHierarchy uniqueName="[Measures].[R-Sales ExGST YoY(Amart)]" caption="R-Sales ExGST YoY(Amart)" measure="1" displayFolder="aa_Quadrant-Amart" measureGroup="BI metrics" count="0"/>
    <cacheHierarchy uniqueName="[Measures].[R-Sale Budget TY $(Amart)]" caption="R-Sale Budget TY $(Amart)" measure="1" displayFolder="aa_Quadrant-Amart" measureGroup="BI metrics" count="0"/>
    <cacheHierarchy uniqueName="[Measures].[R-Budget Variance TY(Amart)]" caption="R-Budget Variance TY(Amart)" measure="1" displayFolder="aa_Quadrant-Amart" measureGroup="BI metrics" count="0"/>
    <cacheHierarchy uniqueName="[Measures].[R-Trading Margin TY $(Amart)]" caption="R-Trading Margin TY $(Amart)" measure="1" displayFolder="aa_Quadrant-Amart" measureGroup="BI metrics" count="0"/>
    <cacheHierarchy uniqueName="[Measures].[Gross Margin LY]" caption="Gross Margin LY" measure="1" displayFolder="aa_Quadrant-Amart" measureGroup="BI metrics" count="0"/>
    <cacheHierarchy uniqueName="[Measures].[R-Trading Margin LY $(Amart)]" caption="R-Trading Margin LY $(Amart)" measure="1" displayFolder="aa_Quadrant-Amart" measureGroup="BI metrics" count="0"/>
    <cacheHierarchy uniqueName="[Measures].[Gross Sales LY]" caption="Gross Sales LY" measure="1" displayFolder="aa_Quadrant-Amart" measureGroup="BI metrics" count="0"/>
    <cacheHierarchy uniqueName="[Measures].[R-Gross Sales TY $(Amart)]" caption="R-Gross Sales TY $(Amart)" measure="1" displayFolder="aa_Quadrant-Amart" measureGroup="BI metrics" count="0"/>
    <cacheHierarchy uniqueName="[Measures].[R-Gross Sales LY $(Amart)]" caption="R-Gross Sales LY $(Amart)" measure="1" displayFolder="aa_Quadrant-Amart" measureGroup="BI metrics" count="0"/>
    <cacheHierarchy uniqueName="[Measures].[R-Gross Sales YoY(Amart)]" caption="R-Gross Sales YoY(Amart)" measure="1" displayFolder="aa_Quadrant-Amart" measureGroup="BI metrics" count="0"/>
    <cacheHierarchy uniqueName="[Measures].[R-Trading Margin YoY(Amart)]" caption="R-Trading Margin YoY(Amart)" measure="1" displayFolder="aa_Quadrant-Amart" measureGroup="BI metrics" count="0"/>
    <cacheHierarchy uniqueName="[Measures].[Markdown LY]" caption="Markdown LY" measure="1" displayFolder="aa_Quadrant-Amart" measureGroup="BI metrics" count="0"/>
    <cacheHierarchy uniqueName="[Measures].[R-M/D TY $(Amart)]" caption="R-M/D TY $(Amart)" measure="1" displayFolder="aa_Quadrant-Amart" measureGroup="BI metrics" count="0"/>
    <cacheHierarchy uniqueName="[Measures].[R-M/D LY $(Amart)]" caption="R-M/D LY $(Amart)" measure="1" displayFolder="aa_Quadrant-Amart" measureGroup="BI metrics" count="0"/>
    <cacheHierarchy uniqueName="[Measures].[R-M/D YoY(Amart)]" caption="R-M/D YoY(Amart)" measure="1" displayFolder="aa_Quadrant-Amart" measureGroup="BI metrics" count="0"/>
    <cacheHierarchy uniqueName="[Measures].[COSTFINAL LY]" caption="COSTFINAL LY" measure="1" displayFolder="aa_Quadrant-Amart" measureGroup="BI metrics" count="0"/>
    <cacheHierarchy uniqueName="[Measures].[R-CostFinal TY $(Amart)]" caption="R-CostFinal TY $(Amart)" measure="1" displayFolder="aa_Quadrant-Amart" measureGroup="BI metrics" count="0"/>
    <cacheHierarchy uniqueName="[Measures].[R-CostFinal LY $(Amart)]" caption="R-CostFinal LY $(Amart)" measure="1" displayFolder="aa_Quadrant-Amart" measureGroup="BI metrics" count="0"/>
    <cacheHierarchy uniqueName="[Measures].[R-CostFinal YoY(Amart)]" caption="R-CostFinal YoY(Amart)" measure="1" displayFolder="aa_Quadrant-Amart" measureGroup="BI metrics" count="0"/>
    <cacheHierarchy uniqueName="[Measures].[R-GM % TY(Amart)]" caption="R-GM % TY(Amart)" measure="1" displayFolder="aa_Quadrant-Amart" measureGroup="BI metrics" count="0"/>
    <cacheHierarchy uniqueName="[Measures].[R-sales ExGST LY NFY]" caption="R-sales ExGST LY NFY" measure="1" displayFolder="" measureGroup="BI metrics" count="0"/>
    <cacheHierarchy uniqueName="[Measures].[R-Sales ExGST LY $(Amart) NFY]" caption="R-Sales ExGST LY $(Amart) NFY" measure="1" displayFolder="aa_Quadrant-Amart" measureGroup="BI metrics" count="0"/>
    <cacheHierarchy uniqueName="[Measures].[__Default measure]" caption="__Default measure" measure="1" displayFolder="" count="0" hidden="1"/>
  </cacheHierarchies>
  <kpis count="0"/>
  <dimensions count="15">
    <dimension name="BI metrics" uniqueName="[BI metrics]" caption="BI metrics"/>
    <dimension name="BI vw_Budget Duplicate" uniqueName="[BI vw_Budget Duplicate]" caption="BI vw_Budget Duplicate"/>
    <dimension name="BI vw_BudgetDeliveredSalesByStore" uniqueName="[BI vw_BudgetDeliveredSalesByStore]" caption="BI vw_BudgetDeliveredSalesByStore"/>
    <dimension name="BI vw_Dynamics_FFAFDropshipwholesaleprice" uniqueName="[BI vw_Dynamics_FFAFDropshipwholesaleprice]" caption="BI vw_Dynamics_FFAFDropshipwholesaleprice"/>
    <dimension name="BI vw_DynamicsDeliveredSales" uniqueName="[BI vw_DynamicsDeliveredSales]" caption="BI vw_DynamicsDeliveredSales"/>
    <dimension name="BI vw_FinCalendar" uniqueName="[BI vw_FinCalendar]" caption="BI vw_FinCalendar"/>
    <dimension name="BI vw_Store" uniqueName="[BI vw_Store]" caption="BI vw_Store"/>
    <dimension name="CalendarMapping" uniqueName="[CalendarMapping]" caption="CalendarMapping"/>
    <dimension name="DC SO" uniqueName="[DC SO]" caption="DC SO"/>
    <dimension name="dim_period" uniqueName="[dim_period]" caption="dim_period"/>
    <dimension measure="1" name="Measures" uniqueName="[Measures]" caption="Measures"/>
    <dimension name="Month Sort" uniqueName="[Month Sort]" caption="Month Sort"/>
    <dimension name="TimePeriod" uniqueName="[TimePeriod]" caption="TimePeriod"/>
    <dimension name="TimePeriodSort" uniqueName="[TimePeriodSort]" caption="TimePeriodSort"/>
    <dimension name="TimePeriodSort_Amart" uniqueName="[TimePeriodSort_Amart]" caption="TimePeriodSort_Amart"/>
  </dimensions>
  <measureGroups count="23">
    <measureGroup name="BI metrics" caption="BI metrics"/>
    <measureGroup name="BI vw_Budget Duplicate" caption="BI vw_Budget Duplicate"/>
    <measureGroup name="BI vw_BudgetDeliveredSalesByStore" caption="BI vw_BudgetDeliveredSalesByStore"/>
    <measureGroup name="BI vw_Dynamics_FFAFDropshipwholesaleprice" caption="BI vw_Dynamics_FFAFDropshipwholesaleprice"/>
    <measureGroup name="BI vw_DynamicsDeliveredSales" caption="BI vw_DynamicsDeliveredSales"/>
    <measureGroup name="BI vw_FinCalendar" caption="BI vw_FinCalendar"/>
    <measureGroup name="BI vw_MarkdownCategory" caption="BI vw_MarkdownCategory"/>
    <measureGroup name="BI vw_Store" caption="BI vw_Store"/>
    <measureGroup name="BI vw_Store (2)" caption="BI vw_Store (2)"/>
    <measureGroup name="CalendarMapping" caption="CalendarMapping"/>
    <measureGroup name="DateTableTemplate_3f9b2c98-215a-4ac6-bb5b-5edb3fb7613d" caption="DateTableTemplate_3f9b2c98-215a-4ac6-bb5b-5edb3fb7613d"/>
    <measureGroup name="DC SO" caption="DC SO"/>
    <measureGroup name="dim_period" caption="dim_period"/>
    <measureGroup name="LocalDateTable_2dc8ec59-2991-4ed7-b97f-b3968012b3bf" caption="LocalDateTable_2dc8ec59-2991-4ed7-b97f-b3968012b3bf"/>
    <measureGroup name="LocalDateTable_35b2b28c-5e49-4861-9014-eb0865a61f58" caption="LocalDateTable_35b2b28c-5e49-4861-9014-eb0865a61f58"/>
    <measureGroup name="LocalDateTable_3ea1f34c-3b67-443a-8479-d47192825849" caption="LocalDateTable_3ea1f34c-3b67-443a-8479-d47192825849"/>
    <measureGroup name="LocalDateTable_44c7d4ef-ea67-4ad2-970c-4dd712d1bff0" caption="LocalDateTable_44c7d4ef-ea67-4ad2-970c-4dd712d1bff0"/>
    <measureGroup name="Measure" caption="Measure"/>
    <measureGroup name="Month Sort" caption="Month Sort"/>
    <measureGroup name="Period Measures" caption="Period Measures"/>
    <measureGroup name="TimePeriod" caption="TimePeriod"/>
    <measureGroup name="TimePeriodSort" caption="TimePeriodSort"/>
    <measureGroup name="TimePeriodSort_Amart" caption="TimePeriodSort_Amart"/>
  </measureGroups>
  <maps count="49">
    <map measureGroup="0" dimension="0"/>
    <map measureGroup="0" dimension="13"/>
    <map measureGroup="0" dimension="14"/>
    <map measureGroup="1" dimension="1"/>
    <map measureGroup="1" dimension="5"/>
    <map measureGroup="1" dimension="6"/>
    <map measureGroup="1" dimension="7"/>
    <map measureGroup="1" dimension="11"/>
    <map measureGroup="2" dimension="0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1"/>
    <map measureGroup="2" dimension="13"/>
    <map measureGroup="2" dimension="14"/>
    <map measureGroup="3" dimension="3"/>
    <map measureGroup="4" dimension="0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  <map measureGroup="4" dimension="11"/>
    <map measureGroup="4" dimension="13"/>
    <map measureGroup="4" dimension="14"/>
    <map measureGroup="5" dimension="5"/>
    <map measureGroup="5" dimension="7"/>
    <map measureGroup="5" dimension="11"/>
    <map measureGroup="7" dimension="6"/>
    <map measureGroup="8" dimension="6"/>
    <map measureGroup="9" dimension="5"/>
    <map measureGroup="9" dimension="7"/>
    <map measureGroup="9" dimension="11"/>
    <map measureGroup="11" dimension="8"/>
    <map measureGroup="12" dimension="9"/>
    <map measureGroup="18" dimension="11"/>
    <map measureGroup="20" dimension="12"/>
    <map measureGroup="21" dimension="13"/>
    <map measureGroup="21" dimension="14"/>
    <map measureGroup="22" dimension="13"/>
    <map measureGroup="2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5.605752199073" backgroundQuery="1" createdVersion="8" refreshedVersion="8" minRefreshableVersion="3" recordCount="0" supportSubquery="1" supportAdvancedDrill="1" xr:uid="{AD5AB1F0-0DD6-4563-A643-DB25A8415E5C}">
  <cacheSource type="external" connectionId="1"/>
  <cacheFields count="8">
    <cacheField name="[BI metrics].[TimePeriod].[TimePeriod]" caption="TimePeriod" numFmtId="0" hierarchy="16" level="1">
      <sharedItems containsSemiMixedTypes="0" containsString="0"/>
    </cacheField>
    <cacheField name="[BI metrics].[Fin_Period].[Fin_Period]" caption="Fin_Period" numFmtId="0" level="1">
      <sharedItems count="1">
        <s v="[BI metrics].[Fin_Period].&amp;[202709]" c="202709"/>
      </sharedItems>
    </cacheField>
    <cacheField name="[BI vw_DynamicsDeliveredSales].[CHANNEL].[CHANNEL]" caption="CHANNEL" numFmtId="0" hierarchy="38" level="1">
      <sharedItems count="3">
        <s v="[BI vw_DynamicsDeliveredSales].[CHANNEL].&amp;[Dropship]" c="Dropship"/>
        <s v="[BI vw_DynamicsDeliveredSales].[CHANNEL].&amp;[In Store]" c="In Store"/>
        <s v="[BI vw_DynamicsDeliveredSales].[CHANNEL].&amp;[Online]" c="Online"/>
      </sharedItems>
    </cacheField>
    <cacheField name="[BI vw_Store].[Country].[Country]" caption="Country" numFmtId="0" hierarchy="142" level="1">
      <sharedItems count="1">
        <s v="[BI vw_Store].[Country].&amp;[AU]" c="AU"/>
      </sharedItems>
    </cacheField>
    <cacheField name="[BI vw_Store].[BranchType].[BranchType]" caption="BranchType" numFmtId="0" hierarchy="140" level="1">
      <sharedItems containsSemiMixedTypes="0" containsString="0"/>
    </cacheField>
    <cacheField name="[BI vw_DynamicsDeliveredSales].[Sales Order Type].[Sales Order Type]" caption="Sales Order Type" numFmtId="0" hierarchy="101" level="1">
      <sharedItems containsSemiMixedTypes="0" containsString="0"/>
    </cacheField>
    <cacheField name="[BI vw_DynamicsDeliveredSales].[Division].[Division]" caption="Division" numFmtId="0" hierarchy="60" level="1">
      <sharedItems count="2">
        <s v="[BI vw_DynamicsDeliveredSales].[Division].&amp;[Furniture]" c="Furniture"/>
        <s v="[BI vw_DynamicsDeliveredSales].[Division].&amp;[Homewares]" c="Homewares"/>
      </sharedItems>
    </cacheField>
    <cacheField name="[Measures].[R-Sales ExGST TY $]" caption="R-Sales ExGST TY $" numFmtId="0" hierarchy="267" level="32767"/>
  </cacheFields>
  <cacheHierarchies count="311"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1"/>
      </fieldsUsage>
    </cacheHierarchy>
    <cacheHierarchy uniqueName="[BI metrics].[Fin_Week]" caption="Fin_Week" attribute="1" defaultMemberUniqueName="[BI metrics].[Fin_Week].[All]" allUniqueName="[BI metrics].[Fin_Week].[All]" dimensionUniqueName="[BI metrics]" displayFolder="" count="0" memberValueDatatype="130" unbalanced="0"/>
    <cacheHierarchy uniqueName="[BI metrics].[Fin_Year]" caption="Fin_Year" attribute="1" defaultMemberUniqueName="[BI metrics].[Fin_Year].[All]" allUniqueName="[BI metrics].[Fin_Year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13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5" unbalanced="0"/>
    <cacheHierarchy uniqueName="[BI metrics].[LastYear_Week]" caption="LastYear_Week" attribute="1" defaultMemberUniqueName="[BI metrics].[LastYear_Week].[All]" allUniqueName="[BI metrics].[LastYear_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5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5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0"/>
      </fieldsUsage>
    </cacheHierarchy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vw_Budget Duplicate].[BudgetDollar]" caption="BudgetDollar" attribute="1" defaultMemberUniqueName="[BI vw_Budget Duplicate].[BudgetDollar].[All]" allUniqueName="[BI vw_Budget Duplicate].[BudgetDollar].[All]" dimensionUniqueName="[BI vw_Budget Duplicate]" displayFolder="" count="0" memberValueDatatype="6" unbalanced="0"/>
    <cacheHierarchy uniqueName="[BI vw_Budget Duplicate].[BudgetYear]" caption="BudgetYear" attribute="1" defaultMemberUniqueName="[BI vw_Budget Duplicate].[BudgetYear].[All]" allUniqueName="[BI vw_Budget Duplicate].[BudgetYear].[All]" dimensionUniqueName="[BI vw_Budget Duplicate]" displayFolder="" count="0" memberValueDatatype="20" unbalanced="0"/>
    <cacheHierarchy uniqueName="[BI vw_Budget Duplicate].[FinPeriod]" caption="FinPeriod" attribute="1" defaultMemberUniqueName="[BI vw_Budget Duplicate].[FinPeriod].[All]" allUniqueName="[BI vw_Budget Duplicate].[FinPeriod].[All]" dimensionUniqueName="[BI vw_Budget Duplicate]" displayFolder="" count="0" memberValueDatatype="130" unbalanced="0"/>
    <cacheHierarchy uniqueName="[BI vw_Budget Duplicate].[Store]" caption="Store" attribute="1" defaultMemberUniqueName="[BI vw_Budget Duplicate].[Store].[All]" allUniqueName="[BI vw_Budget Duplicate].[Store].[All]" dimensionUniqueName="[BI vw_Budget Duplicate]" displayFolder="" count="0" memberValueDatatype="130" unbalanced="0"/>
    <cacheHierarchy uniqueName="[BI vw_Budget Duplicate].[YearFinPeriod]" caption="YearFinPeriod" attribute="1" defaultMemberUniqueName="[BI vw_Budget Duplicate].[YearFinPeriod].[All]" allUniqueName="[BI vw_Budget Duplicate].[YearFinPeriod].[All]" dimensionUniqueName="[BI vw_Budget Duplicate]" displayFolder="" count="0" memberValueDatatype="130" unbalanced="0"/>
    <cacheHierarchy uniqueName="[BI vw_BudgetDeliveredSalesByStore].[Budget_Key]" caption="Budget_Key" attribute="1" defaultMemberUniqueName="[BI vw_BudgetDeliveredSalesByStore].[Budget_Key].[All]" allUniqueName="[BI vw_BudgetDeliveredSalesByStore].[Budget_Key].[All]" dimensionUniqueName="[BI vw_BudgetDeliveredSalesByStore]" displayFolder="" count="0" memberValueDatatype="130" unbalanced="0"/>
    <cacheHierarchy uniqueName="[BI vw_BudgetDeliveredSalesByStore].[BudgetDollar]" caption="BudgetDollar" attribute="1" defaultMemberUniqueName="[BI vw_BudgetDeliveredSalesByStore].[BudgetDollar].[All]" allUniqueName="[BI vw_BudgetDeliveredSalesByStore].[BudgetDollar].[All]" dimensionUniqueName="[BI vw_BudgetDeliveredSalesByStore]" displayFolder="" count="0" memberValueDatatype="6" unbalanced="0"/>
    <cacheHierarchy uniqueName="[BI vw_BudgetDeliveredSalesByStore].[BudgetYear]" caption="BudgetYear" attribute="1" defaultMemberUniqueName="[BI vw_BudgetDeliveredSalesByStore].[BudgetYear].[All]" allUniqueName="[BI vw_BudgetDeliveredSalesByStore].[BudgetYear].[All]" dimensionUniqueName="[BI vw_BudgetDeliveredSalesByStore]" displayFolder="" count="0" memberValueDatatype="20" unbalanced="0"/>
    <cacheHierarchy uniqueName="[BI vw_BudgetDeliveredSalesByStore].[FinPeriod]" caption="FinPeriod" attribute="1" defaultMemberUniqueName="[BI vw_BudgetDeliveredSalesByStore].[FinPeriod].[All]" allUniqueName="[BI vw_BudgetDeliveredSalesByStore].[FinPeriod].[All]" dimensionUniqueName="[BI vw_BudgetDeliveredSalesByStore]" displayFolder="" count="0" memberValueDatatype="130" unbalanced="0"/>
    <cacheHierarchy uniqueName="[BI vw_BudgetDeliveredSalesByStore].[Store]" caption="Store" attribute="1" defaultMemberUniqueName="[BI vw_BudgetDeliveredSalesByStore].[Store].[All]" allUniqueName="[BI vw_BudgetDeliveredSalesByStore].[Store].[All]" dimensionUniqueName="[BI vw_BudgetDeliveredSalesByStore]" displayFolder="" count="0" memberValueDatatype="130" unbalanced="0"/>
    <cacheHierarchy uniqueName="[BI vw_BudgetDeliveredSalesByStore].[YearFinPeriod]" caption="YearFinPeriod" attribute="1" defaultMemberUniqueName="[BI vw_BudgetDeliveredSalesByStore].[YearFinPeriod].[All]" allUniqueName="[BI vw_BudgetDeliveredSalesByStore].[YearFinPeriod].[All]" dimensionUniqueName="[BI vw_BudgetDeliveredSalesByStore]" displayFolder="" count="0" memberValueDatatype="130" unbalanced="0"/>
    <cacheHierarchy uniqueName="[BI vw_Dynamics_FFAFDropshipwholesaleprice].[Key]" caption="Key" attribute="1" defaultMemberUniqueName="[BI vw_Dynamics_FFAFDropshipwholesaleprice].[Key].[All]" allUniqueName="[BI vw_Dynamics_FFAFDropshipwholesaleprice].[Key].[All]" dimensionUniqueName="[BI vw_Dynamics_FFAFDropshipwholesaleprice]" displayFolder="" count="0" memberValueDatatype="130" unbalanced="0"/>
    <cacheHierarchy uniqueName="[BI vw_Dynamics_FFAFDropshipwholesaleprice].[WholeSalePrice_FFAFdropship]" caption="WholeSalePrice_FFAFdropship" attribute="1" defaultMemberUniqueName="[BI vw_Dynamics_FFAFDropshipwholesaleprice].[WholeSalePrice_FFAFdropship].[All]" allUniqueName="[BI vw_Dynamics_FFAFDropshipwholesaleprice].[WholeSalePrice_FFAFdropship].[All]" dimensionUniqueName="[BI vw_Dynamics_FFAFDropshipwholesaleprice]" displayFolder="" count="0" memberValueDatatype="5" unbalanced="0"/>
    <cacheHierarchy uniqueName="[BI vw_DynamicsDeliveredSales].[AU-AU]" caption="AU-AU" attribute="1" defaultMemberUniqueName="[BI vw_DynamicsDeliveredSales].[AU-AU].[All]" allUniqueName="[BI vw_DynamicsDeliveredSales].[AU-AU].[All]" dimensionUniqueName="[BI vw_DynamicsDeliveredSales]" displayFolder="" count="0" memberValueDatatype="5" unbalanced="0"/>
    <cacheHierarchy uniqueName="[BI vw_DynamicsDeliveredSales].[AU-NZ]" caption="AU-NZ" attribute="1" defaultMemberUniqueName="[BI vw_DynamicsDeliveredSales].[AU-NZ].[All]" allUniqueName="[BI vw_DynamicsDeliveredSales].[AU-NZ].[All]" dimensionUniqueName="[BI vw_DynamicsDeliveredSales]" displayFolder="" count="0" memberValueDatatype="5" unbalanced="0"/>
    <cacheHierarchy uniqueName="[BI vw_DynamicsDeliveredSales].[BI vw_Dynamics_FFAFDropshipwholesaleprice.WholeSalePrice_FFAFdropship]" caption="BI vw_Dynamics_FFAFDropshipwholesaleprice.WholeSalePrice_FFAFdropship" attribute="1" defaultMemberUniqueName="[BI vw_DynamicsDeliveredSales].[BI vw_Dynamics_FFAFDropshipwholesaleprice.WholeSalePrice_FFAFdropship].[All]" allUniqueName="[BI vw_DynamicsDeliveredSales].[BI vw_Dynamics_FFAFDropshipwholesaleprice.WholeSalePrice_FFAFdropship].[All]" dimensionUniqueName="[BI vw_DynamicsDeliveredSales]" displayFolder="" count="0" memberValueDatatype="5" unbalanced="0"/>
    <cacheHierarchy uniqueName="[BI vw_DynamicsDeliveredSales].[BranchType]" caption="BranchType" attribute="1" defaultMemberUniqueName="[BI vw_DynamicsDeliveredSales].[BranchType].[All]" allUniqueName="[BI vw_DynamicsDeliveredSales].[BranchType].[All]" dimensionUniqueName="[BI vw_DynamicsDeliveredSales]" displayFolder="" count="0" memberValueDatatype="130" unbalanced="0"/>
    <cacheHierarchy uniqueName="[BI vw_DynamicsDeliveredSales].[Budget_Key]" caption="Budget_Key" attribute="1" defaultMemberUniqueName="[BI vw_DynamicsDeliveredSales].[Budget_Key].[All]" allUniqueName="[BI vw_DynamicsDeliveredSales].[Budget_Key].[All]" dimensionUniqueName="[BI vw_DynamicsDeliveredSales]" displayFolder="" count="0" memberValueDatatype="130" unbalanced="0"/>
    <cacheHierarchy uniqueName="[BI vw_DynamicsDeliveredSales].[CHANNEL]" caption="CHANNEL" attribute="1" defaultMemberUniqueName="[BI vw_DynamicsDeliveredSales].[CHANNEL].[All]" allUniqueName="[BI vw_DynamicsDeliveredSales].[CHANNEL].[All]" dimensionUniqueName="[BI vw_DynamicsDeliveredSales]" displayFolder="" count="2" memberValueDatatype="130" unbalanced="0">
      <fieldsUsage count="2">
        <fieldUsage x="-1"/>
        <fieldUsage x="2"/>
      </fieldsUsage>
    </cacheHierarchy>
    <cacheHierarchy uniqueName="[BI vw_DynamicsDeliveredSales].[ClassDesc]" caption="ClassDesc" attribute="1" defaultMemberUniqueName="[BI vw_DynamicsDeliveredSales].[ClassDesc].[All]" allUniqueName="[BI vw_DynamicsDeliveredSales].[ClassDesc].[All]" dimensionUniqueName="[BI vw_DynamicsDeliveredSales]" displayFolder="" count="0" memberValueDatatype="130" unbalanced="0"/>
    <cacheHierarchy uniqueName="[BI vw_DynamicsDeliveredSales].[COMPANY]" caption="COMPANY" attribute="1" defaultMemberUniqueName="[BI vw_DynamicsDeliveredSales].[COMPANY].[All]" allUniqueName="[BI vw_DynamicsDeliveredSales].[COMPANY].[All]" dimensionUniqueName="[BI vw_DynamicsDeliveredSales]" displayFolder="" count="0" memberValueDatatype="130" unbalanced="0"/>
    <cacheHierarchy uniqueName="[BI vw_DynamicsDeliveredSales].[CONTRIBUTIONMARGIN]" caption="CONTRIBUTIONMARGIN" attribute="1" defaultMemberUniqueName="[BI vw_DynamicsDeliveredSales].[CONTRIBUTIONMARGIN].[All]" allUniqueName="[BI vw_DynamicsDeliveredSales].[CONTRIBUTIONMARGIN].[All]" dimensionUniqueName="[BI vw_DynamicsDeliveredSales]" displayFolder="" count="0" memberValueDatatype="5" unbalanced="0"/>
    <cacheHierarchy uniqueName="[BI vw_DynamicsDeliveredSales].[CONTRIBUTIONMARGININVOICED]" caption="CONTRIBUTIONMARGININVOICED" attribute="1" defaultMemberUniqueName="[BI vw_DynamicsDeliveredSales].[CONTRIBUTIONMARGININVOICED].[All]" allUniqueName="[BI vw_DynamicsDeliveredSales].[CONTRIBUTIONMARGININVOICED].[All]" dimensionUniqueName="[BI vw_DynamicsDeliveredSales]" displayFolder="" count="0" memberValueDatatype="5" unbalanced="0"/>
    <cacheHierarchy uniqueName="[BI vw_DynamicsDeliveredSales].[COSTAMOUNTSTD]" caption="COSTAMOUNTSTD" attribute="1" defaultMemberUniqueName="[BI vw_DynamicsDeliveredSales].[COSTAMOUNTSTD].[All]" allUniqueName="[BI vw_DynamicsDeliveredSales].[COSTAMOUNTSTD].[All]" dimensionUniqueName="[BI vw_DynamicsDeliveredSales]" displayFolder="" count="0" memberValueDatatype="5" unbalanced="0"/>
    <cacheHierarchy uniqueName="[BI vw_DynamicsDeliveredSales].[COSTAMOUNTSTDADJUSTMENT]" caption="COSTAMOUNTSTDADJUSTMENT" attribute="1" defaultMemberUniqueName="[BI vw_DynamicsDeliveredSales].[COSTAMOUNTSTDADJUSTMENT].[All]" allUniqueName="[BI vw_DynamicsDeliveredSales].[COSTAMOUNTSTDADJUSTMENT].[All]" dimensionUniqueName="[BI vw_DynamicsDeliveredSales]" displayFolder="" count="0" memberValueDatatype="5" unbalanced="0"/>
    <cacheHierarchy uniqueName="[BI vw_DynamicsDeliveredSales].[COSTINVOICEDCOST]" caption="COSTINVOICEDCOST" attribute="1" defaultMemberUniqueName="[BI vw_DynamicsDeliveredSales].[COSTINVOICEDCOST].[All]" allUniqueName="[BI vw_DynamicsDeliveredSales].[COSTINVOICEDCOST].[All]" dimensionUniqueName="[BI vw_DynamicsDeliveredSales]" displayFolder="" count="0" memberValueDatatype="5" unbalanced="0"/>
    <cacheHierarchy uniqueName="[BI vw_DynamicsDeliveredSales].[Country]" caption="Country" attribute="1" defaultMemberUniqueName="[BI vw_DynamicsDeliveredSales].[Country].[All]" allUniqueName="[BI vw_DynamicsDeliveredSales].[Country].[All]" dimensionUniqueName="[BI vw_DynamicsDeliveredSales]" displayFolder="" count="0" memberValueDatatype="130" unbalanced="0"/>
    <cacheHierarchy uniqueName="[BI vw_DynamicsDeliveredSales].[CUSTACCOUNT]" caption="CUSTACCOUNT" attribute="1" defaultMemberUniqueName="[BI vw_DynamicsDeliveredSales].[CUSTACCOUNT].[All]" allUniqueName="[BI vw_DynamicsDeliveredSales].[CUSTACCOUNT].[All]" dimensionUniqueName="[BI vw_DynamicsDeliveredSales]" displayFolder="" count="0" memberValueDatatype="130" unbalanced="0"/>
    <cacheHierarchy uniqueName="[BI vw_DynamicsDeliveredSales].[CUSTACCOUNT - Copy]" caption="CUSTACCOUNT - Copy" attribute="1" defaultMemberUniqueName="[BI vw_DynamicsDeliveredSales].[CUSTACCOUNT - Copy].[All]" allUniqueName="[BI vw_DynamicsDeliveredSales].[CUSTACCOUNT - Copy].[All]" dimensionUniqueName="[BI vw_DynamicsDeliveredSales]" displayFolder="" count="0" memberValueDatatype="130" unbalanced="0"/>
    <cacheHierarchy uniqueName="[BI vw_DynamicsDeliveredSales].[CUSTOMERNAME]" caption="CUSTOMERNAME" attribute="1" defaultMemberUniqueName="[BI vw_DynamicsDeliveredSales].[CUSTOMERNAME].[All]" allUniqueName="[BI vw_DynamicsDeliveredSales].[CUSTOMERNAME].[All]" dimensionUniqueName="[BI vw_DynamicsDeliveredSales]" displayFolder="" count="0" memberValueDatatype="130" unbalanced="0"/>
    <cacheHierarchy uniqueName="[BI vw_DynamicsDeliveredSales].[CUSTOMERSORDERREFERENCE]" caption="CUSTOMERSORDERREFERENCE" attribute="1" defaultMemberUniqueName="[BI vw_DynamicsDeliveredSales].[CUSTOMERSORDERREFERENCE].[All]" allUniqueName="[BI vw_DynamicsDeliveredSales].[CUSTOMERSORDERREFERENCE].[All]" dimensionUniqueName="[BI vw_DynamicsDeliveredSales]" displayFolder="" count="0" memberValueDatatype="130" unbalanced="0"/>
    <cacheHierarchy uniqueName="[BI vw_DynamicsDeliveredSales].[DATAAREAID]" caption="DATAAREAID" attribute="1" defaultMemberUniqueName="[BI vw_DynamicsDeliveredSales].[DATAAREAID].[All]" allUniqueName="[BI vw_DynamicsDeliveredSales].[DATAAREAID].[All]" dimensionUniqueName="[BI vw_DynamicsDeliveredSales]" displayFolder="" count="0" memberValueDatatype="130" unbalanced="0"/>
    <cacheHierarchy uniqueName="[BI vw_DynamicsDeliveredSales].[DC Name]" caption="DC Name" attribute="1" defaultMemberUniqueName="[BI vw_DynamicsDeliveredSales].[DC Name].[All]" allUniqueName="[BI vw_DynamicsDeliveredSales].[DC Name].[All]" dimensionUniqueName="[BI vw_DynamicsDeliveredSales]" displayFolder="" count="0" memberValueDatatype="130" unbalanced="0"/>
    <cacheHierarchy uniqueName="[BI vw_DynamicsDeliveredSales].[DC SO Name]" caption="DC SO Name" attribute="1" defaultMemberUniqueName="[BI vw_DynamicsDeliveredSales].[DC SO Name].[All]" allUniqueName="[BI vw_DynamicsDeliveredSales].[DC SO Name].[All]" dimensionUniqueName="[BI vw_DynamicsDeliveredSales]" displayFolder="" count="0" memberValueDatatype="20" unbalanced="0"/>
    <cacheHierarchy uniqueName="[BI vw_DynamicsDeliveredSales].[DEFAULTLEDGERDIMENSIONDISPLAYVALUE]" caption="DEFAULTLEDGERDIMENSIONDISPLAYVALUE" attribute="1" defaultMemberUniqueName="[BI vw_DynamicsDeliveredSales].[DEFAULTLEDGERDIMENSIONDISPLAYVALUE].[All]" allUniqueName="[BI vw_DynamicsDeliveredSales].[DEFAULTLEDGERDIMENSIONDISPLAYVALUE].[All]" dimensionUniqueName="[BI vw_DynamicsDeliveredSales]" displayFolder="" count="0" memberValueDatatype="130" unbalanced="0"/>
    <cacheHierarchy uniqueName="[BI vw_DynamicsDeliveredSales].[DEFAULTSHIPPINGWAREHOUSEID]" caption="DEFAULTSHIPPINGWAREHOUSEID" attribute="1" defaultMemberUniqueName="[BI vw_DynamicsDeliveredSales].[DEFAULTSHIPPINGWAREHOUSEID].[All]" allUniqueName="[BI vw_DynamicsDeliveredSales].[DEFAULTSHIPPINGWAREHOUSEID].[All]" dimensionUniqueName="[BI vw_DynamicsDeliveredSales]" displayFolder="" count="0" memberValueDatatype="130" unbalanced="0"/>
    <cacheHierarchy uniqueName="[BI vw_DynamicsDeliveredSales].[DELIVERYMODECODE]" caption="DELIVERYMODECODE" attribute="1" defaultMemberUniqueName="[BI vw_DynamicsDeliveredSales].[DELIVERYMODECODE].[All]" allUniqueName="[BI vw_DynamicsDeliveredSales].[DELIVERYMODECODE].[All]" dimensionUniqueName="[BI vw_DynamicsDeliveredSales]" displayFolder="" count="0" memberValueDatatype="130" unbalanced="0"/>
    <cacheHierarchy uniqueName="[BI vw_DynamicsDeliveredSales].[Department]" caption="Department" attribute="1" defaultMemberUniqueName="[BI vw_DynamicsDeliveredSales].[Department].[All]" allUniqueName="[BI vw_DynamicsDeliveredSales].[Department].[All]" dimensionUniqueName="[BI vw_DynamicsDeliveredSales]" displayFolder="" count="0" memberValueDatatype="5" unbalanced="0"/>
    <cacheHierarchy uniqueName="[BI vw_DynamicsDeliveredSales].[DepartmentDesc]" caption="DepartmentDesc" attribute="1" defaultMemberUniqueName="[BI vw_DynamicsDeliveredSales].[DepartmentDesc].[All]" allUniqueName="[BI vw_DynamicsDeliveredSales].[DepartmentDesc].[All]" dimensionUniqueName="[BI vw_DynamicsDeliveredSales]" displayFolder="" count="0" memberValueDatatype="130" unbalanced="0"/>
    <cacheHierarchy uniqueName="[BI vw_DynamicsDeliveredSales].[DISCINVOICEDDISC]" caption="DISCINVOICEDDISC" attribute="1" defaultMemberUniqueName="[BI vw_DynamicsDeliveredSales].[DISCINVOICEDDISC].[All]" allUniqueName="[BI vw_DynamicsDeliveredSales].[DISCINVOICEDDISC].[All]" dimensionUniqueName="[BI vw_DynamicsDeliveredSales]" displayFolder="" count="0" memberValueDatatype="5" unbalanced="0"/>
    <cacheHierarchy uniqueName="[BI vw_DynamicsDeliveredSales].[Division]" caption="Division" attribute="1" defaultMemberUniqueName="[BI vw_DynamicsDeliveredSales].[Division].[All]" allUniqueName="[BI vw_DynamicsDeliveredSales].[Division].[All]" dimensionUniqueName="[BI vw_DynamicsDeliveredSales]" displayFolder="" count="2" memberValueDatatype="130" unbalanced="0">
      <fieldsUsage count="2">
        <fieldUsage x="-1"/>
        <fieldUsage x="6"/>
      </fieldsUsage>
    </cacheHierarchy>
    <cacheHierarchy uniqueName="[BI vw_DynamicsDeliveredSales].[Dropship]" caption="Dropship" attribute="1" defaultMemberUniqueName="[BI vw_DynamicsDeliveredSales].[Dropship].[All]" allUniqueName="[BI vw_DynamicsDeliveredSales].[Dropship].[All]" dimensionUniqueName="[BI vw_DynamicsDeliveredSales]" displayFolder="" count="0" memberValueDatatype="130" unbalanced="0"/>
    <cacheHierarchy uniqueName="[BI vw_DynamicsDeliveredSales].[DXC_BASEITEMNUMBER]" caption="DXC_BASEITEMNUMBER" attribute="1" defaultMemberUniqueName="[BI vw_DynamicsDeliveredSales].[DXC_BASEITEMNUMBER].[All]" allUniqueName="[BI vw_DynamicsDeliveredSales].[DXC_BASEITEMNUMBER].[All]" dimensionUniqueName="[BI vw_DynamicsDeliveredSales]" displayFolder="" count="0" memberValueDatatype="130" unbalanced="0"/>
    <cacheHierarchy uniqueName="[BI vw_DynamicsDeliveredSales].[dxc_EXTERNALCREATEDDATE]" caption="dxc_EXTERNALCREATEDDATE" attribute="1" time="1" defaultMemberUniqueName="[BI vw_DynamicsDeliveredSales].[dxc_EXTERNALCREATEDDATE].[All]" allUniqueName="[BI vw_DynamicsDeliveredSales].[dxc_EXTERNALCREATEDDATE].[All]" dimensionUniqueName="[BI vw_DynamicsDeliveredSales]" displayFolder="" count="0" memberValueDatatype="7" unbalanced="0"/>
    <cacheHierarchy uniqueName="[BI vw_DynamicsDeliveredSales].[DXC_EXTERNALITEMNUMBER]" caption="DXC_EXTERNALITEMNUMBER" attribute="1" defaultMemberUniqueName="[BI vw_DynamicsDeliveredSales].[DXC_EXTERNALITEMNUMBER].[All]" allUniqueName="[BI vw_DynamicsDeliveredSales].[DXC_EXTERNALITEMNUMBER].[All]" dimensionUniqueName="[BI vw_DynamicsDeliveredSales]" displayFolder="" count="0" memberValueDatatype="130" unbalanced="0"/>
    <cacheHierarchy uniqueName="[BI vw_DynamicsDeliveredSales].[DXC_SALESPERSONID]" caption="DXC_SALESPERSONID" attribute="1" defaultMemberUniqueName="[BI vw_DynamicsDeliveredSales].[DXC_SALESPERSONID].[All]" allUniqueName="[BI vw_DynamicsDeliveredSales].[DXC_SALESPERSONID].[All]" dimensionUniqueName="[BI vw_DynamicsDeliveredSales]" displayFolder="" count="0" memberValueDatatype="130" unbalanced="0"/>
    <cacheHierarchy uniqueName="[BI vw_DynamicsDeliveredSales].[FINALUPC]" caption="FINALUPC" attribute="1" defaultMemberUniqueName="[BI vw_DynamicsDeliveredSales].[FINALUPC].[All]" allUniqueName="[BI vw_DynamicsDeliveredSales].[FINALUPC].[All]" dimensionUniqueName="[BI vw_DynamicsDeliveredSales]" displayFolder="" count="0" memberValueDatatype="20" unbalanced="0"/>
    <cacheHierarchy uniqueName="[BI vw_DynamicsDeliveredSales].[FinPeriod]" caption="FinPeriod" attribute="1" defaultMemberUniqueName="[BI vw_DynamicsDeliveredSales].[FinPeriod].[All]" allUniqueName="[BI vw_DynamicsDeliveredSales].[FinPeriod].[All]" dimensionUniqueName="[BI vw_DynamicsDeliveredSales]" displayFolder="" count="0" memberValueDatatype="20" unbalanced="0"/>
    <cacheHierarchy uniqueName="[BI vw_DynamicsDeliveredSales].[FinPeriod Cal]" caption="FinPeriod Cal" attribute="1" defaultMemberUniqueName="[BI vw_DynamicsDeliveredSales].[FinPeriod Cal].[All]" allUniqueName="[BI vw_DynamicsDeliveredSales].[FinPeriod Cal].[All]" dimensionUniqueName="[BI vw_DynamicsDeliveredSales]" displayFolder="" count="0" memberValueDatatype="20" unbalanced="0"/>
    <cacheHierarchy uniqueName="[BI vw_DynamicsDeliveredSales].[FirstWeek-Month]" caption="FirstWeek-Month" attribute="1" defaultMemberUniqueName="[BI vw_DynamicsDeliveredSales].[FirstWeek-Month].[All]" allUniqueName="[BI vw_DynamicsDeliveredSales].[FirstWeek-Month].[All]" dimensionUniqueName="[BI vw_DynamicsDeliveredSales]" displayFolder="" count="0" memberValueDatatype="20" unbalanced="0"/>
    <cacheHierarchy uniqueName="[BI vw_DynamicsDeliveredSales].[FirstWeek-QTD]" caption="FirstWeek-QTD" attribute="1" defaultMemberUniqueName="[BI vw_DynamicsDeliveredSales].[FirstWeek-QTD].[All]" allUniqueName="[BI vw_DynamicsDeliveredSales].[FirstWeek-QTD].[All]" dimensionUniqueName="[BI vw_DynamicsDeliveredSales]" displayFolder="" count="0" memberValueDatatype="20" unbalanced="0"/>
    <cacheHierarchy uniqueName="[BI vw_DynamicsDeliveredSales].[FirstWeek-Year]" caption="FirstWeek-Year" attribute="1" defaultMemberUniqueName="[BI vw_DynamicsDeliveredSales].[FirstWeek-Year].[All]" allUniqueName="[BI vw_DynamicsDeliveredSales].[FirstWeek-Year].[All]" dimensionUniqueName="[BI vw_DynamicsDeliveredSales]" displayFolder="" count="0" memberValueDatatype="130" unbalanced="0"/>
    <cacheHierarchy uniqueName="[BI vw_DynamicsDeliveredSales].[GROSSINVOICEDGROSS]" caption="GROSSINVOICEDGROSS" attribute="1" defaultMemberUniqueName="[BI vw_DynamicsDeliveredSales].[GROSSINVOICEDGROSS].[All]" allUniqueName="[BI vw_DynamicsDeliveredSales].[GROSSINVOICEDGROSS].[All]" dimensionUniqueName="[BI vw_DynamicsDeliveredSales]" displayFolder="" count="0" memberValueDatatype="5" unbalanced="0"/>
    <cacheHierarchy uniqueName="[BI vw_DynamicsDeliveredSales].[INVENTTRANSID]" caption="INVENTTRANSID" attribute="1" defaultMemberUniqueName="[BI vw_DynamicsDeliveredSales].[INVENTTRANSID].[All]" allUniqueName="[BI vw_DynamicsDeliveredSales].[INVENTTRANSID].[All]" dimensionUniqueName="[BI vw_DynamicsDeliveredSales]" displayFolder="" count="0" memberValueDatatype="130" unbalanced="0"/>
    <cacheHierarchy uniqueName="[BI vw_DynamicsDeliveredSales].[INVOICEDATE]" caption="INVOICEDATE" attribute="1" time="1" defaultMemberUniqueName="[BI vw_DynamicsDeliveredSales].[INVOICEDATE].[All]" allUniqueName="[BI vw_DynamicsDeliveredSales].[INVOICEDATE].[All]" dimensionUniqueName="[BI vw_DynamicsDeliveredSales]" displayFolder="" count="0" memberValueDatatype="7" unbalanced="0"/>
    <cacheHierarchy uniqueName="[BI vw_DynamicsDeliveredSales].[INVOICEID]" caption="INVOICEID" attribute="1" defaultMemberUniqueName="[BI vw_DynamicsDeliveredSales].[INVOICEID].[All]" allUniqueName="[BI vw_DynamicsDeliveredSales].[INVOICEID].[All]" dimensionUniqueName="[BI vw_DynamicsDeliveredSales]" displayFolder="" count="0" memberValueDatatype="130" unbalanced="0"/>
    <cacheHierarchy uniqueName="[BI vw_DynamicsDeliveredSales].[ISSELECTED]" caption="ISSELECTED" attribute="1" defaultMemberUniqueName="[BI vw_DynamicsDeliveredSales].[ISSELECTED].[All]" allUniqueName="[BI vw_DynamicsDeliveredSales].[ISSELECTED].[All]" dimensionUniqueName="[BI vw_DynamicsDeliveredSales]" displayFolder="" count="0" memberValueDatatype="20" unbalanced="0"/>
    <cacheHierarchy uniqueName="[BI vw_DynamicsDeliveredSales].[ITEMID]" caption="ITEMID" attribute="1" defaultMemberUniqueName="[BI vw_DynamicsDeliveredSales].[ITEMID].[All]" allUniqueName="[BI vw_DynamicsDeliveredSales].[ITEMID].[All]" dimensionUniqueName="[BI vw_DynamicsDeliveredSales]" displayFolder="" count="0" memberValueDatatype="130" unbalanced="0"/>
    <cacheHierarchy uniqueName="[BI vw_DynamicsDeliveredSales].[ITEMNAME]" caption="ITEMNAME" attribute="1" defaultMemberUniqueName="[BI vw_DynamicsDeliveredSales].[ITEMNAME].[All]" allUniqueName="[BI vw_DynamicsDeliveredSales].[ITEMNAME].[All]" dimensionUniqueName="[BI vw_DynamicsDeliveredSales]" displayFolder="" count="0" memberValueDatatype="130" unbalanced="0"/>
    <cacheHierarchy uniqueName="[BI vw_DynamicsDeliveredSales].[ITEMTYPE]" caption="ITEMTYPE" attribute="1" defaultMemberUniqueName="[BI vw_DynamicsDeliveredSales].[ITEMTYPE].[All]" allUniqueName="[BI vw_DynamicsDeliveredSales].[ITEMTYPE].[All]" dimensionUniqueName="[BI vw_DynamicsDeliveredSales]" displayFolder="" count="0" memberValueDatatype="130" unbalanced="0"/>
    <cacheHierarchy uniqueName="[BI vw_DynamicsDeliveredSales].[LINECREATIONSEQUENCENUMBER]" caption="LINECREATIONSEQUENCENUMBER" attribute="1" defaultMemberUniqueName="[BI vw_DynamicsDeliveredSales].[LINECREATIONSEQUENCENUMBER].[All]" allUniqueName="[BI vw_DynamicsDeliveredSales].[LINECREATIONSEQUENCENUMBER].[All]" dimensionUniqueName="[BI vw_DynamicsDeliveredSales]" displayFolder="" count="0" memberValueDatatype="20" unbalanced="0"/>
    <cacheHierarchy uniqueName="[BI vw_DynamicsDeliveredSales].[LINEDISC]" caption="LINEDISC" attribute="1" defaultMemberUniqueName="[BI vw_DynamicsDeliveredSales].[LINEDISC].[All]" allUniqueName="[BI vw_DynamicsDeliveredSales].[LINEDISC].[All]" dimensionUniqueName="[BI vw_DynamicsDeliveredSales]" displayFolder="" count="0" memberValueDatatype="5" unbalanced="0"/>
    <cacheHierarchy uniqueName="[BI vw_DynamicsDeliveredSales].[LINENUM]" caption="LINENUM" attribute="1" defaultMemberUniqueName="[BI vw_DynamicsDeliveredSales].[LINENUM].[All]" allUniqueName="[BI vw_DynamicsDeliveredSales].[LINENUM].[All]" dimensionUniqueName="[BI vw_DynamicsDeliveredSales]" displayFolder="" count="0" memberValueDatatype="20" unbalanced="0"/>
    <cacheHierarchy uniqueName="[BI vw_DynamicsDeliveredSales].[MarkdownAmounts.1]" caption="MarkdownAmounts.1" attribute="1" defaultMemberUniqueName="[BI vw_DynamicsDeliveredSales].[MarkdownAmounts.1].[All]" allUniqueName="[BI vw_DynamicsDeliveredSales].[MarkdownAmounts.1].[All]" dimensionUniqueName="[BI vw_DynamicsDeliveredSales]" displayFolder="" count="0" memberValueDatatype="5" unbalanced="0"/>
    <cacheHierarchy uniqueName="[BI vw_DynamicsDeliveredSales].[MarkdownAmounts.2]" caption="MarkdownAmounts.2" attribute="1" defaultMemberUniqueName="[BI vw_DynamicsDeliveredSales].[MarkdownAmounts.2].[All]" allUniqueName="[BI vw_DynamicsDeliveredSales].[MarkdownAmounts.2].[All]" dimensionUniqueName="[BI vw_DynamicsDeliveredSales]" displayFolder="" count="0" memberValueDatatype="5" unbalanced="0"/>
    <cacheHierarchy uniqueName="[BI vw_DynamicsDeliveredSales].[MarkdownCategory.1]" caption="MarkdownCategory.1" attribute="1" defaultMemberUniqueName="[BI vw_DynamicsDeliveredSales].[MarkdownCategory.1].[All]" allUniqueName="[BI vw_DynamicsDeliveredSales].[MarkdownCategory.1].[All]" dimensionUniqueName="[BI vw_DynamicsDeliveredSales]" displayFolder="" count="0" memberValueDatatype="130" unbalanced="0"/>
    <cacheHierarchy uniqueName="[BI vw_DynamicsDeliveredSales].[MarkdownCategory.2]" caption="MarkdownCategory.2" attribute="1" defaultMemberUniqueName="[BI vw_DynamicsDeliveredSales].[MarkdownCategory.2].[All]" allUniqueName="[BI vw_DynamicsDeliveredSales].[MarkdownCategory.2].[All]" dimensionUniqueName="[BI vw_DynamicsDeliveredSales]" displayFolder="" count="0" memberValueDatatype="130" unbalanced="0"/>
    <cacheHierarchy uniqueName="[BI vw_DynamicsDeliveredSales].[MarkdownCodes.1]" caption="MarkdownCodes.1" attribute="1" defaultMemberUniqueName="[BI vw_DynamicsDeliveredSales].[MarkdownCodes.1].[All]" allUniqueName="[BI vw_DynamicsDeliveredSales].[MarkdownCodes.1].[All]" dimensionUniqueName="[BI vw_DynamicsDeliveredSales]" displayFolder="" count="0" memberValueDatatype="130" unbalanced="0"/>
    <cacheHierarchy uniqueName="[BI vw_DynamicsDeliveredSales].[MarkdownCodes.2]" caption="MarkdownCodes.2" attribute="1" defaultMemberUniqueName="[BI vw_DynamicsDeliveredSales].[MarkdownCodes.2].[All]" allUniqueName="[BI vw_DynamicsDeliveredSales].[MarkdownCodes.2].[All]" dimensionUniqueName="[BI vw_DynamicsDeliveredSales]" displayFolder="" count="0" memberValueDatatype="130" unbalanced="0"/>
    <cacheHierarchy uniqueName="[BI vw_DynamicsDeliveredSales].[Merged]" caption="Merged" attribute="1" defaultMemberUniqueName="[BI vw_DynamicsDeliveredSales].[Merged].[All]" allUniqueName="[BI vw_DynamicsDeliveredSales].[Merged].[All]" dimensionUniqueName="[BI vw_DynamicsDeliveredSales]" displayFolder="" count="0" memberValueDatatype="130" unbalanced="0"/>
    <cacheHierarchy uniqueName="[BI vw_DynamicsDeliveredSales].[NETINVOICEDNET]" caption="NETINVOICEDNET" attribute="1" defaultMemberUniqueName="[BI vw_DynamicsDeliveredSales].[NETINVOICEDNET].[All]" allUniqueName="[BI vw_DynamicsDeliveredSales].[NETINVOICEDNET].[All]" dimensionUniqueName="[BI vw_DynamicsDeliveredSales]" displayFolder="" count="0" memberValueDatatype="5" unbalanced="0"/>
    <cacheHierarchy uniqueName="[BI vw_DynamicsDeliveredSales].[NETSALESNET]" caption="NETSALESNET" attribute="1" defaultMemberUniqueName="[BI vw_DynamicsDeliveredSales].[NETSALESNET].[All]" allUniqueName="[BI vw_DynamicsDeliveredSales].[NETSALESNET].[All]" dimensionUniqueName="[BI vw_DynamicsDeliveredSales]" displayFolder="" count="0" memberValueDatatype="5" unbalanced="0"/>
    <cacheHierarchy uniqueName="[BI vw_DynamicsDeliveredSales].[NZ-NZ]" caption="NZ-NZ" attribute="1" defaultMemberUniqueName="[BI vw_DynamicsDeliveredSales].[NZ-NZ].[All]" allUniqueName="[BI vw_DynamicsDeliveredSales].[NZ-NZ].[All]" dimensionUniqueName="[BI vw_DynamicsDeliveredSales]" displayFolder="" count="0" memberValueDatatype="5" unbalanced="0"/>
    <cacheHierarchy uniqueName="[BI vw_DynamicsDeliveredSales].[ORDERCREATIONDATETIME]" caption="ORDERCREATIONDATETIME" attribute="1" time="1" defaultMemberUniqueName="[BI vw_DynamicsDeliveredSales].[ORDERCREATIONDATETIME].[All]" allUniqueName="[BI vw_DynamicsDeliveredSales].[ORDERCREATIONDATETIME].[All]" dimensionUniqueName="[BI vw_DynamicsDeliveredSales]" displayFolder="" count="0" memberValueDatatype="7" unbalanced="0"/>
    <cacheHierarchy uniqueName="[BI vw_DynamicsDeliveredSales].[PARTITION]" caption="PARTITION" attribute="1" defaultMemberUniqueName="[BI vw_DynamicsDeliveredSales].[PARTITION].[All]" allUniqueName="[BI vw_DynamicsDeliveredSales].[PARTITION].[All]" dimensionUniqueName="[BI vw_DynamicsDeliveredSales]" displayFolder="" count="0" memberValueDatatype="130" unbalanced="0"/>
    <cacheHierarchy uniqueName="[BI vw_DynamicsDeliveredSales].[PRODUCTTYPE]" caption="PRODUCTTYPE" attribute="1" defaultMemberUniqueName="[BI vw_DynamicsDeliveredSales].[PRODUCTTYPE].[All]" allUniqueName="[BI vw_DynamicsDeliveredSales].[PRODUCTTYPE].[All]" dimensionUniqueName="[BI vw_DynamicsDeliveredSales]" displayFolder="" count="0" memberValueDatatype="20" unbalanced="0"/>
    <cacheHierarchy uniqueName="[BI vw_DynamicsDeliveredSales].[QTY]" caption="QTY" attribute="1" defaultMemberUniqueName="[BI vw_DynamicsDeliveredSales].[QTY].[All]" allUniqueName="[BI vw_DynamicsDeliveredSales].[QTY].[All]" dimensionUniqueName="[BI vw_DynamicsDeliveredSales]" displayFolder="" count="0" memberValueDatatype="5" unbalanced="0"/>
    <cacheHierarchy uniqueName="[BI vw_DynamicsDeliveredSales].[Range]" caption="Range" attribute="1" defaultMemberUniqueName="[BI vw_DynamicsDeliveredSales].[Range].[All]" allUniqueName="[BI vw_DynamicsDeliveredSales].[Range].[All]" dimensionUniqueName="[BI vw_DynamicsDeliveredSales]" displayFolder="" count="0" memberValueDatatype="130" unbalanced="0"/>
    <cacheHierarchy uniqueName="[BI vw_DynamicsDeliveredSales].[RECID]" caption="RECID" attribute="1" defaultMemberUniqueName="[BI vw_DynamicsDeliveredSales].[RECID].[All]" allUniqueName="[BI vw_DynamicsDeliveredSales].[RECID].[All]" dimensionUniqueName="[BI vw_DynamicsDeliveredSales]" displayFolder="" count="0" memberValueDatatype="20" unbalanced="0"/>
    <cacheHierarchy uniqueName="[BI vw_DynamicsDeliveredSales].[Retail/Not]" caption="Retail/Not" attribute="1" defaultMemberUniqueName="[BI vw_DynamicsDeliveredSales].[Retail/Not].[All]" allUniqueName="[BI vw_DynamicsDeliveredSales].[Retail/Not].[All]" dimensionUniqueName="[BI vw_DynamicsDeliveredSales]" displayFolder="" count="0" memberValueDatatype="130" unbalanced="0"/>
    <cacheHierarchy uniqueName="[BI vw_DynamicsDeliveredSales].[SaleOrderLineNumber]" caption="SaleOrderLineNumber" attribute="1" defaultMemberUniqueName="[BI vw_DynamicsDeliveredSales].[SaleOrderLineNumber].[All]" allUniqueName="[BI vw_DynamicsDeliveredSales].[SaleOrderLineNumber].[All]" dimensionUniqueName="[BI vw_DynamicsDeliveredSales]" displayFolder="" count="0" memberValueDatatype="20" unbalanced="0"/>
    <cacheHierarchy uniqueName="[BI vw_DynamicsDeliveredSales].[Sales Order Type]" caption="Sales Order Type" attribute="1" defaultMemberUniqueName="[BI vw_DynamicsDeliveredSales].[Sales Order Type].[All]" allUniqueName="[BI vw_DynamicsDeliveredSales].[Sales Order Type].[All]" dimensionUniqueName="[BI vw_DynamicsDeliveredSales]" displayFolder="" count="2" memberValueDatatype="130" unbalanced="0">
      <fieldsUsage count="2">
        <fieldUsage x="-1"/>
        <fieldUsage x="5"/>
      </fieldsUsage>
    </cacheHierarchy>
    <cacheHierarchy uniqueName="[BI vw_DynamicsDeliveredSales].[Sales Type]" caption="Sales Type" attribute="1" defaultMemberUniqueName="[BI vw_DynamicsDeliveredSales].[Sales Type].[All]" allUniqueName="[BI vw_DynamicsDeliveredSales].[Sales Type].[All]" dimensionUniqueName="[BI vw_DynamicsDeliveredSales]" displayFolder="" count="0" memberValueDatatype="130" unbalanced="0"/>
    <cacheHierarchy uniqueName="[BI vw_DynamicsDeliveredSales].[SALESID]" caption="SALESID" attribute="1" defaultMemberUniqueName="[BI vw_DynamicsDeliveredSales].[SALESID].[All]" allUniqueName="[BI vw_DynamicsDeliveredSales].[SALESID].[All]" dimensionUniqueName="[BI vw_DynamicsDeliveredSales]" displayFolder="" count="0" memberValueDatatype="130" unbalanced="0"/>
    <cacheHierarchy uniqueName="[BI vw_DynamicsDeliveredSales].[SALESORDERNUMBER]" caption="SALESORDERNUMBER" attribute="1" defaultMemberUniqueName="[BI vw_DynamicsDeliveredSales].[SALESORDERNUMBER].[All]" allUniqueName="[BI vw_DynamicsDeliveredSales].[SALESORDERNUMBER].[All]" dimensionUniqueName="[BI vw_DynamicsDeliveredSales]" displayFolder="" count="0" memberValueDatatype="130" unbalanced="0"/>
    <cacheHierarchy uniqueName="[BI vw_DynamicsDeliveredSales].[SALESPRICE]" caption="SALESPRICE" attribute="1" defaultMemberUniqueName="[BI vw_DynamicsDeliveredSales].[SALESPRICE].[All]" allUniqueName="[BI vw_DynamicsDeliveredSales].[SALESPRICE].[All]" dimensionUniqueName="[BI vw_DynamicsDeliveredSales]" displayFolder="" count="0" memberValueDatatype="5" unbalanced="0"/>
    <cacheHierarchy uniqueName="[BI vw_DynamicsDeliveredSales].[SHIPPINGWAREHOUSEID]" caption="SHIPPINGWAREHOUSEID" attribute="1" defaultMemberUniqueName="[BI vw_DynamicsDeliveredSales].[SHIPPINGWAREHOUSEID].[All]" allUniqueName="[BI vw_DynamicsDeliveredSales].[SHIPPINGWAREHOUSEID].[All]" dimensionUniqueName="[BI vw_DynamicsDeliveredSales]" displayFolder="" count="0" memberValueDatatype="130" unbalanced="0"/>
    <cacheHierarchy uniqueName="[BI vw_DynamicsDeliveredSales].[StoreCode]" caption="StoreCode" attribute="1" defaultMemberUniqueName="[BI vw_DynamicsDeliveredSales].[StoreCode].[All]" allUniqueName="[BI vw_DynamicsDeliveredSales].[StoreCode].[All]" dimensionUniqueName="[BI vw_DynamicsDeliveredSales]" displayFolder="" count="0" memberValueDatatype="130" unbalanced="0"/>
    <cacheHierarchy uniqueName="[BI vw_DynamicsDeliveredSales].[SubDepartmentDesc]" caption="SubDepartmentDesc" attribute="1" defaultMemberUniqueName="[BI vw_DynamicsDeliveredSales].[SubDepartmentDesc].[All]" allUniqueName="[BI vw_DynamicsDeliveredSales].[SubDepartmentDesc].[All]" dimensionUniqueName="[BI vw_DynamicsDeliveredSales]" displayFolder="" count="0" memberValueDatatype="130" unbalanced="0"/>
    <cacheHierarchy uniqueName="[BI vw_DynamicsDeliveredSales].[TAXAMOUNT]" caption="TAXAMOUNT" attribute="1" defaultMemberUniqueName="[BI vw_DynamicsDeliveredSales].[TAXAMOUNT].[All]" allUniqueName="[BI vw_DynamicsDeliveredSales].[TAXAMOUNT].[All]" dimensionUniqueName="[BI vw_DynamicsDeliveredSales]" displayFolder="" count="0" memberValueDatatype="5" unbalanced="0"/>
    <cacheHierarchy uniqueName="[BI vw_DynamicsDeliveredSales].[TAXGROUP]" caption="TAXGROUP" attribute="1" defaultMemberUniqueName="[BI vw_DynamicsDeliveredSales].[TAXGROUP].[All]" allUniqueName="[BI vw_DynamicsDeliveredSales].[TAXGROUP].[All]" dimensionUniqueName="[BI vw_DynamicsDeliveredSales]" displayFolder="" count="0" memberValueDatatype="130" unbalanced="0"/>
    <cacheHierarchy uniqueName="[BI vw_DynamicsDeliveredSales].[Total Cost Final]" caption="Total Cost Final" attribute="1" defaultMemberUniqueName="[BI vw_DynamicsDeliveredSales].[Total Cost Final].[All]" allUniqueName="[BI vw_DynamicsDeliveredSales].[Total Cost Final].[All]" dimensionUniqueName="[BI vw_DynamicsDeliveredSales]" displayFolder="" count="0" memberValueDatatype="130" unbalanced="0"/>
    <cacheHierarchy uniqueName="[BI vw_DynamicsDeliveredSales].[TRANSFERSTATUS]" caption="TRANSFERSTATUS" attribute="1" defaultMemberUniqueName="[BI vw_DynamicsDeliveredSales].[TRANSFERSTATUS].[All]" allUniqueName="[BI vw_DynamicsDeliveredSales].[TRANSFERSTATUS].[All]" dimensionUniqueName="[BI vw_DynamicsDeliveredSales]" displayFolder="" count="0" memberValueDatatype="20" unbalanced="0"/>
    <cacheHierarchy uniqueName="[BI vw_DynamicsDeliveredSales].[WAREHOUSE]" caption="WAREHOUSE" attribute="1" defaultMemberUniqueName="[BI vw_DynamicsDeliveredSales].[WAREHOUSE].[All]" allUniqueName="[BI vw_DynamicsDeliveredSales].[WAREHOUSE].[All]" dimensionUniqueName="[BI vw_DynamicsDeliveredSales]" displayFolder="" count="0" memberValueDatatype="130" unbalanced="0"/>
    <cacheHierarchy uniqueName="[BI vw_DynamicsDeliveredSales].[Week]" caption="Week" attribute="1" defaultMemberUniqueName="[BI vw_DynamicsDeliveredSales].[Week].[All]" allUniqueName="[BI vw_DynamicsDeliveredSales].[Week].[All]" dimensionUniqueName="[BI vw_DynamicsDeliveredSales]" displayFolder="" count="0" memberValueDatatype="20" unbalanced="0"/>
    <cacheHierarchy uniqueName="[BI vw_DynamicsDeliveredSales].[Year Month]" caption="Year Month" attribute="1" defaultMemberUniqueName="[BI vw_DynamicsDeliveredSales].[Year Month].[All]" allUniqueName="[BI vw_DynamicsDeliveredSales].[Year Month].[All]" dimensionUniqueName="[BI vw_DynamicsDeliveredSales]" displayFolder="" count="0" memberValueDatatype="20" unbalanced="0"/>
    <cacheHierarchy uniqueName="[BI vw_FinCalendar].[Date]" caption="Date" attribute="1" time="1" defaultMemberUniqueName="[BI vw_FinCalendar].[Date].[All]" allUniqueName="[BI vw_FinCalendar].[Date].[All]" dimensionUniqueName="[BI vw_FinCalendar]" displayFolder="" count="0" memberValueDatatype="7" unbalanced="0"/>
    <cacheHierarchy uniqueName="[BI vw_FinCalendar].[Day_Of_Week]" caption="Day_Of_Week" attribute="1" defaultMemberUniqueName="[BI vw_FinCalendar].[Day_Of_Week].[All]" allUniqueName="[BI vw_FinCalendar].[Day_Of_Week].[All]" dimensionUniqueName="[BI vw_FinCalendar]" displayFolder="" count="0" memberValueDatatype="130" unbalanced="0"/>
    <cacheHierarchy uniqueName="[BI vw_FinCalendar].[Day_Of_Week_Sort]" caption="Day_Of_Week_Sort" attribute="1" defaultMemberUniqueName="[BI vw_FinCalendar].[Day_Of_Week_Sort].[All]" allUniqueName="[BI vw_FinCalendar].[Day_Of_Week_Sort].[All]" dimensionUniqueName="[BI vw_FinCalendar]" displayFolder="" count="0" memberValueDatatype="130" unbalanced="0"/>
    <cacheHierarchy uniqueName="[BI vw_FinCalendar].[Fin_Period]" caption="Fin_Period" attribute="1" defaultMemberUniqueName="[BI vw_FinCalendar].[Fin_Period].[All]" allUniqueName="[BI vw_FinCalendar].[Fin_Period].[All]" dimensionUniqueName="[BI vw_FinCalendar]" displayFolder="" count="0" memberValueDatatype="20" unbalanced="0"/>
    <cacheHierarchy uniqueName="[BI vw_FinCalendar].[Fin_Week]" caption="Fin_Week" attribute="1" defaultMemberUniqueName="[BI vw_FinCalendar].[Fin_Week].[All]" allUniqueName="[BI vw_FinCalendar].[Fin_Week].[All]" dimensionUniqueName="[BI vw_FinCalendar]" displayFolder="" count="0" memberValueDatatype="20" unbalanced="0"/>
    <cacheHierarchy uniqueName="[BI vw_FinCalendar].[Fin_Year]" caption="Fin_Year" attribute="1" defaultMemberUniqueName="[BI vw_FinCalendar].[Fin_Year].[All]" allUniqueName="[BI vw_FinCalendar].[Fin_Year].[All]" dimensionUniqueName="[BI vw_FinCalendar]" displayFolder="" count="0" memberValueDatatype="20" unbalanced="0"/>
    <cacheHierarchy uniqueName="[BI vw_FinCalendar].[Fiscal Month]" caption="Fiscal Month" attribute="1" defaultMemberUniqueName="[BI vw_FinCalendar].[Fiscal Month].[All]" allUniqueName="[BI vw_FinCalendar].[Fiscal Month].[All]" dimensionUniqueName="[BI vw_FinCalendar]" displayFolder="" count="0" memberValueDatatype="130" unbalanced="0"/>
    <cacheHierarchy uniqueName="[BI vw_FinCalendar].[FY]" caption="FY" attribute="1" defaultMemberUniqueName="[BI vw_FinCalendar].[FY].[All]" allUniqueName="[BI vw_FinCalendar].[FY].[All]" dimensionUniqueName="[BI vw_FinCalendar]" displayFolder="" count="0" memberValueDatatype="130" unbalanced="0"/>
    <cacheHierarchy uniqueName="[BI vw_FinCalendar].[Is_Last_Week]" caption="Is_Last_Week" attribute="1" defaultMemberUniqueName="[BI vw_FinCalendar].[Is_Last_Week].[All]" allUniqueName="[BI vw_FinCalendar].[Is_Last_Week].[All]" dimensionUniqueName="[BI vw_FinCalendar]" displayFolder="" count="0" memberValueDatatype="20" unbalanced="0"/>
    <cacheHierarchy uniqueName="[BI vw_FinCalendar].[Is_ThisMonth]" caption="Is_ThisMonth" attribute="1" defaultMemberUniqueName="[BI vw_FinCalendar].[Is_ThisMonth].[All]" allUniqueName="[BI vw_FinCalendar].[Is_ThisMonth].[All]" dimensionUniqueName="[BI vw_FinCalendar]" displayFolder="" count="0" memberValueDatatype="20" unbalanced="0"/>
    <cacheHierarchy uniqueName="[BI vw_FinCalendar].[Is_ThisWeek]" caption="Is_ThisWeek" attribute="1" defaultMemberUniqueName="[BI vw_FinCalendar].[Is_ThisWeek].[All]" allUniqueName="[BI vw_FinCalendar].[Is_ThisWeek].[All]" dimensionUniqueName="[BI vw_FinCalendar]" displayFolder="" count="0" memberValueDatatype="20" unbalanced="0"/>
    <cacheHierarchy uniqueName="[BI vw_FinCalendar].[Is_ThisYear]" caption="Is_ThisYear" attribute="1" defaultMemberUniqueName="[BI vw_FinCalendar].[Is_ThisYear].[All]" allUniqueName="[BI vw_FinCalendar].[Is_ThisYear].[All]" dimensionUniqueName="[BI vw_FinCalendar]" displayFolder="" count="0" memberValueDatatype="20" unbalanced="0"/>
    <cacheHierarchy uniqueName="[BI vw_FinCalendar].[Is_Today]" caption="Is_Today" attribute="1" defaultMemberUniqueName="[BI vw_FinCalendar].[Is_Today].[All]" allUniqueName="[BI vw_FinCalendar].[Is_Today].[All]" dimensionUniqueName="[BI vw_FinCalendar]" displayFolder="" count="0" memberValueDatatype="20" unbalanced="0"/>
    <cacheHierarchy uniqueName="[BI vw_FinCalendar].[Month]" caption="Month" attribute="1" defaultMemberUniqueName="[BI vw_FinCalendar].[Month].[All]" allUniqueName="[BI vw_FinCalendar].[Month].[All]" dimensionUniqueName="[BI vw_FinCalendar]" displayFolder="" count="0" memberValueDatatype="130" unbalanced="0"/>
    <cacheHierarchy uniqueName="[BI vw_FinCalendar].[Month_Display]" caption="Month_Display" attribute="1" defaultMemberUniqueName="[BI vw_FinCalendar].[Month_Display].[All]" allUniqueName="[BI vw_FinCalendar].[Month_Display].[All]" dimensionUniqueName="[BI vw_FinCalendar]" displayFolder="" count="0" memberValueDatatype="130" unbalanced="0"/>
    <cacheHierarchy uniqueName="[BI vw_FinCalendar].[Month_Number]" caption="Month_Number" attribute="1" defaultMemberUniqueName="[BI vw_FinCalendar].[Month_Number].[All]" allUniqueName="[BI vw_FinCalendar].[Month_Number].[All]" dimensionUniqueName="[BI vw_FinCalendar]" displayFolder="" count="0" memberValueDatatype="20" unbalanced="0"/>
    <cacheHierarchy uniqueName="[BI vw_FinCalendar].[Quarter]" caption="Quarter" attribute="1" defaultMemberUniqueName="[BI vw_FinCalendar].[Quarter].[All]" allUniqueName="[BI vw_FinCalendar].[Quarter].[All]" dimensionUniqueName="[BI vw_FinCalendar]" displayFolder="" count="0" memberValueDatatype="130" unbalanced="0"/>
    <cacheHierarchy uniqueName="[BI vw_FinCalendar].[Quarter date]" caption="Quarter date" attribute="1" time="1" defaultMemberUniqueName="[BI vw_FinCalendar].[Quarter date].[All]" allUniqueName="[BI vw_FinCalendar].[Quarter date].[All]" dimensionUniqueName="[BI vw_FinCalendar]" displayFolder="" count="0" memberValueDatatype="7" unbalanced="0"/>
    <cacheHierarchy uniqueName="[BI vw_FinCalendar].[Querter]" caption="Querter" attribute="1" defaultMemberUniqueName="[BI vw_FinCalendar].[Querter].[All]" allUniqueName="[BI vw_FinCalendar].[Querter].[All]" dimensionUniqueName="[BI vw_FinCalendar]" displayFolder="" count="0" memberValueDatatype="20" unbalanced="0"/>
    <cacheHierarchy uniqueName="[BI vw_FinCalendar].[Sort_Order]" caption="Sort_Order" attribute="1" defaultMemberUniqueName="[BI vw_FinCalendar].[Sort_Order].[All]" allUniqueName="[BI vw_FinCalendar].[Sort_Order].[All]" dimensionUniqueName="[BI vw_FinCalendar]" displayFolder="" count="0" memberValueDatatype="20" unbalanced="0"/>
    <cacheHierarchy uniqueName="[BI vw_FinCalendar].[Sort_Order1]" caption="Sort_Order1" attribute="1" defaultMemberUniqueName="[BI vw_FinCalendar].[Sort_Order1].[All]" allUniqueName="[BI vw_FinCalendar].[Sort_Order1].[All]" dimensionUniqueName="[BI vw_FinCalendar]" displayFolder="" count="0" memberValueDatatype="20" unbalanced="0"/>
    <cacheHierarchy uniqueName="[BI vw_FinCalendar].[ThisQuarter]" caption="ThisQuarter" attribute="1" defaultMemberUniqueName="[BI vw_FinCalendar].[ThisQuarter].[All]" allUniqueName="[BI vw_FinCalendar].[ThisQuarter].[All]" dimensionUniqueName="[BI vw_FinCalendar]" displayFolder="" count="0" memberValueDatatype="130" unbalanced="0"/>
    <cacheHierarchy uniqueName="[BI vw_FinCalendar].[YearFinPeriod]" caption="YearFinPeriod" attribute="1" defaultMemberUniqueName="[BI vw_FinCalendar].[YearFinPeriod].[All]" allUniqueName="[BI vw_FinCalendar].[YearFinPeriod].[All]" dimensionUniqueName="[BI vw_FinCalendar]" displayFolder="" count="0" memberValueDatatype="130" unbalanced="0"/>
    <cacheHierarchy uniqueName="[BI vw_Store].[AreaLeader]" caption="AreaLeader" attribute="1" defaultMemberUniqueName="[BI vw_Store].[AreaLeader].[All]" allUniqueName="[BI vw_Store].[AreaLeader].[All]" dimensionUniqueName="[BI vw_Store]" displayFolder="" count="0" memberValueDatatype="130" unbalanced="0"/>
    <cacheHierarchy uniqueName="[BI vw_Store].[BranchType]" caption="BranchType" attribute="1" defaultMemberUniqueName="[BI vw_Store].[BranchType].[All]" allUniqueName="[BI vw_Store].[BranchType].[All]" dimensionUniqueName="[BI vw_Store]" displayFolder="" count="2" memberValueDatatype="130" unbalanced="0">
      <fieldsUsage count="2">
        <fieldUsage x="-1"/>
        <fieldUsage x="4"/>
      </fieldsUsage>
    </cacheHierarchy>
    <cacheHierarchy uniqueName="[BI vw_Store].[CompFlag]" caption="CompFlag" attribute="1" defaultMemberUniqueName="[BI vw_Store].[CompFlag].[All]" allUniqueName="[BI vw_Store].[CompFlag].[All]" dimensionUniqueName="[BI vw_Store]" displayFolder="" count="0" memberValueDatatype="130" unbalanced="0"/>
    <cacheHierarchy uniqueName="[BI vw_Store].[Country]" caption="Country" attribute="1" defaultMemberUniqueName="[BI vw_Store].[Country].[All]" allUniqueName="[BI vw_Store].[Country].[All]" dimensionUniqueName="[BI vw_Store]" displayFolder="" count="2" memberValueDatatype="130" unbalanced="0">
      <fieldsUsage count="2">
        <fieldUsage x="-1"/>
        <fieldUsage x="3"/>
      </fieldsUsage>
    </cacheHierarchy>
    <cacheHierarchy uniqueName="[BI vw_Store].[FreedomArea]" caption="FreedomArea" attribute="1" defaultMemberUniqueName="[BI vw_Store].[FreedomArea].[All]" allUniqueName="[BI vw_Store].[FreedomArea].[All]" dimensionUniqueName="[BI vw_Store]" displayFolder="" count="0" memberValueDatatype="5" unbalanced="0"/>
    <cacheHierarchy uniqueName="[BI vw_Store].[IsActive]" caption="IsActive" attribute="1" defaultMemberUniqueName="[BI vw_Store].[IsActive].[All]" allUniqueName="[BI vw_Store].[IsActive].[All]" dimensionUniqueName="[BI vw_Store]" displayFolder="" count="0" memberValueDatatype="130" unbalanced="0"/>
    <cacheHierarchy uniqueName="[BI vw_Store].[IsDC]" caption="IsDC" attribute="1" defaultMemberUniqueName="[BI vw_Store].[IsDC].[All]" allUniqueName="[BI vw_Store].[IsDC].[All]" dimensionUniqueName="[BI vw_Store]" displayFolder="" count="0" memberValueDatatype="11" unbalanced="0"/>
    <cacheHierarchy uniqueName="[BI vw_Store].[IsHO]" caption="IsHO" attribute="1" defaultMemberUniqueName="[BI vw_Store].[IsHO].[All]" allUniqueName="[BI vw_Store].[IsHO].[All]" dimensionUniqueName="[BI vw_Store]" displayFolder="" count="0" memberValueDatatype="11" unbalanced="0"/>
    <cacheHierarchy uniqueName="[BI vw_Store].[State]" caption="State" attribute="1" defaultMemberUniqueName="[BI vw_Store].[State].[All]" allUniqueName="[BI vw_Store].[State].[All]" dimensionUniqueName="[BI vw_Store]" displayFolder="" count="0" memberValueDatatype="130" unbalanced="0"/>
    <cacheHierarchy uniqueName="[BI vw_Store].[StoreCategory]" caption="StoreCategory" attribute="1" defaultMemberUniqueName="[BI vw_Store].[StoreCategory].[All]" allUniqueName="[BI vw_Store].[StoreCategory].[All]" dimensionUniqueName="[BI vw_Store]" displayFolder="" count="0" memberValueDatatype="130" unbalanced="0"/>
    <cacheHierarchy uniqueName="[BI vw_Store].[StoreCode]" caption="StoreCode" attribute="1" defaultMemberUniqueName="[BI vw_Store].[StoreCode].[All]" allUniqueName="[BI vw_Store].[StoreCode].[All]" dimensionUniqueName="[BI vw_Store]" displayFolder="" count="0" memberValueDatatype="130" unbalanced="0"/>
    <cacheHierarchy uniqueName="[BI vw_Store].[StoreKey]" caption="StoreKey" attribute="1" defaultMemberUniqueName="[BI vw_Store].[StoreKey].[All]" allUniqueName="[BI vw_Store].[StoreKey].[All]" dimensionUniqueName="[BI vw_Store]" displayFolder="" count="0" memberValueDatatype="130" unbalanced="0"/>
    <cacheHierarchy uniqueName="[BI vw_Store].[StoreName]" caption="StoreName" attribute="1" defaultMemberUniqueName="[BI vw_Store].[StoreName].[All]" allUniqueName="[BI vw_Store].[StoreName].[All]" dimensionUniqueName="[BI vw_Store]" displayFolder="" count="0" memberValueDatatype="130" unbalanced="0"/>
    <cacheHierarchy uniqueName="[BI vw_Store].[StoreType]" caption="StoreType" attribute="1" defaultMemberUniqueName="[BI vw_Store].[StoreType].[All]" allUniqueName="[BI vw_Store].[StoreType].[All]" dimensionUniqueName="[BI vw_Store]" displayFolder="" count="0" memberValueDatatype="130" unbalanced="0"/>
    <cacheHierarchy uniqueName="[BI vw_Store].[SubLeasedArea]" caption="SubLeasedArea" attribute="1" defaultMemberUniqueName="[BI vw_Store].[SubLeasedArea].[All]" allUniqueName="[BI vw_Store].[SubLeasedArea].[All]" dimensionUniqueName="[BI vw_Store]" displayFolder="" count="0" memberValueDatatype="5" unbalanced="0"/>
    <cacheHierarchy uniqueName="[BI vw_Store].[SubLeasedCompany]" caption="SubLeasedCompany" attribute="1" defaultMemberUniqueName="[BI vw_Store].[SubLeasedCompany].[All]" allUniqueName="[BI vw_Store].[SubLeasedCompany].[All]" dimensionUniqueName="[BI vw_Store]" displayFolder="" count="0" memberValueDatatype="130" unbalanced="0"/>
    <cacheHierarchy uniqueName="[BI vw_Store].[TotalArea]" caption="TotalArea" attribute="1" defaultMemberUniqueName="[BI vw_Store].[TotalArea].[All]" allUniqueName="[BI vw_Store].[TotalArea].[All]" dimensionUniqueName="[BI vw_Store]" displayFolder="" count="0" memberValueDatatype="5" unbalanced="0"/>
    <cacheHierarchy uniqueName="[CalendarMapping].[Fin_Year]" caption="Fin_Year" attribute="1" defaultMemberUniqueName="[CalendarMapping].[Fin_Year].[All]" allUniqueName="[CalendarMapping].[Fin_Year].[All]" dimensionUniqueName="[CalendarMapping]" displayFolder="" count="0" memberValueDatatype="20" unbalanced="0"/>
    <cacheHierarchy uniqueName="[CalendarMapping].[YearFinPeriod]" caption="YearFinPeriod" attribute="1" defaultMemberUniqueName="[CalendarMapping].[YearFinPeriod].[All]" allUniqueName="[CalendarMapping].[YearFinPeriod].[All]" dimensionUniqueName="[CalendarMapping]" displayFolder="" count="0" memberValueDatatype="130" unbalanced="0"/>
    <cacheHierarchy uniqueName="[DC SO].[EntityName]" caption="EntityName" attribute="1" defaultMemberUniqueName="[DC SO].[EntityName].[All]" allUniqueName="[DC SO].[EntityName].[All]" dimensionUniqueName="[DC SO]" displayFolder="" count="0" memberValueDatatype="130" unbalanced="0"/>
    <cacheHierarchy uniqueName="[DC SO].[SortOrder]" caption="SortOrder" attribute="1" defaultMemberUniqueName="[DC SO].[SortOrder].[All]" allUniqueName="[DC SO].[SortOrder].[All]" dimensionUniqueName="[DC SO]" displayFolder="" count="0" memberValueDatatype="20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Quarter]" caption="Quarter" attribute="1" defaultMemberUniqueName="[dim_period].[Quarter].[All]" allUniqueName="[dim_period].[Quarter].[All]" dimensionUniqueName="[dim_period]" displayFolder="" count="0" memberValueDatatype="13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Month Sort].[Month_Display]" caption="Month_Display" attribute="1" defaultMemberUniqueName="[Month Sort].[Month_Display].[All]" allUniqueName="[Month Sort].[Month_Display].[All]" dimensionUniqueName="[Month Sort]" displayFolder="" count="0" memberValueDatatype="130" unbalanced="0"/>
    <cacheHierarchy uniqueName="[Month Sort].[Number]" caption="Number" attribute="1" defaultMemberUniqueName="[Month Sort].[Number].[All]" allUniqueName="[Month Sort].[Number].[All]" dimensionUniqueName="[Month Sort]" displayFolder="" count="0" memberValueDatatype="20" unbalanced="0"/>
    <cacheHierarchy uniqueName="[Month Sort].[Sort_Order1]" caption="Sort_Order1" attribute="1" defaultMemberUniqueName="[Month Sort].[Sort_Order1].[All]" allUniqueName="[Month Sort].[Sort_Order1].[All]" dimensionUniqueName="[Month Sort]" displayFolder="" count="0" memberValueDatatype="20" unbalanced="0"/>
    <cacheHierarchy uniqueName="[TimePeriod].[TimePeriod]" caption="TimePeriod" attribute="1" defaultMemberUniqueName="[TimePeriod].[TimePeriod].[All]" allUniqueName="[TimePeriod].[TimePeriod].[All]" dimensionUniqueName="[TimePeriod]" displayFolder="" count="0" memberValueDatatype="130" unbalanced="0"/>
    <cacheHierarchy uniqueName="[TimePeriod].[TimePeriodSort]" caption="TimePeriodSort" attribute="1" defaultMemberUniqueName="[TimePeriod].[TimePeriodSort].[All]" allUniqueName="[TimePeriod].[TimePeriodSort].[All]" dimensionUniqueName="[TimePeriod]" displayFolder="" count="0" memberValueDatatype="2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0" memberValueDatatype="130" unbalanced="0"/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TimePeriodSort_Amart].[Timeline Slicer]" caption="Timeline Slicer" attribute="1" defaultMemberUniqueName="[TimePeriodSort_Amart].[Timeline Slicer].[All]" allUniqueName="[TimePeriodSort_Amart].[Timeline Slicer].[All]" dimensionUniqueName="[TimePeriodSort_Amart]" displayFolder="" count="0" memberValueDatatype="130" unbalanced="0"/>
    <cacheHierarchy uniqueName="[TimePeriodSort_Amart].[TimePeriod]" caption="TimePeriod" attribute="1" defaultMemberUniqueName="[TimePeriodSort_Amart].[TimePeriod].[All]" allUniqueName="[TimePeriodSort_Amart].[TimePeriod].[All]" dimensionUniqueName="[TimePeriodSort_Amart]" displayFolder="" count="0" memberValueDatatype="130" unbalanced="0"/>
    <cacheHierarchy uniqueName="[TimePeriodSort_Amart].[TimePeriodSort]" caption="TimePeriodSort" attribute="1" defaultMemberUniqueName="[TimePeriodSort_Amart].[TimePeriodSort].[All]" allUniqueName="[TimePeriodSort_Amart].[TimePeriodSort].[All]" dimensionUniqueName="[TimePeriodSort_Amart]" displayFolder="" count="0" memberValueDatatype="20" unbalanced="0"/>
    <cacheHierarchy uniqueName="[BI vw_MarkdownCategory].[Category]" caption="Category" attribute="1" defaultMemberUniqueName="[BI vw_MarkdownCategory].[Category].[All]" allUniqueName="[BI vw_MarkdownCategory].[Category].[All]" dimensionUniqueName="[BI vw_MarkdownCategory]" displayFolder="" count="0" memberValueDatatype="130" unbalanced="0" hidden="1"/>
    <cacheHierarchy uniqueName="[BI vw_MarkdownCategory].[Code]" caption="Code" attribute="1" defaultMemberUniqueName="[BI vw_MarkdownCategory].[Code].[All]" allUniqueName="[BI vw_MarkdownCategory].[Code].[All]" dimensionUniqueName="[BI vw_MarkdownCategory]" displayFolder="" count="0" memberValueDatatype="130" unbalanced="0" hidden="1"/>
    <cacheHierarchy uniqueName="[BI vw_Store (2)].[BranchType]" caption="BranchType" attribute="1" defaultMemberUniqueName="[BI vw_Store (2)].[BranchType].[All]" allUniqueName="[BI vw_Store (2)].[BranchType].[All]" dimensionUniqueName="[BI vw_Store (2)]" displayFolder="" count="0" memberValueDatatype="130" unbalanced="0" hidden="1"/>
    <cacheHierarchy uniqueName="[BI vw_Store (2)].[Country]" caption="Country" attribute="1" defaultMemberUniqueName="[BI vw_Store (2)].[Country].[All]" allUniqueName="[BI vw_Store (2)].[Country].[All]" dimensionUniqueName="[BI vw_Store (2)]" displayFolder="" count="0" memberValueDatatype="130" unbalanced="0" hidden="1"/>
    <cacheHierarchy uniqueName="[BI vw_Store (2)].[StoreCode]" caption="StoreCode" attribute="1" defaultMemberUniqueName="[BI vw_Store (2)].[StoreCode].[All]" allUniqueName="[BI vw_Store (2)].[StoreCode].[All]" dimensionUniqueName="[BI vw_Store (2)]" displayFolder="" count="0" memberValueDatatype="130" unbalanced="0" hidden="1"/>
    <cacheHierarchy uniqueName="[DateTableTemplate_3f9b2c98-215a-4ac6-bb5b-5edb3fb7613d].[Date]" caption="Date" attribute="1" time="1" defaultMemberUniqueName="[DateTableTemplate_3f9b2c98-215a-4ac6-bb5b-5edb3fb7613d].[Date].[All]" allUniqueName="[DateTableTemplate_3f9b2c98-215a-4ac6-bb5b-5edb3fb7613d].[Date].[All]" dimensionUniqueName="[DateTableTemplate_3f9b2c98-215a-4ac6-bb5b-5edb3fb7613d]" displayFolder="" count="0" memberValueDatatype="7" unbalanced="0" hidden="1"/>
    <cacheHierarchy uniqueName="[DateTableTemplate_3f9b2c98-215a-4ac6-bb5b-5edb3fb7613d].[Date Hierarchy]" caption="Date Hierarchy" defaultMemberUniqueName="[DateTableTemplate_3f9b2c98-215a-4ac6-bb5b-5edb3fb7613d].[Date Hierarchy].[All]" allUniqueName="[DateTableTemplate_3f9b2c98-215a-4ac6-bb5b-5edb3fb7613d].[Date Hierarchy].[All]" dimensionUniqueName="[DateTableTemplate_3f9b2c98-215a-4ac6-bb5b-5edb3fb7613d]" displayFolder="" count="0" unbalanced="0" hidden="1"/>
    <cacheHierarchy uniqueName="[DateTableTemplate_3f9b2c98-215a-4ac6-bb5b-5edb3fb7613d].[Day]" caption="Day" attribute="1" defaultMemberUniqueName="[DateTableTemplate_3f9b2c98-215a-4ac6-bb5b-5edb3fb7613d].[Day].[All]" allUniqueName="[DateTableTemplate_3f9b2c98-215a-4ac6-bb5b-5edb3fb7613d].[Day].[All]" dimensionUniqueName="[DateTableTemplate_3f9b2c98-215a-4ac6-bb5b-5edb3fb7613d]" displayFolder="" count="0" memberValueDatatype="20" unbalanced="0" hidden="1"/>
    <cacheHierarchy uniqueName="[DateTableTemplate_3f9b2c98-215a-4ac6-bb5b-5edb3fb7613d].[Month]" caption="Month" attribute="1" defaultMemberUniqueName="[DateTableTemplate_3f9b2c98-215a-4ac6-bb5b-5edb3fb7613d].[Month].[All]" allUniqueName="[DateTableTemplate_3f9b2c98-215a-4ac6-bb5b-5edb3fb7613d].[Month].[All]" dimensionUniqueName="[DateTableTemplate_3f9b2c98-215a-4ac6-bb5b-5edb3fb7613d]" displayFolder="" count="0" memberValueDatatype="130" unbalanced="0" hidden="1"/>
    <cacheHierarchy uniqueName="[DateTableTemplate_3f9b2c98-215a-4ac6-bb5b-5edb3fb7613d].[MonthNo]" caption="MonthNo" attribute="1" defaultMemberUniqueName="[DateTableTemplate_3f9b2c98-215a-4ac6-bb5b-5edb3fb7613d].[MonthNo].[All]" allUniqueName="[DateTableTemplate_3f9b2c98-215a-4ac6-bb5b-5edb3fb7613d].[MonthNo].[All]" dimensionUniqueName="[DateTableTemplate_3f9b2c98-215a-4ac6-bb5b-5edb3fb7613d]" displayFolder="" count="0" memberValueDatatype="20" unbalanced="0" hidden="1"/>
    <cacheHierarchy uniqueName="[DateTableTemplate_3f9b2c98-215a-4ac6-bb5b-5edb3fb7613d].[Quarter]" caption="Quarter" attribute="1" defaultMemberUniqueName="[DateTableTemplate_3f9b2c98-215a-4ac6-bb5b-5edb3fb7613d].[Quarter].[All]" allUniqueName="[DateTableTemplate_3f9b2c98-215a-4ac6-bb5b-5edb3fb7613d].[Quarter].[All]" dimensionUniqueName="[DateTableTemplate_3f9b2c98-215a-4ac6-bb5b-5edb3fb7613d]" displayFolder="" count="0" memberValueDatatype="130" unbalanced="0" hidden="1"/>
    <cacheHierarchy uniqueName="[DateTableTemplate_3f9b2c98-215a-4ac6-bb5b-5edb3fb7613d].[QuarterNo]" caption="QuarterNo" attribute="1" defaultMemberUniqueName="[DateTableTemplate_3f9b2c98-215a-4ac6-bb5b-5edb3fb7613d].[QuarterNo].[All]" allUniqueName="[DateTableTemplate_3f9b2c98-215a-4ac6-bb5b-5edb3fb7613d].[QuarterNo].[All]" dimensionUniqueName="[DateTableTemplate_3f9b2c98-215a-4ac6-bb5b-5edb3fb7613d]" displayFolder="" count="0" memberValueDatatype="20" unbalanced="0" hidden="1"/>
    <cacheHierarchy uniqueName="[DateTableTemplate_3f9b2c98-215a-4ac6-bb5b-5edb3fb7613d].[Year]" caption="Year" attribute="1" defaultMemberUniqueName="[DateTableTemplate_3f9b2c98-215a-4ac6-bb5b-5edb3fb7613d].[Year].[All]" allUniqueName="[DateTableTemplate_3f9b2c98-215a-4ac6-bb5b-5edb3fb7613d].[Year].[All]" dimensionUniqueName="[DateTableTemplate_3f9b2c98-215a-4ac6-bb5b-5edb3fb7613d]" displayFolder="" count="0" memberValueDatatype="20" unbalanced="0" hidden="1"/>
    <cacheHierarchy uniqueName="[LocalDateTable_2dc8ec59-2991-4ed7-b97f-b3968012b3bf].[Date]" caption="Date" attribute="1" time="1" defaultMemberUniqueName="[LocalDateTable_2dc8ec59-2991-4ed7-b97f-b3968012b3bf].[Date].[All]" allUniqueName="[LocalDateTable_2dc8ec59-2991-4ed7-b97f-b3968012b3bf].[Date].[All]" dimensionUniqueName="[LocalDateTable_2dc8ec59-2991-4ed7-b97f-b3968012b3bf]" displayFolder="" count="0" memberValueDatatype="7" unbalanced="0" hidden="1"/>
    <cacheHierarchy uniqueName="[LocalDateTable_2dc8ec59-2991-4ed7-b97f-b3968012b3bf].[Date Hierarchy]" caption="Date Hierarchy" defaultMemberUniqueName="[LocalDateTable_2dc8ec59-2991-4ed7-b97f-b3968012b3bf].[Date Hierarchy].[All]" allUniqueName="[LocalDateTable_2dc8ec59-2991-4ed7-b97f-b3968012b3bf].[Date Hierarchy].[All]" dimensionUniqueName="[LocalDateTable_2dc8ec59-2991-4ed7-b97f-b3968012b3bf]" displayFolder="" count="0" unbalanced="0" hidden="1"/>
    <cacheHierarchy uniqueName="[LocalDateTable_2dc8ec59-2991-4ed7-b97f-b3968012b3bf].[Day]" caption="Day" attribute="1" defaultMemberUniqueName="[LocalDateTable_2dc8ec59-2991-4ed7-b97f-b3968012b3bf].[Day].[All]" allUniqueName="[LocalDateTable_2dc8ec59-2991-4ed7-b97f-b3968012b3bf].[Day].[All]" dimensionUniqueName="[LocalDateTable_2dc8ec59-2991-4ed7-b97f-b3968012b3bf]" displayFolder="" count="0" memberValueDatatype="20" unbalanced="0" hidden="1"/>
    <cacheHierarchy uniqueName="[LocalDateTable_2dc8ec59-2991-4ed7-b97f-b3968012b3bf].[Month]" caption="Month" attribute="1" defaultMemberUniqueName="[LocalDateTable_2dc8ec59-2991-4ed7-b97f-b3968012b3bf].[Month].[All]" allUniqueName="[LocalDateTable_2dc8ec59-2991-4ed7-b97f-b3968012b3bf].[Month].[All]" dimensionUniqueName="[LocalDateTable_2dc8ec59-2991-4ed7-b97f-b3968012b3bf]" displayFolder="" count="0" memberValueDatatype="130" unbalanced="0" hidden="1"/>
    <cacheHierarchy uniqueName="[LocalDateTable_2dc8ec59-2991-4ed7-b97f-b3968012b3bf].[MonthNo]" caption="MonthNo" attribute="1" defaultMemberUniqueName="[LocalDateTable_2dc8ec59-2991-4ed7-b97f-b3968012b3bf].[MonthNo].[All]" allUniqueName="[LocalDateTable_2dc8ec59-2991-4ed7-b97f-b3968012b3bf].[MonthNo].[All]" dimensionUniqueName="[LocalDateTable_2dc8ec59-2991-4ed7-b97f-b3968012b3bf]" displayFolder="" count="0" memberValueDatatype="20" unbalanced="0" hidden="1"/>
    <cacheHierarchy uniqueName="[LocalDateTable_2dc8ec59-2991-4ed7-b97f-b3968012b3bf].[Quarter]" caption="Quarter" attribute="1" defaultMemberUniqueName="[LocalDateTable_2dc8ec59-2991-4ed7-b97f-b3968012b3bf].[Quarter].[All]" allUniqueName="[LocalDateTable_2dc8ec59-2991-4ed7-b97f-b3968012b3bf].[Quarter].[All]" dimensionUniqueName="[LocalDateTable_2dc8ec59-2991-4ed7-b97f-b3968012b3bf]" displayFolder="" count="0" memberValueDatatype="130" unbalanced="0" hidden="1"/>
    <cacheHierarchy uniqueName="[LocalDateTable_2dc8ec59-2991-4ed7-b97f-b3968012b3bf].[QuarterNo]" caption="QuarterNo" attribute="1" defaultMemberUniqueName="[LocalDateTable_2dc8ec59-2991-4ed7-b97f-b3968012b3bf].[QuarterNo].[All]" allUniqueName="[LocalDateTable_2dc8ec59-2991-4ed7-b97f-b3968012b3bf].[QuarterNo].[All]" dimensionUniqueName="[LocalDateTable_2dc8ec59-2991-4ed7-b97f-b3968012b3bf]" displayFolder="" count="0" memberValueDatatype="20" unbalanced="0" hidden="1"/>
    <cacheHierarchy uniqueName="[LocalDateTable_2dc8ec59-2991-4ed7-b97f-b3968012b3bf].[Year]" caption="Year" attribute="1" defaultMemberUniqueName="[LocalDateTable_2dc8ec59-2991-4ed7-b97f-b3968012b3bf].[Year].[All]" allUniqueName="[LocalDateTable_2dc8ec59-2991-4ed7-b97f-b3968012b3bf].[Year].[All]" dimensionUniqueName="[LocalDateTable_2dc8ec59-2991-4ed7-b97f-b3968012b3bf]" displayFolder="" count="0" memberValueDatatype="20" unbalanced="0" hidden="1"/>
    <cacheHierarchy uniqueName="[LocalDateTable_35b2b28c-5e49-4861-9014-eb0865a61f58].[Date]" caption="Date" attribute="1" time="1" defaultMemberUniqueName="[LocalDateTable_35b2b28c-5e49-4861-9014-eb0865a61f58].[Date].[All]" allUniqueName="[LocalDateTable_35b2b28c-5e49-4861-9014-eb0865a61f58].[Date].[All]" dimensionUniqueName="[LocalDateTable_35b2b28c-5e49-4861-9014-eb0865a61f58]" displayFolder="" count="0" memberValueDatatype="7" unbalanced="0" hidden="1"/>
    <cacheHierarchy uniqueName="[LocalDateTable_35b2b28c-5e49-4861-9014-eb0865a61f58].[Date Hierarchy]" caption="Date Hierarchy" defaultMemberUniqueName="[LocalDateTable_35b2b28c-5e49-4861-9014-eb0865a61f58].[Date Hierarchy].[All]" allUniqueName="[LocalDateTable_35b2b28c-5e49-4861-9014-eb0865a61f58].[Date Hierarchy].[All]" dimensionUniqueName="[LocalDateTable_35b2b28c-5e49-4861-9014-eb0865a61f58]" displayFolder="" count="0" unbalanced="0" hidden="1"/>
    <cacheHierarchy uniqueName="[LocalDateTable_35b2b28c-5e49-4861-9014-eb0865a61f58].[Day]" caption="Day" attribute="1" defaultMemberUniqueName="[LocalDateTable_35b2b28c-5e49-4861-9014-eb0865a61f58].[Day].[All]" allUniqueName="[LocalDateTable_35b2b28c-5e49-4861-9014-eb0865a61f58].[Day].[All]" dimensionUniqueName="[LocalDateTable_35b2b28c-5e49-4861-9014-eb0865a61f58]" displayFolder="" count="0" memberValueDatatype="20" unbalanced="0" hidden="1"/>
    <cacheHierarchy uniqueName="[LocalDateTable_35b2b28c-5e49-4861-9014-eb0865a61f58].[Month]" caption="Month" attribute="1" defaultMemberUniqueName="[LocalDateTable_35b2b28c-5e49-4861-9014-eb0865a61f58].[Month].[All]" allUniqueName="[LocalDateTable_35b2b28c-5e49-4861-9014-eb0865a61f58].[Month].[All]" dimensionUniqueName="[LocalDateTable_35b2b28c-5e49-4861-9014-eb0865a61f58]" displayFolder="" count="0" memberValueDatatype="130" unbalanced="0" hidden="1"/>
    <cacheHierarchy uniqueName="[LocalDateTable_35b2b28c-5e49-4861-9014-eb0865a61f58].[MonthNo]" caption="MonthNo" attribute="1" defaultMemberUniqueName="[LocalDateTable_35b2b28c-5e49-4861-9014-eb0865a61f58].[MonthNo].[All]" allUniqueName="[LocalDateTable_35b2b28c-5e49-4861-9014-eb0865a61f58].[MonthNo].[All]" dimensionUniqueName="[LocalDateTable_35b2b28c-5e49-4861-9014-eb0865a61f58]" displayFolder="" count="0" memberValueDatatype="20" unbalanced="0" hidden="1"/>
    <cacheHierarchy uniqueName="[LocalDateTable_35b2b28c-5e49-4861-9014-eb0865a61f58].[Quarter]" caption="Quarter" attribute="1" defaultMemberUniqueName="[LocalDateTable_35b2b28c-5e49-4861-9014-eb0865a61f58].[Quarter].[All]" allUniqueName="[LocalDateTable_35b2b28c-5e49-4861-9014-eb0865a61f58].[Quarter].[All]" dimensionUniqueName="[LocalDateTable_35b2b28c-5e49-4861-9014-eb0865a61f58]" displayFolder="" count="0" memberValueDatatype="130" unbalanced="0" hidden="1"/>
    <cacheHierarchy uniqueName="[LocalDateTable_35b2b28c-5e49-4861-9014-eb0865a61f58].[QuarterNo]" caption="QuarterNo" attribute="1" defaultMemberUniqueName="[LocalDateTable_35b2b28c-5e49-4861-9014-eb0865a61f58].[QuarterNo].[All]" allUniqueName="[LocalDateTable_35b2b28c-5e49-4861-9014-eb0865a61f58].[QuarterNo].[All]" dimensionUniqueName="[LocalDateTable_35b2b28c-5e49-4861-9014-eb0865a61f58]" displayFolder="" count="0" memberValueDatatype="20" unbalanced="0" hidden="1"/>
    <cacheHierarchy uniqueName="[LocalDateTable_35b2b28c-5e49-4861-9014-eb0865a61f58].[Year]" caption="Year" attribute="1" defaultMemberUniqueName="[LocalDateTable_35b2b28c-5e49-4861-9014-eb0865a61f58].[Year].[All]" allUniqueName="[LocalDateTable_35b2b28c-5e49-4861-9014-eb0865a61f58].[Year].[All]" dimensionUniqueName="[LocalDateTable_35b2b28c-5e49-4861-9014-eb0865a61f58]" displayFolder="" count="0" memberValueDatatype="20" unbalanced="0" hidden="1"/>
    <cacheHierarchy uniqueName="[LocalDateTable_3ea1f34c-3b67-443a-8479-d47192825849].[Date]" caption="Date" attribute="1" time="1" defaultMemberUniqueName="[LocalDateTable_3ea1f34c-3b67-443a-8479-d47192825849].[Date].[All]" allUniqueName="[LocalDateTable_3ea1f34c-3b67-443a-8479-d47192825849].[Date].[All]" dimensionUniqueName="[LocalDateTable_3ea1f34c-3b67-443a-8479-d47192825849]" displayFolder="" count="0" memberValueDatatype="7" unbalanced="0" hidden="1"/>
    <cacheHierarchy uniqueName="[LocalDateTable_3ea1f34c-3b67-443a-8479-d47192825849].[Date Hierarchy]" caption="Date Hierarchy" defaultMemberUniqueName="[LocalDateTable_3ea1f34c-3b67-443a-8479-d47192825849].[Date Hierarchy].[All]" allUniqueName="[LocalDateTable_3ea1f34c-3b67-443a-8479-d47192825849].[Date Hierarchy].[All]" dimensionUniqueName="[LocalDateTable_3ea1f34c-3b67-443a-8479-d47192825849]" displayFolder="" count="0" unbalanced="0" hidden="1"/>
    <cacheHierarchy uniqueName="[LocalDateTable_3ea1f34c-3b67-443a-8479-d47192825849].[Day]" caption="Day" attribute="1" defaultMemberUniqueName="[LocalDateTable_3ea1f34c-3b67-443a-8479-d47192825849].[Day].[All]" allUniqueName="[LocalDateTable_3ea1f34c-3b67-443a-8479-d47192825849].[Day].[All]" dimensionUniqueName="[LocalDateTable_3ea1f34c-3b67-443a-8479-d47192825849]" displayFolder="" count="0" memberValueDatatype="20" unbalanced="0" hidden="1"/>
    <cacheHierarchy uniqueName="[LocalDateTable_3ea1f34c-3b67-443a-8479-d47192825849].[Month]" caption="Month" attribute="1" defaultMemberUniqueName="[LocalDateTable_3ea1f34c-3b67-443a-8479-d47192825849].[Month].[All]" allUniqueName="[LocalDateTable_3ea1f34c-3b67-443a-8479-d47192825849].[Month].[All]" dimensionUniqueName="[LocalDateTable_3ea1f34c-3b67-443a-8479-d47192825849]" displayFolder="" count="0" memberValueDatatype="130" unbalanced="0" hidden="1"/>
    <cacheHierarchy uniqueName="[LocalDateTable_3ea1f34c-3b67-443a-8479-d47192825849].[MonthNo]" caption="MonthNo" attribute="1" defaultMemberUniqueName="[LocalDateTable_3ea1f34c-3b67-443a-8479-d47192825849].[MonthNo].[All]" allUniqueName="[LocalDateTable_3ea1f34c-3b67-443a-8479-d47192825849].[MonthNo].[All]" dimensionUniqueName="[LocalDateTable_3ea1f34c-3b67-443a-8479-d47192825849]" displayFolder="" count="0" memberValueDatatype="20" unbalanced="0" hidden="1"/>
    <cacheHierarchy uniqueName="[LocalDateTable_3ea1f34c-3b67-443a-8479-d47192825849].[Quarter]" caption="Quarter" attribute="1" defaultMemberUniqueName="[LocalDateTable_3ea1f34c-3b67-443a-8479-d47192825849].[Quarter].[All]" allUniqueName="[LocalDateTable_3ea1f34c-3b67-443a-8479-d47192825849].[Quarter].[All]" dimensionUniqueName="[LocalDateTable_3ea1f34c-3b67-443a-8479-d47192825849]" displayFolder="" count="0" memberValueDatatype="130" unbalanced="0" hidden="1"/>
    <cacheHierarchy uniqueName="[LocalDateTable_3ea1f34c-3b67-443a-8479-d47192825849].[QuarterNo]" caption="QuarterNo" attribute="1" defaultMemberUniqueName="[LocalDateTable_3ea1f34c-3b67-443a-8479-d47192825849].[QuarterNo].[All]" allUniqueName="[LocalDateTable_3ea1f34c-3b67-443a-8479-d47192825849].[QuarterNo].[All]" dimensionUniqueName="[LocalDateTable_3ea1f34c-3b67-443a-8479-d47192825849]" displayFolder="" count="0" memberValueDatatype="20" unbalanced="0" hidden="1"/>
    <cacheHierarchy uniqueName="[LocalDateTable_3ea1f34c-3b67-443a-8479-d47192825849].[Year]" caption="Year" attribute="1" defaultMemberUniqueName="[LocalDateTable_3ea1f34c-3b67-443a-8479-d47192825849].[Year].[All]" allUniqueName="[LocalDateTable_3ea1f34c-3b67-443a-8479-d47192825849].[Year].[All]" dimensionUniqueName="[LocalDateTable_3ea1f34c-3b67-443a-8479-d47192825849]" displayFolder="" count="0" memberValueDatatype="20" unbalanced="0" hidden="1"/>
    <cacheHierarchy uniqueName="[LocalDateTable_44c7d4ef-ea67-4ad2-970c-4dd712d1bff0].[Date]" caption="Date" attribute="1" time="1" defaultMemberUniqueName="[LocalDateTable_44c7d4ef-ea67-4ad2-970c-4dd712d1bff0].[Date].[All]" allUniqueName="[LocalDateTable_44c7d4ef-ea67-4ad2-970c-4dd712d1bff0].[Date].[All]" dimensionUniqueName="[LocalDateTable_44c7d4ef-ea67-4ad2-970c-4dd712d1bff0]" displayFolder="" count="0" memberValueDatatype="7" unbalanced="0" hidden="1"/>
    <cacheHierarchy uniqueName="[LocalDateTable_44c7d4ef-ea67-4ad2-970c-4dd712d1bff0].[Date Hierarchy]" caption="Date Hierarchy" defaultMemberUniqueName="[LocalDateTable_44c7d4ef-ea67-4ad2-970c-4dd712d1bff0].[Date Hierarchy].[All]" allUniqueName="[LocalDateTable_44c7d4ef-ea67-4ad2-970c-4dd712d1bff0].[Date Hierarchy].[All]" dimensionUniqueName="[LocalDateTable_44c7d4ef-ea67-4ad2-970c-4dd712d1bff0]" displayFolder="" count="0" unbalanced="0" hidden="1"/>
    <cacheHierarchy uniqueName="[LocalDateTable_44c7d4ef-ea67-4ad2-970c-4dd712d1bff0].[Day]" caption="Day" attribute="1" defaultMemberUniqueName="[LocalDateTable_44c7d4ef-ea67-4ad2-970c-4dd712d1bff0].[Day].[All]" allUniqueName="[LocalDateTable_44c7d4ef-ea67-4ad2-970c-4dd712d1bff0].[Day].[All]" dimensionUniqueName="[LocalDateTable_44c7d4ef-ea67-4ad2-970c-4dd712d1bff0]" displayFolder="" count="0" memberValueDatatype="20" unbalanced="0" hidden="1"/>
    <cacheHierarchy uniqueName="[LocalDateTable_44c7d4ef-ea67-4ad2-970c-4dd712d1bff0].[Month]" caption="Month" attribute="1" defaultMemberUniqueName="[LocalDateTable_44c7d4ef-ea67-4ad2-970c-4dd712d1bff0].[Month].[All]" allUniqueName="[LocalDateTable_44c7d4ef-ea67-4ad2-970c-4dd712d1bff0].[Month].[All]" dimensionUniqueName="[LocalDateTable_44c7d4ef-ea67-4ad2-970c-4dd712d1bff0]" displayFolder="" count="0" memberValueDatatype="130" unbalanced="0" hidden="1"/>
    <cacheHierarchy uniqueName="[LocalDateTable_44c7d4ef-ea67-4ad2-970c-4dd712d1bff0].[MonthNo]" caption="MonthNo" attribute="1" defaultMemberUniqueName="[LocalDateTable_44c7d4ef-ea67-4ad2-970c-4dd712d1bff0].[MonthNo].[All]" allUniqueName="[LocalDateTable_44c7d4ef-ea67-4ad2-970c-4dd712d1bff0].[MonthNo].[All]" dimensionUniqueName="[LocalDateTable_44c7d4ef-ea67-4ad2-970c-4dd712d1bff0]" displayFolder="" count="0" memberValueDatatype="20" unbalanced="0" hidden="1"/>
    <cacheHierarchy uniqueName="[LocalDateTable_44c7d4ef-ea67-4ad2-970c-4dd712d1bff0].[Quarter]" caption="Quarter" attribute="1" defaultMemberUniqueName="[LocalDateTable_44c7d4ef-ea67-4ad2-970c-4dd712d1bff0].[Quarter].[All]" allUniqueName="[LocalDateTable_44c7d4ef-ea67-4ad2-970c-4dd712d1bff0].[Quarter].[All]" dimensionUniqueName="[LocalDateTable_44c7d4ef-ea67-4ad2-970c-4dd712d1bff0]" displayFolder="" count="0" memberValueDatatype="130" unbalanced="0" hidden="1"/>
    <cacheHierarchy uniqueName="[LocalDateTable_44c7d4ef-ea67-4ad2-970c-4dd712d1bff0].[QuarterNo]" caption="QuarterNo" attribute="1" defaultMemberUniqueName="[LocalDateTable_44c7d4ef-ea67-4ad2-970c-4dd712d1bff0].[QuarterNo].[All]" allUniqueName="[LocalDateTable_44c7d4ef-ea67-4ad2-970c-4dd712d1bff0].[QuarterNo].[All]" dimensionUniqueName="[LocalDateTable_44c7d4ef-ea67-4ad2-970c-4dd712d1bff0]" displayFolder="" count="0" memberValueDatatype="20" unbalanced="0" hidden="1"/>
    <cacheHierarchy uniqueName="[LocalDateTable_44c7d4ef-ea67-4ad2-970c-4dd712d1bff0].[Year]" caption="Year" attribute="1" defaultMemberUniqueName="[LocalDateTable_44c7d4ef-ea67-4ad2-970c-4dd712d1bff0].[Year].[All]" allUniqueName="[LocalDateTable_44c7d4ef-ea67-4ad2-970c-4dd712d1bff0].[Year].[All]" dimensionUniqueName="[LocalDateTable_44c7d4ef-ea67-4ad2-970c-4dd712d1bff0]" displayFolder="" count="0" memberValueDatatype="20" unbalanced="0" hidden="1"/>
    <cacheHierarchy uniqueName="[Measure].[Column]" caption="Column" attribute="1" defaultMemberUniqueName="[Measure].[Column].[All]" allUniqueName="[Measure].[Column].[All]" dimensionUniqueName="[Measure]" displayFolder="" count="0" memberValueDatatype="20" unbalanced="0" hidden="1"/>
    <cacheHierarchy uniqueName="[Measures].[Current Quarter]" caption="Current Quarter" measure="1" displayFolder="" measureGroup="BI vw_FinCalendar" count="0"/>
    <cacheHierarchy uniqueName="[Measures].[Delivered Sales Ex GST]" caption="Delivered Sales Ex GST" measure="1" displayFolder="" measureGroup="Measure" count="0"/>
    <cacheHierarchy uniqueName="[Measures].[Sales Price]" caption="Sales Price" measure="1" displayFolder="" measureGroup="Measure" count="0"/>
    <cacheHierarchy uniqueName="[Measures].[CostInvoicedCost]" caption="CostInvoicedCost" measure="1" displayFolder="" measureGroup="Measure" count="0"/>
    <cacheHierarchy uniqueName="[Measures].[CostAmountAdjustment]" caption="CostAmountAdjustment" measure="1" displayFolder="" measureGroup="Measure" count="0"/>
    <cacheHierarchy uniqueName="[Measures].[Gross Sales]" caption="Gross Sales" measure="1" displayFolder="" measureGroup="Measure" count="0"/>
    <cacheHierarchy uniqueName="[Measures].[GM %]" caption="GM %" measure="1" displayFolder="" measureGroup="Measure" count="0"/>
    <cacheHierarchy uniqueName="[Measures].[Total Markdown]" caption="Total Markdown" measure="1" displayFolder="" measureGroup="Measure" count="0"/>
    <cacheHierarchy uniqueName="[Measures].[Quantity]" caption="Quantity" measure="1" displayFolder="" measureGroup="Measure" count="0"/>
    <cacheHierarchy uniqueName="[Measures].[Tax]" caption="Tax" measure="1" displayFolder="" measureGroup="Measure" count="0"/>
    <cacheHierarchy uniqueName="[Measures].[Gross Margin]" caption="Gross Margin" measure="1" displayFolder="" measureGroup="Measure" count="0"/>
    <cacheHierarchy uniqueName="[Measures].[ItemWholeSalePrice]" caption="ItemWholeSalePrice" measure="1" displayFolder="" measureGroup="Measure" count="0"/>
    <cacheHierarchy uniqueName="[Measures].[Line Disc]" caption="Line Disc" measure="1" displayFolder="" measureGroup="Measure" count="0"/>
    <cacheHierarchy uniqueName="[Measures].[COSTFINAL]" caption="COSTFINAL" measure="1" displayFolder="" measureGroup="Measure" count="0"/>
    <cacheHierarchy uniqueName="[Measures].[Markdown$1]" caption="Markdown$1" measure="1" displayFolder="" measureGroup="Measure" count="0"/>
    <cacheHierarchy uniqueName="[Measures].[Markdown$2]" caption="Markdown$2" measure="1" displayFolder="" measureGroup="Measure" count="0"/>
    <cacheHierarchy uniqueName="[Measures].[Total Markdown $]" caption="Total Markdown $" measure="1" displayFolder="" measureGroup="Measure" count="0"/>
    <cacheHierarchy uniqueName="[Measures].[Delivered Sales Inc GST]" caption="Delivered Sales Inc GST" measure="1" displayFolder="" measureGroup="Measure" count="0"/>
    <cacheHierarchy uniqueName="[Measures].[39% Margin]" caption="39% Margin" measure="1" displayFolder="" measureGroup="Measure" count="0"/>
    <cacheHierarchy uniqueName="[Measures].[Rebate Amount]" caption="Rebate Amount" measure="1" displayFolder="" measureGroup="Measure" count="0"/>
    <cacheHierarchy uniqueName="[Measures].[Eligible for Rebate]" caption="Eligible for Rebate" measure="1" displayFolder="" measureGroup="Measure" count="0"/>
    <cacheHierarchy uniqueName="[Measures].[Budget Variance]" caption="Budget Variance" measure="1" displayFolder="" measureGroup="Measure" count="0"/>
    <cacheHierarchy uniqueName="[Measures].[DeliveredSalesBudget]" caption="DeliveredSalesBudget" measure="1" displayFolder="" measureGroup="Measure" count="0"/>
    <cacheHierarchy uniqueName="[Measures].[% Budget Complete]" caption="% Budget Complete" measure="1" displayFolder="" measureGroup="Measure" count="0"/>
    <cacheHierarchy uniqueName="[Measures].[MarkDown]" caption="MarkDown" measure="1" displayFolder="" measureGroup="Measure" count="0"/>
    <cacheHierarchy uniqueName="[Measures].[ItemWholeSalePrice_old]" caption="ItemWholeSalePrice_old" measure="1" displayFolder="" measureGroup="Measure" count="0"/>
    <cacheHierarchy uniqueName="[Measures].[R-Gross Sales]" caption="R-Gross Sales" measure="1" displayFolder="" measureGroup="Period Measures" count="0"/>
    <cacheHierarchy uniqueName="[Measures].[R-M/D]" caption="R-M/D" measure="1" displayFolder="" measureGroup="Period Measures" count="0"/>
    <cacheHierarchy uniqueName="[Measures].[R-Delivered Sales Ex GST]" caption="R-Delivered Sales Ex GST" measure="1" displayFolder="" measureGroup="Period Measures" count="0"/>
    <cacheHierarchy uniqueName="[Measures].[R-CostFinal]" caption="R-CostFinal" measure="1" displayFolder="" measureGroup="Period Measures" count="0"/>
    <cacheHierarchy uniqueName="[Measures].[R-Trading Margin]" caption="R-Trading Margin" measure="1" displayFolder="" measureGroup="Period Measures" count="0"/>
    <cacheHierarchy uniqueName="[Measures].[R-GM%]" caption="R-GM%" measure="1" displayFolder="" measureGroup="Period Measures" count="0"/>
    <cacheHierarchy uniqueName="[Measures].[R-DeliveredSalesBudget]" caption="R-DeliveredSalesBudget" measure="1" displayFolder="" measureGroup="Period Measures" count="0"/>
    <cacheHierarchy uniqueName="[Measures].[R-Budget Variance]" caption="R-Budget Variance" measure="1" displayFolder="" measureGroup="Period Measures" count="0"/>
    <cacheHierarchy uniqueName="[Measures].[R-Gross Sales rolling]" caption="R-Gross Sales rolling" measure="1" displayFolder="" measureGroup="Period Measures" count="0"/>
    <cacheHierarchy uniqueName="[Measures].[R-Gross Sales TY $]" caption="R-Gross Sales TY $" measure="1" displayFolder="" measureGroup="BI metrics" count="0"/>
    <cacheHierarchy uniqueName="[Measures].[R-M/D TY $]" caption="R-M/D TY $" measure="1" displayFolder="" measureGroup="BI metrics" count="0"/>
    <cacheHierarchy uniqueName="[Measures].[R-Sales ExGST TY $]" caption="R-Sales ExGST TY $" measure="1" displayFolder="" measureGroup="BI metrics" count="0" oneField="1">
      <fieldsUsage count="1">
        <fieldUsage x="7"/>
      </fieldsUsage>
    </cacheHierarchy>
    <cacheHierarchy uniqueName="[Measures].[R-CostFinal TY $]" caption="R-CostFinal TY $" measure="1" displayFolder="" measureGroup="BI metrics" count="0"/>
    <cacheHierarchy uniqueName="[Measures].[R-Sale Budget TY $]" caption="R-Sale Budget TY $" measure="1" displayFolder="" measureGroup="BI metrics" count="0"/>
    <cacheHierarchy uniqueName="[Measures].[R-Trading Margin TY $]" caption="R-Trading Margin TY $" measure="1" displayFolder="" measureGroup="BI metrics" count="0"/>
    <cacheHierarchy uniqueName="[Measures].[R-GM % TY]" caption="R-GM % TY" measure="1" displayFolder="" measureGroup="BI metrics" count="0"/>
    <cacheHierarchy uniqueName="[Measures].[R-Budget Variance TY]" caption="R-Budget Variance TY" measure="1" displayFolder="" measureGroup="BI metrics" count="0"/>
    <cacheHierarchy uniqueName="[Measures].[R-Gross Sales LY $]" caption="R-Gross Sales LY $" measure="1" displayFolder="" measureGroup="BI metrics" count="0"/>
    <cacheHierarchy uniqueName="[Measures].[R-M/D LY $]" caption="R-M/D LY $" measure="1" displayFolder="" measureGroup="BI metrics" count="0"/>
    <cacheHierarchy uniqueName="[Measures].[R-Sales ExGST LY $]" caption="R-Sales ExGST LY $" measure="1" displayFolder="" measureGroup="BI metrics" count="0"/>
    <cacheHierarchy uniqueName="[Measures].[R-CostFinal LY $]" caption="R-CostFinal LY $" measure="1" displayFolder="" measureGroup="BI metrics" count="0"/>
    <cacheHierarchy uniqueName="[Measures].[R-Trading Margin LY $]" caption="R-Trading Margin LY $" measure="1" displayFolder="" measureGroup="BI metrics" count="0"/>
    <cacheHierarchy uniqueName="[Measures].[R-Sales Budget LY $]" caption="R-Sales Budget LY $" measure="1" displayFolder="" measureGroup="BI metrics" count="0"/>
    <cacheHierarchy uniqueName="[Measures].[R-Gross Sales YoY]" caption="R-Gross Sales YoY" measure="1" displayFolder="" measureGroup="BI metrics" count="0"/>
    <cacheHierarchy uniqueName="[Measures].[R-M/D YoY]" caption="R-M/D YoY" measure="1" displayFolder="" measureGroup="BI metrics" count="0"/>
    <cacheHierarchy uniqueName="[Measures].[R-Sales ExGST YoY]" caption="R-Sales ExGST YoY" measure="1" displayFolder="" measureGroup="BI metrics" count="0"/>
    <cacheHierarchy uniqueName="[Measures].[R-CostFinal YoY]" caption="R-CostFinal YoY" measure="1" displayFolder="" measureGroup="BI metrics" count="0"/>
    <cacheHierarchy uniqueName="[Measures].[R-Trading Margin YoY]" caption="R-Trading Margin YoY" measure="1" displayFolder="" measureGroup="BI metrics" count="0"/>
    <cacheHierarchy uniqueName="[Measures].[R-Sales ExGST TY $(Amart)]" caption="R-Sales ExGST TY $(Amart)" measure="1" displayFolder="aa_Quadrant-Amart" measureGroup="BI metrics" count="0"/>
    <cacheHierarchy uniqueName="[Measures].[Delivered Sales Ex GST LY]" caption="Delivered Sales Ex GST LY" measure="1" displayFolder="" measureGroup="BI metrics" count="0"/>
    <cacheHierarchy uniqueName="[Measures].[R-Sales ExGST LY $(Amart)]" caption="R-Sales ExGST LY $(Amart)" measure="1" displayFolder="aa_Quadrant-Amart" measureGroup="BI metrics" count="0"/>
    <cacheHierarchy uniqueName="[Measures].[Delivered Sales ExGST LY 1]" caption="Delivered Sales ExGST LY 1" measure="1" displayFolder="" measureGroup="BI metrics" count="0"/>
    <cacheHierarchy uniqueName="[Measures].[R-Sales ExGST YoY(Amart)]" caption="R-Sales ExGST YoY(Amart)" measure="1" displayFolder="aa_Quadrant-Amart" measureGroup="BI metrics" count="0"/>
    <cacheHierarchy uniqueName="[Measures].[R-Sale Budget TY $(Amart)]" caption="R-Sale Budget TY $(Amart)" measure="1" displayFolder="aa_Quadrant-Amart" measureGroup="BI metrics" count="0"/>
    <cacheHierarchy uniqueName="[Measures].[R-Budget Variance TY(Amart)]" caption="R-Budget Variance TY(Amart)" measure="1" displayFolder="aa_Quadrant-Amart" measureGroup="BI metrics" count="0"/>
    <cacheHierarchy uniqueName="[Measures].[R-Trading Margin TY $(Amart)]" caption="R-Trading Margin TY $(Amart)" measure="1" displayFolder="aa_Quadrant-Amart" measureGroup="BI metrics" count="0"/>
    <cacheHierarchy uniqueName="[Measures].[Gross Margin LY]" caption="Gross Margin LY" measure="1" displayFolder="aa_Quadrant-Amart" measureGroup="BI metrics" count="0"/>
    <cacheHierarchy uniqueName="[Measures].[R-Trading Margin LY $(Amart)]" caption="R-Trading Margin LY $(Amart)" measure="1" displayFolder="aa_Quadrant-Amart" measureGroup="BI metrics" count="0"/>
    <cacheHierarchy uniqueName="[Measures].[Gross Sales LY]" caption="Gross Sales LY" measure="1" displayFolder="aa_Quadrant-Amart" measureGroup="BI metrics" count="0"/>
    <cacheHierarchy uniqueName="[Measures].[R-Gross Sales TY $(Amart)]" caption="R-Gross Sales TY $(Amart)" measure="1" displayFolder="aa_Quadrant-Amart" measureGroup="BI metrics" count="0"/>
    <cacheHierarchy uniqueName="[Measures].[R-Gross Sales LY $(Amart)]" caption="R-Gross Sales LY $(Amart)" measure="1" displayFolder="aa_Quadrant-Amart" measureGroup="BI metrics" count="0"/>
    <cacheHierarchy uniqueName="[Measures].[R-Gross Sales YoY(Amart)]" caption="R-Gross Sales YoY(Amart)" measure="1" displayFolder="aa_Quadrant-Amart" measureGroup="BI metrics" count="0"/>
    <cacheHierarchy uniqueName="[Measures].[R-Trading Margin YoY(Amart)]" caption="R-Trading Margin YoY(Amart)" measure="1" displayFolder="aa_Quadrant-Amart" measureGroup="BI metrics" count="0"/>
    <cacheHierarchy uniqueName="[Measures].[Markdown LY]" caption="Markdown LY" measure="1" displayFolder="aa_Quadrant-Amart" measureGroup="BI metrics" count="0"/>
    <cacheHierarchy uniqueName="[Measures].[R-M/D TY $(Amart)]" caption="R-M/D TY $(Amart)" measure="1" displayFolder="aa_Quadrant-Amart" measureGroup="BI metrics" count="0"/>
    <cacheHierarchy uniqueName="[Measures].[R-M/D LY $(Amart)]" caption="R-M/D LY $(Amart)" measure="1" displayFolder="aa_Quadrant-Amart" measureGroup="BI metrics" count="0"/>
    <cacheHierarchy uniqueName="[Measures].[R-M/D YoY(Amart)]" caption="R-M/D YoY(Amart)" measure="1" displayFolder="aa_Quadrant-Amart" measureGroup="BI metrics" count="0"/>
    <cacheHierarchy uniqueName="[Measures].[COSTFINAL LY]" caption="COSTFINAL LY" measure="1" displayFolder="aa_Quadrant-Amart" measureGroup="BI metrics" count="0"/>
    <cacheHierarchy uniqueName="[Measures].[R-CostFinal TY $(Amart)]" caption="R-CostFinal TY $(Amart)" measure="1" displayFolder="aa_Quadrant-Amart" measureGroup="BI metrics" count="0"/>
    <cacheHierarchy uniqueName="[Measures].[R-CostFinal LY $(Amart)]" caption="R-CostFinal LY $(Amart)" measure="1" displayFolder="aa_Quadrant-Amart" measureGroup="BI metrics" count="0"/>
    <cacheHierarchy uniqueName="[Measures].[R-CostFinal YoY(Amart)]" caption="R-CostFinal YoY(Amart)" measure="1" displayFolder="aa_Quadrant-Amart" measureGroup="BI metrics" count="0"/>
    <cacheHierarchy uniqueName="[Measures].[R-GM % TY(Amart)]" caption="R-GM % TY(Amart)" measure="1" displayFolder="aa_Quadrant-Amart" measureGroup="BI metrics" count="0"/>
    <cacheHierarchy uniqueName="[Measures].[R-sales ExGST LY NFY]" caption="R-sales ExGST LY NFY" measure="1" displayFolder="" measureGroup="BI metrics" count="0"/>
    <cacheHierarchy uniqueName="[Measures].[R-Sales ExGST LY $(Amart) NFY]" caption="R-Sales ExGST LY $(Amart) NFY" measure="1" displayFolder="aa_Quadrant-Amart" measureGroup="BI metrics" count="0"/>
    <cacheHierarchy uniqueName="[Measures].[__Default measure]" caption="__Default measure" measure="1" displayFolder="" count="0" hidden="1"/>
  </cacheHierarchies>
  <kpis count="0"/>
  <dimensions count="15">
    <dimension name="BI metrics" uniqueName="[BI metrics]" caption="BI metrics"/>
    <dimension name="BI vw_Budget Duplicate" uniqueName="[BI vw_Budget Duplicate]" caption="BI vw_Budget Duplicate"/>
    <dimension name="BI vw_BudgetDeliveredSalesByStore" uniqueName="[BI vw_BudgetDeliveredSalesByStore]" caption="BI vw_BudgetDeliveredSalesByStore"/>
    <dimension name="BI vw_Dynamics_FFAFDropshipwholesaleprice" uniqueName="[BI vw_Dynamics_FFAFDropshipwholesaleprice]" caption="BI vw_Dynamics_FFAFDropshipwholesaleprice"/>
    <dimension name="BI vw_DynamicsDeliveredSales" uniqueName="[BI vw_DynamicsDeliveredSales]" caption="BI vw_DynamicsDeliveredSales"/>
    <dimension name="BI vw_FinCalendar" uniqueName="[BI vw_FinCalendar]" caption="BI vw_FinCalendar"/>
    <dimension name="BI vw_Store" uniqueName="[BI vw_Store]" caption="BI vw_Store"/>
    <dimension name="CalendarMapping" uniqueName="[CalendarMapping]" caption="CalendarMapping"/>
    <dimension name="DC SO" uniqueName="[DC SO]" caption="DC SO"/>
    <dimension name="dim_period" uniqueName="[dim_period]" caption="dim_period"/>
    <dimension measure="1" name="Measures" uniqueName="[Measures]" caption="Measures"/>
    <dimension name="Month Sort" uniqueName="[Month Sort]" caption="Month Sort"/>
    <dimension name="TimePeriod" uniqueName="[TimePeriod]" caption="TimePeriod"/>
    <dimension name="TimePeriodSort" uniqueName="[TimePeriodSort]" caption="TimePeriodSort"/>
    <dimension name="TimePeriodSort_Amart" uniqueName="[TimePeriodSort_Amart]" caption="TimePeriodSort_Amart"/>
  </dimensions>
  <measureGroups count="23">
    <measureGroup name="BI metrics" caption="BI metrics"/>
    <measureGroup name="BI vw_Budget Duplicate" caption="BI vw_Budget Duplicate"/>
    <measureGroup name="BI vw_BudgetDeliveredSalesByStore" caption="BI vw_BudgetDeliveredSalesByStore"/>
    <measureGroup name="BI vw_Dynamics_FFAFDropshipwholesaleprice" caption="BI vw_Dynamics_FFAFDropshipwholesaleprice"/>
    <measureGroup name="BI vw_DynamicsDeliveredSales" caption="BI vw_DynamicsDeliveredSales"/>
    <measureGroup name="BI vw_FinCalendar" caption="BI vw_FinCalendar"/>
    <measureGroup name="BI vw_MarkdownCategory" caption="BI vw_MarkdownCategory"/>
    <measureGroup name="BI vw_Store" caption="BI vw_Store"/>
    <measureGroup name="BI vw_Store (2)" caption="BI vw_Store (2)"/>
    <measureGroup name="CalendarMapping" caption="CalendarMapping"/>
    <measureGroup name="DateTableTemplate_3f9b2c98-215a-4ac6-bb5b-5edb3fb7613d" caption="DateTableTemplate_3f9b2c98-215a-4ac6-bb5b-5edb3fb7613d"/>
    <measureGroup name="DC SO" caption="DC SO"/>
    <measureGroup name="dim_period" caption="dim_period"/>
    <measureGroup name="LocalDateTable_2dc8ec59-2991-4ed7-b97f-b3968012b3bf" caption="LocalDateTable_2dc8ec59-2991-4ed7-b97f-b3968012b3bf"/>
    <measureGroup name="LocalDateTable_35b2b28c-5e49-4861-9014-eb0865a61f58" caption="LocalDateTable_35b2b28c-5e49-4861-9014-eb0865a61f58"/>
    <measureGroup name="LocalDateTable_3ea1f34c-3b67-443a-8479-d47192825849" caption="LocalDateTable_3ea1f34c-3b67-443a-8479-d47192825849"/>
    <measureGroup name="LocalDateTable_44c7d4ef-ea67-4ad2-970c-4dd712d1bff0" caption="LocalDateTable_44c7d4ef-ea67-4ad2-970c-4dd712d1bff0"/>
    <measureGroup name="Measure" caption="Measure"/>
    <measureGroup name="Month Sort" caption="Month Sort"/>
    <measureGroup name="Period Measures" caption="Period Measures"/>
    <measureGroup name="TimePeriod" caption="TimePeriod"/>
    <measureGroup name="TimePeriodSort" caption="TimePeriodSort"/>
    <measureGroup name="TimePeriodSort_Amart" caption="TimePeriodSort_Amart"/>
  </measureGroups>
  <maps count="49">
    <map measureGroup="0" dimension="0"/>
    <map measureGroup="0" dimension="13"/>
    <map measureGroup="0" dimension="14"/>
    <map measureGroup="1" dimension="1"/>
    <map measureGroup="1" dimension="5"/>
    <map measureGroup="1" dimension="6"/>
    <map measureGroup="1" dimension="7"/>
    <map measureGroup="1" dimension="11"/>
    <map measureGroup="2" dimension="0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1"/>
    <map measureGroup="2" dimension="13"/>
    <map measureGroup="2" dimension="14"/>
    <map measureGroup="3" dimension="3"/>
    <map measureGroup="4" dimension="0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  <map measureGroup="4" dimension="11"/>
    <map measureGroup="4" dimension="13"/>
    <map measureGroup="4" dimension="14"/>
    <map measureGroup="5" dimension="5"/>
    <map measureGroup="5" dimension="7"/>
    <map measureGroup="5" dimension="11"/>
    <map measureGroup="7" dimension="6"/>
    <map measureGroup="8" dimension="6"/>
    <map measureGroup="9" dimension="5"/>
    <map measureGroup="9" dimension="7"/>
    <map measureGroup="9" dimension="11"/>
    <map measureGroup="11" dimension="8"/>
    <map measureGroup="12" dimension="9"/>
    <map measureGroup="18" dimension="11"/>
    <map measureGroup="20" dimension="12"/>
    <map measureGroup="21" dimension="13"/>
    <map measureGroup="21" dimension="14"/>
    <map measureGroup="22" dimension="13"/>
    <map measureGroup="2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8.405989814812" backgroundQuery="1" createdVersion="8" refreshedVersion="8" minRefreshableVersion="3" recordCount="0" supportSubquery="1" supportAdvancedDrill="1" xr:uid="{EAC26AAA-CF7D-48D2-BD79-081E84A34BEE}">
  <cacheSource type="external" connectionId="1"/>
  <cacheFields count="9">
    <cacheField name="[BI metrics].[TimePeriod].[TimePeriod]" caption="TimePeriod" numFmtId="0" hierarchy="16" level="1">
      <sharedItems containsSemiMixedTypes="0" containsString="0"/>
    </cacheField>
    <cacheField name="[BI metrics].[Fin_Period].[Fin_Period]" caption="Fin_Period" numFmtId="0" level="1">
      <sharedItems count="52">
        <s v="[BI metrics].[Fin_Period].&amp;[202540]" c="202540"/>
        <s v="[BI metrics].[Fin_Period].&amp;[202541]" c="202541"/>
        <s v="[BI metrics].[Fin_Period].&amp;[202542]" c="202542"/>
        <s v="[BI metrics].[Fin_Period].&amp;[202543]" c="202543"/>
        <s v="[BI metrics].[Fin_Period].&amp;[202544]" c="202544"/>
        <s v="[BI metrics].[Fin_Period].&amp;[202545]" c="202545"/>
        <s v="[BI metrics].[Fin_Period].&amp;[202546]" c="202546"/>
        <s v="[BI metrics].[Fin_Period].&amp;[202547]" c="202547"/>
        <s v="[BI metrics].[Fin_Period].&amp;[202548]" c="202548"/>
        <s v="[BI metrics].[Fin_Period].&amp;[202549]" c="202549"/>
        <s v="[BI metrics].[Fin_Period].&amp;[202550]" c="202550"/>
        <s v="[BI metrics].[Fin_Period].&amp;[202551]" c="202551"/>
        <s v="[BI metrics].[Fin_Period].&amp;[202552]" c="202552"/>
        <s v="[BI metrics].[Fin_Period].&amp;[202601]" c="202601"/>
        <s v="[BI metrics].[Fin_Period].&amp;[202602]" c="202602"/>
        <s v="[BI metrics].[Fin_Period].&amp;[202603]" c="202603"/>
        <s v="[BI metrics].[Fin_Period].&amp;[202604]" c="202604"/>
        <s v="[BI metrics].[Fin_Period].&amp;[202605]" c="202605"/>
        <s v="[BI metrics].[Fin_Period].&amp;[202606]" c="202606"/>
        <s v="[BI metrics].[Fin_Period].&amp;[202607]" c="202607"/>
        <s v="[BI metrics].[Fin_Period].&amp;[202608]" c="202608"/>
        <s v="[BI metrics].[Fin_Period].&amp;[202609]" c="202609"/>
        <s v="[BI metrics].[Fin_Period].&amp;[202610]" c="202610"/>
        <s v="[BI metrics].[Fin_Period].&amp;[202611]" c="202611"/>
        <s v="[BI metrics].[Fin_Period].&amp;[202612]" c="202612"/>
        <s v="[BI metrics].[Fin_Period].&amp;[202613]" c="202613"/>
        <s v="[BI metrics].[Fin_Period].&amp;[202614]" c="202614"/>
        <s v="[BI metrics].[Fin_Period].&amp;[202615]" c="202615"/>
        <s v="[BI metrics].[Fin_Period].&amp;[202616]" c="202616"/>
        <s v="[BI metrics].[Fin_Period].&amp;[202617]" c="202617"/>
        <s v="[BI metrics].[Fin_Period].&amp;[202618]" c="202618"/>
        <s v="[BI metrics].[Fin_Period].&amp;[202619]" c="202619"/>
        <s v="[BI metrics].[Fin_Period].&amp;[202620]" c="202620"/>
        <s v="[BI metrics].[Fin_Period].&amp;[202621]" c="202621"/>
        <s v="[BI metrics].[Fin_Period].&amp;[202622]" c="202622"/>
        <s v="[BI metrics].[Fin_Period].&amp;[202623]" c="202623"/>
        <s v="[BI metrics].[Fin_Period].&amp;[202624]" c="202624"/>
        <s v="[BI metrics].[Fin_Period].&amp;[202625]" c="202625"/>
        <s v="[BI metrics].[Fin_Period].&amp;[202626]" c="202626"/>
        <s v="[BI metrics].[Fin_Period].&amp;[202627]" c="202627"/>
        <s v="[BI metrics].[Fin_Period].&amp;[202628]" c="202628"/>
        <s v="[BI metrics].[Fin_Period].&amp;[202629]" c="202629"/>
        <s v="[BI metrics].[Fin_Period].&amp;[202630]" c="202630"/>
        <s v="[BI metrics].[Fin_Period].&amp;[202631]" c="202631"/>
        <s v="[BI metrics].[Fin_Period].&amp;[202632]" c="202632"/>
        <s v="[BI metrics].[Fin_Period].&amp;[202633]" c="202633"/>
        <s v="[BI metrics].[Fin_Period].&amp;[202634]" c="202634"/>
        <s v="[BI metrics].[Fin_Period].&amp;[202635]" c="202635"/>
        <s v="[BI metrics].[Fin_Period].&amp;[202636]" c="202636"/>
        <s v="[BI metrics].[Fin_Period].&amp;[202637]" c="202637"/>
        <s v="[BI metrics].[Fin_Period].&amp;[202638]" c="202638"/>
        <s v="[BI metrics].[Fin_Period].&amp;[202639]" c="202639"/>
      </sharedItems>
    </cacheField>
    <cacheField name="[BI vw_DynamicsDeliveredSales].[CHANNEL].[CHANNEL]" caption="CHANNEL" numFmtId="0" hierarchy="38" level="1">
      <sharedItems containsSemiMixedTypes="0" containsString="0"/>
    </cacheField>
    <cacheField name="[BI vw_Store].[Country].[Country]" caption="Country" numFmtId="0" hierarchy="142" level="1">
      <sharedItems count="1">
        <s v="[BI vw_Store].[Country].&amp;[AU]" c="AU"/>
      </sharedItems>
    </cacheField>
    <cacheField name="[BI vw_Store].[BranchType].[BranchType]" caption="BranchType" numFmtId="0" hierarchy="140" level="1">
      <sharedItems containsSemiMixedTypes="0" containsString="0"/>
    </cacheField>
    <cacheField name="[BI vw_DynamicsDeliveredSales].[Sales Order Type].[Sales Order Type]" caption="Sales Order Type" numFmtId="0" hierarchy="101" level="1">
      <sharedItems containsSemiMixedTypes="0" containsString="0"/>
    </cacheField>
    <cacheField name="[BI vw_DynamicsDeliveredSales].[Division].[Division]" caption="Division" numFmtId="0" hierarchy="60" level="1">
      <sharedItems count="2">
        <s v="[BI vw_DynamicsDeliveredSales].[Division].&amp;[Furniture]" c="Furniture"/>
        <s v="[BI vw_DynamicsDeliveredSales].[Division].&amp;[Homewares]" c="Homewares"/>
      </sharedItems>
    </cacheField>
    <cacheField name="[Measures].[R-Sales ExGST TY $]" caption="R-Sales ExGST TY $" numFmtId="0" hierarchy="267" level="32767"/>
    <cacheField name="[Measures].[Gross Margin]" caption="Gross Margin" numFmtId="0" hierarchy="240" level="32767"/>
  </cacheFields>
  <cacheHierarchies count="311"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1"/>
      </fieldsUsage>
    </cacheHierarchy>
    <cacheHierarchy uniqueName="[BI metrics].[Fin_Week]" caption="Fin_Week" attribute="1" defaultMemberUniqueName="[BI metrics].[Fin_Week].[All]" allUniqueName="[BI metrics].[Fin_Week].[All]" dimensionUniqueName="[BI metrics]" displayFolder="" count="0" memberValueDatatype="130" unbalanced="0"/>
    <cacheHierarchy uniqueName="[BI metrics].[Fin_Year]" caption="Fin_Year" attribute="1" defaultMemberUniqueName="[BI metrics].[Fin_Year].[All]" allUniqueName="[BI metrics].[Fin_Year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13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5" unbalanced="0"/>
    <cacheHierarchy uniqueName="[BI metrics].[LastYear_Week]" caption="LastYear_Week" attribute="1" defaultMemberUniqueName="[BI metrics].[LastYear_Week].[All]" allUniqueName="[BI metrics].[LastYear_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5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5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0"/>
      </fieldsUsage>
    </cacheHierarchy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vw_Budget Duplicate].[BudgetDollar]" caption="BudgetDollar" attribute="1" defaultMemberUniqueName="[BI vw_Budget Duplicate].[BudgetDollar].[All]" allUniqueName="[BI vw_Budget Duplicate].[BudgetDollar].[All]" dimensionUniqueName="[BI vw_Budget Duplicate]" displayFolder="" count="0" memberValueDatatype="6" unbalanced="0"/>
    <cacheHierarchy uniqueName="[BI vw_Budget Duplicate].[BudgetYear]" caption="BudgetYear" attribute="1" defaultMemberUniqueName="[BI vw_Budget Duplicate].[BudgetYear].[All]" allUniqueName="[BI vw_Budget Duplicate].[BudgetYear].[All]" dimensionUniqueName="[BI vw_Budget Duplicate]" displayFolder="" count="0" memberValueDatatype="20" unbalanced="0"/>
    <cacheHierarchy uniqueName="[BI vw_Budget Duplicate].[FinPeriod]" caption="FinPeriod" attribute="1" defaultMemberUniqueName="[BI vw_Budget Duplicate].[FinPeriod].[All]" allUniqueName="[BI vw_Budget Duplicate].[FinPeriod].[All]" dimensionUniqueName="[BI vw_Budget Duplicate]" displayFolder="" count="0" memberValueDatatype="130" unbalanced="0"/>
    <cacheHierarchy uniqueName="[BI vw_Budget Duplicate].[Store]" caption="Store" attribute="1" defaultMemberUniqueName="[BI vw_Budget Duplicate].[Store].[All]" allUniqueName="[BI vw_Budget Duplicate].[Store].[All]" dimensionUniqueName="[BI vw_Budget Duplicate]" displayFolder="" count="0" memberValueDatatype="130" unbalanced="0"/>
    <cacheHierarchy uniqueName="[BI vw_Budget Duplicate].[YearFinPeriod]" caption="YearFinPeriod" attribute="1" defaultMemberUniqueName="[BI vw_Budget Duplicate].[YearFinPeriod].[All]" allUniqueName="[BI vw_Budget Duplicate].[YearFinPeriod].[All]" dimensionUniqueName="[BI vw_Budget Duplicate]" displayFolder="" count="0" memberValueDatatype="130" unbalanced="0"/>
    <cacheHierarchy uniqueName="[BI vw_BudgetDeliveredSalesByStore].[Budget_Key]" caption="Budget_Key" attribute="1" defaultMemberUniqueName="[BI vw_BudgetDeliveredSalesByStore].[Budget_Key].[All]" allUniqueName="[BI vw_BudgetDeliveredSalesByStore].[Budget_Key].[All]" dimensionUniqueName="[BI vw_BudgetDeliveredSalesByStore]" displayFolder="" count="0" memberValueDatatype="130" unbalanced="0"/>
    <cacheHierarchy uniqueName="[BI vw_BudgetDeliveredSalesByStore].[BudgetDollar]" caption="BudgetDollar" attribute="1" defaultMemberUniqueName="[BI vw_BudgetDeliveredSalesByStore].[BudgetDollar].[All]" allUniqueName="[BI vw_BudgetDeliveredSalesByStore].[BudgetDollar].[All]" dimensionUniqueName="[BI vw_BudgetDeliveredSalesByStore]" displayFolder="" count="0" memberValueDatatype="6" unbalanced="0"/>
    <cacheHierarchy uniqueName="[BI vw_BudgetDeliveredSalesByStore].[BudgetYear]" caption="BudgetYear" attribute="1" defaultMemberUniqueName="[BI vw_BudgetDeliveredSalesByStore].[BudgetYear].[All]" allUniqueName="[BI vw_BudgetDeliveredSalesByStore].[BudgetYear].[All]" dimensionUniqueName="[BI vw_BudgetDeliveredSalesByStore]" displayFolder="" count="0" memberValueDatatype="20" unbalanced="0"/>
    <cacheHierarchy uniqueName="[BI vw_BudgetDeliveredSalesByStore].[FinPeriod]" caption="FinPeriod" attribute="1" defaultMemberUniqueName="[BI vw_BudgetDeliveredSalesByStore].[FinPeriod].[All]" allUniqueName="[BI vw_BudgetDeliveredSalesByStore].[FinPeriod].[All]" dimensionUniqueName="[BI vw_BudgetDeliveredSalesByStore]" displayFolder="" count="0" memberValueDatatype="130" unbalanced="0"/>
    <cacheHierarchy uniqueName="[BI vw_BudgetDeliveredSalesByStore].[Store]" caption="Store" attribute="1" defaultMemberUniqueName="[BI vw_BudgetDeliveredSalesByStore].[Store].[All]" allUniqueName="[BI vw_BudgetDeliveredSalesByStore].[Store].[All]" dimensionUniqueName="[BI vw_BudgetDeliveredSalesByStore]" displayFolder="" count="0" memberValueDatatype="130" unbalanced="0"/>
    <cacheHierarchy uniqueName="[BI vw_BudgetDeliveredSalesByStore].[YearFinPeriod]" caption="YearFinPeriod" attribute="1" defaultMemberUniqueName="[BI vw_BudgetDeliveredSalesByStore].[YearFinPeriod].[All]" allUniqueName="[BI vw_BudgetDeliveredSalesByStore].[YearFinPeriod].[All]" dimensionUniqueName="[BI vw_BudgetDeliveredSalesByStore]" displayFolder="" count="0" memberValueDatatype="130" unbalanced="0"/>
    <cacheHierarchy uniqueName="[BI vw_Dynamics_FFAFDropshipwholesaleprice].[Key]" caption="Key" attribute="1" defaultMemberUniqueName="[BI vw_Dynamics_FFAFDropshipwholesaleprice].[Key].[All]" allUniqueName="[BI vw_Dynamics_FFAFDropshipwholesaleprice].[Key].[All]" dimensionUniqueName="[BI vw_Dynamics_FFAFDropshipwholesaleprice]" displayFolder="" count="0" memberValueDatatype="130" unbalanced="0"/>
    <cacheHierarchy uniqueName="[BI vw_Dynamics_FFAFDropshipwholesaleprice].[WholeSalePrice_FFAFdropship]" caption="WholeSalePrice_FFAFdropship" attribute="1" defaultMemberUniqueName="[BI vw_Dynamics_FFAFDropshipwholesaleprice].[WholeSalePrice_FFAFdropship].[All]" allUniqueName="[BI vw_Dynamics_FFAFDropshipwholesaleprice].[WholeSalePrice_FFAFdropship].[All]" dimensionUniqueName="[BI vw_Dynamics_FFAFDropshipwholesaleprice]" displayFolder="" count="0" memberValueDatatype="5" unbalanced="0"/>
    <cacheHierarchy uniqueName="[BI vw_DynamicsDeliveredSales].[AU-AU]" caption="AU-AU" attribute="1" defaultMemberUniqueName="[BI vw_DynamicsDeliveredSales].[AU-AU].[All]" allUniqueName="[BI vw_DynamicsDeliveredSales].[AU-AU].[All]" dimensionUniqueName="[BI vw_DynamicsDeliveredSales]" displayFolder="" count="0" memberValueDatatype="5" unbalanced="0"/>
    <cacheHierarchy uniqueName="[BI vw_DynamicsDeliveredSales].[AU-NZ]" caption="AU-NZ" attribute="1" defaultMemberUniqueName="[BI vw_DynamicsDeliveredSales].[AU-NZ].[All]" allUniqueName="[BI vw_DynamicsDeliveredSales].[AU-NZ].[All]" dimensionUniqueName="[BI vw_DynamicsDeliveredSales]" displayFolder="" count="0" memberValueDatatype="5" unbalanced="0"/>
    <cacheHierarchy uniqueName="[BI vw_DynamicsDeliveredSales].[BI vw_Dynamics_FFAFDropshipwholesaleprice.WholeSalePrice_FFAFdropship]" caption="BI vw_Dynamics_FFAFDropshipwholesaleprice.WholeSalePrice_FFAFdropship" attribute="1" defaultMemberUniqueName="[BI vw_DynamicsDeliveredSales].[BI vw_Dynamics_FFAFDropshipwholesaleprice.WholeSalePrice_FFAFdropship].[All]" allUniqueName="[BI vw_DynamicsDeliveredSales].[BI vw_Dynamics_FFAFDropshipwholesaleprice.WholeSalePrice_FFAFdropship].[All]" dimensionUniqueName="[BI vw_DynamicsDeliveredSales]" displayFolder="" count="0" memberValueDatatype="5" unbalanced="0"/>
    <cacheHierarchy uniqueName="[BI vw_DynamicsDeliveredSales].[BranchType]" caption="BranchType" attribute="1" defaultMemberUniqueName="[BI vw_DynamicsDeliveredSales].[BranchType].[All]" allUniqueName="[BI vw_DynamicsDeliveredSales].[BranchType].[All]" dimensionUniqueName="[BI vw_DynamicsDeliveredSales]" displayFolder="" count="0" memberValueDatatype="130" unbalanced="0"/>
    <cacheHierarchy uniqueName="[BI vw_DynamicsDeliveredSales].[Budget_Key]" caption="Budget_Key" attribute="1" defaultMemberUniqueName="[BI vw_DynamicsDeliveredSales].[Budget_Key].[All]" allUniqueName="[BI vw_DynamicsDeliveredSales].[Budget_Key].[All]" dimensionUniqueName="[BI vw_DynamicsDeliveredSales]" displayFolder="" count="0" memberValueDatatype="130" unbalanced="0"/>
    <cacheHierarchy uniqueName="[BI vw_DynamicsDeliveredSales].[CHANNEL]" caption="CHANNEL" attribute="1" defaultMemberUniqueName="[BI vw_DynamicsDeliveredSales].[CHANNEL].[All]" allUniqueName="[BI vw_DynamicsDeliveredSales].[CHANNEL].[All]" dimensionUniqueName="[BI vw_DynamicsDeliveredSales]" displayFolder="" count="2" memberValueDatatype="130" unbalanced="0">
      <fieldsUsage count="2">
        <fieldUsage x="-1"/>
        <fieldUsage x="2"/>
      </fieldsUsage>
    </cacheHierarchy>
    <cacheHierarchy uniqueName="[BI vw_DynamicsDeliveredSales].[ClassDesc]" caption="ClassDesc" attribute="1" defaultMemberUniqueName="[BI vw_DynamicsDeliveredSales].[ClassDesc].[All]" allUniqueName="[BI vw_DynamicsDeliveredSales].[ClassDesc].[All]" dimensionUniqueName="[BI vw_DynamicsDeliveredSales]" displayFolder="" count="0" memberValueDatatype="130" unbalanced="0"/>
    <cacheHierarchy uniqueName="[BI vw_DynamicsDeliveredSales].[COMPANY]" caption="COMPANY" attribute="1" defaultMemberUniqueName="[BI vw_DynamicsDeliveredSales].[COMPANY].[All]" allUniqueName="[BI vw_DynamicsDeliveredSales].[COMPANY].[All]" dimensionUniqueName="[BI vw_DynamicsDeliveredSales]" displayFolder="" count="0" memberValueDatatype="130" unbalanced="0"/>
    <cacheHierarchy uniqueName="[BI vw_DynamicsDeliveredSales].[CONTRIBUTIONMARGIN]" caption="CONTRIBUTIONMARGIN" attribute="1" defaultMemberUniqueName="[BI vw_DynamicsDeliveredSales].[CONTRIBUTIONMARGIN].[All]" allUniqueName="[BI vw_DynamicsDeliveredSales].[CONTRIBUTIONMARGIN].[All]" dimensionUniqueName="[BI vw_DynamicsDeliveredSales]" displayFolder="" count="0" memberValueDatatype="5" unbalanced="0"/>
    <cacheHierarchy uniqueName="[BI vw_DynamicsDeliveredSales].[CONTRIBUTIONMARGININVOICED]" caption="CONTRIBUTIONMARGININVOICED" attribute="1" defaultMemberUniqueName="[BI vw_DynamicsDeliveredSales].[CONTRIBUTIONMARGININVOICED].[All]" allUniqueName="[BI vw_DynamicsDeliveredSales].[CONTRIBUTIONMARGININVOICED].[All]" dimensionUniqueName="[BI vw_DynamicsDeliveredSales]" displayFolder="" count="0" memberValueDatatype="5" unbalanced="0"/>
    <cacheHierarchy uniqueName="[BI vw_DynamicsDeliveredSales].[COSTAMOUNTSTD]" caption="COSTAMOUNTSTD" attribute="1" defaultMemberUniqueName="[BI vw_DynamicsDeliveredSales].[COSTAMOUNTSTD].[All]" allUniqueName="[BI vw_DynamicsDeliveredSales].[COSTAMOUNTSTD].[All]" dimensionUniqueName="[BI vw_DynamicsDeliveredSales]" displayFolder="" count="0" memberValueDatatype="5" unbalanced="0"/>
    <cacheHierarchy uniqueName="[BI vw_DynamicsDeliveredSales].[COSTAMOUNTSTDADJUSTMENT]" caption="COSTAMOUNTSTDADJUSTMENT" attribute="1" defaultMemberUniqueName="[BI vw_DynamicsDeliveredSales].[COSTAMOUNTSTDADJUSTMENT].[All]" allUniqueName="[BI vw_DynamicsDeliveredSales].[COSTAMOUNTSTDADJUSTMENT].[All]" dimensionUniqueName="[BI vw_DynamicsDeliveredSales]" displayFolder="" count="0" memberValueDatatype="5" unbalanced="0"/>
    <cacheHierarchy uniqueName="[BI vw_DynamicsDeliveredSales].[COSTINVOICEDCOST]" caption="COSTINVOICEDCOST" attribute="1" defaultMemberUniqueName="[BI vw_DynamicsDeliveredSales].[COSTINVOICEDCOST].[All]" allUniqueName="[BI vw_DynamicsDeliveredSales].[COSTINVOICEDCOST].[All]" dimensionUniqueName="[BI vw_DynamicsDeliveredSales]" displayFolder="" count="0" memberValueDatatype="5" unbalanced="0"/>
    <cacheHierarchy uniqueName="[BI vw_DynamicsDeliveredSales].[Country]" caption="Country" attribute="1" defaultMemberUniqueName="[BI vw_DynamicsDeliveredSales].[Country].[All]" allUniqueName="[BI vw_DynamicsDeliveredSales].[Country].[All]" dimensionUniqueName="[BI vw_DynamicsDeliveredSales]" displayFolder="" count="0" memberValueDatatype="130" unbalanced="0"/>
    <cacheHierarchy uniqueName="[BI vw_DynamicsDeliveredSales].[CUSTACCOUNT]" caption="CUSTACCOUNT" attribute="1" defaultMemberUniqueName="[BI vw_DynamicsDeliveredSales].[CUSTACCOUNT].[All]" allUniqueName="[BI vw_DynamicsDeliveredSales].[CUSTACCOUNT].[All]" dimensionUniqueName="[BI vw_DynamicsDeliveredSales]" displayFolder="" count="0" memberValueDatatype="130" unbalanced="0"/>
    <cacheHierarchy uniqueName="[BI vw_DynamicsDeliveredSales].[CUSTACCOUNT - Copy]" caption="CUSTACCOUNT - Copy" attribute="1" defaultMemberUniqueName="[BI vw_DynamicsDeliveredSales].[CUSTACCOUNT - Copy].[All]" allUniqueName="[BI vw_DynamicsDeliveredSales].[CUSTACCOUNT - Copy].[All]" dimensionUniqueName="[BI vw_DynamicsDeliveredSales]" displayFolder="" count="0" memberValueDatatype="130" unbalanced="0"/>
    <cacheHierarchy uniqueName="[BI vw_DynamicsDeliveredSales].[CUSTOMERNAME]" caption="CUSTOMERNAME" attribute="1" defaultMemberUniqueName="[BI vw_DynamicsDeliveredSales].[CUSTOMERNAME].[All]" allUniqueName="[BI vw_DynamicsDeliveredSales].[CUSTOMERNAME].[All]" dimensionUniqueName="[BI vw_DynamicsDeliveredSales]" displayFolder="" count="0" memberValueDatatype="130" unbalanced="0"/>
    <cacheHierarchy uniqueName="[BI vw_DynamicsDeliveredSales].[CUSTOMERSORDERREFERENCE]" caption="CUSTOMERSORDERREFERENCE" attribute="1" defaultMemberUniqueName="[BI vw_DynamicsDeliveredSales].[CUSTOMERSORDERREFERENCE].[All]" allUniqueName="[BI vw_DynamicsDeliveredSales].[CUSTOMERSORDERREFERENCE].[All]" dimensionUniqueName="[BI vw_DynamicsDeliveredSales]" displayFolder="" count="0" memberValueDatatype="130" unbalanced="0"/>
    <cacheHierarchy uniqueName="[BI vw_DynamicsDeliveredSales].[DATAAREAID]" caption="DATAAREAID" attribute="1" defaultMemberUniqueName="[BI vw_DynamicsDeliveredSales].[DATAAREAID].[All]" allUniqueName="[BI vw_DynamicsDeliveredSales].[DATAAREAID].[All]" dimensionUniqueName="[BI vw_DynamicsDeliveredSales]" displayFolder="" count="0" memberValueDatatype="130" unbalanced="0"/>
    <cacheHierarchy uniqueName="[BI vw_DynamicsDeliveredSales].[DC Name]" caption="DC Name" attribute="1" defaultMemberUniqueName="[BI vw_DynamicsDeliveredSales].[DC Name].[All]" allUniqueName="[BI vw_DynamicsDeliveredSales].[DC Name].[All]" dimensionUniqueName="[BI vw_DynamicsDeliveredSales]" displayFolder="" count="0" memberValueDatatype="130" unbalanced="0"/>
    <cacheHierarchy uniqueName="[BI vw_DynamicsDeliveredSales].[DC SO Name]" caption="DC SO Name" attribute="1" defaultMemberUniqueName="[BI vw_DynamicsDeliveredSales].[DC SO Name].[All]" allUniqueName="[BI vw_DynamicsDeliveredSales].[DC SO Name].[All]" dimensionUniqueName="[BI vw_DynamicsDeliveredSales]" displayFolder="" count="0" memberValueDatatype="20" unbalanced="0"/>
    <cacheHierarchy uniqueName="[BI vw_DynamicsDeliveredSales].[DEFAULTLEDGERDIMENSIONDISPLAYVALUE]" caption="DEFAULTLEDGERDIMENSIONDISPLAYVALUE" attribute="1" defaultMemberUniqueName="[BI vw_DynamicsDeliveredSales].[DEFAULTLEDGERDIMENSIONDISPLAYVALUE].[All]" allUniqueName="[BI vw_DynamicsDeliveredSales].[DEFAULTLEDGERDIMENSIONDISPLAYVALUE].[All]" dimensionUniqueName="[BI vw_DynamicsDeliveredSales]" displayFolder="" count="0" memberValueDatatype="130" unbalanced="0"/>
    <cacheHierarchy uniqueName="[BI vw_DynamicsDeliveredSales].[DEFAULTSHIPPINGWAREHOUSEID]" caption="DEFAULTSHIPPINGWAREHOUSEID" attribute="1" defaultMemberUniqueName="[BI vw_DynamicsDeliveredSales].[DEFAULTSHIPPINGWAREHOUSEID].[All]" allUniqueName="[BI vw_DynamicsDeliveredSales].[DEFAULTSHIPPINGWAREHOUSEID].[All]" dimensionUniqueName="[BI vw_DynamicsDeliveredSales]" displayFolder="" count="0" memberValueDatatype="130" unbalanced="0"/>
    <cacheHierarchy uniqueName="[BI vw_DynamicsDeliveredSales].[DELIVERYMODECODE]" caption="DELIVERYMODECODE" attribute="1" defaultMemberUniqueName="[BI vw_DynamicsDeliveredSales].[DELIVERYMODECODE].[All]" allUniqueName="[BI vw_DynamicsDeliveredSales].[DELIVERYMODECODE].[All]" dimensionUniqueName="[BI vw_DynamicsDeliveredSales]" displayFolder="" count="0" memberValueDatatype="130" unbalanced="0"/>
    <cacheHierarchy uniqueName="[BI vw_DynamicsDeliveredSales].[Department]" caption="Department" attribute="1" defaultMemberUniqueName="[BI vw_DynamicsDeliveredSales].[Department].[All]" allUniqueName="[BI vw_DynamicsDeliveredSales].[Department].[All]" dimensionUniqueName="[BI vw_DynamicsDeliveredSales]" displayFolder="" count="0" memberValueDatatype="5" unbalanced="0"/>
    <cacheHierarchy uniqueName="[BI vw_DynamicsDeliveredSales].[DepartmentDesc]" caption="DepartmentDesc" attribute="1" defaultMemberUniqueName="[BI vw_DynamicsDeliveredSales].[DepartmentDesc].[All]" allUniqueName="[BI vw_DynamicsDeliveredSales].[DepartmentDesc].[All]" dimensionUniqueName="[BI vw_DynamicsDeliveredSales]" displayFolder="" count="0" memberValueDatatype="130" unbalanced="0"/>
    <cacheHierarchy uniqueName="[BI vw_DynamicsDeliveredSales].[DISCINVOICEDDISC]" caption="DISCINVOICEDDISC" attribute="1" defaultMemberUniqueName="[BI vw_DynamicsDeliveredSales].[DISCINVOICEDDISC].[All]" allUniqueName="[BI vw_DynamicsDeliveredSales].[DISCINVOICEDDISC].[All]" dimensionUniqueName="[BI vw_DynamicsDeliveredSales]" displayFolder="" count="0" memberValueDatatype="5" unbalanced="0"/>
    <cacheHierarchy uniqueName="[BI vw_DynamicsDeliveredSales].[Division]" caption="Division" attribute="1" defaultMemberUniqueName="[BI vw_DynamicsDeliveredSales].[Division].[All]" allUniqueName="[BI vw_DynamicsDeliveredSales].[Division].[All]" dimensionUniqueName="[BI vw_DynamicsDeliveredSales]" displayFolder="" count="2" memberValueDatatype="130" unbalanced="0">
      <fieldsUsage count="2">
        <fieldUsage x="-1"/>
        <fieldUsage x="6"/>
      </fieldsUsage>
    </cacheHierarchy>
    <cacheHierarchy uniqueName="[BI vw_DynamicsDeliveredSales].[Dropship]" caption="Dropship" attribute="1" defaultMemberUniqueName="[BI vw_DynamicsDeliveredSales].[Dropship].[All]" allUniqueName="[BI vw_DynamicsDeliveredSales].[Dropship].[All]" dimensionUniqueName="[BI vw_DynamicsDeliveredSales]" displayFolder="" count="0" memberValueDatatype="130" unbalanced="0"/>
    <cacheHierarchy uniqueName="[BI vw_DynamicsDeliveredSales].[DXC_BASEITEMNUMBER]" caption="DXC_BASEITEMNUMBER" attribute="1" defaultMemberUniqueName="[BI vw_DynamicsDeliveredSales].[DXC_BASEITEMNUMBER].[All]" allUniqueName="[BI vw_DynamicsDeliveredSales].[DXC_BASEITEMNUMBER].[All]" dimensionUniqueName="[BI vw_DynamicsDeliveredSales]" displayFolder="" count="0" memberValueDatatype="130" unbalanced="0"/>
    <cacheHierarchy uniqueName="[BI vw_DynamicsDeliveredSales].[dxc_EXTERNALCREATEDDATE]" caption="dxc_EXTERNALCREATEDDATE" attribute="1" time="1" defaultMemberUniqueName="[BI vw_DynamicsDeliveredSales].[dxc_EXTERNALCREATEDDATE].[All]" allUniqueName="[BI vw_DynamicsDeliveredSales].[dxc_EXTERNALCREATEDDATE].[All]" dimensionUniqueName="[BI vw_DynamicsDeliveredSales]" displayFolder="" count="0" memberValueDatatype="7" unbalanced="0"/>
    <cacheHierarchy uniqueName="[BI vw_DynamicsDeliveredSales].[DXC_EXTERNALITEMNUMBER]" caption="DXC_EXTERNALITEMNUMBER" attribute="1" defaultMemberUniqueName="[BI vw_DynamicsDeliveredSales].[DXC_EXTERNALITEMNUMBER].[All]" allUniqueName="[BI vw_DynamicsDeliveredSales].[DXC_EXTERNALITEMNUMBER].[All]" dimensionUniqueName="[BI vw_DynamicsDeliveredSales]" displayFolder="" count="0" memberValueDatatype="130" unbalanced="0"/>
    <cacheHierarchy uniqueName="[BI vw_DynamicsDeliveredSales].[DXC_SALESPERSONID]" caption="DXC_SALESPERSONID" attribute="1" defaultMemberUniqueName="[BI vw_DynamicsDeliveredSales].[DXC_SALESPERSONID].[All]" allUniqueName="[BI vw_DynamicsDeliveredSales].[DXC_SALESPERSONID].[All]" dimensionUniqueName="[BI vw_DynamicsDeliveredSales]" displayFolder="" count="0" memberValueDatatype="130" unbalanced="0"/>
    <cacheHierarchy uniqueName="[BI vw_DynamicsDeliveredSales].[FINALUPC]" caption="FINALUPC" attribute="1" defaultMemberUniqueName="[BI vw_DynamicsDeliveredSales].[FINALUPC].[All]" allUniqueName="[BI vw_DynamicsDeliveredSales].[FINALUPC].[All]" dimensionUniqueName="[BI vw_DynamicsDeliveredSales]" displayFolder="" count="0" memberValueDatatype="20" unbalanced="0"/>
    <cacheHierarchy uniqueName="[BI vw_DynamicsDeliveredSales].[FinPeriod]" caption="FinPeriod" attribute="1" defaultMemberUniqueName="[BI vw_DynamicsDeliveredSales].[FinPeriod].[All]" allUniqueName="[BI vw_DynamicsDeliveredSales].[FinPeriod].[All]" dimensionUniqueName="[BI vw_DynamicsDeliveredSales]" displayFolder="" count="0" memberValueDatatype="20" unbalanced="0"/>
    <cacheHierarchy uniqueName="[BI vw_DynamicsDeliveredSales].[FinPeriod Cal]" caption="FinPeriod Cal" attribute="1" defaultMemberUniqueName="[BI vw_DynamicsDeliveredSales].[FinPeriod Cal].[All]" allUniqueName="[BI vw_DynamicsDeliveredSales].[FinPeriod Cal].[All]" dimensionUniqueName="[BI vw_DynamicsDeliveredSales]" displayFolder="" count="0" memberValueDatatype="20" unbalanced="0"/>
    <cacheHierarchy uniqueName="[BI vw_DynamicsDeliveredSales].[FirstWeek-Month]" caption="FirstWeek-Month" attribute="1" defaultMemberUniqueName="[BI vw_DynamicsDeliveredSales].[FirstWeek-Month].[All]" allUniqueName="[BI vw_DynamicsDeliveredSales].[FirstWeek-Month].[All]" dimensionUniqueName="[BI vw_DynamicsDeliveredSales]" displayFolder="" count="0" memberValueDatatype="20" unbalanced="0"/>
    <cacheHierarchy uniqueName="[BI vw_DynamicsDeliveredSales].[FirstWeek-QTD]" caption="FirstWeek-QTD" attribute="1" defaultMemberUniqueName="[BI vw_DynamicsDeliveredSales].[FirstWeek-QTD].[All]" allUniqueName="[BI vw_DynamicsDeliveredSales].[FirstWeek-QTD].[All]" dimensionUniqueName="[BI vw_DynamicsDeliveredSales]" displayFolder="" count="0" memberValueDatatype="20" unbalanced="0"/>
    <cacheHierarchy uniqueName="[BI vw_DynamicsDeliveredSales].[FirstWeek-Year]" caption="FirstWeek-Year" attribute="1" defaultMemberUniqueName="[BI vw_DynamicsDeliveredSales].[FirstWeek-Year].[All]" allUniqueName="[BI vw_DynamicsDeliveredSales].[FirstWeek-Year].[All]" dimensionUniqueName="[BI vw_DynamicsDeliveredSales]" displayFolder="" count="0" memberValueDatatype="130" unbalanced="0"/>
    <cacheHierarchy uniqueName="[BI vw_DynamicsDeliveredSales].[GROSSINVOICEDGROSS]" caption="GROSSINVOICEDGROSS" attribute="1" defaultMemberUniqueName="[BI vw_DynamicsDeliveredSales].[GROSSINVOICEDGROSS].[All]" allUniqueName="[BI vw_DynamicsDeliveredSales].[GROSSINVOICEDGROSS].[All]" dimensionUniqueName="[BI vw_DynamicsDeliveredSales]" displayFolder="" count="0" memberValueDatatype="5" unbalanced="0"/>
    <cacheHierarchy uniqueName="[BI vw_DynamicsDeliveredSales].[INVENTTRANSID]" caption="INVENTTRANSID" attribute="1" defaultMemberUniqueName="[BI vw_DynamicsDeliveredSales].[INVENTTRANSID].[All]" allUniqueName="[BI vw_DynamicsDeliveredSales].[INVENTTRANSID].[All]" dimensionUniqueName="[BI vw_DynamicsDeliveredSales]" displayFolder="" count="0" memberValueDatatype="130" unbalanced="0"/>
    <cacheHierarchy uniqueName="[BI vw_DynamicsDeliveredSales].[INVOICEDATE]" caption="INVOICEDATE" attribute="1" time="1" defaultMemberUniqueName="[BI vw_DynamicsDeliveredSales].[INVOICEDATE].[All]" allUniqueName="[BI vw_DynamicsDeliveredSales].[INVOICEDATE].[All]" dimensionUniqueName="[BI vw_DynamicsDeliveredSales]" displayFolder="" count="0" memberValueDatatype="7" unbalanced="0"/>
    <cacheHierarchy uniqueName="[BI vw_DynamicsDeliveredSales].[INVOICEID]" caption="INVOICEID" attribute="1" defaultMemberUniqueName="[BI vw_DynamicsDeliveredSales].[INVOICEID].[All]" allUniqueName="[BI vw_DynamicsDeliveredSales].[INVOICEID].[All]" dimensionUniqueName="[BI vw_DynamicsDeliveredSales]" displayFolder="" count="0" memberValueDatatype="130" unbalanced="0"/>
    <cacheHierarchy uniqueName="[BI vw_DynamicsDeliveredSales].[ISSELECTED]" caption="ISSELECTED" attribute="1" defaultMemberUniqueName="[BI vw_DynamicsDeliveredSales].[ISSELECTED].[All]" allUniqueName="[BI vw_DynamicsDeliveredSales].[ISSELECTED].[All]" dimensionUniqueName="[BI vw_DynamicsDeliveredSales]" displayFolder="" count="0" memberValueDatatype="20" unbalanced="0"/>
    <cacheHierarchy uniqueName="[BI vw_DynamicsDeliveredSales].[ITEMID]" caption="ITEMID" attribute="1" defaultMemberUniqueName="[BI vw_DynamicsDeliveredSales].[ITEMID].[All]" allUniqueName="[BI vw_DynamicsDeliveredSales].[ITEMID].[All]" dimensionUniqueName="[BI vw_DynamicsDeliveredSales]" displayFolder="" count="0" memberValueDatatype="130" unbalanced="0"/>
    <cacheHierarchy uniqueName="[BI vw_DynamicsDeliveredSales].[ITEMNAME]" caption="ITEMNAME" attribute="1" defaultMemberUniqueName="[BI vw_DynamicsDeliveredSales].[ITEMNAME].[All]" allUniqueName="[BI vw_DynamicsDeliveredSales].[ITEMNAME].[All]" dimensionUniqueName="[BI vw_DynamicsDeliveredSales]" displayFolder="" count="0" memberValueDatatype="130" unbalanced="0"/>
    <cacheHierarchy uniqueName="[BI vw_DynamicsDeliveredSales].[ITEMTYPE]" caption="ITEMTYPE" attribute="1" defaultMemberUniqueName="[BI vw_DynamicsDeliveredSales].[ITEMTYPE].[All]" allUniqueName="[BI vw_DynamicsDeliveredSales].[ITEMTYPE].[All]" dimensionUniqueName="[BI vw_DynamicsDeliveredSales]" displayFolder="" count="0" memberValueDatatype="130" unbalanced="0"/>
    <cacheHierarchy uniqueName="[BI vw_DynamicsDeliveredSales].[LINECREATIONSEQUENCENUMBER]" caption="LINECREATIONSEQUENCENUMBER" attribute="1" defaultMemberUniqueName="[BI vw_DynamicsDeliveredSales].[LINECREATIONSEQUENCENUMBER].[All]" allUniqueName="[BI vw_DynamicsDeliveredSales].[LINECREATIONSEQUENCENUMBER].[All]" dimensionUniqueName="[BI vw_DynamicsDeliveredSales]" displayFolder="" count="0" memberValueDatatype="20" unbalanced="0"/>
    <cacheHierarchy uniqueName="[BI vw_DynamicsDeliveredSales].[LINEDISC]" caption="LINEDISC" attribute="1" defaultMemberUniqueName="[BI vw_DynamicsDeliveredSales].[LINEDISC].[All]" allUniqueName="[BI vw_DynamicsDeliveredSales].[LINEDISC].[All]" dimensionUniqueName="[BI vw_DynamicsDeliveredSales]" displayFolder="" count="0" memberValueDatatype="5" unbalanced="0"/>
    <cacheHierarchy uniqueName="[BI vw_DynamicsDeliveredSales].[LINENUM]" caption="LINENUM" attribute="1" defaultMemberUniqueName="[BI vw_DynamicsDeliveredSales].[LINENUM].[All]" allUniqueName="[BI vw_DynamicsDeliveredSales].[LINENUM].[All]" dimensionUniqueName="[BI vw_DynamicsDeliveredSales]" displayFolder="" count="0" memberValueDatatype="20" unbalanced="0"/>
    <cacheHierarchy uniqueName="[BI vw_DynamicsDeliveredSales].[MarkdownAmounts.1]" caption="MarkdownAmounts.1" attribute="1" defaultMemberUniqueName="[BI vw_DynamicsDeliveredSales].[MarkdownAmounts.1].[All]" allUniqueName="[BI vw_DynamicsDeliveredSales].[MarkdownAmounts.1].[All]" dimensionUniqueName="[BI vw_DynamicsDeliveredSales]" displayFolder="" count="0" memberValueDatatype="5" unbalanced="0"/>
    <cacheHierarchy uniqueName="[BI vw_DynamicsDeliveredSales].[MarkdownAmounts.2]" caption="MarkdownAmounts.2" attribute="1" defaultMemberUniqueName="[BI vw_DynamicsDeliveredSales].[MarkdownAmounts.2].[All]" allUniqueName="[BI vw_DynamicsDeliveredSales].[MarkdownAmounts.2].[All]" dimensionUniqueName="[BI vw_DynamicsDeliveredSales]" displayFolder="" count="0" memberValueDatatype="5" unbalanced="0"/>
    <cacheHierarchy uniqueName="[BI vw_DynamicsDeliveredSales].[MarkdownCategory.1]" caption="MarkdownCategory.1" attribute="1" defaultMemberUniqueName="[BI vw_DynamicsDeliveredSales].[MarkdownCategory.1].[All]" allUniqueName="[BI vw_DynamicsDeliveredSales].[MarkdownCategory.1].[All]" dimensionUniqueName="[BI vw_DynamicsDeliveredSales]" displayFolder="" count="0" memberValueDatatype="130" unbalanced="0"/>
    <cacheHierarchy uniqueName="[BI vw_DynamicsDeliveredSales].[MarkdownCategory.2]" caption="MarkdownCategory.2" attribute="1" defaultMemberUniqueName="[BI vw_DynamicsDeliveredSales].[MarkdownCategory.2].[All]" allUniqueName="[BI vw_DynamicsDeliveredSales].[MarkdownCategory.2].[All]" dimensionUniqueName="[BI vw_DynamicsDeliveredSales]" displayFolder="" count="0" memberValueDatatype="130" unbalanced="0"/>
    <cacheHierarchy uniqueName="[BI vw_DynamicsDeliveredSales].[MarkdownCodes.1]" caption="MarkdownCodes.1" attribute="1" defaultMemberUniqueName="[BI vw_DynamicsDeliveredSales].[MarkdownCodes.1].[All]" allUniqueName="[BI vw_DynamicsDeliveredSales].[MarkdownCodes.1].[All]" dimensionUniqueName="[BI vw_DynamicsDeliveredSales]" displayFolder="" count="0" memberValueDatatype="130" unbalanced="0"/>
    <cacheHierarchy uniqueName="[BI vw_DynamicsDeliveredSales].[MarkdownCodes.2]" caption="MarkdownCodes.2" attribute="1" defaultMemberUniqueName="[BI vw_DynamicsDeliveredSales].[MarkdownCodes.2].[All]" allUniqueName="[BI vw_DynamicsDeliveredSales].[MarkdownCodes.2].[All]" dimensionUniqueName="[BI vw_DynamicsDeliveredSales]" displayFolder="" count="0" memberValueDatatype="130" unbalanced="0"/>
    <cacheHierarchy uniqueName="[BI vw_DynamicsDeliveredSales].[Merged]" caption="Merged" attribute="1" defaultMemberUniqueName="[BI vw_DynamicsDeliveredSales].[Merged].[All]" allUniqueName="[BI vw_DynamicsDeliveredSales].[Merged].[All]" dimensionUniqueName="[BI vw_DynamicsDeliveredSales]" displayFolder="" count="0" memberValueDatatype="130" unbalanced="0"/>
    <cacheHierarchy uniqueName="[BI vw_DynamicsDeliveredSales].[NETINVOICEDNET]" caption="NETINVOICEDNET" attribute="1" defaultMemberUniqueName="[BI vw_DynamicsDeliveredSales].[NETINVOICEDNET].[All]" allUniqueName="[BI vw_DynamicsDeliveredSales].[NETINVOICEDNET].[All]" dimensionUniqueName="[BI vw_DynamicsDeliveredSales]" displayFolder="" count="0" memberValueDatatype="5" unbalanced="0"/>
    <cacheHierarchy uniqueName="[BI vw_DynamicsDeliveredSales].[NETSALESNET]" caption="NETSALESNET" attribute="1" defaultMemberUniqueName="[BI vw_DynamicsDeliveredSales].[NETSALESNET].[All]" allUniqueName="[BI vw_DynamicsDeliveredSales].[NETSALESNET].[All]" dimensionUniqueName="[BI vw_DynamicsDeliveredSales]" displayFolder="" count="0" memberValueDatatype="5" unbalanced="0"/>
    <cacheHierarchy uniqueName="[BI vw_DynamicsDeliveredSales].[NZ-NZ]" caption="NZ-NZ" attribute="1" defaultMemberUniqueName="[BI vw_DynamicsDeliveredSales].[NZ-NZ].[All]" allUniqueName="[BI vw_DynamicsDeliveredSales].[NZ-NZ].[All]" dimensionUniqueName="[BI vw_DynamicsDeliveredSales]" displayFolder="" count="0" memberValueDatatype="5" unbalanced="0"/>
    <cacheHierarchy uniqueName="[BI vw_DynamicsDeliveredSales].[ORDERCREATIONDATETIME]" caption="ORDERCREATIONDATETIME" attribute="1" time="1" defaultMemberUniqueName="[BI vw_DynamicsDeliveredSales].[ORDERCREATIONDATETIME].[All]" allUniqueName="[BI vw_DynamicsDeliveredSales].[ORDERCREATIONDATETIME].[All]" dimensionUniqueName="[BI vw_DynamicsDeliveredSales]" displayFolder="" count="0" memberValueDatatype="7" unbalanced="0"/>
    <cacheHierarchy uniqueName="[BI vw_DynamicsDeliveredSales].[PARTITION]" caption="PARTITION" attribute="1" defaultMemberUniqueName="[BI vw_DynamicsDeliveredSales].[PARTITION].[All]" allUniqueName="[BI vw_DynamicsDeliveredSales].[PARTITION].[All]" dimensionUniqueName="[BI vw_DynamicsDeliveredSales]" displayFolder="" count="0" memberValueDatatype="130" unbalanced="0"/>
    <cacheHierarchy uniqueName="[BI vw_DynamicsDeliveredSales].[PRODUCTTYPE]" caption="PRODUCTTYPE" attribute="1" defaultMemberUniqueName="[BI vw_DynamicsDeliveredSales].[PRODUCTTYPE].[All]" allUniqueName="[BI vw_DynamicsDeliveredSales].[PRODUCTTYPE].[All]" dimensionUniqueName="[BI vw_DynamicsDeliveredSales]" displayFolder="" count="0" memberValueDatatype="20" unbalanced="0"/>
    <cacheHierarchy uniqueName="[BI vw_DynamicsDeliveredSales].[QTY]" caption="QTY" attribute="1" defaultMemberUniqueName="[BI vw_DynamicsDeliveredSales].[QTY].[All]" allUniqueName="[BI vw_DynamicsDeliveredSales].[QTY].[All]" dimensionUniqueName="[BI vw_DynamicsDeliveredSales]" displayFolder="" count="0" memberValueDatatype="5" unbalanced="0"/>
    <cacheHierarchy uniqueName="[BI vw_DynamicsDeliveredSales].[Range]" caption="Range" attribute="1" defaultMemberUniqueName="[BI vw_DynamicsDeliveredSales].[Range].[All]" allUniqueName="[BI vw_DynamicsDeliveredSales].[Range].[All]" dimensionUniqueName="[BI vw_DynamicsDeliveredSales]" displayFolder="" count="0" memberValueDatatype="130" unbalanced="0"/>
    <cacheHierarchy uniqueName="[BI vw_DynamicsDeliveredSales].[RECID]" caption="RECID" attribute="1" defaultMemberUniqueName="[BI vw_DynamicsDeliveredSales].[RECID].[All]" allUniqueName="[BI vw_DynamicsDeliveredSales].[RECID].[All]" dimensionUniqueName="[BI vw_DynamicsDeliveredSales]" displayFolder="" count="0" memberValueDatatype="20" unbalanced="0"/>
    <cacheHierarchy uniqueName="[BI vw_DynamicsDeliveredSales].[Retail/Not]" caption="Retail/Not" attribute="1" defaultMemberUniqueName="[BI vw_DynamicsDeliveredSales].[Retail/Not].[All]" allUniqueName="[BI vw_DynamicsDeliveredSales].[Retail/Not].[All]" dimensionUniqueName="[BI vw_DynamicsDeliveredSales]" displayFolder="" count="0" memberValueDatatype="130" unbalanced="0"/>
    <cacheHierarchy uniqueName="[BI vw_DynamicsDeliveredSales].[SaleOrderLineNumber]" caption="SaleOrderLineNumber" attribute="1" defaultMemberUniqueName="[BI vw_DynamicsDeliveredSales].[SaleOrderLineNumber].[All]" allUniqueName="[BI vw_DynamicsDeliveredSales].[SaleOrderLineNumber].[All]" dimensionUniqueName="[BI vw_DynamicsDeliveredSales]" displayFolder="" count="0" memberValueDatatype="20" unbalanced="0"/>
    <cacheHierarchy uniqueName="[BI vw_DynamicsDeliveredSales].[Sales Order Type]" caption="Sales Order Type" attribute="1" defaultMemberUniqueName="[BI vw_DynamicsDeliveredSales].[Sales Order Type].[All]" allUniqueName="[BI vw_DynamicsDeliveredSales].[Sales Order Type].[All]" dimensionUniqueName="[BI vw_DynamicsDeliveredSales]" displayFolder="" count="2" memberValueDatatype="130" unbalanced="0">
      <fieldsUsage count="2">
        <fieldUsage x="-1"/>
        <fieldUsage x="5"/>
      </fieldsUsage>
    </cacheHierarchy>
    <cacheHierarchy uniqueName="[BI vw_DynamicsDeliveredSales].[Sales Type]" caption="Sales Type" attribute="1" defaultMemberUniqueName="[BI vw_DynamicsDeliveredSales].[Sales Type].[All]" allUniqueName="[BI vw_DynamicsDeliveredSales].[Sales Type].[All]" dimensionUniqueName="[BI vw_DynamicsDeliveredSales]" displayFolder="" count="0" memberValueDatatype="130" unbalanced="0"/>
    <cacheHierarchy uniqueName="[BI vw_DynamicsDeliveredSales].[SALESID]" caption="SALESID" attribute="1" defaultMemberUniqueName="[BI vw_DynamicsDeliveredSales].[SALESID].[All]" allUniqueName="[BI vw_DynamicsDeliveredSales].[SALESID].[All]" dimensionUniqueName="[BI vw_DynamicsDeliveredSales]" displayFolder="" count="0" memberValueDatatype="130" unbalanced="0"/>
    <cacheHierarchy uniqueName="[BI vw_DynamicsDeliveredSales].[SALESORDERNUMBER]" caption="SALESORDERNUMBER" attribute="1" defaultMemberUniqueName="[BI vw_DynamicsDeliveredSales].[SALESORDERNUMBER].[All]" allUniqueName="[BI vw_DynamicsDeliveredSales].[SALESORDERNUMBER].[All]" dimensionUniqueName="[BI vw_DynamicsDeliveredSales]" displayFolder="" count="0" memberValueDatatype="130" unbalanced="0"/>
    <cacheHierarchy uniqueName="[BI vw_DynamicsDeliveredSales].[SALESPRICE]" caption="SALESPRICE" attribute="1" defaultMemberUniqueName="[BI vw_DynamicsDeliveredSales].[SALESPRICE].[All]" allUniqueName="[BI vw_DynamicsDeliveredSales].[SALESPRICE].[All]" dimensionUniqueName="[BI vw_DynamicsDeliveredSales]" displayFolder="" count="0" memberValueDatatype="5" unbalanced="0"/>
    <cacheHierarchy uniqueName="[BI vw_DynamicsDeliveredSales].[SHIPPINGWAREHOUSEID]" caption="SHIPPINGWAREHOUSEID" attribute="1" defaultMemberUniqueName="[BI vw_DynamicsDeliveredSales].[SHIPPINGWAREHOUSEID].[All]" allUniqueName="[BI vw_DynamicsDeliveredSales].[SHIPPINGWAREHOUSEID].[All]" dimensionUniqueName="[BI vw_DynamicsDeliveredSales]" displayFolder="" count="0" memberValueDatatype="130" unbalanced="0"/>
    <cacheHierarchy uniqueName="[BI vw_DynamicsDeliveredSales].[StoreCode]" caption="StoreCode" attribute="1" defaultMemberUniqueName="[BI vw_DynamicsDeliveredSales].[StoreCode].[All]" allUniqueName="[BI vw_DynamicsDeliveredSales].[StoreCode].[All]" dimensionUniqueName="[BI vw_DynamicsDeliveredSales]" displayFolder="" count="0" memberValueDatatype="130" unbalanced="0"/>
    <cacheHierarchy uniqueName="[BI vw_DynamicsDeliveredSales].[SubDepartmentDesc]" caption="SubDepartmentDesc" attribute="1" defaultMemberUniqueName="[BI vw_DynamicsDeliveredSales].[SubDepartmentDesc].[All]" allUniqueName="[BI vw_DynamicsDeliveredSales].[SubDepartmentDesc].[All]" dimensionUniqueName="[BI vw_DynamicsDeliveredSales]" displayFolder="" count="0" memberValueDatatype="130" unbalanced="0"/>
    <cacheHierarchy uniqueName="[BI vw_DynamicsDeliveredSales].[TAXAMOUNT]" caption="TAXAMOUNT" attribute="1" defaultMemberUniqueName="[BI vw_DynamicsDeliveredSales].[TAXAMOUNT].[All]" allUniqueName="[BI vw_DynamicsDeliveredSales].[TAXAMOUNT].[All]" dimensionUniqueName="[BI vw_DynamicsDeliveredSales]" displayFolder="" count="0" memberValueDatatype="5" unbalanced="0"/>
    <cacheHierarchy uniqueName="[BI vw_DynamicsDeliveredSales].[TAXGROUP]" caption="TAXGROUP" attribute="1" defaultMemberUniqueName="[BI vw_DynamicsDeliveredSales].[TAXGROUP].[All]" allUniqueName="[BI vw_DynamicsDeliveredSales].[TAXGROUP].[All]" dimensionUniqueName="[BI vw_DynamicsDeliveredSales]" displayFolder="" count="0" memberValueDatatype="130" unbalanced="0"/>
    <cacheHierarchy uniqueName="[BI vw_DynamicsDeliveredSales].[Total Cost Final]" caption="Total Cost Final" attribute="1" defaultMemberUniqueName="[BI vw_DynamicsDeliveredSales].[Total Cost Final].[All]" allUniqueName="[BI vw_DynamicsDeliveredSales].[Total Cost Final].[All]" dimensionUniqueName="[BI vw_DynamicsDeliveredSales]" displayFolder="" count="0" memberValueDatatype="130" unbalanced="0"/>
    <cacheHierarchy uniqueName="[BI vw_DynamicsDeliveredSales].[TRANSFERSTATUS]" caption="TRANSFERSTATUS" attribute="1" defaultMemberUniqueName="[BI vw_DynamicsDeliveredSales].[TRANSFERSTATUS].[All]" allUniqueName="[BI vw_DynamicsDeliveredSales].[TRANSFERSTATUS].[All]" dimensionUniqueName="[BI vw_DynamicsDeliveredSales]" displayFolder="" count="0" memberValueDatatype="20" unbalanced="0"/>
    <cacheHierarchy uniqueName="[BI vw_DynamicsDeliveredSales].[WAREHOUSE]" caption="WAREHOUSE" attribute="1" defaultMemberUniqueName="[BI vw_DynamicsDeliveredSales].[WAREHOUSE].[All]" allUniqueName="[BI vw_DynamicsDeliveredSales].[WAREHOUSE].[All]" dimensionUniqueName="[BI vw_DynamicsDeliveredSales]" displayFolder="" count="0" memberValueDatatype="130" unbalanced="0"/>
    <cacheHierarchy uniqueName="[BI vw_DynamicsDeliveredSales].[Week]" caption="Week" attribute="1" defaultMemberUniqueName="[BI vw_DynamicsDeliveredSales].[Week].[All]" allUniqueName="[BI vw_DynamicsDeliveredSales].[Week].[All]" dimensionUniqueName="[BI vw_DynamicsDeliveredSales]" displayFolder="" count="0" memberValueDatatype="20" unbalanced="0"/>
    <cacheHierarchy uniqueName="[BI vw_DynamicsDeliveredSales].[Year Month]" caption="Year Month" attribute="1" defaultMemberUniqueName="[BI vw_DynamicsDeliveredSales].[Year Month].[All]" allUniqueName="[BI vw_DynamicsDeliveredSales].[Year Month].[All]" dimensionUniqueName="[BI vw_DynamicsDeliveredSales]" displayFolder="" count="0" memberValueDatatype="20" unbalanced="0"/>
    <cacheHierarchy uniqueName="[BI vw_FinCalendar].[Date]" caption="Date" attribute="1" time="1" defaultMemberUniqueName="[BI vw_FinCalendar].[Date].[All]" allUniqueName="[BI vw_FinCalendar].[Date].[All]" dimensionUniqueName="[BI vw_FinCalendar]" displayFolder="" count="0" memberValueDatatype="7" unbalanced="0"/>
    <cacheHierarchy uniqueName="[BI vw_FinCalendar].[Day_Of_Week]" caption="Day_Of_Week" attribute="1" defaultMemberUniqueName="[BI vw_FinCalendar].[Day_Of_Week].[All]" allUniqueName="[BI vw_FinCalendar].[Day_Of_Week].[All]" dimensionUniqueName="[BI vw_FinCalendar]" displayFolder="" count="0" memberValueDatatype="130" unbalanced="0"/>
    <cacheHierarchy uniqueName="[BI vw_FinCalendar].[Day_Of_Week_Sort]" caption="Day_Of_Week_Sort" attribute="1" defaultMemberUniqueName="[BI vw_FinCalendar].[Day_Of_Week_Sort].[All]" allUniqueName="[BI vw_FinCalendar].[Day_Of_Week_Sort].[All]" dimensionUniqueName="[BI vw_FinCalendar]" displayFolder="" count="0" memberValueDatatype="130" unbalanced="0"/>
    <cacheHierarchy uniqueName="[BI vw_FinCalendar].[Fin_Period]" caption="Fin_Period" attribute="1" defaultMemberUniqueName="[BI vw_FinCalendar].[Fin_Period].[All]" allUniqueName="[BI vw_FinCalendar].[Fin_Period].[All]" dimensionUniqueName="[BI vw_FinCalendar]" displayFolder="" count="0" memberValueDatatype="20" unbalanced="0"/>
    <cacheHierarchy uniqueName="[BI vw_FinCalendar].[Fin_Week]" caption="Fin_Week" attribute="1" defaultMemberUniqueName="[BI vw_FinCalendar].[Fin_Week].[All]" allUniqueName="[BI vw_FinCalendar].[Fin_Week].[All]" dimensionUniqueName="[BI vw_FinCalendar]" displayFolder="" count="0" memberValueDatatype="20" unbalanced="0"/>
    <cacheHierarchy uniqueName="[BI vw_FinCalendar].[Fin_Year]" caption="Fin_Year" attribute="1" defaultMemberUniqueName="[BI vw_FinCalendar].[Fin_Year].[All]" allUniqueName="[BI vw_FinCalendar].[Fin_Year].[All]" dimensionUniqueName="[BI vw_FinCalendar]" displayFolder="" count="0" memberValueDatatype="20" unbalanced="0"/>
    <cacheHierarchy uniqueName="[BI vw_FinCalendar].[Fiscal Month]" caption="Fiscal Month" attribute="1" defaultMemberUniqueName="[BI vw_FinCalendar].[Fiscal Month].[All]" allUniqueName="[BI vw_FinCalendar].[Fiscal Month].[All]" dimensionUniqueName="[BI vw_FinCalendar]" displayFolder="" count="0" memberValueDatatype="130" unbalanced="0"/>
    <cacheHierarchy uniqueName="[BI vw_FinCalendar].[FY]" caption="FY" attribute="1" defaultMemberUniqueName="[BI vw_FinCalendar].[FY].[All]" allUniqueName="[BI vw_FinCalendar].[FY].[All]" dimensionUniqueName="[BI vw_FinCalendar]" displayFolder="" count="0" memberValueDatatype="130" unbalanced="0"/>
    <cacheHierarchy uniqueName="[BI vw_FinCalendar].[Is_Last_Week]" caption="Is_Last_Week" attribute="1" defaultMemberUniqueName="[BI vw_FinCalendar].[Is_Last_Week].[All]" allUniqueName="[BI vw_FinCalendar].[Is_Last_Week].[All]" dimensionUniqueName="[BI vw_FinCalendar]" displayFolder="" count="0" memberValueDatatype="20" unbalanced="0"/>
    <cacheHierarchy uniqueName="[BI vw_FinCalendar].[Is_ThisMonth]" caption="Is_ThisMonth" attribute="1" defaultMemberUniqueName="[BI vw_FinCalendar].[Is_ThisMonth].[All]" allUniqueName="[BI vw_FinCalendar].[Is_ThisMonth].[All]" dimensionUniqueName="[BI vw_FinCalendar]" displayFolder="" count="0" memberValueDatatype="20" unbalanced="0"/>
    <cacheHierarchy uniqueName="[BI vw_FinCalendar].[Is_ThisWeek]" caption="Is_ThisWeek" attribute="1" defaultMemberUniqueName="[BI vw_FinCalendar].[Is_ThisWeek].[All]" allUniqueName="[BI vw_FinCalendar].[Is_ThisWeek].[All]" dimensionUniqueName="[BI vw_FinCalendar]" displayFolder="" count="0" memberValueDatatype="20" unbalanced="0"/>
    <cacheHierarchy uniqueName="[BI vw_FinCalendar].[Is_ThisYear]" caption="Is_ThisYear" attribute="1" defaultMemberUniqueName="[BI vw_FinCalendar].[Is_ThisYear].[All]" allUniqueName="[BI vw_FinCalendar].[Is_ThisYear].[All]" dimensionUniqueName="[BI vw_FinCalendar]" displayFolder="" count="0" memberValueDatatype="20" unbalanced="0"/>
    <cacheHierarchy uniqueName="[BI vw_FinCalendar].[Is_Today]" caption="Is_Today" attribute="1" defaultMemberUniqueName="[BI vw_FinCalendar].[Is_Today].[All]" allUniqueName="[BI vw_FinCalendar].[Is_Today].[All]" dimensionUniqueName="[BI vw_FinCalendar]" displayFolder="" count="0" memberValueDatatype="20" unbalanced="0"/>
    <cacheHierarchy uniqueName="[BI vw_FinCalendar].[Month]" caption="Month" attribute="1" defaultMemberUniqueName="[BI vw_FinCalendar].[Month].[All]" allUniqueName="[BI vw_FinCalendar].[Month].[All]" dimensionUniqueName="[BI vw_FinCalendar]" displayFolder="" count="0" memberValueDatatype="130" unbalanced="0"/>
    <cacheHierarchy uniqueName="[BI vw_FinCalendar].[Month_Display]" caption="Month_Display" attribute="1" defaultMemberUniqueName="[BI vw_FinCalendar].[Month_Display].[All]" allUniqueName="[BI vw_FinCalendar].[Month_Display].[All]" dimensionUniqueName="[BI vw_FinCalendar]" displayFolder="" count="0" memberValueDatatype="130" unbalanced="0"/>
    <cacheHierarchy uniqueName="[BI vw_FinCalendar].[Month_Number]" caption="Month_Number" attribute="1" defaultMemberUniqueName="[BI vw_FinCalendar].[Month_Number].[All]" allUniqueName="[BI vw_FinCalendar].[Month_Number].[All]" dimensionUniqueName="[BI vw_FinCalendar]" displayFolder="" count="0" memberValueDatatype="20" unbalanced="0"/>
    <cacheHierarchy uniqueName="[BI vw_FinCalendar].[Quarter]" caption="Quarter" attribute="1" defaultMemberUniqueName="[BI vw_FinCalendar].[Quarter].[All]" allUniqueName="[BI vw_FinCalendar].[Quarter].[All]" dimensionUniqueName="[BI vw_FinCalendar]" displayFolder="" count="0" memberValueDatatype="130" unbalanced="0"/>
    <cacheHierarchy uniqueName="[BI vw_FinCalendar].[Quarter date]" caption="Quarter date" attribute="1" time="1" defaultMemberUniqueName="[BI vw_FinCalendar].[Quarter date].[All]" allUniqueName="[BI vw_FinCalendar].[Quarter date].[All]" dimensionUniqueName="[BI vw_FinCalendar]" displayFolder="" count="0" memberValueDatatype="7" unbalanced="0"/>
    <cacheHierarchy uniqueName="[BI vw_FinCalendar].[Querter]" caption="Querter" attribute="1" defaultMemberUniqueName="[BI vw_FinCalendar].[Querter].[All]" allUniqueName="[BI vw_FinCalendar].[Querter].[All]" dimensionUniqueName="[BI vw_FinCalendar]" displayFolder="" count="0" memberValueDatatype="20" unbalanced="0"/>
    <cacheHierarchy uniqueName="[BI vw_FinCalendar].[Sort_Order]" caption="Sort_Order" attribute="1" defaultMemberUniqueName="[BI vw_FinCalendar].[Sort_Order].[All]" allUniqueName="[BI vw_FinCalendar].[Sort_Order].[All]" dimensionUniqueName="[BI vw_FinCalendar]" displayFolder="" count="0" memberValueDatatype="20" unbalanced="0"/>
    <cacheHierarchy uniqueName="[BI vw_FinCalendar].[Sort_Order1]" caption="Sort_Order1" attribute="1" defaultMemberUniqueName="[BI vw_FinCalendar].[Sort_Order1].[All]" allUniqueName="[BI vw_FinCalendar].[Sort_Order1].[All]" dimensionUniqueName="[BI vw_FinCalendar]" displayFolder="" count="0" memberValueDatatype="20" unbalanced="0"/>
    <cacheHierarchy uniqueName="[BI vw_FinCalendar].[ThisQuarter]" caption="ThisQuarter" attribute="1" defaultMemberUniqueName="[BI vw_FinCalendar].[ThisQuarter].[All]" allUniqueName="[BI vw_FinCalendar].[ThisQuarter].[All]" dimensionUniqueName="[BI vw_FinCalendar]" displayFolder="" count="0" memberValueDatatype="130" unbalanced="0"/>
    <cacheHierarchy uniqueName="[BI vw_FinCalendar].[YearFinPeriod]" caption="YearFinPeriod" attribute="1" defaultMemberUniqueName="[BI vw_FinCalendar].[YearFinPeriod].[All]" allUniqueName="[BI vw_FinCalendar].[YearFinPeriod].[All]" dimensionUniqueName="[BI vw_FinCalendar]" displayFolder="" count="0" memberValueDatatype="130" unbalanced="0"/>
    <cacheHierarchy uniqueName="[BI vw_Store].[AreaLeader]" caption="AreaLeader" attribute="1" defaultMemberUniqueName="[BI vw_Store].[AreaLeader].[All]" allUniqueName="[BI vw_Store].[AreaLeader].[All]" dimensionUniqueName="[BI vw_Store]" displayFolder="" count="0" memberValueDatatype="130" unbalanced="0"/>
    <cacheHierarchy uniqueName="[BI vw_Store].[BranchType]" caption="BranchType" attribute="1" defaultMemberUniqueName="[BI vw_Store].[BranchType].[All]" allUniqueName="[BI vw_Store].[BranchType].[All]" dimensionUniqueName="[BI vw_Store]" displayFolder="" count="2" memberValueDatatype="130" unbalanced="0">
      <fieldsUsage count="2">
        <fieldUsage x="-1"/>
        <fieldUsage x="4"/>
      </fieldsUsage>
    </cacheHierarchy>
    <cacheHierarchy uniqueName="[BI vw_Store].[CompFlag]" caption="CompFlag" attribute="1" defaultMemberUniqueName="[BI vw_Store].[CompFlag].[All]" allUniqueName="[BI vw_Store].[CompFlag].[All]" dimensionUniqueName="[BI vw_Store]" displayFolder="" count="0" memberValueDatatype="130" unbalanced="0"/>
    <cacheHierarchy uniqueName="[BI vw_Store].[Country]" caption="Country" attribute="1" defaultMemberUniqueName="[BI vw_Store].[Country].[All]" allUniqueName="[BI vw_Store].[Country].[All]" dimensionUniqueName="[BI vw_Store]" displayFolder="" count="2" memberValueDatatype="130" unbalanced="0">
      <fieldsUsage count="2">
        <fieldUsage x="-1"/>
        <fieldUsage x="3"/>
      </fieldsUsage>
    </cacheHierarchy>
    <cacheHierarchy uniqueName="[BI vw_Store].[FreedomArea]" caption="FreedomArea" attribute="1" defaultMemberUniqueName="[BI vw_Store].[FreedomArea].[All]" allUniqueName="[BI vw_Store].[FreedomArea].[All]" dimensionUniqueName="[BI vw_Store]" displayFolder="" count="0" memberValueDatatype="5" unbalanced="0"/>
    <cacheHierarchy uniqueName="[BI vw_Store].[IsActive]" caption="IsActive" attribute="1" defaultMemberUniqueName="[BI vw_Store].[IsActive].[All]" allUniqueName="[BI vw_Store].[IsActive].[All]" dimensionUniqueName="[BI vw_Store]" displayFolder="" count="0" memberValueDatatype="130" unbalanced="0"/>
    <cacheHierarchy uniqueName="[BI vw_Store].[IsDC]" caption="IsDC" attribute="1" defaultMemberUniqueName="[BI vw_Store].[IsDC].[All]" allUniqueName="[BI vw_Store].[IsDC].[All]" dimensionUniqueName="[BI vw_Store]" displayFolder="" count="0" memberValueDatatype="11" unbalanced="0"/>
    <cacheHierarchy uniqueName="[BI vw_Store].[IsHO]" caption="IsHO" attribute="1" defaultMemberUniqueName="[BI vw_Store].[IsHO].[All]" allUniqueName="[BI vw_Store].[IsHO].[All]" dimensionUniqueName="[BI vw_Store]" displayFolder="" count="0" memberValueDatatype="11" unbalanced="0"/>
    <cacheHierarchy uniqueName="[BI vw_Store].[State]" caption="State" attribute="1" defaultMemberUniqueName="[BI vw_Store].[State].[All]" allUniqueName="[BI vw_Store].[State].[All]" dimensionUniqueName="[BI vw_Store]" displayFolder="" count="0" memberValueDatatype="130" unbalanced="0"/>
    <cacheHierarchy uniqueName="[BI vw_Store].[StoreCategory]" caption="StoreCategory" attribute="1" defaultMemberUniqueName="[BI vw_Store].[StoreCategory].[All]" allUniqueName="[BI vw_Store].[StoreCategory].[All]" dimensionUniqueName="[BI vw_Store]" displayFolder="" count="0" memberValueDatatype="130" unbalanced="0"/>
    <cacheHierarchy uniqueName="[BI vw_Store].[StoreCode]" caption="StoreCode" attribute="1" defaultMemberUniqueName="[BI vw_Store].[StoreCode].[All]" allUniqueName="[BI vw_Store].[StoreCode].[All]" dimensionUniqueName="[BI vw_Store]" displayFolder="" count="0" memberValueDatatype="130" unbalanced="0"/>
    <cacheHierarchy uniqueName="[BI vw_Store].[StoreKey]" caption="StoreKey" attribute="1" defaultMemberUniqueName="[BI vw_Store].[StoreKey].[All]" allUniqueName="[BI vw_Store].[StoreKey].[All]" dimensionUniqueName="[BI vw_Store]" displayFolder="" count="0" memberValueDatatype="130" unbalanced="0"/>
    <cacheHierarchy uniqueName="[BI vw_Store].[StoreName]" caption="StoreName" attribute="1" defaultMemberUniqueName="[BI vw_Store].[StoreName].[All]" allUniqueName="[BI vw_Store].[StoreName].[All]" dimensionUniqueName="[BI vw_Store]" displayFolder="" count="0" memberValueDatatype="130" unbalanced="0"/>
    <cacheHierarchy uniqueName="[BI vw_Store].[StoreType]" caption="StoreType" attribute="1" defaultMemberUniqueName="[BI vw_Store].[StoreType].[All]" allUniqueName="[BI vw_Store].[StoreType].[All]" dimensionUniqueName="[BI vw_Store]" displayFolder="" count="0" memberValueDatatype="130" unbalanced="0"/>
    <cacheHierarchy uniqueName="[BI vw_Store].[SubLeasedArea]" caption="SubLeasedArea" attribute="1" defaultMemberUniqueName="[BI vw_Store].[SubLeasedArea].[All]" allUniqueName="[BI vw_Store].[SubLeasedArea].[All]" dimensionUniqueName="[BI vw_Store]" displayFolder="" count="0" memberValueDatatype="5" unbalanced="0"/>
    <cacheHierarchy uniqueName="[BI vw_Store].[SubLeasedCompany]" caption="SubLeasedCompany" attribute="1" defaultMemberUniqueName="[BI vw_Store].[SubLeasedCompany].[All]" allUniqueName="[BI vw_Store].[SubLeasedCompany].[All]" dimensionUniqueName="[BI vw_Store]" displayFolder="" count="0" memberValueDatatype="130" unbalanced="0"/>
    <cacheHierarchy uniqueName="[BI vw_Store].[TotalArea]" caption="TotalArea" attribute="1" defaultMemberUniqueName="[BI vw_Store].[TotalArea].[All]" allUniqueName="[BI vw_Store].[TotalArea].[All]" dimensionUniqueName="[BI vw_Store]" displayFolder="" count="0" memberValueDatatype="5" unbalanced="0"/>
    <cacheHierarchy uniqueName="[CalendarMapping].[Fin_Year]" caption="Fin_Year" attribute="1" defaultMemberUniqueName="[CalendarMapping].[Fin_Year].[All]" allUniqueName="[CalendarMapping].[Fin_Year].[All]" dimensionUniqueName="[CalendarMapping]" displayFolder="" count="0" memberValueDatatype="20" unbalanced="0"/>
    <cacheHierarchy uniqueName="[CalendarMapping].[YearFinPeriod]" caption="YearFinPeriod" attribute="1" defaultMemberUniqueName="[CalendarMapping].[YearFinPeriod].[All]" allUniqueName="[CalendarMapping].[YearFinPeriod].[All]" dimensionUniqueName="[CalendarMapping]" displayFolder="" count="0" memberValueDatatype="130" unbalanced="0"/>
    <cacheHierarchy uniqueName="[DC SO].[EntityName]" caption="EntityName" attribute="1" defaultMemberUniqueName="[DC SO].[EntityName].[All]" allUniqueName="[DC SO].[EntityName].[All]" dimensionUniqueName="[DC SO]" displayFolder="" count="0" memberValueDatatype="130" unbalanced="0"/>
    <cacheHierarchy uniqueName="[DC SO].[SortOrder]" caption="SortOrder" attribute="1" defaultMemberUniqueName="[DC SO].[SortOrder].[All]" allUniqueName="[DC SO].[SortOrder].[All]" dimensionUniqueName="[DC SO]" displayFolder="" count="0" memberValueDatatype="20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Quarter]" caption="Quarter" attribute="1" defaultMemberUniqueName="[dim_period].[Quarter].[All]" allUniqueName="[dim_period].[Quarter].[All]" dimensionUniqueName="[dim_period]" displayFolder="" count="0" memberValueDatatype="13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Month Sort].[Month_Display]" caption="Month_Display" attribute="1" defaultMemberUniqueName="[Month Sort].[Month_Display].[All]" allUniqueName="[Month Sort].[Month_Display].[All]" dimensionUniqueName="[Month Sort]" displayFolder="" count="0" memberValueDatatype="130" unbalanced="0"/>
    <cacheHierarchy uniqueName="[Month Sort].[Number]" caption="Number" attribute="1" defaultMemberUniqueName="[Month Sort].[Number].[All]" allUniqueName="[Month Sort].[Number].[All]" dimensionUniqueName="[Month Sort]" displayFolder="" count="0" memberValueDatatype="20" unbalanced="0"/>
    <cacheHierarchy uniqueName="[Month Sort].[Sort_Order1]" caption="Sort_Order1" attribute="1" defaultMemberUniqueName="[Month Sort].[Sort_Order1].[All]" allUniqueName="[Month Sort].[Sort_Order1].[All]" dimensionUniqueName="[Month Sort]" displayFolder="" count="0" memberValueDatatype="20" unbalanced="0"/>
    <cacheHierarchy uniqueName="[TimePeriod].[TimePeriod]" caption="TimePeriod" attribute="1" defaultMemberUniqueName="[TimePeriod].[TimePeriod].[All]" allUniqueName="[TimePeriod].[TimePeriod].[All]" dimensionUniqueName="[TimePeriod]" displayFolder="" count="0" memberValueDatatype="130" unbalanced="0"/>
    <cacheHierarchy uniqueName="[TimePeriod].[TimePeriodSort]" caption="TimePeriodSort" attribute="1" defaultMemberUniqueName="[TimePeriod].[TimePeriodSort].[All]" allUniqueName="[TimePeriod].[TimePeriodSort].[All]" dimensionUniqueName="[TimePeriod]" displayFolder="" count="0" memberValueDatatype="2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0" memberValueDatatype="130" unbalanced="0"/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TimePeriodSort_Amart].[Timeline Slicer]" caption="Timeline Slicer" attribute="1" defaultMemberUniqueName="[TimePeriodSort_Amart].[Timeline Slicer].[All]" allUniqueName="[TimePeriodSort_Amart].[Timeline Slicer].[All]" dimensionUniqueName="[TimePeriodSort_Amart]" displayFolder="" count="0" memberValueDatatype="130" unbalanced="0"/>
    <cacheHierarchy uniqueName="[TimePeriodSort_Amart].[TimePeriod]" caption="TimePeriod" attribute="1" defaultMemberUniqueName="[TimePeriodSort_Amart].[TimePeriod].[All]" allUniqueName="[TimePeriodSort_Amart].[TimePeriod].[All]" dimensionUniqueName="[TimePeriodSort_Amart]" displayFolder="" count="0" memberValueDatatype="130" unbalanced="0"/>
    <cacheHierarchy uniqueName="[TimePeriodSort_Amart].[TimePeriodSort]" caption="TimePeriodSort" attribute="1" defaultMemberUniqueName="[TimePeriodSort_Amart].[TimePeriodSort].[All]" allUniqueName="[TimePeriodSort_Amart].[TimePeriodSort].[All]" dimensionUniqueName="[TimePeriodSort_Amart]" displayFolder="" count="0" memberValueDatatype="20" unbalanced="0"/>
    <cacheHierarchy uniqueName="[BI vw_MarkdownCategory].[Category]" caption="Category" attribute="1" defaultMemberUniqueName="[BI vw_MarkdownCategory].[Category].[All]" allUniqueName="[BI vw_MarkdownCategory].[Category].[All]" dimensionUniqueName="[BI vw_MarkdownCategory]" displayFolder="" count="0" memberValueDatatype="130" unbalanced="0" hidden="1"/>
    <cacheHierarchy uniqueName="[BI vw_MarkdownCategory].[Code]" caption="Code" attribute="1" defaultMemberUniqueName="[BI vw_MarkdownCategory].[Code].[All]" allUniqueName="[BI vw_MarkdownCategory].[Code].[All]" dimensionUniqueName="[BI vw_MarkdownCategory]" displayFolder="" count="0" memberValueDatatype="130" unbalanced="0" hidden="1"/>
    <cacheHierarchy uniqueName="[BI vw_Store (2)].[BranchType]" caption="BranchType" attribute="1" defaultMemberUniqueName="[BI vw_Store (2)].[BranchType].[All]" allUniqueName="[BI vw_Store (2)].[BranchType].[All]" dimensionUniqueName="[BI vw_Store (2)]" displayFolder="" count="0" memberValueDatatype="130" unbalanced="0" hidden="1"/>
    <cacheHierarchy uniqueName="[BI vw_Store (2)].[Country]" caption="Country" attribute="1" defaultMemberUniqueName="[BI vw_Store (2)].[Country].[All]" allUniqueName="[BI vw_Store (2)].[Country].[All]" dimensionUniqueName="[BI vw_Store (2)]" displayFolder="" count="0" memberValueDatatype="130" unbalanced="0" hidden="1"/>
    <cacheHierarchy uniqueName="[BI vw_Store (2)].[StoreCode]" caption="StoreCode" attribute="1" defaultMemberUniqueName="[BI vw_Store (2)].[StoreCode].[All]" allUniqueName="[BI vw_Store (2)].[StoreCode].[All]" dimensionUniqueName="[BI vw_Store (2)]" displayFolder="" count="0" memberValueDatatype="130" unbalanced="0" hidden="1"/>
    <cacheHierarchy uniqueName="[DateTableTemplate_3f9b2c98-215a-4ac6-bb5b-5edb3fb7613d].[Date]" caption="Date" attribute="1" time="1" defaultMemberUniqueName="[DateTableTemplate_3f9b2c98-215a-4ac6-bb5b-5edb3fb7613d].[Date].[All]" allUniqueName="[DateTableTemplate_3f9b2c98-215a-4ac6-bb5b-5edb3fb7613d].[Date].[All]" dimensionUniqueName="[DateTableTemplate_3f9b2c98-215a-4ac6-bb5b-5edb3fb7613d]" displayFolder="" count="0" memberValueDatatype="7" unbalanced="0" hidden="1"/>
    <cacheHierarchy uniqueName="[DateTableTemplate_3f9b2c98-215a-4ac6-bb5b-5edb3fb7613d].[Date Hierarchy]" caption="Date Hierarchy" defaultMemberUniqueName="[DateTableTemplate_3f9b2c98-215a-4ac6-bb5b-5edb3fb7613d].[Date Hierarchy].[All]" allUniqueName="[DateTableTemplate_3f9b2c98-215a-4ac6-bb5b-5edb3fb7613d].[Date Hierarchy].[All]" dimensionUniqueName="[DateTableTemplate_3f9b2c98-215a-4ac6-bb5b-5edb3fb7613d]" displayFolder="" count="0" unbalanced="0" hidden="1"/>
    <cacheHierarchy uniqueName="[DateTableTemplate_3f9b2c98-215a-4ac6-bb5b-5edb3fb7613d].[Day]" caption="Day" attribute="1" defaultMemberUniqueName="[DateTableTemplate_3f9b2c98-215a-4ac6-bb5b-5edb3fb7613d].[Day].[All]" allUniqueName="[DateTableTemplate_3f9b2c98-215a-4ac6-bb5b-5edb3fb7613d].[Day].[All]" dimensionUniqueName="[DateTableTemplate_3f9b2c98-215a-4ac6-bb5b-5edb3fb7613d]" displayFolder="" count="0" memberValueDatatype="20" unbalanced="0" hidden="1"/>
    <cacheHierarchy uniqueName="[DateTableTemplate_3f9b2c98-215a-4ac6-bb5b-5edb3fb7613d].[Month]" caption="Month" attribute="1" defaultMemberUniqueName="[DateTableTemplate_3f9b2c98-215a-4ac6-bb5b-5edb3fb7613d].[Month].[All]" allUniqueName="[DateTableTemplate_3f9b2c98-215a-4ac6-bb5b-5edb3fb7613d].[Month].[All]" dimensionUniqueName="[DateTableTemplate_3f9b2c98-215a-4ac6-bb5b-5edb3fb7613d]" displayFolder="" count="0" memberValueDatatype="130" unbalanced="0" hidden="1"/>
    <cacheHierarchy uniqueName="[DateTableTemplate_3f9b2c98-215a-4ac6-bb5b-5edb3fb7613d].[MonthNo]" caption="MonthNo" attribute="1" defaultMemberUniqueName="[DateTableTemplate_3f9b2c98-215a-4ac6-bb5b-5edb3fb7613d].[MonthNo].[All]" allUniqueName="[DateTableTemplate_3f9b2c98-215a-4ac6-bb5b-5edb3fb7613d].[MonthNo].[All]" dimensionUniqueName="[DateTableTemplate_3f9b2c98-215a-4ac6-bb5b-5edb3fb7613d]" displayFolder="" count="0" memberValueDatatype="20" unbalanced="0" hidden="1"/>
    <cacheHierarchy uniqueName="[DateTableTemplate_3f9b2c98-215a-4ac6-bb5b-5edb3fb7613d].[Quarter]" caption="Quarter" attribute="1" defaultMemberUniqueName="[DateTableTemplate_3f9b2c98-215a-4ac6-bb5b-5edb3fb7613d].[Quarter].[All]" allUniqueName="[DateTableTemplate_3f9b2c98-215a-4ac6-bb5b-5edb3fb7613d].[Quarter].[All]" dimensionUniqueName="[DateTableTemplate_3f9b2c98-215a-4ac6-bb5b-5edb3fb7613d]" displayFolder="" count="0" memberValueDatatype="130" unbalanced="0" hidden="1"/>
    <cacheHierarchy uniqueName="[DateTableTemplate_3f9b2c98-215a-4ac6-bb5b-5edb3fb7613d].[QuarterNo]" caption="QuarterNo" attribute="1" defaultMemberUniqueName="[DateTableTemplate_3f9b2c98-215a-4ac6-bb5b-5edb3fb7613d].[QuarterNo].[All]" allUniqueName="[DateTableTemplate_3f9b2c98-215a-4ac6-bb5b-5edb3fb7613d].[QuarterNo].[All]" dimensionUniqueName="[DateTableTemplate_3f9b2c98-215a-4ac6-bb5b-5edb3fb7613d]" displayFolder="" count="0" memberValueDatatype="20" unbalanced="0" hidden="1"/>
    <cacheHierarchy uniqueName="[DateTableTemplate_3f9b2c98-215a-4ac6-bb5b-5edb3fb7613d].[Year]" caption="Year" attribute="1" defaultMemberUniqueName="[DateTableTemplate_3f9b2c98-215a-4ac6-bb5b-5edb3fb7613d].[Year].[All]" allUniqueName="[DateTableTemplate_3f9b2c98-215a-4ac6-bb5b-5edb3fb7613d].[Year].[All]" dimensionUniqueName="[DateTableTemplate_3f9b2c98-215a-4ac6-bb5b-5edb3fb7613d]" displayFolder="" count="0" memberValueDatatype="20" unbalanced="0" hidden="1"/>
    <cacheHierarchy uniqueName="[LocalDateTable_2dc8ec59-2991-4ed7-b97f-b3968012b3bf].[Date]" caption="Date" attribute="1" time="1" defaultMemberUniqueName="[LocalDateTable_2dc8ec59-2991-4ed7-b97f-b3968012b3bf].[Date].[All]" allUniqueName="[LocalDateTable_2dc8ec59-2991-4ed7-b97f-b3968012b3bf].[Date].[All]" dimensionUniqueName="[LocalDateTable_2dc8ec59-2991-4ed7-b97f-b3968012b3bf]" displayFolder="" count="0" memberValueDatatype="7" unbalanced="0" hidden="1"/>
    <cacheHierarchy uniqueName="[LocalDateTable_2dc8ec59-2991-4ed7-b97f-b3968012b3bf].[Date Hierarchy]" caption="Date Hierarchy" defaultMemberUniqueName="[LocalDateTable_2dc8ec59-2991-4ed7-b97f-b3968012b3bf].[Date Hierarchy].[All]" allUniqueName="[LocalDateTable_2dc8ec59-2991-4ed7-b97f-b3968012b3bf].[Date Hierarchy].[All]" dimensionUniqueName="[LocalDateTable_2dc8ec59-2991-4ed7-b97f-b3968012b3bf]" displayFolder="" count="0" unbalanced="0" hidden="1"/>
    <cacheHierarchy uniqueName="[LocalDateTable_2dc8ec59-2991-4ed7-b97f-b3968012b3bf].[Day]" caption="Day" attribute="1" defaultMemberUniqueName="[LocalDateTable_2dc8ec59-2991-4ed7-b97f-b3968012b3bf].[Day].[All]" allUniqueName="[LocalDateTable_2dc8ec59-2991-4ed7-b97f-b3968012b3bf].[Day].[All]" dimensionUniqueName="[LocalDateTable_2dc8ec59-2991-4ed7-b97f-b3968012b3bf]" displayFolder="" count="0" memberValueDatatype="20" unbalanced="0" hidden="1"/>
    <cacheHierarchy uniqueName="[LocalDateTable_2dc8ec59-2991-4ed7-b97f-b3968012b3bf].[Month]" caption="Month" attribute="1" defaultMemberUniqueName="[LocalDateTable_2dc8ec59-2991-4ed7-b97f-b3968012b3bf].[Month].[All]" allUniqueName="[LocalDateTable_2dc8ec59-2991-4ed7-b97f-b3968012b3bf].[Month].[All]" dimensionUniqueName="[LocalDateTable_2dc8ec59-2991-4ed7-b97f-b3968012b3bf]" displayFolder="" count="0" memberValueDatatype="130" unbalanced="0" hidden="1"/>
    <cacheHierarchy uniqueName="[LocalDateTable_2dc8ec59-2991-4ed7-b97f-b3968012b3bf].[MonthNo]" caption="MonthNo" attribute="1" defaultMemberUniqueName="[LocalDateTable_2dc8ec59-2991-4ed7-b97f-b3968012b3bf].[MonthNo].[All]" allUniqueName="[LocalDateTable_2dc8ec59-2991-4ed7-b97f-b3968012b3bf].[MonthNo].[All]" dimensionUniqueName="[LocalDateTable_2dc8ec59-2991-4ed7-b97f-b3968012b3bf]" displayFolder="" count="0" memberValueDatatype="20" unbalanced="0" hidden="1"/>
    <cacheHierarchy uniqueName="[LocalDateTable_2dc8ec59-2991-4ed7-b97f-b3968012b3bf].[Quarter]" caption="Quarter" attribute="1" defaultMemberUniqueName="[LocalDateTable_2dc8ec59-2991-4ed7-b97f-b3968012b3bf].[Quarter].[All]" allUniqueName="[LocalDateTable_2dc8ec59-2991-4ed7-b97f-b3968012b3bf].[Quarter].[All]" dimensionUniqueName="[LocalDateTable_2dc8ec59-2991-4ed7-b97f-b3968012b3bf]" displayFolder="" count="0" memberValueDatatype="130" unbalanced="0" hidden="1"/>
    <cacheHierarchy uniqueName="[LocalDateTable_2dc8ec59-2991-4ed7-b97f-b3968012b3bf].[QuarterNo]" caption="QuarterNo" attribute="1" defaultMemberUniqueName="[LocalDateTable_2dc8ec59-2991-4ed7-b97f-b3968012b3bf].[QuarterNo].[All]" allUniqueName="[LocalDateTable_2dc8ec59-2991-4ed7-b97f-b3968012b3bf].[QuarterNo].[All]" dimensionUniqueName="[LocalDateTable_2dc8ec59-2991-4ed7-b97f-b3968012b3bf]" displayFolder="" count="0" memberValueDatatype="20" unbalanced="0" hidden="1"/>
    <cacheHierarchy uniqueName="[LocalDateTable_2dc8ec59-2991-4ed7-b97f-b3968012b3bf].[Year]" caption="Year" attribute="1" defaultMemberUniqueName="[LocalDateTable_2dc8ec59-2991-4ed7-b97f-b3968012b3bf].[Year].[All]" allUniqueName="[LocalDateTable_2dc8ec59-2991-4ed7-b97f-b3968012b3bf].[Year].[All]" dimensionUniqueName="[LocalDateTable_2dc8ec59-2991-4ed7-b97f-b3968012b3bf]" displayFolder="" count="0" memberValueDatatype="20" unbalanced="0" hidden="1"/>
    <cacheHierarchy uniqueName="[LocalDateTable_35b2b28c-5e49-4861-9014-eb0865a61f58].[Date]" caption="Date" attribute="1" time="1" defaultMemberUniqueName="[LocalDateTable_35b2b28c-5e49-4861-9014-eb0865a61f58].[Date].[All]" allUniqueName="[LocalDateTable_35b2b28c-5e49-4861-9014-eb0865a61f58].[Date].[All]" dimensionUniqueName="[LocalDateTable_35b2b28c-5e49-4861-9014-eb0865a61f58]" displayFolder="" count="0" memberValueDatatype="7" unbalanced="0" hidden="1"/>
    <cacheHierarchy uniqueName="[LocalDateTable_35b2b28c-5e49-4861-9014-eb0865a61f58].[Date Hierarchy]" caption="Date Hierarchy" defaultMemberUniqueName="[LocalDateTable_35b2b28c-5e49-4861-9014-eb0865a61f58].[Date Hierarchy].[All]" allUniqueName="[LocalDateTable_35b2b28c-5e49-4861-9014-eb0865a61f58].[Date Hierarchy].[All]" dimensionUniqueName="[LocalDateTable_35b2b28c-5e49-4861-9014-eb0865a61f58]" displayFolder="" count="0" unbalanced="0" hidden="1"/>
    <cacheHierarchy uniqueName="[LocalDateTable_35b2b28c-5e49-4861-9014-eb0865a61f58].[Day]" caption="Day" attribute="1" defaultMemberUniqueName="[LocalDateTable_35b2b28c-5e49-4861-9014-eb0865a61f58].[Day].[All]" allUniqueName="[LocalDateTable_35b2b28c-5e49-4861-9014-eb0865a61f58].[Day].[All]" dimensionUniqueName="[LocalDateTable_35b2b28c-5e49-4861-9014-eb0865a61f58]" displayFolder="" count="0" memberValueDatatype="20" unbalanced="0" hidden="1"/>
    <cacheHierarchy uniqueName="[LocalDateTable_35b2b28c-5e49-4861-9014-eb0865a61f58].[Month]" caption="Month" attribute="1" defaultMemberUniqueName="[LocalDateTable_35b2b28c-5e49-4861-9014-eb0865a61f58].[Month].[All]" allUniqueName="[LocalDateTable_35b2b28c-5e49-4861-9014-eb0865a61f58].[Month].[All]" dimensionUniqueName="[LocalDateTable_35b2b28c-5e49-4861-9014-eb0865a61f58]" displayFolder="" count="0" memberValueDatatype="130" unbalanced="0" hidden="1"/>
    <cacheHierarchy uniqueName="[LocalDateTable_35b2b28c-5e49-4861-9014-eb0865a61f58].[MonthNo]" caption="MonthNo" attribute="1" defaultMemberUniqueName="[LocalDateTable_35b2b28c-5e49-4861-9014-eb0865a61f58].[MonthNo].[All]" allUniqueName="[LocalDateTable_35b2b28c-5e49-4861-9014-eb0865a61f58].[MonthNo].[All]" dimensionUniqueName="[LocalDateTable_35b2b28c-5e49-4861-9014-eb0865a61f58]" displayFolder="" count="0" memberValueDatatype="20" unbalanced="0" hidden="1"/>
    <cacheHierarchy uniqueName="[LocalDateTable_35b2b28c-5e49-4861-9014-eb0865a61f58].[Quarter]" caption="Quarter" attribute="1" defaultMemberUniqueName="[LocalDateTable_35b2b28c-5e49-4861-9014-eb0865a61f58].[Quarter].[All]" allUniqueName="[LocalDateTable_35b2b28c-5e49-4861-9014-eb0865a61f58].[Quarter].[All]" dimensionUniqueName="[LocalDateTable_35b2b28c-5e49-4861-9014-eb0865a61f58]" displayFolder="" count="0" memberValueDatatype="130" unbalanced="0" hidden="1"/>
    <cacheHierarchy uniqueName="[LocalDateTable_35b2b28c-5e49-4861-9014-eb0865a61f58].[QuarterNo]" caption="QuarterNo" attribute="1" defaultMemberUniqueName="[LocalDateTable_35b2b28c-5e49-4861-9014-eb0865a61f58].[QuarterNo].[All]" allUniqueName="[LocalDateTable_35b2b28c-5e49-4861-9014-eb0865a61f58].[QuarterNo].[All]" dimensionUniqueName="[LocalDateTable_35b2b28c-5e49-4861-9014-eb0865a61f58]" displayFolder="" count="0" memberValueDatatype="20" unbalanced="0" hidden="1"/>
    <cacheHierarchy uniqueName="[LocalDateTable_35b2b28c-5e49-4861-9014-eb0865a61f58].[Year]" caption="Year" attribute="1" defaultMemberUniqueName="[LocalDateTable_35b2b28c-5e49-4861-9014-eb0865a61f58].[Year].[All]" allUniqueName="[LocalDateTable_35b2b28c-5e49-4861-9014-eb0865a61f58].[Year].[All]" dimensionUniqueName="[LocalDateTable_35b2b28c-5e49-4861-9014-eb0865a61f58]" displayFolder="" count="0" memberValueDatatype="20" unbalanced="0" hidden="1"/>
    <cacheHierarchy uniqueName="[LocalDateTable_3ea1f34c-3b67-443a-8479-d47192825849].[Date]" caption="Date" attribute="1" time="1" defaultMemberUniqueName="[LocalDateTable_3ea1f34c-3b67-443a-8479-d47192825849].[Date].[All]" allUniqueName="[LocalDateTable_3ea1f34c-3b67-443a-8479-d47192825849].[Date].[All]" dimensionUniqueName="[LocalDateTable_3ea1f34c-3b67-443a-8479-d47192825849]" displayFolder="" count="0" memberValueDatatype="7" unbalanced="0" hidden="1"/>
    <cacheHierarchy uniqueName="[LocalDateTable_3ea1f34c-3b67-443a-8479-d47192825849].[Date Hierarchy]" caption="Date Hierarchy" defaultMemberUniqueName="[LocalDateTable_3ea1f34c-3b67-443a-8479-d47192825849].[Date Hierarchy].[All]" allUniqueName="[LocalDateTable_3ea1f34c-3b67-443a-8479-d47192825849].[Date Hierarchy].[All]" dimensionUniqueName="[LocalDateTable_3ea1f34c-3b67-443a-8479-d47192825849]" displayFolder="" count="0" unbalanced="0" hidden="1"/>
    <cacheHierarchy uniqueName="[LocalDateTable_3ea1f34c-3b67-443a-8479-d47192825849].[Day]" caption="Day" attribute="1" defaultMemberUniqueName="[LocalDateTable_3ea1f34c-3b67-443a-8479-d47192825849].[Day].[All]" allUniqueName="[LocalDateTable_3ea1f34c-3b67-443a-8479-d47192825849].[Day].[All]" dimensionUniqueName="[LocalDateTable_3ea1f34c-3b67-443a-8479-d47192825849]" displayFolder="" count="0" memberValueDatatype="20" unbalanced="0" hidden="1"/>
    <cacheHierarchy uniqueName="[LocalDateTable_3ea1f34c-3b67-443a-8479-d47192825849].[Month]" caption="Month" attribute="1" defaultMemberUniqueName="[LocalDateTable_3ea1f34c-3b67-443a-8479-d47192825849].[Month].[All]" allUniqueName="[LocalDateTable_3ea1f34c-3b67-443a-8479-d47192825849].[Month].[All]" dimensionUniqueName="[LocalDateTable_3ea1f34c-3b67-443a-8479-d47192825849]" displayFolder="" count="0" memberValueDatatype="130" unbalanced="0" hidden="1"/>
    <cacheHierarchy uniqueName="[LocalDateTable_3ea1f34c-3b67-443a-8479-d47192825849].[MonthNo]" caption="MonthNo" attribute="1" defaultMemberUniqueName="[LocalDateTable_3ea1f34c-3b67-443a-8479-d47192825849].[MonthNo].[All]" allUniqueName="[LocalDateTable_3ea1f34c-3b67-443a-8479-d47192825849].[MonthNo].[All]" dimensionUniqueName="[LocalDateTable_3ea1f34c-3b67-443a-8479-d47192825849]" displayFolder="" count="0" memberValueDatatype="20" unbalanced="0" hidden="1"/>
    <cacheHierarchy uniqueName="[LocalDateTable_3ea1f34c-3b67-443a-8479-d47192825849].[Quarter]" caption="Quarter" attribute="1" defaultMemberUniqueName="[LocalDateTable_3ea1f34c-3b67-443a-8479-d47192825849].[Quarter].[All]" allUniqueName="[LocalDateTable_3ea1f34c-3b67-443a-8479-d47192825849].[Quarter].[All]" dimensionUniqueName="[LocalDateTable_3ea1f34c-3b67-443a-8479-d47192825849]" displayFolder="" count="0" memberValueDatatype="130" unbalanced="0" hidden="1"/>
    <cacheHierarchy uniqueName="[LocalDateTable_3ea1f34c-3b67-443a-8479-d47192825849].[QuarterNo]" caption="QuarterNo" attribute="1" defaultMemberUniqueName="[LocalDateTable_3ea1f34c-3b67-443a-8479-d47192825849].[QuarterNo].[All]" allUniqueName="[LocalDateTable_3ea1f34c-3b67-443a-8479-d47192825849].[QuarterNo].[All]" dimensionUniqueName="[LocalDateTable_3ea1f34c-3b67-443a-8479-d47192825849]" displayFolder="" count="0" memberValueDatatype="20" unbalanced="0" hidden="1"/>
    <cacheHierarchy uniqueName="[LocalDateTable_3ea1f34c-3b67-443a-8479-d47192825849].[Year]" caption="Year" attribute="1" defaultMemberUniqueName="[LocalDateTable_3ea1f34c-3b67-443a-8479-d47192825849].[Year].[All]" allUniqueName="[LocalDateTable_3ea1f34c-3b67-443a-8479-d47192825849].[Year].[All]" dimensionUniqueName="[LocalDateTable_3ea1f34c-3b67-443a-8479-d47192825849]" displayFolder="" count="0" memberValueDatatype="20" unbalanced="0" hidden="1"/>
    <cacheHierarchy uniqueName="[LocalDateTable_44c7d4ef-ea67-4ad2-970c-4dd712d1bff0].[Date]" caption="Date" attribute="1" time="1" defaultMemberUniqueName="[LocalDateTable_44c7d4ef-ea67-4ad2-970c-4dd712d1bff0].[Date].[All]" allUniqueName="[LocalDateTable_44c7d4ef-ea67-4ad2-970c-4dd712d1bff0].[Date].[All]" dimensionUniqueName="[LocalDateTable_44c7d4ef-ea67-4ad2-970c-4dd712d1bff0]" displayFolder="" count="0" memberValueDatatype="7" unbalanced="0" hidden="1"/>
    <cacheHierarchy uniqueName="[LocalDateTable_44c7d4ef-ea67-4ad2-970c-4dd712d1bff0].[Date Hierarchy]" caption="Date Hierarchy" defaultMemberUniqueName="[LocalDateTable_44c7d4ef-ea67-4ad2-970c-4dd712d1bff0].[Date Hierarchy].[All]" allUniqueName="[LocalDateTable_44c7d4ef-ea67-4ad2-970c-4dd712d1bff0].[Date Hierarchy].[All]" dimensionUniqueName="[LocalDateTable_44c7d4ef-ea67-4ad2-970c-4dd712d1bff0]" displayFolder="" count="0" unbalanced="0" hidden="1"/>
    <cacheHierarchy uniqueName="[LocalDateTable_44c7d4ef-ea67-4ad2-970c-4dd712d1bff0].[Day]" caption="Day" attribute="1" defaultMemberUniqueName="[LocalDateTable_44c7d4ef-ea67-4ad2-970c-4dd712d1bff0].[Day].[All]" allUniqueName="[LocalDateTable_44c7d4ef-ea67-4ad2-970c-4dd712d1bff0].[Day].[All]" dimensionUniqueName="[LocalDateTable_44c7d4ef-ea67-4ad2-970c-4dd712d1bff0]" displayFolder="" count="0" memberValueDatatype="20" unbalanced="0" hidden="1"/>
    <cacheHierarchy uniqueName="[LocalDateTable_44c7d4ef-ea67-4ad2-970c-4dd712d1bff0].[Month]" caption="Month" attribute="1" defaultMemberUniqueName="[LocalDateTable_44c7d4ef-ea67-4ad2-970c-4dd712d1bff0].[Month].[All]" allUniqueName="[LocalDateTable_44c7d4ef-ea67-4ad2-970c-4dd712d1bff0].[Month].[All]" dimensionUniqueName="[LocalDateTable_44c7d4ef-ea67-4ad2-970c-4dd712d1bff0]" displayFolder="" count="0" memberValueDatatype="130" unbalanced="0" hidden="1"/>
    <cacheHierarchy uniqueName="[LocalDateTable_44c7d4ef-ea67-4ad2-970c-4dd712d1bff0].[MonthNo]" caption="MonthNo" attribute="1" defaultMemberUniqueName="[LocalDateTable_44c7d4ef-ea67-4ad2-970c-4dd712d1bff0].[MonthNo].[All]" allUniqueName="[LocalDateTable_44c7d4ef-ea67-4ad2-970c-4dd712d1bff0].[MonthNo].[All]" dimensionUniqueName="[LocalDateTable_44c7d4ef-ea67-4ad2-970c-4dd712d1bff0]" displayFolder="" count="0" memberValueDatatype="20" unbalanced="0" hidden="1"/>
    <cacheHierarchy uniqueName="[LocalDateTable_44c7d4ef-ea67-4ad2-970c-4dd712d1bff0].[Quarter]" caption="Quarter" attribute="1" defaultMemberUniqueName="[LocalDateTable_44c7d4ef-ea67-4ad2-970c-4dd712d1bff0].[Quarter].[All]" allUniqueName="[LocalDateTable_44c7d4ef-ea67-4ad2-970c-4dd712d1bff0].[Quarter].[All]" dimensionUniqueName="[LocalDateTable_44c7d4ef-ea67-4ad2-970c-4dd712d1bff0]" displayFolder="" count="0" memberValueDatatype="130" unbalanced="0" hidden="1"/>
    <cacheHierarchy uniqueName="[LocalDateTable_44c7d4ef-ea67-4ad2-970c-4dd712d1bff0].[QuarterNo]" caption="QuarterNo" attribute="1" defaultMemberUniqueName="[LocalDateTable_44c7d4ef-ea67-4ad2-970c-4dd712d1bff0].[QuarterNo].[All]" allUniqueName="[LocalDateTable_44c7d4ef-ea67-4ad2-970c-4dd712d1bff0].[QuarterNo].[All]" dimensionUniqueName="[LocalDateTable_44c7d4ef-ea67-4ad2-970c-4dd712d1bff0]" displayFolder="" count="0" memberValueDatatype="20" unbalanced="0" hidden="1"/>
    <cacheHierarchy uniqueName="[LocalDateTable_44c7d4ef-ea67-4ad2-970c-4dd712d1bff0].[Year]" caption="Year" attribute="1" defaultMemberUniqueName="[LocalDateTable_44c7d4ef-ea67-4ad2-970c-4dd712d1bff0].[Year].[All]" allUniqueName="[LocalDateTable_44c7d4ef-ea67-4ad2-970c-4dd712d1bff0].[Year].[All]" dimensionUniqueName="[LocalDateTable_44c7d4ef-ea67-4ad2-970c-4dd712d1bff0]" displayFolder="" count="0" memberValueDatatype="20" unbalanced="0" hidden="1"/>
    <cacheHierarchy uniqueName="[Measure].[Column]" caption="Column" attribute="1" defaultMemberUniqueName="[Measure].[Column].[All]" allUniqueName="[Measure].[Column].[All]" dimensionUniqueName="[Measure]" displayFolder="" count="0" memberValueDatatype="20" unbalanced="0" hidden="1"/>
    <cacheHierarchy uniqueName="[Measures].[Current Quarter]" caption="Current Quarter" measure="1" displayFolder="" measureGroup="BI vw_FinCalendar" count="0"/>
    <cacheHierarchy uniqueName="[Measures].[Delivered Sales Ex GST]" caption="Delivered Sales Ex GST" measure="1" displayFolder="" measureGroup="Measure" count="0"/>
    <cacheHierarchy uniqueName="[Measures].[Sales Price]" caption="Sales Price" measure="1" displayFolder="" measureGroup="Measure" count="0"/>
    <cacheHierarchy uniqueName="[Measures].[CostInvoicedCost]" caption="CostInvoicedCost" measure="1" displayFolder="" measureGroup="Measure" count="0"/>
    <cacheHierarchy uniqueName="[Measures].[CostAmountAdjustment]" caption="CostAmountAdjustment" measure="1" displayFolder="" measureGroup="Measure" count="0"/>
    <cacheHierarchy uniqueName="[Measures].[Gross Sales]" caption="Gross Sales" measure="1" displayFolder="" measureGroup="Measure" count="0"/>
    <cacheHierarchy uniqueName="[Measures].[GM %]" caption="GM %" measure="1" displayFolder="" measureGroup="Measure" count="0"/>
    <cacheHierarchy uniqueName="[Measures].[Total Markdown]" caption="Total Markdown" measure="1" displayFolder="" measureGroup="Measure" count="0"/>
    <cacheHierarchy uniqueName="[Measures].[Quantity]" caption="Quantity" measure="1" displayFolder="" measureGroup="Measure" count="0"/>
    <cacheHierarchy uniqueName="[Measures].[Tax]" caption="Tax" measure="1" displayFolder="" measureGroup="Measure" count="0"/>
    <cacheHierarchy uniqueName="[Measures].[Gross Margin]" caption="Gross Margin" measure="1" displayFolder="" measureGroup="Measure" count="0" oneField="1">
      <fieldsUsage count="1">
        <fieldUsage x="8"/>
      </fieldsUsage>
    </cacheHierarchy>
    <cacheHierarchy uniqueName="[Measures].[ItemWholeSalePrice]" caption="ItemWholeSalePrice" measure="1" displayFolder="" measureGroup="Measure" count="0"/>
    <cacheHierarchy uniqueName="[Measures].[Line Disc]" caption="Line Disc" measure="1" displayFolder="" measureGroup="Measure" count="0"/>
    <cacheHierarchy uniqueName="[Measures].[COSTFINAL]" caption="COSTFINAL" measure="1" displayFolder="" measureGroup="Measure" count="0"/>
    <cacheHierarchy uniqueName="[Measures].[Markdown$1]" caption="Markdown$1" measure="1" displayFolder="" measureGroup="Measure" count="0"/>
    <cacheHierarchy uniqueName="[Measures].[Markdown$2]" caption="Markdown$2" measure="1" displayFolder="" measureGroup="Measure" count="0"/>
    <cacheHierarchy uniqueName="[Measures].[Total Markdown $]" caption="Total Markdown $" measure="1" displayFolder="" measureGroup="Measure" count="0"/>
    <cacheHierarchy uniqueName="[Measures].[Delivered Sales Inc GST]" caption="Delivered Sales Inc GST" measure="1" displayFolder="" measureGroup="Measure" count="0"/>
    <cacheHierarchy uniqueName="[Measures].[39% Margin]" caption="39% Margin" measure="1" displayFolder="" measureGroup="Measure" count="0"/>
    <cacheHierarchy uniqueName="[Measures].[Rebate Amount]" caption="Rebate Amount" measure="1" displayFolder="" measureGroup="Measure" count="0"/>
    <cacheHierarchy uniqueName="[Measures].[Eligible for Rebate]" caption="Eligible for Rebate" measure="1" displayFolder="" measureGroup="Measure" count="0"/>
    <cacheHierarchy uniqueName="[Measures].[Budget Variance]" caption="Budget Variance" measure="1" displayFolder="" measureGroup="Measure" count="0"/>
    <cacheHierarchy uniqueName="[Measures].[DeliveredSalesBudget]" caption="DeliveredSalesBudget" measure="1" displayFolder="" measureGroup="Measure" count="0"/>
    <cacheHierarchy uniqueName="[Measures].[% Budget Complete]" caption="% Budget Complete" measure="1" displayFolder="" measureGroup="Measure" count="0"/>
    <cacheHierarchy uniqueName="[Measures].[MarkDown]" caption="MarkDown" measure="1" displayFolder="" measureGroup="Measure" count="0"/>
    <cacheHierarchy uniqueName="[Measures].[ItemWholeSalePrice_old]" caption="ItemWholeSalePrice_old" measure="1" displayFolder="" measureGroup="Measure" count="0"/>
    <cacheHierarchy uniqueName="[Measures].[R-Gross Sales]" caption="R-Gross Sales" measure="1" displayFolder="" measureGroup="Period Measures" count="0"/>
    <cacheHierarchy uniqueName="[Measures].[R-M/D]" caption="R-M/D" measure="1" displayFolder="" measureGroup="Period Measures" count="0"/>
    <cacheHierarchy uniqueName="[Measures].[R-Delivered Sales Ex GST]" caption="R-Delivered Sales Ex GST" measure="1" displayFolder="" measureGroup="Period Measures" count="0"/>
    <cacheHierarchy uniqueName="[Measures].[R-CostFinal]" caption="R-CostFinal" measure="1" displayFolder="" measureGroup="Period Measures" count="0"/>
    <cacheHierarchy uniqueName="[Measures].[R-Trading Margin]" caption="R-Trading Margin" measure="1" displayFolder="" measureGroup="Period Measures" count="0"/>
    <cacheHierarchy uniqueName="[Measures].[R-GM%]" caption="R-GM%" measure="1" displayFolder="" measureGroup="Period Measures" count="0"/>
    <cacheHierarchy uniqueName="[Measures].[R-DeliveredSalesBudget]" caption="R-DeliveredSalesBudget" measure="1" displayFolder="" measureGroup="Period Measures" count="0"/>
    <cacheHierarchy uniqueName="[Measures].[R-Budget Variance]" caption="R-Budget Variance" measure="1" displayFolder="" measureGroup="Period Measures" count="0"/>
    <cacheHierarchy uniqueName="[Measures].[R-Gross Sales rolling]" caption="R-Gross Sales rolling" measure="1" displayFolder="" measureGroup="Period Measures" count="0"/>
    <cacheHierarchy uniqueName="[Measures].[R-Gross Sales TY $]" caption="R-Gross Sales TY $" measure="1" displayFolder="" measureGroup="BI metrics" count="0"/>
    <cacheHierarchy uniqueName="[Measures].[R-M/D TY $]" caption="R-M/D TY $" measure="1" displayFolder="" measureGroup="BI metrics" count="0"/>
    <cacheHierarchy uniqueName="[Measures].[R-Sales ExGST TY $]" caption="R-Sales ExGST TY $" measure="1" displayFolder="" measureGroup="BI metrics" count="0" oneField="1">
      <fieldsUsage count="1">
        <fieldUsage x="7"/>
      </fieldsUsage>
    </cacheHierarchy>
    <cacheHierarchy uniqueName="[Measures].[R-CostFinal TY $]" caption="R-CostFinal TY $" measure="1" displayFolder="" measureGroup="BI metrics" count="0"/>
    <cacheHierarchy uniqueName="[Measures].[R-Sale Budget TY $]" caption="R-Sale Budget TY $" measure="1" displayFolder="" measureGroup="BI metrics" count="0"/>
    <cacheHierarchy uniqueName="[Measures].[R-Trading Margin TY $]" caption="R-Trading Margin TY $" measure="1" displayFolder="" measureGroup="BI metrics" count="0"/>
    <cacheHierarchy uniqueName="[Measures].[R-GM % TY]" caption="R-GM % TY" measure="1" displayFolder="" measureGroup="BI metrics" count="0"/>
    <cacheHierarchy uniqueName="[Measures].[R-Budget Variance TY]" caption="R-Budget Variance TY" measure="1" displayFolder="" measureGroup="BI metrics" count="0"/>
    <cacheHierarchy uniqueName="[Measures].[R-Gross Sales LY $]" caption="R-Gross Sales LY $" measure="1" displayFolder="" measureGroup="BI metrics" count="0"/>
    <cacheHierarchy uniqueName="[Measures].[R-M/D LY $]" caption="R-M/D LY $" measure="1" displayFolder="" measureGroup="BI metrics" count="0"/>
    <cacheHierarchy uniqueName="[Measures].[R-Sales ExGST LY $]" caption="R-Sales ExGST LY $" measure="1" displayFolder="" measureGroup="BI metrics" count="0"/>
    <cacheHierarchy uniqueName="[Measures].[R-CostFinal LY $]" caption="R-CostFinal LY $" measure="1" displayFolder="" measureGroup="BI metrics" count="0"/>
    <cacheHierarchy uniqueName="[Measures].[R-Trading Margin LY $]" caption="R-Trading Margin LY $" measure="1" displayFolder="" measureGroup="BI metrics" count="0"/>
    <cacheHierarchy uniqueName="[Measures].[R-Sales Budget LY $]" caption="R-Sales Budget LY $" measure="1" displayFolder="" measureGroup="BI metrics" count="0"/>
    <cacheHierarchy uniqueName="[Measures].[R-Gross Sales YoY]" caption="R-Gross Sales YoY" measure="1" displayFolder="" measureGroup="BI metrics" count="0"/>
    <cacheHierarchy uniqueName="[Measures].[R-M/D YoY]" caption="R-M/D YoY" measure="1" displayFolder="" measureGroup="BI metrics" count="0"/>
    <cacheHierarchy uniqueName="[Measures].[R-Sales ExGST YoY]" caption="R-Sales ExGST YoY" measure="1" displayFolder="" measureGroup="BI metrics" count="0"/>
    <cacheHierarchy uniqueName="[Measures].[R-CostFinal YoY]" caption="R-CostFinal YoY" measure="1" displayFolder="" measureGroup="BI metrics" count="0"/>
    <cacheHierarchy uniqueName="[Measures].[R-Trading Margin YoY]" caption="R-Trading Margin YoY" measure="1" displayFolder="" measureGroup="BI metrics" count="0"/>
    <cacheHierarchy uniqueName="[Measures].[R-Sales ExGST TY $(Amart)]" caption="R-Sales ExGST TY $(Amart)" measure="1" displayFolder="aa_Quadrant-Amart" measureGroup="BI metrics" count="0"/>
    <cacheHierarchy uniqueName="[Measures].[Delivered Sales Ex GST LY]" caption="Delivered Sales Ex GST LY" measure="1" displayFolder="" measureGroup="BI metrics" count="0"/>
    <cacheHierarchy uniqueName="[Measures].[R-Sales ExGST LY $(Amart)]" caption="R-Sales ExGST LY $(Amart)" measure="1" displayFolder="aa_Quadrant-Amart" measureGroup="BI metrics" count="0"/>
    <cacheHierarchy uniqueName="[Measures].[Delivered Sales ExGST LY 1]" caption="Delivered Sales ExGST LY 1" measure="1" displayFolder="" measureGroup="BI metrics" count="0"/>
    <cacheHierarchy uniqueName="[Measures].[R-Sales ExGST YoY(Amart)]" caption="R-Sales ExGST YoY(Amart)" measure="1" displayFolder="aa_Quadrant-Amart" measureGroup="BI metrics" count="0"/>
    <cacheHierarchy uniqueName="[Measures].[R-Sale Budget TY $(Amart)]" caption="R-Sale Budget TY $(Amart)" measure="1" displayFolder="aa_Quadrant-Amart" measureGroup="BI metrics" count="0"/>
    <cacheHierarchy uniqueName="[Measures].[R-Budget Variance TY(Amart)]" caption="R-Budget Variance TY(Amart)" measure="1" displayFolder="aa_Quadrant-Amart" measureGroup="BI metrics" count="0"/>
    <cacheHierarchy uniqueName="[Measures].[R-Trading Margin TY $(Amart)]" caption="R-Trading Margin TY $(Amart)" measure="1" displayFolder="aa_Quadrant-Amart" measureGroup="BI metrics" count="0"/>
    <cacheHierarchy uniqueName="[Measures].[Gross Margin LY]" caption="Gross Margin LY" measure="1" displayFolder="aa_Quadrant-Amart" measureGroup="BI metrics" count="0"/>
    <cacheHierarchy uniqueName="[Measures].[R-Trading Margin LY $(Amart)]" caption="R-Trading Margin LY $(Amart)" measure="1" displayFolder="aa_Quadrant-Amart" measureGroup="BI metrics" count="0"/>
    <cacheHierarchy uniqueName="[Measures].[Gross Sales LY]" caption="Gross Sales LY" measure="1" displayFolder="aa_Quadrant-Amart" measureGroup="BI metrics" count="0"/>
    <cacheHierarchy uniqueName="[Measures].[R-Gross Sales TY $(Amart)]" caption="R-Gross Sales TY $(Amart)" measure="1" displayFolder="aa_Quadrant-Amart" measureGroup="BI metrics" count="0"/>
    <cacheHierarchy uniqueName="[Measures].[R-Gross Sales LY $(Amart)]" caption="R-Gross Sales LY $(Amart)" measure="1" displayFolder="aa_Quadrant-Amart" measureGroup="BI metrics" count="0"/>
    <cacheHierarchy uniqueName="[Measures].[R-Gross Sales YoY(Amart)]" caption="R-Gross Sales YoY(Amart)" measure="1" displayFolder="aa_Quadrant-Amart" measureGroup="BI metrics" count="0"/>
    <cacheHierarchy uniqueName="[Measures].[R-Trading Margin YoY(Amart)]" caption="R-Trading Margin YoY(Amart)" measure="1" displayFolder="aa_Quadrant-Amart" measureGroup="BI metrics" count="0"/>
    <cacheHierarchy uniqueName="[Measures].[Markdown LY]" caption="Markdown LY" measure="1" displayFolder="aa_Quadrant-Amart" measureGroup="BI metrics" count="0"/>
    <cacheHierarchy uniqueName="[Measures].[R-M/D TY $(Amart)]" caption="R-M/D TY $(Amart)" measure="1" displayFolder="aa_Quadrant-Amart" measureGroup="BI metrics" count="0"/>
    <cacheHierarchy uniqueName="[Measures].[R-M/D LY $(Amart)]" caption="R-M/D LY $(Amart)" measure="1" displayFolder="aa_Quadrant-Amart" measureGroup="BI metrics" count="0"/>
    <cacheHierarchy uniqueName="[Measures].[R-M/D YoY(Amart)]" caption="R-M/D YoY(Amart)" measure="1" displayFolder="aa_Quadrant-Amart" measureGroup="BI metrics" count="0"/>
    <cacheHierarchy uniqueName="[Measures].[COSTFINAL LY]" caption="COSTFINAL LY" measure="1" displayFolder="aa_Quadrant-Amart" measureGroup="BI metrics" count="0"/>
    <cacheHierarchy uniqueName="[Measures].[R-CostFinal TY $(Amart)]" caption="R-CostFinal TY $(Amart)" measure="1" displayFolder="aa_Quadrant-Amart" measureGroup="BI metrics" count="0"/>
    <cacheHierarchy uniqueName="[Measures].[R-CostFinal LY $(Amart)]" caption="R-CostFinal LY $(Amart)" measure="1" displayFolder="aa_Quadrant-Amart" measureGroup="BI metrics" count="0"/>
    <cacheHierarchy uniqueName="[Measures].[R-CostFinal YoY(Amart)]" caption="R-CostFinal YoY(Amart)" measure="1" displayFolder="aa_Quadrant-Amart" measureGroup="BI metrics" count="0"/>
    <cacheHierarchy uniqueName="[Measures].[R-GM % TY(Amart)]" caption="R-GM % TY(Amart)" measure="1" displayFolder="aa_Quadrant-Amart" measureGroup="BI metrics" count="0"/>
    <cacheHierarchy uniqueName="[Measures].[R-sales ExGST LY NFY]" caption="R-sales ExGST LY NFY" measure="1" displayFolder="" measureGroup="BI metrics" count="0"/>
    <cacheHierarchy uniqueName="[Measures].[R-Sales ExGST LY $(Amart) NFY]" caption="R-Sales ExGST LY $(Amart) NFY" measure="1" displayFolder="aa_Quadrant-Amart" measureGroup="BI metrics" count="0"/>
    <cacheHierarchy uniqueName="[Measures].[__Default measure]" caption="__Default measure" measure="1" displayFolder="" count="0" hidden="1"/>
  </cacheHierarchies>
  <kpis count="0"/>
  <dimensions count="15">
    <dimension name="BI metrics" uniqueName="[BI metrics]" caption="BI metrics"/>
    <dimension name="BI vw_Budget Duplicate" uniqueName="[BI vw_Budget Duplicate]" caption="BI vw_Budget Duplicate"/>
    <dimension name="BI vw_BudgetDeliveredSalesByStore" uniqueName="[BI vw_BudgetDeliveredSalesByStore]" caption="BI vw_BudgetDeliveredSalesByStore"/>
    <dimension name="BI vw_Dynamics_FFAFDropshipwholesaleprice" uniqueName="[BI vw_Dynamics_FFAFDropshipwholesaleprice]" caption="BI vw_Dynamics_FFAFDropshipwholesaleprice"/>
    <dimension name="BI vw_DynamicsDeliveredSales" uniqueName="[BI vw_DynamicsDeliveredSales]" caption="BI vw_DynamicsDeliveredSales"/>
    <dimension name="BI vw_FinCalendar" uniqueName="[BI vw_FinCalendar]" caption="BI vw_FinCalendar"/>
    <dimension name="BI vw_Store" uniqueName="[BI vw_Store]" caption="BI vw_Store"/>
    <dimension name="CalendarMapping" uniqueName="[CalendarMapping]" caption="CalendarMapping"/>
    <dimension name="DC SO" uniqueName="[DC SO]" caption="DC SO"/>
    <dimension name="dim_period" uniqueName="[dim_period]" caption="dim_period"/>
    <dimension measure="1" name="Measures" uniqueName="[Measures]" caption="Measures"/>
    <dimension name="Month Sort" uniqueName="[Month Sort]" caption="Month Sort"/>
    <dimension name="TimePeriod" uniqueName="[TimePeriod]" caption="TimePeriod"/>
    <dimension name="TimePeriodSort" uniqueName="[TimePeriodSort]" caption="TimePeriodSort"/>
    <dimension name="TimePeriodSort_Amart" uniqueName="[TimePeriodSort_Amart]" caption="TimePeriodSort_Amart"/>
  </dimensions>
  <measureGroups count="23">
    <measureGroup name="BI metrics" caption="BI metrics"/>
    <measureGroup name="BI vw_Budget Duplicate" caption="BI vw_Budget Duplicate"/>
    <measureGroup name="BI vw_BudgetDeliveredSalesByStore" caption="BI vw_BudgetDeliveredSalesByStore"/>
    <measureGroup name="BI vw_Dynamics_FFAFDropshipwholesaleprice" caption="BI vw_Dynamics_FFAFDropshipwholesaleprice"/>
    <measureGroup name="BI vw_DynamicsDeliveredSales" caption="BI vw_DynamicsDeliveredSales"/>
    <measureGroup name="BI vw_FinCalendar" caption="BI vw_FinCalendar"/>
    <measureGroup name="BI vw_MarkdownCategory" caption="BI vw_MarkdownCategory"/>
    <measureGroup name="BI vw_Store" caption="BI vw_Store"/>
    <measureGroup name="BI vw_Store (2)" caption="BI vw_Store (2)"/>
    <measureGroup name="CalendarMapping" caption="CalendarMapping"/>
    <measureGroup name="DateTableTemplate_3f9b2c98-215a-4ac6-bb5b-5edb3fb7613d" caption="DateTableTemplate_3f9b2c98-215a-4ac6-bb5b-5edb3fb7613d"/>
    <measureGroup name="DC SO" caption="DC SO"/>
    <measureGroup name="dim_period" caption="dim_period"/>
    <measureGroup name="LocalDateTable_2dc8ec59-2991-4ed7-b97f-b3968012b3bf" caption="LocalDateTable_2dc8ec59-2991-4ed7-b97f-b3968012b3bf"/>
    <measureGroup name="LocalDateTable_35b2b28c-5e49-4861-9014-eb0865a61f58" caption="LocalDateTable_35b2b28c-5e49-4861-9014-eb0865a61f58"/>
    <measureGroup name="LocalDateTable_3ea1f34c-3b67-443a-8479-d47192825849" caption="LocalDateTable_3ea1f34c-3b67-443a-8479-d47192825849"/>
    <measureGroup name="LocalDateTable_44c7d4ef-ea67-4ad2-970c-4dd712d1bff0" caption="LocalDateTable_44c7d4ef-ea67-4ad2-970c-4dd712d1bff0"/>
    <measureGroup name="Measure" caption="Measure"/>
    <measureGroup name="Month Sort" caption="Month Sort"/>
    <measureGroup name="Period Measures" caption="Period Measures"/>
    <measureGroup name="TimePeriod" caption="TimePeriod"/>
    <measureGroup name="TimePeriodSort" caption="TimePeriodSort"/>
    <measureGroup name="TimePeriodSort_Amart" caption="TimePeriodSort_Amart"/>
  </measureGroups>
  <maps count="49">
    <map measureGroup="0" dimension="0"/>
    <map measureGroup="0" dimension="13"/>
    <map measureGroup="0" dimension="14"/>
    <map measureGroup="1" dimension="1"/>
    <map measureGroup="1" dimension="5"/>
    <map measureGroup="1" dimension="6"/>
    <map measureGroup="1" dimension="7"/>
    <map measureGroup="1" dimension="11"/>
    <map measureGroup="2" dimension="0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1"/>
    <map measureGroup="2" dimension="13"/>
    <map measureGroup="2" dimension="14"/>
    <map measureGroup="3" dimension="3"/>
    <map measureGroup="4" dimension="0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  <map measureGroup="4" dimension="11"/>
    <map measureGroup="4" dimension="13"/>
    <map measureGroup="4" dimension="14"/>
    <map measureGroup="5" dimension="5"/>
    <map measureGroup="5" dimension="7"/>
    <map measureGroup="5" dimension="11"/>
    <map measureGroup="7" dimension="6"/>
    <map measureGroup="8" dimension="6"/>
    <map measureGroup="9" dimension="5"/>
    <map measureGroup="9" dimension="7"/>
    <map measureGroup="9" dimension="11"/>
    <map measureGroup="11" dimension="8"/>
    <map measureGroup="12" dimension="9"/>
    <map measureGroup="18" dimension="11"/>
    <map measureGroup="20" dimension="12"/>
    <map measureGroup="21" dimension="13"/>
    <map measureGroup="21" dimension="14"/>
    <map measureGroup="22" dimension="13"/>
    <map measureGroup="2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di Stillwood" refreshedDate="46269.671443055558" backgroundQuery="1" createdVersion="8" refreshedVersion="8" minRefreshableVersion="3" recordCount="0" supportSubquery="1" supportAdvancedDrill="1" xr:uid="{60750D19-8DDA-436D-BD85-B7D4C6160BCC}">
  <cacheSource type="external" connectionId="2"/>
  <cacheFields count="14">
    <cacheField name="[BI metrics].[Fin_Period].[Fin_Period]" caption="Fin_Period" numFmtId="0" hierarchy="44" level="1">
      <sharedItems count="143">
        <s v="[BI metrics].[Fin_Period].&amp;[202540]" c="202540"/>
        <s v="[BI metrics].[Fin_Period].&amp;[202541]" c="202541"/>
        <s v="[BI metrics].[Fin_Period].&amp;[202542]" c="202542"/>
        <s v="[BI metrics].[Fin_Period].&amp;[202543]" c="202543"/>
        <s v="[BI metrics].[Fin_Period].&amp;[202544]" c="202544"/>
        <s v="[BI metrics].[Fin_Period].&amp;[202545]" c="202545"/>
        <s v="[BI metrics].[Fin_Period].&amp;[202546]" c="202546"/>
        <s v="[BI metrics].[Fin_Period].&amp;[202547]" c="202547"/>
        <s v="[BI metrics].[Fin_Period].&amp;[202548]" c="202548"/>
        <s v="[BI metrics].[Fin_Period].&amp;[202549]" c="202549"/>
        <s v="[BI metrics].[Fin_Period].&amp;[202550]" c="202550"/>
        <s v="[BI metrics].[Fin_Period].&amp;[202551]" c="202551"/>
        <s v="[BI metrics].[Fin_Period].&amp;[202552]" c="202552"/>
        <s v="[BI metrics].[Fin_Period].&amp;[202601]" c="202601"/>
        <s v="[BI metrics].[Fin_Period].&amp;[202602]" c="202602"/>
        <s v="[BI metrics].[Fin_Period].&amp;[202603]" c="202603"/>
        <s v="[BI metrics].[Fin_Period].&amp;[202604]" c="202604"/>
        <s v="[BI metrics].[Fin_Period].&amp;[202605]" c="202605"/>
        <s v="[BI metrics].[Fin_Period].&amp;[202606]" c="202606"/>
        <s v="[BI metrics].[Fin_Period].&amp;[202607]" c="202607"/>
        <s v="[BI metrics].[Fin_Period].&amp;[202608]" c="202608"/>
        <s v="[BI metrics].[Fin_Period].&amp;[202609]" c="202609"/>
        <s v="[BI metrics].[Fin_Period].&amp;[202610]" c="202610"/>
        <s v="[BI metrics].[Fin_Period].&amp;[202611]" c="202611"/>
        <s v="[BI metrics].[Fin_Period].&amp;[202612]" c="202612"/>
        <s v="[BI metrics].[Fin_Period].&amp;[202613]" c="202613"/>
        <s v="[BI metrics].[Fin_Period].&amp;[202614]" c="202614"/>
        <s v="[BI metrics].[Fin_Period].&amp;[202615]" c="202615"/>
        <s v="[BI metrics].[Fin_Period].&amp;[202616]" c="202616"/>
        <s v="[BI metrics].[Fin_Period].&amp;[202617]" c="202617"/>
        <s v="[BI metrics].[Fin_Period].&amp;[202618]" c="202618"/>
        <s v="[BI metrics].[Fin_Period].&amp;[202619]" c="202619"/>
        <s v="[BI metrics].[Fin_Period].&amp;[202620]" c="202620"/>
        <s v="[BI metrics].[Fin_Period].&amp;[202621]" c="202621"/>
        <s v="[BI metrics].[Fin_Period].&amp;[202622]" c="202622"/>
        <s v="[BI metrics].[Fin_Period].&amp;[202623]" c="202623"/>
        <s v="[BI metrics].[Fin_Period].&amp;[202624]" c="202624"/>
        <s v="[BI metrics].[Fin_Period].&amp;[202625]" c="202625"/>
        <s v="[BI metrics].[Fin_Period].&amp;[202626]" c="202626"/>
        <s v="[BI metrics].[Fin_Period].&amp;[202627]" c="202627"/>
        <s v="[BI metrics].[Fin_Period].&amp;[202628]" c="202628"/>
        <s v="[BI metrics].[Fin_Period].&amp;[202629]" c="202629"/>
        <s v="[BI metrics].[Fin_Period].&amp;[202630]" c="202630"/>
        <s v="[BI metrics].[Fin_Period].&amp;[202631]" c="202631"/>
        <s v="[BI metrics].[Fin_Period].&amp;[202632]" c="202632"/>
        <s v="[BI metrics].[Fin_Period].&amp;[202633]" c="202633"/>
        <s v="[BI metrics].[Fin_Period].&amp;[202634]" c="202634"/>
        <s v="[BI metrics].[Fin_Period].&amp;[202635]" c="202635"/>
        <s v="[BI metrics].[Fin_Period].&amp;[202636]" c="202636"/>
        <s v="[BI metrics].[Fin_Period].&amp;[202637]" c="202637"/>
        <s v="[BI metrics].[Fin_Period].&amp;[202638]" c="202638"/>
        <s v="[BI metrics].[Fin_Period].&amp;[202639]" c="202639"/>
        <s v="[BI metrics].[Fin_Period].&amp;[202401]" u="1" c="202401"/>
        <s v="[BI metrics].[Fin_Period].&amp;[202402]" u="1" c="202402"/>
        <s v="[BI metrics].[Fin_Period].&amp;[202403]" u="1" c="202403"/>
        <s v="[BI metrics].[Fin_Period].&amp;[202404]" u="1" c="202404"/>
        <s v="[BI metrics].[Fin_Period].&amp;[202405]" u="1" c="202405"/>
        <s v="[BI metrics].[Fin_Period].&amp;[202406]" u="1" c="202406"/>
        <s v="[BI metrics].[Fin_Period].&amp;[202407]" u="1" c="202407"/>
        <s v="[BI metrics].[Fin_Period].&amp;[202408]" u="1" c="202408"/>
        <s v="[BI metrics].[Fin_Period].&amp;[202409]" u="1" c="202409"/>
        <s v="[BI metrics].[Fin_Period].&amp;[202410]" u="1" c="202410"/>
        <s v="[BI metrics].[Fin_Period].&amp;[202411]" u="1" c="202411"/>
        <s v="[BI metrics].[Fin_Period].&amp;[202412]" u="1" c="202412"/>
        <s v="[BI metrics].[Fin_Period].&amp;[202413]" u="1" c="202413"/>
        <s v="[BI metrics].[Fin_Period].&amp;[202414]" u="1" c="202414"/>
        <s v="[BI metrics].[Fin_Period].&amp;[202415]" u="1" c="202415"/>
        <s v="[BI metrics].[Fin_Period].&amp;[202416]" u="1" c="202416"/>
        <s v="[BI metrics].[Fin_Period].&amp;[202417]" u="1" c="202417"/>
        <s v="[BI metrics].[Fin_Period].&amp;[202418]" u="1" c="202418"/>
        <s v="[BI metrics].[Fin_Period].&amp;[202419]" u="1" c="202419"/>
        <s v="[BI metrics].[Fin_Period].&amp;[202420]" u="1" c="202420"/>
        <s v="[BI metrics].[Fin_Period].&amp;[202421]" u="1" c="202421"/>
        <s v="[BI metrics].[Fin_Period].&amp;[202422]" u="1" c="202422"/>
        <s v="[BI metrics].[Fin_Period].&amp;[202423]" u="1" c="202423"/>
        <s v="[BI metrics].[Fin_Period].&amp;[202424]" u="1" c="202424"/>
        <s v="[BI metrics].[Fin_Period].&amp;[202425]" u="1" c="202425"/>
        <s v="[BI metrics].[Fin_Period].&amp;[202426]" u="1" c="202426"/>
        <s v="[BI metrics].[Fin_Period].&amp;[202427]" u="1" c="202427"/>
        <s v="[BI metrics].[Fin_Period].&amp;[202428]" u="1" c="202428"/>
        <s v="[BI metrics].[Fin_Period].&amp;[202429]" u="1" c="202429"/>
        <s v="[BI metrics].[Fin_Period].&amp;[202430]" u="1" c="202430"/>
        <s v="[BI metrics].[Fin_Period].&amp;[202431]" u="1" c="202431"/>
        <s v="[BI metrics].[Fin_Period].&amp;[202432]" u="1" c="202432"/>
        <s v="[BI metrics].[Fin_Period].&amp;[202433]" u="1" c="202433"/>
        <s v="[BI metrics].[Fin_Period].&amp;[202434]" u="1" c="202434"/>
        <s v="[BI metrics].[Fin_Period].&amp;[202435]" u="1" c="202435"/>
        <s v="[BI metrics].[Fin_Period].&amp;[202436]" u="1" c="202436"/>
        <s v="[BI metrics].[Fin_Period].&amp;[202437]" u="1" c="202437"/>
        <s v="[BI metrics].[Fin_Period].&amp;[202438]" u="1" c="202438"/>
        <s v="[BI metrics].[Fin_Period].&amp;[202439]" u="1" c="202439"/>
        <s v="[BI metrics].[Fin_Period].&amp;[202440]" u="1" c="202440"/>
        <s v="[BI metrics].[Fin_Period].&amp;[202441]" u="1" c="202441"/>
        <s v="[BI metrics].[Fin_Period].&amp;[202442]" u="1" c="202442"/>
        <s v="[BI metrics].[Fin_Period].&amp;[202443]" u="1" c="202443"/>
        <s v="[BI metrics].[Fin_Period].&amp;[202444]" u="1" c="202444"/>
        <s v="[BI metrics].[Fin_Period].&amp;[202445]" u="1" c="202445"/>
        <s v="[BI metrics].[Fin_Period].&amp;[202446]" u="1" c="202446"/>
        <s v="[BI metrics].[Fin_Period].&amp;[202447]" u="1" c="202447"/>
        <s v="[BI metrics].[Fin_Period].&amp;[202448]" u="1" c="202448"/>
        <s v="[BI metrics].[Fin_Period].&amp;[202449]" u="1" c="202449"/>
        <s v="[BI metrics].[Fin_Period].&amp;[202450]" u="1" c="202450"/>
        <s v="[BI metrics].[Fin_Period].&amp;[202451]" u="1" c="202451"/>
        <s v="[BI metrics].[Fin_Period].&amp;[202452]" u="1" c="202452"/>
        <s v="[BI metrics].[Fin_Period].&amp;[202501]" u="1" c="202501"/>
        <s v="[BI metrics].[Fin_Period].&amp;[202502]" u="1" c="202502"/>
        <s v="[BI metrics].[Fin_Period].&amp;[202503]" u="1" c="202503"/>
        <s v="[BI metrics].[Fin_Period].&amp;[202504]" u="1" c="202504"/>
        <s v="[BI metrics].[Fin_Period].&amp;[202505]" u="1" c="202505"/>
        <s v="[BI metrics].[Fin_Period].&amp;[202506]" u="1" c="202506"/>
        <s v="[BI metrics].[Fin_Period].&amp;[202507]" u="1" c="202507"/>
        <s v="[BI metrics].[Fin_Period].&amp;[202508]" u="1" c="202508"/>
        <s v="[BI metrics].[Fin_Period].&amp;[202509]" u="1" c="202509"/>
        <s v="[BI metrics].[Fin_Period].&amp;[202510]" u="1" c="202510"/>
        <s v="[BI metrics].[Fin_Period].&amp;[202511]" u="1" c="202511"/>
        <s v="[BI metrics].[Fin_Period].&amp;[202512]" u="1" c="202512"/>
        <s v="[BI metrics].[Fin_Period].&amp;[202513]" u="1" c="202513"/>
        <s v="[BI metrics].[Fin_Period].&amp;[202514]" u="1" c="202514"/>
        <s v="[BI metrics].[Fin_Period].&amp;[202515]" u="1" c="202515"/>
        <s v="[BI metrics].[Fin_Period].&amp;[202516]" u="1" c="202516"/>
        <s v="[BI metrics].[Fin_Period].&amp;[202517]" u="1" c="202517"/>
        <s v="[BI metrics].[Fin_Period].&amp;[202518]" u="1" c="202518"/>
        <s v="[BI metrics].[Fin_Period].&amp;[202519]" u="1" c="202519"/>
        <s v="[BI metrics].[Fin_Period].&amp;[202520]" u="1" c="202520"/>
        <s v="[BI metrics].[Fin_Period].&amp;[202521]" u="1" c="202521"/>
        <s v="[BI metrics].[Fin_Period].&amp;[202522]" u="1" c="202522"/>
        <s v="[BI metrics].[Fin_Period].&amp;[202523]" u="1" c="202523"/>
        <s v="[BI metrics].[Fin_Period].&amp;[202524]" u="1" c="202524"/>
        <s v="[BI metrics].[Fin_Period].&amp;[202525]" u="1" c="202525"/>
        <s v="[BI metrics].[Fin_Period].&amp;[202526]" u="1" c="202526"/>
        <s v="[BI metrics].[Fin_Period].&amp;[202527]" u="1" c="202527"/>
        <s v="[BI metrics].[Fin_Period].&amp;[202528]" u="1" c="202528"/>
        <s v="[BI metrics].[Fin_Period].&amp;[202529]" u="1" c="202529"/>
        <s v="[BI metrics].[Fin_Period].&amp;[202530]" u="1" c="202530"/>
        <s v="[BI metrics].[Fin_Period].&amp;[202531]" u="1" c="202531"/>
        <s v="[BI metrics].[Fin_Period].&amp;[202532]" u="1" c="202532"/>
        <s v="[BI metrics].[Fin_Period].&amp;[202533]" u="1" c="202533"/>
        <s v="[BI metrics].[Fin_Period].&amp;[202534]" u="1" c="202534"/>
        <s v="[BI metrics].[Fin_Period].&amp;[202535]" u="1" c="202535"/>
        <s v="[BI metrics].[Fin_Period].&amp;[202536]" u="1" c="202536"/>
        <s v="[BI metrics].[Fin_Period].&amp;[202537]" u="1" c="202537"/>
        <s v="[BI metrics].[Fin_Period].&amp;[202538]" u="1" c="202538"/>
        <s v="[BI metrics].[Fin_Period].&amp;[202539]" u="1" c="202539"/>
      </sharedItems>
    </cacheField>
    <cacheField name="[BI metrics].[TimePeriod].[TimePeriod]" caption="TimePeriod" numFmtId="0" hierarchy="60" level="1">
      <sharedItems containsSemiMixedTypes="0" containsString="0"/>
    </cacheField>
    <cacheField name="[BI Item].[Item_Country].[Item_Country]" caption="Item_Country" numFmtId="0" hierarchy="22" level="1">
      <sharedItems containsSemiMixedTypes="0" containsString="0"/>
    </cacheField>
    <cacheField name="[BI Item].[Division].[Division]" caption="Division" numFmtId="0" hierarchy="17" level="1">
      <sharedItems containsSemiMixedTypes="0" containsString="0"/>
    </cacheField>
    <cacheField name="[BI Store].[Branch_Type].[Branch_Type]" caption="Branch_Type" numFmtId="0" hierarchy="69" level="1">
      <sharedItems containsSemiMixedTypes="0" containsString="0"/>
    </cacheField>
    <cacheField name="[BI Store].[Store_Country].[Store_Country]" caption="Store_Country" numFmtId="0" hierarchy="75" level="1">
      <sharedItems containsSemiMixedTypes="0" containsString="0"/>
    </cacheField>
    <cacheField name="[BI vw_BudgetByItemCategory].[Country].[Country]" caption="Country" numFmtId="0" hierarchy="92" level="1">
      <sharedItems containsSemiMixedTypes="0" containsString="0"/>
    </cacheField>
    <cacheField name="[TimePeriodSort].[TimePeriod].[TimePeriod]" caption="TimePeriod" numFmtId="0" hierarchy="284" level="1">
      <sharedItems containsSemiMixedTypes="0" containsString="0"/>
    </cacheField>
    <cacheField name="[BI vw_WeeklyWrittenSalesMetrics].[Branch_Type].[Branch_Type]" caption="Branch_Type" numFmtId="0" hierarchy="199" level="1">
      <sharedItems containsSemiMixedTypes="0" containsString="0"/>
    </cacheField>
    <cacheField name="[BI vw_WeeklyWrittenSalesMetrics].[Division].[Division]" caption="Division" numFmtId="0" hierarchy="209" level="1">
      <sharedItems count="2">
        <s v="[BI vw_WeeklyWrittenSalesMetrics].[Division].&amp;[Furniture]" c="Furniture"/>
        <s v="[BI vw_WeeklyWrittenSalesMetrics].[Division].&amp;[Homewares]" c="Homewares"/>
      </sharedItems>
    </cacheField>
    <cacheField name="[BI vw_WeeklyWrittenSalesMetrics].[Country].[Country]" caption="Country" numFmtId="0" hierarchy="207" level="1">
      <sharedItems count="2">
        <s v="[BI vw_WeeklyWrittenSalesMetrics].[Country].&amp;[AU]" c="AU"/>
        <s v="[BI vw_WeeklyWrittenSalesMetrics].[Country].&amp;[NZ]" c="NZ"/>
      </sharedItems>
    </cacheField>
    <cacheField name="[BI vw_WeeklyWrittenSalesMetrics].[Channel].[Channel]" caption="Channel" numFmtId="0" hierarchy="205" level="1">
      <sharedItems count="3">
        <s v="[BI vw_WeeklyWrittenSalesMetrics].[Channel].&amp;[Dropship]" c="Dropship"/>
        <s v="[BI vw_WeeklyWrittenSalesMetrics].[Channel].&amp;[In Store]" c="In Store"/>
        <s v="[BI vw_WeeklyWrittenSalesMetrics].[Channel].&amp;[Online]" c="Online"/>
      </sharedItems>
    </cacheField>
    <cacheField name="[Measures].[R-ASP TY]" caption="R-ASP TY" numFmtId="0" hierarchy="413" level="32767"/>
    <cacheField name="[Measures].[R-ATV TY]" caption="R-ATV TY" numFmtId="0" hierarchy="365" level="32767"/>
  </cacheFields>
  <cacheHierarchies count="579">
    <cacheHierarchy uniqueName="[BI ForecastClass].[BranchType]" caption="BranchType" attribute="1" defaultMemberUniqueName="[BI ForecastClass].[BranchType].[All]" allUniqueName="[BI ForecastClass].[BranchType].[All]" dimensionUniqueName="[BI ForecastClass]" displayFolder="" count="0" memberValueDatatype="130" unbalanced="0"/>
    <cacheHierarchy uniqueName="[BI ForecastClass].[Channel]" caption="Channel" attribute="1" defaultMemberUniqueName="[BI ForecastClass].[Channel].[All]" allUniqueName="[BI ForecastClass].[Channel].[All]" dimensionUniqueName="[BI ForecastClass]" displayFolder="" count="0" memberValueDatatype="130" unbalanced="0"/>
    <cacheHierarchy uniqueName="[BI ForecastClass].[Class]" caption="Class" attribute="1" defaultMemberUniqueName="[BI ForecastClass].[Class].[All]" allUniqueName="[BI ForecastClass].[Class].[All]" dimensionUniqueName="[BI ForecastClass]" displayFolder="" count="0" memberValueDatatype="130" unbalanced="0"/>
    <cacheHierarchy uniqueName="[BI ForecastClass].[Country]" caption="Country" attribute="1" defaultMemberUniqueName="[BI ForecastClass].[Country].[All]" allUniqueName="[BI ForecastClass].[Country].[All]" dimensionUniqueName="[BI ForecastClass]" displayFolder="" count="0" memberValueDatatype="130" unbalanced="0"/>
    <cacheHierarchy uniqueName="[BI ForecastClass].[DepartmentDesc]" caption="DepartmentDesc" attribute="1" defaultMemberUniqueName="[BI ForecastClass].[DepartmentDesc].[All]" allUniqueName="[BI ForecastClass].[DepartmentDesc].[All]" dimensionUniqueName="[BI ForecastClass]" displayFolder="" count="0" memberValueDatatype="130" unbalanced="0"/>
    <cacheHierarchy uniqueName="[BI ForecastClass].[Division]" caption="Division" attribute="1" defaultMemberUniqueName="[BI ForecastClass].[Division].[All]" allUniqueName="[BI ForecastClass].[Division].[All]" dimensionUniqueName="[BI ForecastClass]" displayFolder="" count="0" memberValueDatatype="130" unbalanced="0"/>
    <cacheHierarchy uniqueName="[BI ForecastClass].[Period]" caption="Period" attribute="1" defaultMemberUniqueName="[BI ForecastClass].[Period].[All]" allUniqueName="[BI ForecastClass].[Period].[All]" dimensionUniqueName="[BI ForecastClass]" displayFolder="" count="0" memberValueDatatype="20" unbalanced="0"/>
    <cacheHierarchy uniqueName="[BI ForecastClass].[Storekey]" caption="Storekey" attribute="1" defaultMemberUniqueName="[BI ForecastClass].[Storekey].[All]" allUniqueName="[BI ForecastClass].[Storekey].[All]" dimensionUniqueName="[BI ForecastClass]" displayFolder="" count="0" memberValueDatatype="20" unbalanced="0"/>
    <cacheHierarchy uniqueName="[BI ForecastClass].[SubDepartmentDesc]" caption="SubDepartmentDesc" attribute="1" defaultMemberUniqueName="[BI ForecastClass].[SubDepartmentDesc].[All]" allUniqueName="[BI ForecastClass].[SubDepartmentDesc].[All]" dimensionUniqueName="[BI ForecastClass]" displayFolder="" count="0" memberValueDatatype="130" unbalanced="0"/>
    <cacheHierarchy uniqueName="[BI Item].[AddedDate]" caption="AddedDate" attribute="1" time="1" defaultMemberUniqueName="[BI Item].[AddedDate].[All]" allUniqueName="[BI Item].[AddedDate].[All]" dimensionUniqueName="[BI Item]" displayFolder="" count="0" memberValueDatatype="7" unbalanced="0"/>
    <cacheHierarchy uniqueName="[BI Item].[AUtoNZWholesale]" caption="AUtoNZWholesale" attribute="1" defaultMemberUniqueName="[BI Item].[AUtoNZWholesale].[All]" allUniqueName="[BI Item].[AUtoNZWholesale].[All]" dimensionUniqueName="[BI Item]" displayFolder="" count="0" memberValueDatatype="5" unbalanced="0"/>
    <cacheHierarchy uniqueName="[BI Item].[Base_SKU]" caption="Base_SKU" attribute="1" defaultMemberUniqueName="[BI Item].[Base_SKU].[All]" allUniqueName="[BI Item].[Base_SKU].[All]" dimensionUniqueName="[BI Item]" displayFolder="" count="0" memberValueDatatype="130" unbalanced="0"/>
    <cacheHierarchy uniqueName="[BI Item].[Class]" caption="Class" attribute="1" defaultMemberUniqueName="[BI Item].[Class].[All]" allUniqueName="[BI Item].[Class].[All]" dimensionUniqueName="[BI Item]" displayFolder="" count="0" memberValueDatatype="20" unbalanced="0"/>
    <cacheHierarchy uniqueName="[BI Item].[Cost]" caption="Cost" attribute="1" defaultMemberUniqueName="[BI Item].[Cost].[All]" allUniqueName="[BI Item].[Cost].[All]" dimensionUniqueName="[BI Item]" displayFolder="" count="0" memberValueDatatype="6" unbalanced="0"/>
    <cacheHierarchy uniqueName="[BI Item].[CostAveage]" caption="CostAveage" attribute="1" defaultMemberUniqueName="[BI Item].[CostAveage].[All]" allUniqueName="[BI Item].[CostAveage].[All]" dimensionUniqueName="[BI Item]" displayFolder="" count="0" memberValueDatatype="6" unbalanced="0"/>
    <cacheHierarchy uniqueName="[BI Item].[DepartmentDesc]" caption="DepartmentDesc" attribute="1" defaultMemberUniqueName="[BI Item].[DepartmentDesc].[All]" allUniqueName="[BI Item].[DepartmentDesc].[All]" dimensionUniqueName="[BI Item]" displayFolder="" count="0" memberValueDatatype="130" unbalanced="0"/>
    <cacheHierarchy uniqueName="[BI Item].[Description]" caption="Description" attribute="1" defaultMemberUniqueName="[BI Item].[Description].[All]" allUniqueName="[BI Item].[Description].[All]" dimensionUniqueName="[BI Item]" displayFolder="" count="0" memberValueDatatype="130" unbalanced="0"/>
    <cacheHierarchy uniqueName="[BI Item].[Division]" caption="Division" attribute="1" defaultMemberUniqueName="[BI Item].[Division].[All]" allUniqueName="[BI Item].[Division].[All]" dimensionUniqueName="[BI Item]" displayFolder="" count="2" memberValueDatatype="130" unbalanced="0">
      <fieldsUsage count="2">
        <fieldUsage x="-1"/>
        <fieldUsage x="3"/>
      </fieldsUsage>
    </cacheHierarchy>
    <cacheHierarchy uniqueName="[BI Item].[InActive]" caption="InActive" attribute="1" defaultMemberUniqueName="[BI Item].[InActive].[All]" allUniqueName="[BI Item].[InActive].[All]" dimensionUniqueName="[BI Item]" displayFolder="" count="0" memberValueDatatype="11" unbalanced="0"/>
    <cacheHierarchy uniqueName="[BI Item].[Infinity_UPC]" caption="Infinity_UPC" attribute="1" defaultMemberUniqueName="[BI Item].[Infinity_UPC].[All]" allUniqueName="[BI Item].[Infinity_UPC].[All]" dimensionUniqueName="[BI Item]" displayFolder="" count="0" memberValueDatatype="130" unbalanced="0"/>
    <cacheHierarchy uniqueName="[BI Item].[IsChanged]" caption="IsChanged" attribute="1" defaultMemberUniqueName="[BI Item].[IsChanged].[All]" allUniqueName="[BI Item].[IsChanged].[All]" dimensionUniqueName="[BI Item]" displayFolder="" count="0" memberValueDatatype="11" unbalanced="0"/>
    <cacheHierarchy uniqueName="[BI Item].[Item_Class_Desc]" caption="Item_Class_Desc" attribute="1" defaultMemberUniqueName="[BI Item].[Item_Class_Desc].[All]" allUniqueName="[BI Item].[Item_Class_Desc].[All]" dimensionUniqueName="[BI Item]" displayFolder="" count="0" memberValueDatatype="130" unbalanced="0"/>
    <cacheHierarchy uniqueName="[BI Item].[Item_Country]" caption="Item_Country" attribute="1" defaultMemberUniqueName="[BI Item].[Item_Country].[All]" allUniqueName="[BI Item].[Item_Country].[All]" dimensionUniqueName="[BI Item]" displayFolder="" count="2" memberValueDatatype="130" unbalanced="0">
      <fieldsUsage count="2">
        <fieldUsage x="-1"/>
        <fieldUsage x="2"/>
      </fieldsUsage>
    </cacheHierarchy>
    <cacheHierarchy uniqueName="[BI Item].[Item_Type]" caption="Item_Type" attribute="1" defaultMemberUniqueName="[BI Item].[Item_Type].[All]" allUniqueName="[BI Item].[Item_Type].[All]" dimensionUniqueName="[BI Item]" displayFolder="" count="0" memberValueDatatype="130" unbalanced="0"/>
    <cacheHierarchy uniqueName="[BI Item].[ItemKey]" caption="ItemKey" attribute="1" defaultMemberUniqueName="[BI Item].[ItemKey].[All]" allUniqueName="[BI Item].[ItemKey].[All]" dimensionUniqueName="[BI Item]" displayFolder="" count="0" memberValueDatatype="20" unbalanced="0"/>
    <cacheHierarchy uniqueName="[BI Item].[NonStock]" caption="NonStock" attribute="1" defaultMemberUniqueName="[BI Item].[NonStock].[All]" allUniqueName="[BI Item].[NonStock].[All]" dimensionUniqueName="[BI Item]" displayFolder="" count="0" memberValueDatatype="11" unbalanced="0"/>
    <cacheHierarchy uniqueName="[BI Item].[Price]" caption="Price" attribute="1" defaultMemberUniqueName="[BI Item].[Price].[All]" allUniqueName="[BI Item].[Price].[All]" dimensionUniqueName="[BI Item]" displayFolder="" count="0" memberValueDatatype="6" unbalanced="0"/>
    <cacheHierarchy uniqueName="[BI Item].[Product_Cate_Key]" caption="Product_Cate_Key" attribute="1" defaultMemberUniqueName="[BI Item].[Product_Cate_Key].[All]" allUniqueName="[BI Item].[Product_Cate_Key].[All]" dimensionUniqueName="[BI Item]" displayFolder="" count="0" memberValueDatatype="20" unbalanced="0"/>
    <cacheHierarchy uniqueName="[BI Item].[Product_Status]" caption="Product_Status" attribute="1" defaultMemberUniqueName="[BI Item].[Product_Status].[All]" allUniqueName="[BI Item].[Product_Status].[All]" dimensionUniqueName="[BI Item]" displayFolder="" count="0" memberValueDatatype="130" unbalanced="0"/>
    <cacheHierarchy uniqueName="[BI Item].[Product_Sub_Cate_Key]" caption="Product_Sub_Cate_Key" attribute="1" defaultMemberUniqueName="[BI Item].[Product_Sub_Cate_Key].[All]" allUniqueName="[BI Item].[Product_Sub_Cate_Key].[All]" dimensionUniqueName="[BI Item]" displayFolder="" count="0" memberValueDatatype="20" unbalanced="0"/>
    <cacheHierarchy uniqueName="[BI Item].[PurchaseCost]" caption="PurchaseCost" attribute="1" defaultMemberUniqueName="[BI Item].[PurchaseCost].[All]" allUniqueName="[BI Item].[PurchaseCost].[All]" dimensionUniqueName="[BI Item]" displayFolder="" count="0" memberValueDatatype="6" unbalanced="0"/>
    <cacheHierarchy uniqueName="[BI Item].[PurchaseQty]" caption="PurchaseQty" attribute="1" defaultMemberUniqueName="[BI Item].[PurchaseQty].[All]" allUniqueName="[BI Item].[PurchaseQty].[All]" dimensionUniqueName="[BI Item]" displayFolder="" count="0" memberValueDatatype="5" unbalanced="0"/>
    <cacheHierarchy uniqueName="[BI Item].[Range]" caption="Range" attribute="1" defaultMemberUniqueName="[BI Item].[Range].[All]" allUniqueName="[BI Item].[Range].[All]" dimensionUniqueName="[BI Item]" displayFolder="" count="0" memberValueDatatype="130" unbalanced="0"/>
    <cacheHierarchy uniqueName="[BI Item].[Season]" caption="Season" attribute="1" defaultMemberUniqueName="[BI Item].[Season].[All]" allUniqueName="[BI Item].[Season].[All]" dimensionUniqueName="[BI Item]" displayFolder="" count="0" memberValueDatatype="130" unbalanced="0"/>
    <cacheHierarchy uniqueName="[BI Item].[SellingQty]" caption="SellingQty" attribute="1" defaultMemberUniqueName="[BI Item].[SellingQty].[All]" allUniqueName="[BI Item].[SellingQty].[All]" dimensionUniqueName="[BI Item]" displayFolder="" count="0" memberValueDatatype="5" unbalanced="0"/>
    <cacheHierarchy uniqueName="[BI Item].[StockType]" caption="StockType" attribute="1" defaultMemberUniqueName="[BI Item].[StockType].[All]" allUniqueName="[BI Item].[StockType].[All]" dimensionUniqueName="[BI Item]" displayFolder="" count="0" memberValueDatatype="130" unbalanced="0"/>
    <cacheHierarchy uniqueName="[BI Item].[SubDepartmentDesc]" caption="SubDepartmentDesc" attribute="1" defaultMemberUniqueName="[BI Item].[SubDepartmentDesc].[All]" allUniqueName="[BI Item].[SubDepartmentDesc].[All]" dimensionUniqueName="[BI Item]" displayFolder="" count="0" memberValueDatatype="130" unbalanced="0"/>
    <cacheHierarchy uniqueName="[BI Item].[Supplier_Code]" caption="Supplier_Code" attribute="1" defaultMemberUniqueName="[BI Item].[Supplier_Code].[All]" allUniqueName="[BI Item].[Supplier_Code].[All]" dimensionUniqueName="[BI Item]" displayFolder="" count="0" memberValueDatatype="130" unbalanced="0"/>
    <cacheHierarchy uniqueName="[BI Item].[TaxType]" caption="TaxType" attribute="1" defaultMemberUniqueName="[BI Item].[TaxType].[All]" allUniqueName="[BI Item].[TaxType].[All]" dimensionUniqueName="[BI Item]" displayFolder="" count="0" memberValueDatatype="130" unbalanced="0"/>
    <cacheHierarchy uniqueName="[BI Item].[Unit]" caption="Unit" attribute="1" defaultMemberUniqueName="[BI Item].[Unit].[All]" allUniqueName="[BI Item].[Unit].[All]" dimensionUniqueName="[BI Item]" displayFolder="" count="0" memberValueDatatype="130" unbalanced="0"/>
    <cacheHierarchy uniqueName="[BI Item].[UpdatedDate]" caption="UpdatedDate" attribute="1" time="1" defaultMemberUniqueName="[BI Item].[UpdatedDate].[All]" allUniqueName="[BI Item].[UpdatedDate].[All]" dimensionUniqueName="[BI Item]" displayFolder="" count="0" memberValueDatatype="7" unbalanced="0"/>
    <cacheHierarchy uniqueName="[BI Item].[Wholesale]" caption="Wholesale" attribute="1" defaultMemberUniqueName="[BI Item].[Wholesale].[All]" allUniqueName="[BI Item].[Wholesale].[All]" dimensionUniqueName="[BI Item]" displayFolder="" count="0" memberValueDatatype="5" unbalanced="0"/>
    <cacheHierarchy uniqueName="[BI metrics].[Current Date]" caption="Current Date" attribute="1" time="1" defaultMemberUniqueName="[BI metrics].[Current Date].[All]" allUniqueName="[BI metrics].[Current Date].[All]" dimensionUniqueName="[BI metrics]" displayFolder="" count="0" memberValueDatatype="7" unbalanced="0"/>
    <cacheHierarchy uniqueName="[BI metrics].[Date]" caption="Date" attribute="1" time="1" defaultMemberUniqueName="[BI metrics].[Date].[All]" allUniqueName="[BI metrics].[Date].[All]" dimensionUniqueName="[BI metrics]" displayFolder="" count="0" memberValueDatatype="7" unbalanced="0"/>
    <cacheHierarchy uniqueName="[BI metrics].[Fin_Period]" caption="Fin_Period" attribute="1" defaultMemberUniqueName="[BI metrics].[Fin_Period].[All]" allUniqueName="[BI metrics].[Fin_Period].[All]" dimensionUniqueName="[BI metrics]" displayFolder="" count="2" memberValueDatatype="20" unbalanced="0">
      <fieldsUsage count="2">
        <fieldUsage x="-1"/>
        <fieldUsage x="0"/>
      </fieldsUsage>
    </cacheHierarchy>
    <cacheHierarchy uniqueName="[BI metrics].[finPeriod_Before]" caption="finPeriod_Before" attribute="1" defaultMemberUniqueName="[BI metrics].[finPeriod_Before].[All]" allUniqueName="[BI metrics].[finPeriod_Before].[All]" dimensionUniqueName="[BI metrics]" displayFolder="" count="0" memberValueDatatype="130" unbalanced="0"/>
    <cacheHierarchy uniqueName="[BI metrics].[finPeriod_Before_Trend]" caption="finPeriod_Before_Trend" attribute="1" defaultMemberUniqueName="[BI metrics].[finPeriod_Before_Trend].[All]" allUniqueName="[BI metrics].[finPeriod_Before_Trend].[All]" dimensionUniqueName="[BI metrics]" displayFolder="" count="0" memberValueDatatype="130" unbalanced="0"/>
    <cacheHierarchy uniqueName="[BI metrics].[FirstWeek_QTD]" caption="FirstWeek_QTD" attribute="1" defaultMemberUniqueName="[BI metrics].[FirstWeek_QTD].[All]" allUniqueName="[BI metrics].[FirstWeek_QTD].[All]" dimensionUniqueName="[BI metrics]" displayFolder="" count="0" memberValueDatatype="20" unbalanced="0"/>
    <cacheHierarchy uniqueName="[BI metrics].[FirstWeek-Month]" caption="FirstWeek-Month" attribute="1" defaultMemberUniqueName="[BI metrics].[FirstWeek-Month].[All]" allUniqueName="[BI metrics].[FirstWeek-Month].[All]" dimensionUniqueName="[BI metrics]" displayFolder="" count="0" memberValueDatatype="20" unbalanced="0"/>
    <cacheHierarchy uniqueName="[BI metrics].[FirstWeek-Year]" caption="FirstWeek-Year" attribute="1" defaultMemberUniqueName="[BI metrics].[FirstWeek-Year].[All]" allUniqueName="[BI metrics].[FirstWeek-Year].[All]" dimensionUniqueName="[BI metrics]" displayFolder="" count="0" memberValueDatatype="20" unbalanced="0"/>
    <cacheHierarchy uniqueName="[BI metrics].[LastWeek]" caption="LastWeek" attribute="1" defaultMemberUniqueName="[BI metrics].[LastWeek].[All]" allUniqueName="[BI metrics].[LastWeek].[All]" dimensionUniqueName="[BI metrics]" displayFolder="" count="0" memberValueDatatype="20" unbalanced="0"/>
    <cacheHierarchy uniqueName="[BI metrics].[LastYear-FirstWeekMonth]" caption="LastYear-FirstWeekMonth" attribute="1" defaultMemberUniqueName="[BI metrics].[LastYear-FirstWeekMonth].[All]" allUniqueName="[BI metrics].[LastYear-FirstWeekMonth].[All]" dimensionUniqueName="[BI metrics]" displayFolder="" count="0" memberValueDatatype="20" unbalanced="0"/>
    <cacheHierarchy uniqueName="[BI metrics].[LastYear-FirstWeekQTD]" caption="LastYear-FirstWeekQTD" attribute="1" defaultMemberUniqueName="[BI metrics].[LastYear-FirstWeekQTD].[All]" allUniqueName="[BI metrics].[LastYear-FirstWeekQTD].[All]" dimensionUniqueName="[BI metrics]" displayFolder="" count="0" memberValueDatatype="20" unbalanced="0"/>
    <cacheHierarchy uniqueName="[BI metrics].[LastYear-FirstWeekYear]" caption="LastYear-FirstWeekYear" attribute="1" defaultMemberUniqueName="[BI metrics].[LastYear-FirstWeekYear].[All]" allUniqueName="[BI metrics].[LastYear-FirstWeekYear].[All]" dimensionUniqueName="[BI metrics]" displayFolder="" count="0" memberValueDatatype="20" unbalanced="0"/>
    <cacheHierarchy uniqueName="[BI metrics].[LastYear-LastWeek]" caption="LastYear-LastWeek" attribute="1" defaultMemberUniqueName="[BI metrics].[LastYear-LastWeek].[All]" allUniqueName="[BI metrics].[LastYear-LastWeek].[All]" dimensionUniqueName="[BI metrics]" displayFolder="" count="0" memberValueDatatype="20" unbalanced="0"/>
    <cacheHierarchy uniqueName="[BI metrics].[Min_Year]" caption="Min_Year" attribute="1" time="1" defaultMemberUniqueName="[BI metrics].[Min_Year].[All]" allUniqueName="[BI metrics].[Min_Year].[All]" dimensionUniqueName="[BI metrics]" displayFolder="" count="0" memberValueDatatype="7" unbalanced="0"/>
    <cacheHierarchy uniqueName="[BI metrics].[Month]" caption="Month" attribute="1" defaultMemberUniqueName="[BI metrics].[Month].[All]" allUniqueName="[BI metrics].[Month].[All]" dimensionUniqueName="[BI metrics]" displayFolder="" count="0" memberValueDatatype="130" unbalanced="0"/>
    <cacheHierarchy uniqueName="[BI metrics].[Month QTD]" caption="Month QTD" attribute="1" defaultMemberUniqueName="[BI metrics].[Month QTD].[All]" allUniqueName="[BI metrics].[Month QTD].[All]" dimensionUniqueName="[BI metrics]" displayFolder="" count="0" memberValueDatatype="130" unbalanced="0"/>
    <cacheHierarchy uniqueName="[BI metrics].[Month_Number]" caption="Month_Number" attribute="1" defaultMemberUniqueName="[BI metrics].[Month_Number].[All]" allUniqueName="[BI metrics].[Month_Number].[All]" dimensionUniqueName="[BI metrics]" displayFolder="" count="0" memberValueDatatype="20" unbalanced="0"/>
    <cacheHierarchy uniqueName="[BI metrics].[Quarter]" caption="Quarter" attribute="1" defaultMemberUniqueName="[BI metrics].[Quarter].[All]" allUniqueName="[BI metrics].[Quarter].[All]" dimensionUniqueName="[BI metrics]" displayFolder="" count="0" memberValueDatatype="130" unbalanced="0"/>
    <cacheHierarchy uniqueName="[BI metrics].[TimePeriod]" caption="TimePeriod" attribute="1" defaultMemberUniqueName="[BI metrics].[TimePeriod].[All]" allUniqueName="[BI metrics].[TimePeriod].[All]" dimensionUniqueName="[BI metrics]" displayFolder="" count="2" memberValueDatatype="130" unbalanced="0">
      <fieldsUsage count="2">
        <fieldUsage x="-1"/>
        <fieldUsage x="1"/>
      </fieldsUsage>
    </cacheHierarchy>
    <cacheHierarchy uniqueName="[BI metrics].[TimePeriodSort]" caption="TimePeriodSort" attribute="1" defaultMemberUniqueName="[BI metrics].[TimePeriodSort].[All]" allUniqueName="[BI metrics].[TimePeriodSort].[All]" dimensionUniqueName="[BI metrics]" displayFolder="" count="0" memberValueDatatype="20" unbalanced="0"/>
    <cacheHierarchy uniqueName="[BI metrics].[Year]" caption="Year" attribute="1" defaultMemberUniqueName="[BI metrics].[Year].[All]" allUniqueName="[BI metrics].[Year].[All]" dimensionUniqueName="[BI metrics]" displayFolder="" count="0" memberValueDatatype="130" unbalanced="0"/>
    <cacheHierarchy uniqueName="[BI metrics].[Year Int]" caption="Year Int" attribute="1" defaultMemberUniqueName="[BI metrics].[Year Int].[All]" allUniqueName="[BI metrics].[Year Int].[All]" dimensionUniqueName="[BI metrics]" displayFolder="" count="0" memberValueDatatype="20" unbalanced="0"/>
    <cacheHierarchy uniqueName="[BI metrics].[year_month]" caption="year_month" attribute="1" defaultMemberUniqueName="[BI metrics].[year_month].[All]" allUniqueName="[BI metrics].[year_month].[All]" dimensionUniqueName="[BI metrics]" displayFolder="" count="0" memberValueDatatype="130" unbalanced="0"/>
    <cacheHierarchy uniqueName="[BI metrics].[Year_month_QTD]" caption="Year_month_QTD" attribute="1" defaultMemberUniqueName="[BI metrics].[Year_month_QTD].[All]" allUniqueName="[BI metrics].[Year_month_QTD].[All]" dimensionUniqueName="[BI metrics]" displayFolder="" count="0" memberValueDatatype="130" unbalanced="0"/>
    <cacheHierarchy uniqueName="[BI metrics].[Year_New]" caption="Year_New" attribute="1" defaultMemberUniqueName="[BI metrics].[Year_New].[All]" allUniqueName="[BI metrics].[Year_New].[All]" dimensionUniqueName="[BI metrics]" displayFolder="" count="0" memberValueDatatype="20" unbalanced="0"/>
    <cacheHierarchy uniqueName="[BI Store].[Area_Leader]" caption="Area_Leader" attribute="1" defaultMemberUniqueName="[BI Store].[Area_Leader].[All]" allUniqueName="[BI Store].[Area_Leader].[All]" dimensionUniqueName="[BI Store]" displayFolder="" count="0" memberValueDatatype="130" unbalanced="0"/>
    <cacheHierarchy uniqueName="[BI Store].[Area_Leader_New]" caption="Area_Leader_New" attribute="1" defaultMemberUniqueName="[BI Store].[Area_Leader_New].[All]" allUniqueName="[BI Store].[Area_Leader_New].[All]" dimensionUniqueName="[BI Store]" displayFolder="" count="0" memberValueDatatype="130" unbalanced="0"/>
    <cacheHierarchy uniqueName="[BI Store].[Branch_Type]" caption="Branch_Type" attribute="1" defaultMemberUniqueName="[BI Store].[Branch_Type].[All]" allUniqueName="[BI Store].[Branch_Type].[All]" dimensionUniqueName="[BI Store]" displayFolder="" count="2" memberValueDatatype="130" unbalanced="0">
      <fieldsUsage count="2">
        <fieldUsage x="-1"/>
        <fieldUsage x="4"/>
      </fieldsUsage>
    </cacheHierarchy>
    <cacheHierarchy uniqueName="[BI Store].[FreedomArea]" caption="FreedomArea" attribute="1" defaultMemberUniqueName="[BI Store].[FreedomArea].[All]" allUniqueName="[BI Store].[FreedomArea].[All]" dimensionUniqueName="[BI Store]" displayFolder="" count="0" memberValueDatatype="5" unbalanced="0"/>
    <cacheHierarchy uniqueName="[BI Store].[IsDC]" caption="IsDC" attribute="1" defaultMemberUniqueName="[BI Store].[IsDC].[All]" allUniqueName="[BI Store].[IsDC].[All]" dimensionUniqueName="[BI Store]" displayFolder="" count="0" memberValueDatatype="11" unbalanced="0"/>
    <cacheHierarchy uniqueName="[BI Store].[IsHO]" caption="IsHO" attribute="1" defaultMemberUniqueName="[BI Store].[IsHO].[All]" allUniqueName="[BI Store].[IsHO].[All]" dimensionUniqueName="[BI Store]" displayFolder="" count="0" memberValueDatatype="11" unbalanced="0"/>
    <cacheHierarchy uniqueName="[BI Store].[Store State Sort]" caption="Store State Sort" attribute="1" defaultMemberUniqueName="[BI Store].[Store State Sort].[All]" allUniqueName="[BI Store].[Store State Sort].[All]" dimensionUniqueName="[BI Store]" displayFolder="" count="0" memberValueDatatype="20" unbalanced="0"/>
    <cacheHierarchy uniqueName="[BI Store].[Store_Code]" caption="Store_Code" attribute="1" defaultMemberUniqueName="[BI Store].[Store_Code].[All]" allUniqueName="[BI Store].[Store_Code].[All]" dimensionUniqueName="[BI Store]" displayFolder="" count="0" memberValueDatatype="130" unbalanced="0"/>
    <cacheHierarchy uniqueName="[BI Store].[Store_Country]" caption="Store_Country" attribute="1" defaultMemberUniqueName="[BI Store].[Store_Country].[All]" allUniqueName="[BI Store].[Store_Country].[All]" dimensionUniqueName="[BI Store]" displayFolder="" count="2" memberValueDatatype="130" unbalanced="0">
      <fieldsUsage count="2">
        <fieldUsage x="-1"/>
        <fieldUsage x="5"/>
      </fieldsUsage>
    </cacheHierarchy>
    <cacheHierarchy uniqueName="[BI Store].[Store_Name]" caption="Store_Name" attribute="1" defaultMemberUniqueName="[BI Store].[Store_Name].[All]" allUniqueName="[BI Store].[Store_Name].[All]" dimensionUniqueName="[BI Store]" displayFolder="" count="0" memberValueDatatype="130" unbalanced="0"/>
    <cacheHierarchy uniqueName="[BI Store].[Store_State]" caption="Store_State" attribute="1" defaultMemberUniqueName="[BI Store].[Store_State].[All]" allUniqueName="[BI Store].[Store_State].[All]" dimensionUniqueName="[BI Store]" displayFolder="" count="0" memberValueDatatype="130" unbalanced="0"/>
    <cacheHierarchy uniqueName="[BI Store].[Store_Type]" caption="Store_Type" attribute="1" defaultMemberUniqueName="[BI Store].[Store_Type].[All]" allUniqueName="[BI Store].[Store_Type].[All]" dimensionUniqueName="[BI Store]" displayFolder="" count="0" memberValueDatatype="130" unbalanced="0"/>
    <cacheHierarchy uniqueName="[BI Store].[StoreKey]" caption="StoreKey" attribute="1" defaultMemberUniqueName="[BI Store].[StoreKey].[All]" allUniqueName="[BI Store].[StoreKey].[All]" dimensionUniqueName="[BI Store]" displayFolder="" count="0" memberValueDatatype="130" unbalanced="0"/>
    <cacheHierarchy uniqueName="[BI Store].[SubLeasedArea]" caption="SubLeasedArea" attribute="1" defaultMemberUniqueName="[BI Store].[SubLeasedArea].[All]" allUniqueName="[BI Store].[SubLeasedArea].[All]" dimensionUniqueName="[BI Store]" displayFolder="" count="0" memberValueDatatype="5" unbalanced="0"/>
    <cacheHierarchy uniqueName="[BI Store].[SubLeasedCompany]" caption="SubLeasedCompany" attribute="1" defaultMemberUniqueName="[BI Store].[SubLeasedCompany].[All]" allUniqueName="[BI Store].[SubLeasedCompany].[All]" dimensionUniqueName="[BI Store]" displayFolder="" count="0" memberValueDatatype="130" unbalanced="0"/>
    <cacheHierarchy uniqueName="[BI Store].[TotalArea]" caption="TotalArea" attribute="1" defaultMemberUniqueName="[BI Store].[TotalArea].[All]" allUniqueName="[BI Store].[TotalArea].[All]" dimensionUniqueName="[BI Store]" displayFolder="" count="0" memberValueDatatype="5" unbalanced="0"/>
    <cacheHierarchy uniqueName="[BI Store State Sort].[Sort No]" caption="Sort No" attribute="1" defaultMemberUniqueName="[BI Store State Sort].[Sort No].[All]" allUniqueName="[BI Store State Sort].[Sort No].[All]" dimensionUniqueName="[BI Store State Sort]" displayFolder="" count="0" memberValueDatatype="20" unbalanced="0"/>
    <cacheHierarchy uniqueName="[BI Store State Sort].[State Name]" caption="State Name" attribute="1" defaultMemberUniqueName="[BI Store State Sort].[State Name].[All]" allUniqueName="[BI Store State Sort].[State Name].[All]" dimensionUniqueName="[BI Store State Sort]" displayFolder="" count="0" memberValueDatatype="130" unbalanced="0"/>
    <cacheHierarchy uniqueName="[BI vw_BudgetByItemCategory].[BudgetDollar]" caption="BudgetDollar" attribute="1" defaultMemberUniqueName="[BI vw_BudgetByItemCategory].[BudgetDollar].[All]" allUniqueName="[BI vw_BudgetByItemCategory].[BudgetDollar].[All]" dimensionUniqueName="[BI vw_BudgetByItemCategory]" displayFolder="" count="0" memberValueDatatype="20" unbalanced="0"/>
    <cacheHierarchy uniqueName="[BI vw_BudgetByItemCategory].[BudgetGMDollar]" caption="BudgetGMDollar" attribute="1" defaultMemberUniqueName="[BI vw_BudgetByItemCategory].[BudgetGMDollar].[All]" allUniqueName="[BI vw_BudgetByItemCategory].[BudgetGMDollar].[All]" dimensionUniqueName="[BI vw_BudgetByItemCategory]" displayFolder="" count="0" memberValueDatatype="20" unbalanced="0"/>
    <cacheHierarchy uniqueName="[BI vw_BudgetByItemCategory].[BudgetMarkDown]" caption="BudgetMarkDown" attribute="1" defaultMemberUniqueName="[BI vw_BudgetByItemCategory].[BudgetMarkDown].[All]" allUniqueName="[BI vw_BudgetByItemCategory].[BudgetMarkDown].[All]" dimensionUniqueName="[BI vw_BudgetByItemCategory]" displayFolder="" count="0" memberValueDatatype="20" unbalanced="0"/>
    <cacheHierarchy uniqueName="[BI vw_BudgetByItemCategory].[BudgetPeriod]" caption="BudgetPeriod" attribute="1" defaultMemberUniqueName="[BI vw_BudgetByItemCategory].[BudgetPeriod].[All]" allUniqueName="[BI vw_BudgetByItemCategory].[BudgetPeriod].[All]" dimensionUniqueName="[BI vw_BudgetByItemCategory]" displayFolder="" count="0" memberValueDatatype="20" unbalanced="0"/>
    <cacheHierarchy uniqueName="[BI vw_BudgetByItemCategory].[BudgetWeek]" caption="BudgetWeek" attribute="1" defaultMemberUniqueName="[BI vw_BudgetByItemCategory].[BudgetWeek].[All]" allUniqueName="[BI vw_BudgetByItemCategory].[BudgetWeek].[All]" dimensionUniqueName="[BI vw_BudgetByItemCategory]" displayFolder="" count="0" memberValueDatatype="20" unbalanced="0"/>
    <cacheHierarchy uniqueName="[BI vw_BudgetByItemCategory].[BudgetYear]" caption="BudgetYear" attribute="1" defaultMemberUniqueName="[BI vw_BudgetByItemCategory].[BudgetYear].[All]" allUniqueName="[BI vw_BudgetByItemCategory].[BudgetYear].[All]" dimensionUniqueName="[BI vw_BudgetByItemCategory]" displayFolder="" count="0" memberValueDatatype="20" unbalanced="0"/>
    <cacheHierarchy uniqueName="[BI vw_BudgetByItemCategory].[Channel]" caption="Channel" attribute="1" defaultMemberUniqueName="[BI vw_BudgetByItemCategory].[Channel].[All]" allUniqueName="[BI vw_BudgetByItemCategory].[Channel].[All]" dimensionUniqueName="[BI vw_BudgetByItemCategory]" displayFolder="" count="0" memberValueDatatype="130" unbalanced="0"/>
    <cacheHierarchy uniqueName="[BI vw_BudgetByItemCategory].[Country]" caption="Country" attribute="1" defaultMemberUniqueName="[BI vw_BudgetByItemCategory].[Country].[All]" allUniqueName="[BI vw_BudgetByItemCategory].[Country].[All]" dimensionUniqueName="[BI vw_BudgetByItemCategory]" displayFolder="" count="2" memberValueDatatype="130" unbalanced="0">
      <fieldsUsage count="2">
        <fieldUsage x="-1"/>
        <fieldUsage x="6"/>
      </fieldsUsage>
    </cacheHierarchy>
    <cacheHierarchy uniqueName="[BI vw_BudgetByItemCategory].[DepartmentDesc]" caption="DepartmentDesc" attribute="1" defaultMemberUniqueName="[BI vw_BudgetByItemCategory].[DepartmentDesc].[All]" allUniqueName="[BI vw_BudgetByItemCategory].[DepartmentDesc].[All]" dimensionUniqueName="[BI vw_BudgetByItemCategory]" displayFolder="" count="0" memberValueDatatype="130" unbalanced="0"/>
    <cacheHierarchy uniqueName="[BI vw_BudgetByItemCategory].[Division]" caption="Division" attribute="1" defaultMemberUniqueName="[BI vw_BudgetByItemCategory].[Division].[All]" allUniqueName="[BI vw_BudgetByItemCategory].[Division].[All]" dimensionUniqueName="[BI vw_BudgetByItemCategory]" displayFolder="" count="0" memberValueDatatype="130" unbalanced="0"/>
    <cacheHierarchy uniqueName="[BI vw_BudgetByItemCategory].[JoinKey]" caption="JoinKey" attribute="1" defaultMemberUniqueName="[BI vw_BudgetByItemCategory].[JoinKey].[All]" allUniqueName="[BI vw_BudgetByItemCategory].[JoinKey].[All]" dimensionUniqueName="[BI vw_BudgetByItemCategory]" displayFolder="" count="0" memberValueDatatype="130" unbalanced="0"/>
    <cacheHierarchy uniqueName="[BI vw_BudgetByItemCategory].[Sale$ Pure]" caption="Sale$ Pure" attribute="1" defaultMemberUniqueName="[BI vw_BudgetByItemCategory].[Sale$ Pure].[All]" allUniqueName="[BI vw_BudgetByItemCategory].[Sale$ Pure].[All]" dimensionUniqueName="[BI vw_BudgetByItemCategory]" displayFolder="" count="0" memberValueDatatype="20" unbalanced="0"/>
    <cacheHierarchy uniqueName="[BI vw_BudgetByItemCategory].[Sales GM%]" caption="Sales GM%" attribute="1" defaultMemberUniqueName="[BI vw_BudgetByItemCategory].[Sales GM%].[All]" allUniqueName="[BI vw_BudgetByItemCategory].[Sales GM%].[All]" dimensionUniqueName="[BI vw_BudgetByItemCategory]" displayFolder="" count="0" memberValueDatatype="20" unbalanced="0"/>
    <cacheHierarchy uniqueName="[BI vw_BudgetByItemCategory].[Sales GM% Pure]" caption="Sales GM% Pure" attribute="1" defaultMemberUniqueName="[BI vw_BudgetByItemCategory].[Sales GM% Pure].[All]" allUniqueName="[BI vw_BudgetByItemCategory].[Sales GM% Pure].[All]" dimensionUniqueName="[BI vw_BudgetByItemCategory]" displayFolder="" count="0" memberValueDatatype="20" unbalanced="0"/>
    <cacheHierarchy uniqueName="[BI vw_BudgetByItemCategory].[StoreType]" caption="StoreType" attribute="1" defaultMemberUniqueName="[BI vw_BudgetByItemCategory].[StoreType].[All]" allUniqueName="[BI vw_BudgetByItemCategory].[StoreType].[All]" dimensionUniqueName="[BI vw_BudgetByItemCategory]" displayFolder="" count="0" memberValueDatatype="130" unbalanced="0"/>
    <cacheHierarchy uniqueName="[BI vw_BudgetByItemCategory].[SubDepartmentDesc]" caption="SubDepartmentDesc" attribute="1" defaultMemberUniqueName="[BI vw_BudgetByItemCategory].[SubDepartmentDesc].[All]" allUniqueName="[BI vw_BudgetByItemCategory].[SubDepartmentDesc].[All]" dimensionUniqueName="[BI vw_BudgetByItemCategory]" displayFolder="" count="0" memberValueDatatype="130" unbalanced="0"/>
    <cacheHierarchy uniqueName="[BI vw_BudgetByStore].[BudgetDollar]" caption="BudgetDollar" attribute="1" defaultMemberUniqueName="[BI vw_BudgetByStore].[BudgetDollar].[All]" allUniqueName="[BI vw_BudgetByStore].[BudgetDollar].[All]" dimensionUniqueName="[BI vw_BudgetByStore]" displayFolder="" count="0" memberValueDatatype="5" unbalanced="0"/>
    <cacheHierarchy uniqueName="[BI vw_BudgetByStore].[BudgetPeriod]" caption="BudgetPeriod" attribute="1" defaultMemberUniqueName="[BI vw_BudgetByStore].[BudgetPeriod].[All]" allUniqueName="[BI vw_BudgetByStore].[BudgetPeriod].[All]" dimensionUniqueName="[BI vw_BudgetByStore]" displayFolder="" count="0" memberValueDatatype="20" unbalanced="0"/>
    <cacheHierarchy uniqueName="[BI vw_BudgetByStore].[BudgetWeek]" caption="BudgetWeek" attribute="1" defaultMemberUniqueName="[BI vw_BudgetByStore].[BudgetWeek].[All]" allUniqueName="[BI vw_BudgetByStore].[BudgetWeek].[All]" dimensionUniqueName="[BI vw_BudgetByStore]" displayFolder="" count="0" memberValueDatatype="20" unbalanced="0"/>
    <cacheHierarchy uniqueName="[BI vw_BudgetByStore].[BudgetYear]" caption="BudgetYear" attribute="1" defaultMemberUniqueName="[BI vw_BudgetByStore].[BudgetYear].[All]" allUniqueName="[BI vw_BudgetByStore].[BudgetYear].[All]" dimensionUniqueName="[BI vw_BudgetByStore]" displayFolder="" count="0" memberValueDatatype="20" unbalanced="0"/>
    <cacheHierarchy uniqueName="[BI vw_BudgetByStore].[Channel]" caption="Channel" attribute="1" defaultMemberUniqueName="[BI vw_BudgetByStore].[Channel].[All]" allUniqueName="[BI vw_BudgetByStore].[Channel].[All]" dimensionUniqueName="[BI vw_BudgetByStore]" displayFolder="" count="0" memberValueDatatype="130" unbalanced="0"/>
    <cacheHierarchy uniqueName="[BI vw_BudgetByStore].[Country]" caption="Country" attribute="1" defaultMemberUniqueName="[BI vw_BudgetByStore].[Country].[All]" allUniqueName="[BI vw_BudgetByStore].[Country].[All]" dimensionUniqueName="[BI vw_BudgetByStore]" displayFolder="" count="0" memberValueDatatype="130" unbalanced="0"/>
    <cacheHierarchy uniqueName="[BI vw_BudgetByStore].[Division]" caption="Division" attribute="1" defaultMemberUniqueName="[BI vw_BudgetByStore].[Division].[All]" allUniqueName="[BI vw_BudgetByStore].[Division].[All]" dimensionUniqueName="[BI vw_BudgetByStore]" displayFolder="" count="0" memberValueDatatype="130" unbalanced="0"/>
    <cacheHierarchy uniqueName="[BI vw_BudgetByStore].[JoinKey]" caption="JoinKey" attribute="1" defaultMemberUniqueName="[BI vw_BudgetByStore].[JoinKey].[All]" allUniqueName="[BI vw_BudgetByStore].[JoinKey].[All]" dimensionUniqueName="[BI vw_BudgetByStore]" displayFolder="" count="0" memberValueDatatype="130" unbalanced="0"/>
    <cacheHierarchy uniqueName="[BI vw_BudgetByStore].[Store]" caption="Store" attribute="1" defaultMemberUniqueName="[BI vw_BudgetByStore].[Store].[All]" allUniqueName="[BI vw_BudgetByStore].[Store].[All]" dimensionUniqueName="[BI vw_BudgetByStore]" displayFolder="" count="0" memberValueDatatype="130" unbalanced="0"/>
    <cacheHierarchy uniqueName="[BI vw_BudgetByStore].[StoreKey]" caption="StoreKey" attribute="1" defaultMemberUniqueName="[BI vw_BudgetByStore].[StoreKey].[All]" allUniqueName="[BI vw_BudgetByStore].[StoreKey].[All]" dimensionUniqueName="[BI vw_BudgetByStore]" displayFolder="" count="0" memberValueDatatype="130" unbalanced="0"/>
    <cacheHierarchy uniqueName="[BI vw_BudgetByWeek].[BudgetPeriod]" caption="BudgetPeriod" attribute="1" defaultMemberUniqueName="[BI vw_BudgetByWeek].[BudgetPeriod].[All]" allUniqueName="[BI vw_BudgetByWeek].[BudgetPeriod].[All]" dimensionUniqueName="[BI vw_BudgetByWeek]" displayFolder="" count="0" memberValueDatatype="20" unbalanced="0"/>
    <cacheHierarchy uniqueName="[BI vw_BudgetByWeek].[BudgetWeek]" caption="BudgetWeek" attribute="1" defaultMemberUniqueName="[BI vw_BudgetByWeek].[BudgetWeek].[All]" allUniqueName="[BI vw_BudgetByWeek].[BudgetWeek].[All]" dimensionUniqueName="[BI vw_BudgetByWeek]" displayFolder="" count="0" memberValueDatatype="20" unbalanced="0"/>
    <cacheHierarchy uniqueName="[BI vw_BudgetByWeek].[BudgetYear]" caption="BudgetYear" attribute="1" defaultMemberUniqueName="[BI vw_BudgetByWeek].[BudgetYear].[All]" allUniqueName="[BI vw_BudgetByWeek].[BudgetYear].[All]" dimensionUniqueName="[BI vw_BudgetByWeek]" displayFolder="" count="0" memberValueDatatype="20" unbalanced="0"/>
    <cacheHierarchy uniqueName="[BI vw_BudgetByWeek].[Channel]" caption="Channel" attribute="1" defaultMemberUniqueName="[BI vw_BudgetByWeek].[Channel].[All]" allUniqueName="[BI vw_BudgetByWeek].[Channel].[All]" dimensionUniqueName="[BI vw_BudgetByWeek]" displayFolder="" count="0" memberValueDatatype="130" unbalanced="0"/>
    <cacheHierarchy uniqueName="[BI vw_BudgetByWeek].[Country]" caption="Country" attribute="1" defaultMemberUniqueName="[BI vw_BudgetByWeek].[Country].[All]" allUniqueName="[BI vw_BudgetByWeek].[Country].[All]" dimensionUniqueName="[BI vw_BudgetByWeek]" displayFolder="" count="0" memberValueDatatype="130" unbalanced="0"/>
    <cacheHierarchy uniqueName="[BI vw_BudgetByWeek].[FootTrafficBudget]" caption="FootTrafficBudget" attribute="1" defaultMemberUniqueName="[BI vw_BudgetByWeek].[FootTrafficBudget].[All]" allUniqueName="[BI vw_BudgetByWeek].[FootTrafficBudget].[All]" dimensionUniqueName="[BI vw_BudgetByWeek]" displayFolder="" count="0" memberValueDatatype="5" unbalanced="0"/>
    <cacheHierarchy uniqueName="[BI vw_BudgetByWeek].[ID]" caption="ID" attribute="1" defaultMemberUniqueName="[BI vw_BudgetByWeek].[ID].[All]" allUniqueName="[BI vw_BudgetByWeek].[ID].[All]" dimensionUniqueName="[BI vw_BudgetByWeek]" displayFolder="" count="0" memberValueDatatype="20" unbalanced="0"/>
    <cacheHierarchy uniqueName="[BI vw_BudgetByWeek].[joinKey]" caption="joinKey" attribute="1" defaultMemberUniqueName="[BI vw_BudgetByWeek].[joinKey].[All]" allUniqueName="[BI vw_BudgetByWeek].[joinKey].[All]" dimensionUniqueName="[BI vw_BudgetByWeek]" displayFolder="" count="0" memberValueDatatype="130" unbalanced="0"/>
    <cacheHierarchy uniqueName="[BI vw_BudgetByWeek].[NumberOfTransactionBudget]" caption="NumberOfTransactionBudget" attribute="1" defaultMemberUniqueName="[BI vw_BudgetByWeek].[NumberOfTransactionBudget].[All]" allUniqueName="[BI vw_BudgetByWeek].[NumberOfTransactionBudget].[All]" dimensionUniqueName="[BI vw_BudgetByWeek]" displayFolder="" count="0" memberValueDatatype="5" unbalanced="0"/>
    <cacheHierarchy uniqueName="[BI vw_BudgetByWeek].[Store]" caption="Store" attribute="1" defaultMemberUniqueName="[BI vw_BudgetByWeek].[Store].[All]" allUniqueName="[BI vw_BudgetByWeek].[Store].[All]" dimensionUniqueName="[BI vw_BudgetByWeek]" displayFolder="" count="0" memberValueDatatype="130" unbalanced="0"/>
    <cacheHierarchy uniqueName="[BI vw_BudgetDigital].[1P Sales]" caption="1P Sales" attribute="1" defaultMemberUniqueName="[BI vw_BudgetDigital].[1P Sales].[All]" allUniqueName="[BI vw_BudgetDigital].[1P Sales].[All]" dimensionUniqueName="[BI vw_BudgetDigital]" displayFolder="" count="0" memberValueDatatype="5" unbalanced="0"/>
    <cacheHierarchy uniqueName="[BI vw_BudgetDigital].[3P Sales]" caption="3P Sales" attribute="1" defaultMemberUniqueName="[BI vw_BudgetDigital].[3P Sales].[All]" allUniqueName="[BI vw_BudgetDigital].[3P Sales].[All]" dimensionUniqueName="[BI vw_BudgetDigital]" displayFolder="" count="0" memberValueDatatype="5" unbalanced="0"/>
    <cacheHierarchy uniqueName="[BI vw_BudgetDigital].[BudgetPeriod]" caption="BudgetPeriod" attribute="1" defaultMemberUniqueName="[BI vw_BudgetDigital].[BudgetPeriod].[All]" allUniqueName="[BI vw_BudgetDigital].[BudgetPeriod].[All]" dimensionUniqueName="[BI vw_BudgetDigital]" displayFolder="" count="0" memberValueDatatype="20" unbalanced="0"/>
    <cacheHierarchy uniqueName="[BI vw_BudgetDigital].[BudgetWeek]" caption="BudgetWeek" attribute="1" defaultMemberUniqueName="[BI vw_BudgetDigital].[BudgetWeek].[All]" allUniqueName="[BI vw_BudgetDigital].[BudgetWeek].[All]" dimensionUniqueName="[BI vw_BudgetDigital]" displayFolder="" count="0" memberValueDatatype="20" unbalanced="0"/>
    <cacheHierarchy uniqueName="[BI vw_BudgetDigital].[BudgetYear]" caption="BudgetYear" attribute="1" defaultMemberUniqueName="[BI vw_BudgetDigital].[BudgetYear].[All]" allUniqueName="[BI vw_BudgetDigital].[BudgetYear].[All]" dimensionUniqueName="[BI vw_BudgetDigital]" displayFolder="" count="0" memberValueDatatype="20" unbalanced="0"/>
    <cacheHierarchy uniqueName="[BI vw_BudgetDigital].[Country]" caption="Country" attribute="1" defaultMemberUniqueName="[BI vw_BudgetDigital].[Country].[All]" allUniqueName="[BI vw_BudgetDigital].[Country].[All]" dimensionUniqueName="[BI vw_BudgetDigital]" displayFolder="" count="0" memberValueDatatype="130" unbalanced="0"/>
    <cacheHierarchy uniqueName="[BI vw_BudgetDigital].[ID]" caption="ID" attribute="1" defaultMemberUniqueName="[BI vw_BudgetDigital].[ID].[All]" allUniqueName="[BI vw_BudgetDigital].[ID].[All]" dimensionUniqueName="[BI vw_BudgetDigital]" displayFolder="" count="0" memberValueDatatype="20" unbalanced="0"/>
    <cacheHierarchy uniqueName="[BI vw_BudgetDigital].[Key]" caption="Key" attribute="1" defaultMemberUniqueName="[BI vw_BudgetDigital].[Key].[All]" allUniqueName="[BI vw_BudgetDigital].[Key].[All]" dimensionUniqueName="[BI vw_BudgetDigital]" displayFolder="" count="0" memberValueDatatype="130" unbalanced="0"/>
    <cacheHierarchy uniqueName="[BI vw_BudgetDigital].[Online ATV]" caption="Online ATV" attribute="1" defaultMemberUniqueName="[BI vw_BudgetDigital].[Online ATV].[All]" allUniqueName="[BI vw_BudgetDigital].[Online ATV].[All]" dimensionUniqueName="[BI vw_BudgetDigital]" displayFolder="" count="0" memberValueDatatype="5" unbalanced="0"/>
    <cacheHierarchy uniqueName="[BI vw_BudgetDigital].[Online CR]" caption="Online CR" attribute="1" defaultMemberUniqueName="[BI vw_BudgetDigital].[Online CR].[All]" allUniqueName="[BI vw_BudgetDigital].[Online CR].[All]" dimensionUniqueName="[BI vw_BudgetDigital]" displayFolder="" count="0" memberValueDatatype="5" unbalanced="0"/>
    <cacheHierarchy uniqueName="[BI vw_BudgetDigital].[Online Traffic]" caption="Online Traffic" attribute="1" defaultMemberUniqueName="[BI vw_BudgetDigital].[Online Traffic].[All]" allUniqueName="[BI vw_BudgetDigital].[Online Traffic].[All]" dimensionUniqueName="[BI vw_BudgetDigital]" displayFolder="" count="0" memberValueDatatype="5" unbalanced="0"/>
    <cacheHierarchy uniqueName="[BI vw_BudgetDigital].[Total Sales]" caption="Total Sales" attribute="1" defaultMemberUniqueName="[BI vw_BudgetDigital].[Total Sales].[All]" allUniqueName="[BI vw_BudgetDigital].[Total Sales].[All]" dimensionUniqueName="[BI vw_BudgetDigital]" displayFolder="" count="0" memberValueDatatype="5" unbalanced="0"/>
    <cacheHierarchy uniqueName="[BI vw_BudgetDigital].[Trans Nbr]" caption="Trans Nbr" attribute="1" defaultMemberUniqueName="[BI vw_BudgetDigital].[Trans Nbr].[All]" allUniqueName="[BI vw_BudgetDigital].[Trans Nbr].[All]" dimensionUniqueName="[BI vw_BudgetDigital]" displayFolder="" count="0" memberValueDatatype="5" unbalanced="0"/>
    <cacheHierarchy uniqueName="[BI vw_BudgetOnlineByStore].[BudgetPeriod]" caption="BudgetPeriod" attribute="1" defaultMemberUniqueName="[BI vw_BudgetOnlineByStore].[BudgetPeriod].[All]" allUniqueName="[BI vw_BudgetOnlineByStore].[BudgetPeriod].[All]" dimensionUniqueName="[BI vw_BudgetOnlineByStore]" displayFolder="" count="0" memberValueDatatype="20" unbalanced="0"/>
    <cacheHierarchy uniqueName="[BI vw_BudgetOnlineByStore].[BudgetWeek]" caption="BudgetWeek" attribute="1" defaultMemberUniqueName="[BI vw_BudgetOnlineByStore].[BudgetWeek].[All]" allUniqueName="[BI vw_BudgetOnlineByStore].[BudgetWeek].[All]" dimensionUniqueName="[BI vw_BudgetOnlineByStore]" displayFolder="" count="0" memberValueDatatype="20" unbalanced="0"/>
    <cacheHierarchy uniqueName="[BI vw_BudgetOnlineByStore].[BudgetYear]" caption="BudgetYear" attribute="1" defaultMemberUniqueName="[BI vw_BudgetOnlineByStore].[BudgetYear].[All]" allUniqueName="[BI vw_BudgetOnlineByStore].[BudgetYear].[All]" dimensionUniqueName="[BI vw_BudgetOnlineByStore]" displayFolder="" count="0" memberValueDatatype="20" unbalanced="0"/>
    <cacheHierarchy uniqueName="[BI vw_BudgetOnlineByStore].[DropshipBudget]" caption="DropshipBudget" attribute="1" defaultMemberUniqueName="[BI vw_BudgetOnlineByStore].[DropshipBudget].[All]" allUniqueName="[BI vw_BudgetOnlineByStore].[DropshipBudget].[All]" dimensionUniqueName="[BI vw_BudgetOnlineByStore]" displayFolder="" count="0" memberValueDatatype="6" unbalanced="0"/>
    <cacheHierarchy uniqueName="[BI vw_BudgetOnlineByStore].[JoinKey]" caption="JoinKey" attribute="1" defaultMemberUniqueName="[BI vw_BudgetOnlineByStore].[JoinKey].[All]" allUniqueName="[BI vw_BudgetOnlineByStore].[JoinKey].[All]" dimensionUniqueName="[BI vw_BudgetOnlineByStore]" displayFolder="" count="0" memberValueDatatype="130" unbalanced="0"/>
    <cacheHierarchy uniqueName="[BI vw_BudgetOnlineByStore].[NOT_Budget]" caption="NOT_Budget" attribute="1" defaultMemberUniqueName="[BI vw_BudgetOnlineByStore].[NOT_Budget].[All]" allUniqueName="[BI vw_BudgetOnlineByStore].[NOT_Budget].[All]" dimensionUniqueName="[BI vw_BudgetOnlineByStore]" displayFolder="" count="0" memberValueDatatype="5" unbalanced="0"/>
    <cacheHierarchy uniqueName="[BI vw_BudgetOnlineByStore].[SalesClassification]" caption="SalesClassification" attribute="1" defaultMemberUniqueName="[BI vw_BudgetOnlineByStore].[SalesClassification].[All]" allUniqueName="[BI vw_BudgetOnlineByStore].[SalesClassification].[All]" dimensionUniqueName="[BI vw_BudgetOnlineByStore]" displayFolder="" count="0" memberValueDatatype="130" unbalanced="0"/>
    <cacheHierarchy uniqueName="[BI vw_BudgetOnlineByStore].[Store]" caption="Store" attribute="1" defaultMemberUniqueName="[BI vw_BudgetOnlineByStore].[Store].[All]" allUniqueName="[BI vw_BudgetOnlineByStore].[Store].[All]" dimensionUniqueName="[BI vw_BudgetOnlineByStore]" displayFolder="" count="0" memberValueDatatype="130" unbalanced="0"/>
    <cacheHierarchy uniqueName="[BI vw_BudgetOnlineByStore].[TotalOnlineBudget]" caption="TotalOnlineBudget" attribute="1" defaultMemberUniqueName="[BI vw_BudgetOnlineByStore].[TotalOnlineBudget].[All]" allUniqueName="[BI vw_BudgetOnlineByStore].[TotalOnlineBudget].[All]" dimensionUniqueName="[BI vw_BudgetOnlineByStore]" displayFolder="" count="0" memberValueDatatype="6" unbalanced="0"/>
    <cacheHierarchy uniqueName="[BI vw_DropshipBudget].[BudgetDollar]" caption="BudgetDollar" attribute="1" defaultMemberUniqueName="[BI vw_DropshipBudget].[BudgetDollar].[All]" allUniqueName="[BI vw_DropshipBudget].[BudgetDollar].[All]" dimensionUniqueName="[BI vw_DropshipBudget]" displayFolder="" count="0" memberValueDatatype="5" unbalanced="0"/>
    <cacheHierarchy uniqueName="[BI vw_DropshipBudget].[BudgetPeriod]" caption="BudgetPeriod" attribute="1" defaultMemberUniqueName="[BI vw_DropshipBudget].[BudgetPeriod].[All]" allUniqueName="[BI vw_DropshipBudget].[BudgetPeriod].[All]" dimensionUniqueName="[BI vw_DropshipBudget]" displayFolder="" count="0" memberValueDatatype="20" unbalanced="0"/>
    <cacheHierarchy uniqueName="[BI vw_DropshipBudget].[Department]" caption="Department" attribute="1" defaultMemberUniqueName="[BI vw_DropshipBudget].[Department].[All]" allUniqueName="[BI vw_DropshipBudget].[Department].[All]" dimensionUniqueName="[BI vw_DropshipBudget]" displayFolder="" count="0" memberValueDatatype="20" unbalanced="0"/>
    <cacheHierarchy uniqueName="[BI vw_DropshipBudget].[DepartmentDesc]" caption="DepartmentDesc" attribute="1" defaultMemberUniqueName="[BI vw_DropshipBudget].[DepartmentDesc].[All]" allUniqueName="[BI vw_DropshipBudget].[DepartmentDesc].[All]" dimensionUniqueName="[BI vw_DropshipBudget]" displayFolder="" count="0" memberValueDatatype="130" unbalanced="0"/>
    <cacheHierarchy uniqueName="[BI vw_DropshipBudget].[Division]" caption="Division" attribute="1" defaultMemberUniqueName="[BI vw_DropshipBudget].[Division].[All]" allUniqueName="[BI vw_DropshipBudget].[Division].[All]" dimensionUniqueName="[BI vw_DropshipBudget]" displayFolder="" count="0" memberValueDatatype="130" unbalanced="0"/>
    <cacheHierarchy uniqueName="[BI vw_DropshipBudget].[JoinKey]" caption="JoinKey" attribute="1" defaultMemberUniqueName="[BI vw_DropshipBudget].[JoinKey].[All]" allUniqueName="[BI vw_DropshipBudget].[JoinKey].[All]" dimensionUniqueName="[BI vw_DropshipBudget]" displayFolder="" count="0" memberValueDatatype="130" unbalanced="0"/>
    <cacheHierarchy uniqueName="[BI vw_Items].[Class]" caption="Class" attribute="1" defaultMemberUniqueName="[BI vw_Items].[Class].[All]" allUniqueName="[BI vw_Items].[Class].[All]" dimensionUniqueName="[BI vw_Items]" displayFolder="" count="0" memberValueDatatype="20" unbalanced="0"/>
    <cacheHierarchy uniqueName="[BI vw_Items].[ClassDesc]" caption="ClassDesc" attribute="1" defaultMemberUniqueName="[BI vw_Items].[ClassDesc].[All]" allUniqueName="[BI vw_Items].[ClassDesc].[All]" dimensionUniqueName="[BI vw_Items]" displayFolder="" count="0" memberValueDatatype="130" unbalanced="0"/>
    <cacheHierarchy uniqueName="[BI vw_Items].[department]" caption="department" attribute="1" defaultMemberUniqueName="[BI vw_Items].[department].[All]" allUniqueName="[BI vw_Items].[department].[All]" dimensionUniqueName="[BI vw_Items]" displayFolder="" count="0" memberValueDatatype="20" unbalanced="0"/>
    <cacheHierarchy uniqueName="[BI vw_Items].[DepartmentDesc]" caption="DepartmentDesc" attribute="1" defaultMemberUniqueName="[BI vw_Items].[DepartmentDesc].[All]" allUniqueName="[BI vw_Items].[DepartmentDesc].[All]" dimensionUniqueName="[BI vw_Items]" displayFolder="" count="0" memberValueDatatype="130" unbalanced="0"/>
    <cacheHierarchy uniqueName="[BI vw_Items].[Division]" caption="Division" attribute="1" defaultMemberUniqueName="[BI vw_Items].[Division].[All]" allUniqueName="[BI vw_Items].[Division].[All]" dimensionUniqueName="[BI vw_Items]" displayFolder="" count="0" memberValueDatatype="130" unbalanced="0"/>
    <cacheHierarchy uniqueName="[BI vw_Items].[FOB Port]" caption="FOB Port" attribute="1" defaultMemberUniqueName="[BI vw_Items].[FOB Port].[All]" allUniqueName="[BI vw_Items].[FOB Port].[All]" dimensionUniqueName="[BI vw_Items]" displayFolder="" count="0" memberValueDatatype="130" unbalanced="0"/>
    <cacheHierarchy uniqueName="[BI vw_Items].[Forecast Birth Date AU]" caption="Forecast Birth Date AU" attribute="1" defaultMemberUniqueName="[BI vw_Items].[Forecast Birth Date AU].[All]" allUniqueName="[BI vw_Items].[Forecast Birth Date AU].[All]" dimensionUniqueName="[BI vw_Items]" displayFolder="" count="0" memberValueDatatype="130" unbalanced="0"/>
    <cacheHierarchy uniqueName="[BI vw_Items].[Forecast Birth Date NZ]" caption="Forecast Birth Date NZ" attribute="1" defaultMemberUniqueName="[BI vw_Items].[Forecast Birth Date NZ].[All]" allUniqueName="[BI vw_Items].[Forecast Birth Date NZ].[All]" dimensionUniqueName="[BI vw_Items]" displayFolder="" count="0" memberValueDatatype="130" unbalanced="0"/>
    <cacheHierarchy uniqueName="[BI vw_Items].[IsComponent]" caption="IsComponent" attribute="1" defaultMemberUniqueName="[BI vw_Items].[IsComponent].[All]" allUniqueName="[BI vw_Items].[IsComponent].[All]" dimensionUniqueName="[BI vw_Items]" displayFolder="" count="0" memberValueDatatype="130" unbalanced="0"/>
    <cacheHierarchy uniqueName="[BI vw_Items].[ItemDescription]" caption="ItemDescription" attribute="1" defaultMemberUniqueName="[BI vw_Items].[ItemDescription].[All]" allUniqueName="[BI vw_Items].[ItemDescription].[All]" dimensionUniqueName="[BI vw_Items]" displayFolder="" count="0" memberValueDatatype="130" unbalanced="0"/>
    <cacheHierarchy uniqueName="[BI vw_Items].[ProductStatus]" caption="ProductStatus" attribute="1" defaultMemberUniqueName="[BI vw_Items].[ProductStatus].[All]" allUniqueName="[BI vw_Items].[ProductStatus].[All]" dimensionUniqueName="[BI vw_Items]" displayFolder="" count="0" memberValueDatatype="130" unbalanced="0"/>
    <cacheHierarchy uniqueName="[BI vw_Items].[ProductStatusNZ]" caption="ProductStatusNZ" attribute="1" defaultMemberUniqueName="[BI vw_Items].[ProductStatusNZ].[All]" allUniqueName="[BI vw_Items].[ProductStatusNZ].[All]" dimensionUniqueName="[BI vw_Items]" displayFolder="" count="0" memberValueDatatype="130" unbalanced="0"/>
    <cacheHierarchy uniqueName="[BI vw_Items].[PurchaseQTY]" caption="PurchaseQTY" attribute="1" defaultMemberUniqueName="[BI vw_Items].[PurchaseQTY].[All]" allUniqueName="[BI vw_Items].[PurchaseQTY].[All]" dimensionUniqueName="[BI vw_Items]" displayFolder="" count="0" memberValueDatatype="6" unbalanced="0"/>
    <cacheHierarchy uniqueName="[BI vw_Items].[Range]" caption="Range" attribute="1" defaultMemberUniqueName="[BI vw_Items].[Range].[All]" allUniqueName="[BI vw_Items].[Range].[All]" dimensionUniqueName="[BI vw_Items]" displayFolder="" count="0" memberValueDatatype="130" unbalanced="0"/>
    <cacheHierarchy uniqueName="[BI vw_Items].[Season_AUS]" caption="Season_AUS" attribute="1" defaultMemberUniqueName="[BI vw_Items].[Season_AUS].[All]" allUniqueName="[BI vw_Items].[Season_AUS].[All]" dimensionUniqueName="[BI vw_Items]" displayFolder="" count="0" memberValueDatatype="130" unbalanced="0"/>
    <cacheHierarchy uniqueName="[BI vw_Items].[Season_NZ]" caption="Season_NZ" attribute="1" defaultMemberUniqueName="[BI vw_Items].[Season_NZ].[All]" allUniqueName="[BI vw_Items].[Season_NZ].[All]" dimensionUniqueName="[BI vw_Items]" displayFolder="" count="0" memberValueDatatype="130" unbalanced="0"/>
    <cacheHierarchy uniqueName="[BI vw_Items].[SKU]" caption="SKU" attribute="1" defaultMemberUniqueName="[BI vw_Items].[SKU].[All]" allUniqueName="[BI vw_Items].[SKU].[All]" dimensionUniqueName="[BI vw_Items]" displayFolder="" count="0" memberValueDatatype="20" unbalanced="0"/>
    <cacheHierarchy uniqueName="[BI vw_Items].[Stock Type_AUS]" caption="Stock Type_AUS" attribute="1" defaultMemberUniqueName="[BI vw_Items].[Stock Type_AUS].[All]" allUniqueName="[BI vw_Items].[Stock Type_AUS].[All]" dimensionUniqueName="[BI vw_Items]" displayFolder="" count="0" memberValueDatatype="130" unbalanced="0"/>
    <cacheHierarchy uniqueName="[BI vw_Items].[SubDepartment]" caption="SubDepartment" attribute="1" defaultMemberUniqueName="[BI vw_Items].[SubDepartment].[All]" allUniqueName="[BI vw_Items].[SubDepartment].[All]" dimensionUniqueName="[BI vw_Items]" displayFolder="" count="0" memberValueDatatype="20" unbalanced="0"/>
    <cacheHierarchy uniqueName="[BI vw_Items].[SubDepartmentDesc]" caption="SubDepartmentDesc" attribute="1" defaultMemberUniqueName="[BI vw_Items].[SubDepartmentDesc].[All]" allUniqueName="[BI vw_Items].[SubDepartmentDesc].[All]" dimensionUniqueName="[BI vw_Items]" displayFolder="" count="0" memberValueDatatype="130" unbalanced="0"/>
    <cacheHierarchy uniqueName="[BI vw_Items].[Supplier Cost]" caption="Supplier Cost" attribute="1" defaultMemberUniqueName="[BI vw_Items].[Supplier Cost].[All]" allUniqueName="[BI vw_Items].[Supplier Cost].[All]" dimensionUniqueName="[BI vw_Items]" displayFolder="" count="0" memberValueDatatype="130" unbalanced="0"/>
    <cacheHierarchy uniqueName="[BI vw_Items].[supplier_code]" caption="supplier_code" attribute="1" defaultMemberUniqueName="[BI vw_Items].[supplier_code].[All]" allUniqueName="[BI vw_Items].[supplier_code].[All]" dimensionUniqueName="[BI vw_Items]" displayFolder="" count="0" memberValueDatatype="130" unbalanced="0"/>
    <cacheHierarchy uniqueName="[BI vw_WeeklyItemSales].[Country]" caption="Country" attribute="1" defaultMemberUniqueName="[BI vw_WeeklyItemSales].[Country].[All]" allUniqueName="[BI vw_WeeklyItemSales].[Country].[All]" dimensionUniqueName="[BI vw_WeeklyItemSales]" displayFolder="" count="0" memberValueDatatype="130" unbalanced="0"/>
    <cacheHierarchy uniqueName="[BI vw_WeeklyItemSales].[finPeriod]" caption="finPeriod" attribute="1" defaultMemberUniqueName="[BI vw_WeeklyItemSales].[finPeriod].[All]" allUniqueName="[BI vw_WeeklyItemSales].[finPeriod].[All]" dimensionUniqueName="[BI vw_WeeklyItemSales]" displayFolder="" count="0" memberValueDatatype="130" unbalanced="0"/>
    <cacheHierarchy uniqueName="[BI vw_WeeklyItemSales].[FirstWeek-Year]" caption="FirstWeek-Year" attribute="1" defaultMemberUniqueName="[BI vw_WeeklyItemSales].[FirstWeek-Year].[All]" allUniqueName="[BI vw_WeeklyItemSales].[FirstWeek-Year].[All]" dimensionUniqueName="[BI vw_WeeklyItemSales]" displayFolder="" count="0" memberValueDatatype="130" unbalanced="0"/>
    <cacheHierarchy uniqueName="[BI vw_WeeklyItemSales].[ItemKey]" caption="ItemKey" attribute="1" defaultMemberUniqueName="[BI vw_WeeklyItemSales].[ItemKey].[All]" allUniqueName="[BI vw_WeeklyItemSales].[ItemKey].[All]" dimensionUniqueName="[BI vw_WeeklyItemSales]" displayFolder="" count="0" memberValueDatatype="20" unbalanced="0"/>
    <cacheHierarchy uniqueName="[BI vw_WeeklyItemSales].[JoinKey]" caption="JoinKey" attribute="1" defaultMemberUniqueName="[BI vw_WeeklyItemSales].[JoinKey].[All]" allUniqueName="[BI vw_WeeklyItemSales].[JoinKey].[All]" dimensionUniqueName="[BI vw_WeeklyItemSales]" displayFolder="" count="0" memberValueDatatype="130" unbalanced="0"/>
    <cacheHierarchy uniqueName="[BI vw_WeeklyItemSales].[Quantity]" caption="Quantity" attribute="1" defaultMemberUniqueName="[BI vw_WeeklyItemSales].[Quantity].[All]" allUniqueName="[BI vw_WeeklyItemSales].[Quantity].[All]" dimensionUniqueName="[BI vw_WeeklyItemSales]" displayFolder="" count="0" memberValueDatatype="6" unbalanced="0"/>
    <cacheHierarchy uniqueName="[BI vw_WeeklyItemSales].[SalesClassification]" caption="SalesClassification" attribute="1" defaultMemberUniqueName="[BI vw_WeeklyItemSales].[SalesClassification].[All]" allUniqueName="[BI vw_WeeklyItemSales].[SalesClassification].[All]" dimensionUniqueName="[BI vw_WeeklyItemSales]" displayFolder="" count="0" memberValueDatatype="130" unbalanced="0"/>
    <cacheHierarchy uniqueName="[BI vw_WeeklyItemSales].[SalesCost]" caption="SalesCost" attribute="1" defaultMemberUniqueName="[BI vw_WeeklyItemSales].[SalesCost].[All]" allUniqueName="[BI vw_WeeklyItemSales].[SalesCost].[All]" dimensionUniqueName="[BI vw_WeeklyItemSales]" displayFolder="" count="0" memberValueDatatype="5" unbalanced="0"/>
    <cacheHierarchy uniqueName="[BI vw_WeeklyItemSales].[SalesRetail]" caption="SalesRetail" attribute="1" defaultMemberUniqueName="[BI vw_WeeklyItemSales].[SalesRetail].[All]" allUniqueName="[BI vw_WeeklyItemSales].[SalesRetail].[All]" dimensionUniqueName="[BI vw_WeeklyItemSales]" displayFolder="" count="0" memberValueDatatype="5" unbalanced="0"/>
    <cacheHierarchy uniqueName="[BI vw_WeeklyItemSales].[StoreKey]" caption="StoreKey" attribute="1" defaultMemberUniqueName="[BI vw_WeeklyItemSales].[StoreKey].[All]" allUniqueName="[BI vw_WeeklyItemSales].[StoreKey].[All]" dimensionUniqueName="[BI vw_WeeklyItemSales]" displayFolder="" count="0" memberValueDatatype="130" unbalanced="0"/>
    <cacheHierarchy uniqueName="[BI vw_WeeklyStoreATV].[division]" caption="division" attribute="1" defaultMemberUniqueName="[BI vw_WeeklyStoreATV].[division].[All]" allUniqueName="[BI vw_WeeklyStoreATV].[division].[All]" dimensionUniqueName="[BI vw_WeeklyStoreATV]" displayFolder="" count="0" memberValueDatatype="130" unbalanced="0"/>
    <cacheHierarchy uniqueName="[BI vw_WeeklyStoreATV].[FinOrderNumber]" caption="FinOrderNumber" attribute="1" defaultMemberUniqueName="[BI vw_WeeklyStoreATV].[FinOrderNumber].[All]" allUniqueName="[BI vw_WeeklyStoreATV].[FinOrderNumber].[All]" dimensionUniqueName="[BI vw_WeeklyStoreATV]" displayFolder="" count="0" memberValueDatatype="130" unbalanced="0"/>
    <cacheHierarchy uniqueName="[BI vw_WeeklyStoreATV].[FinPeriod]" caption="FinPeriod" attribute="1" defaultMemberUniqueName="[BI vw_WeeklyStoreATV].[FinPeriod].[All]" allUniqueName="[BI vw_WeeklyStoreATV].[FinPeriod].[All]" dimensionUniqueName="[BI vw_WeeklyStoreATV]" displayFolder="" count="0" memberValueDatatype="20" unbalanced="0"/>
    <cacheHierarchy uniqueName="[BI vw_WeeklyStoreATV].[JoinKey]" caption="JoinKey" attribute="1" defaultMemberUniqueName="[BI vw_WeeklyStoreATV].[JoinKey].[All]" allUniqueName="[BI vw_WeeklyStoreATV].[JoinKey].[All]" dimensionUniqueName="[BI vw_WeeklyStoreATV]" displayFolder="" count="0" memberValueDatatype="130" unbalanced="0"/>
    <cacheHierarchy uniqueName="[BI vw_WeeklyStoreATV].[NumTrans]" caption="NumTrans" attribute="1" defaultMemberUniqueName="[BI vw_WeeklyStoreATV].[NumTrans].[All]" allUniqueName="[BI vw_WeeklyStoreATV].[NumTrans].[All]" dimensionUniqueName="[BI vw_WeeklyStoreATV]" displayFolder="" count="0" memberValueDatatype="20" unbalanced="0"/>
    <cacheHierarchy uniqueName="[BI vw_WeeklyStoreATV].[NumTrans2]" caption="NumTrans2" attribute="1" defaultMemberUniqueName="[BI vw_WeeklyStoreATV].[NumTrans2].[All]" allUniqueName="[BI vw_WeeklyStoreATV].[NumTrans2].[All]" dimensionUniqueName="[BI vw_WeeklyStoreATV]" displayFolder="" count="0" memberValueDatatype="130" unbalanced="0"/>
    <cacheHierarchy uniqueName="[BI vw_WeeklyStoreATV].[OrderNumber]" caption="OrderNumber" attribute="1" defaultMemberUniqueName="[BI vw_WeeklyStoreATV].[OrderNumber].[All]" allUniqueName="[BI vw_WeeklyStoreATV].[OrderNumber].[All]" dimensionUniqueName="[BI vw_WeeklyStoreATV]" displayFolder="" count="0" memberValueDatatype="130" unbalanced="0"/>
    <cacheHierarchy uniqueName="[BI vw_WeeklyStoreATV].[SalesClassification]" caption="SalesClassification" attribute="1" defaultMemberUniqueName="[BI vw_WeeklyStoreATV].[SalesClassification].[All]" allUniqueName="[BI vw_WeeklyStoreATV].[SalesClassification].[All]" dimensionUniqueName="[BI vw_WeeklyStoreATV]" displayFolder="" count="0" memberValueDatatype="130" unbalanced="0"/>
    <cacheHierarchy uniqueName="[BI vw_WeeklyStoreATV].[SalesRetail]" caption="SalesRetail" attribute="1" defaultMemberUniqueName="[BI vw_WeeklyStoreATV].[SalesRetail].[All]" allUniqueName="[BI vw_WeeklyStoreATV].[SalesRetail].[All]" dimensionUniqueName="[BI vw_WeeklyStoreATV]" displayFolder="" count="0" memberValueDatatype="20" unbalanced="0"/>
    <cacheHierarchy uniqueName="[BI vw_WeeklyStoreATV].[Store_Country]" caption="Store_Country" attribute="1" defaultMemberUniqueName="[BI vw_WeeklyStoreATV].[Store_Country].[All]" allUniqueName="[BI vw_WeeklyStoreATV].[Store_Country].[All]" dimensionUniqueName="[BI vw_WeeklyStoreATV]" displayFolder="" count="0" memberValueDatatype="130" unbalanced="0"/>
    <cacheHierarchy uniqueName="[BI vw_WeeklyStoreATV].[StoreKey]" caption="StoreKey" attribute="1" defaultMemberUniqueName="[BI vw_WeeklyStoreATV].[StoreKey].[All]" allUniqueName="[BI vw_WeeklyStoreATV].[StoreKey].[All]" dimensionUniqueName="[BI vw_WeeklyStoreATV]" displayFolder="" count="0" memberValueDatatype="130" unbalanced="0"/>
    <cacheHierarchy uniqueName="[BI vw_WeeklyStoreTraffic].[Country]" caption="Country" attribute="1" defaultMemberUniqueName="[BI vw_WeeklyStoreTraffic].[Country].[All]" allUniqueName="[BI vw_WeeklyStoreTraffic].[Country].[All]" dimensionUniqueName="[BI vw_WeeklyStoreTraffic]" displayFolder="" count="0" memberValueDatatype="130" unbalanced="0"/>
    <cacheHierarchy uniqueName="[BI vw_WeeklyStoreTraffic].[finPeriod]" caption="finPeriod" attribute="1" defaultMemberUniqueName="[BI vw_WeeklyStoreTraffic].[finPeriod].[All]" allUniqueName="[BI vw_WeeklyStoreTraffic].[finPeriod].[All]" dimensionUniqueName="[BI vw_WeeklyStoreTraffic]" displayFolder="" count="0" memberValueDatatype="130" unbalanced="0"/>
    <cacheHierarchy uniqueName="[BI vw_WeeklyStoreTraffic].[JoinKey]" caption="JoinKey" attribute="1" defaultMemberUniqueName="[BI vw_WeeklyStoreTraffic].[JoinKey].[All]" allUniqueName="[BI vw_WeeklyStoreTraffic].[JoinKey].[All]" dimensionUniqueName="[BI vw_WeeklyStoreTraffic]" displayFolder="" count="0" memberValueDatatype="130" unbalanced="0"/>
    <cacheHierarchy uniqueName="[BI vw_WeeklyStoreTraffic].[Store]" caption="Store" attribute="1" defaultMemberUniqueName="[BI vw_WeeklyStoreTraffic].[Store].[All]" allUniqueName="[BI vw_WeeklyStoreTraffic].[Store].[All]" dimensionUniqueName="[BI vw_WeeklyStoreTraffic]" displayFolder="" count="0" memberValueDatatype="130" unbalanced="0"/>
    <cacheHierarchy uniqueName="[BI vw_WeeklyStoreTraffic].[storekey]" caption="storekey" attribute="1" defaultMemberUniqueName="[BI vw_WeeklyStoreTraffic].[storekey].[All]" allUniqueName="[BI vw_WeeklyStoreTraffic].[storekey].[All]" dimensionUniqueName="[BI vw_WeeklyStoreTraffic]" displayFolder="" count="0" memberValueDatatype="130" unbalanced="0"/>
    <cacheHierarchy uniqueName="[BI vw_WeeklyStoreTraffic].[Traffic]" caption="Traffic" attribute="1" defaultMemberUniqueName="[BI vw_WeeklyStoreTraffic].[Traffic].[All]" allUniqueName="[BI vw_WeeklyStoreTraffic].[Traffic].[All]" dimensionUniqueName="[BI vw_WeeklyStoreTraffic]" displayFolder="" count="0" memberValueDatatype="20" unbalanced="0"/>
    <cacheHierarchy uniqueName="[BI vw_WeeklyWrittenSalesMetrics].[ATV_JoinKey]" caption="ATV_JoinKey" attribute="1" defaultMemberUniqueName="[BI vw_WeeklyWrittenSalesMetrics].[ATV_JoinKey].[All]" allUniqueName="[BI vw_WeeklyWrittenSalesMetrics].[ATV_JoinKey].[All]" dimensionUniqueName="[BI vw_WeeklyWrittenSalesMetrics]" displayFolder="" count="0" memberValueDatatype="130" unbalanced="0"/>
    <cacheHierarchy uniqueName="[BI vw_WeeklyWrittenSalesMetrics].[Branch_Type]" caption="Branch_Type" attribute="1" defaultMemberUniqueName="[BI vw_WeeklyWrittenSalesMetrics].[Branch_Type].[All]" allUniqueName="[BI vw_WeeklyWrittenSalesMetrics].[Branch_Type].[All]" dimensionUniqueName="[BI vw_WeeklyWrittenSalesMetrics]" displayFolder="" count="2" memberValueDatatype="130" unbalanced="0">
      <fieldsUsage count="2">
        <fieldUsage x="-1"/>
        <fieldUsage x="8"/>
      </fieldsUsage>
    </cacheHierarchy>
    <cacheHierarchy uniqueName="[BI vw_WeeklyWrittenSalesMetrics].[BudgetByItem_JoinKey]" caption="BudgetByItem_JoinKey" attribute="1" defaultMemberUniqueName="[BI vw_WeeklyWrittenSalesMetrics].[BudgetByItem_JoinKey].[All]" allUniqueName="[BI vw_WeeklyWrittenSalesMetrics].[BudgetByItem_JoinKey].[All]" dimensionUniqueName="[BI vw_WeeklyWrittenSalesMetrics]" displayFolder="" count="0" memberValueDatatype="130" unbalanced="0"/>
    <cacheHierarchy uniqueName="[BI vw_WeeklyWrittenSalesMetrics].[BudgetByStore_JoinKey]" caption="BudgetByStore_JoinKey" attribute="1" defaultMemberUniqueName="[BI vw_WeeklyWrittenSalesMetrics].[BudgetByStore_JoinKey].[All]" allUniqueName="[BI vw_WeeklyWrittenSalesMetrics].[BudgetByStore_JoinKey].[All]" dimensionUniqueName="[BI vw_WeeklyWrittenSalesMetrics]" displayFolder="" count="0" memberValueDatatype="130" unbalanced="0"/>
    <cacheHierarchy uniqueName="[BI vw_WeeklyWrittenSalesMetrics].[BudgetByWeek_JoinKey]" caption="BudgetByWeek_JoinKey" attribute="1" defaultMemberUniqueName="[BI vw_WeeklyWrittenSalesMetrics].[BudgetByWeek_JoinKey].[All]" allUniqueName="[BI vw_WeeklyWrittenSalesMetrics].[BudgetByWeek_JoinKey].[All]" dimensionUniqueName="[BI vw_WeeklyWrittenSalesMetrics]" displayFolder="" count="0" memberValueDatatype="130" unbalanced="0"/>
    <cacheHierarchy uniqueName="[BI vw_WeeklyWrittenSalesMetrics].[BudgetDigital_JoinKey]" caption="BudgetDigital_JoinKey" attribute="1" defaultMemberUniqueName="[BI vw_WeeklyWrittenSalesMetrics].[BudgetDigital_JoinKey].[All]" allUniqueName="[BI vw_WeeklyWrittenSalesMetrics].[BudgetDigital_JoinKey].[All]" dimensionUniqueName="[BI vw_WeeklyWrittenSalesMetrics]" displayFolder="" count="0" memberValueDatatype="130" unbalanced="0"/>
    <cacheHierarchy uniqueName="[BI vw_WeeklyWrittenSalesMetrics].[BudgetOnlineByStore_JoinKey]" caption="BudgetOnlineByStore_JoinKey" attribute="1" defaultMemberUniqueName="[BI vw_WeeklyWrittenSalesMetrics].[BudgetOnlineByStore_JoinKey].[All]" allUniqueName="[BI vw_WeeklyWrittenSalesMetrics].[BudgetOnlineByStore_JoinKey].[All]" dimensionUniqueName="[BI vw_WeeklyWrittenSalesMetrics]" displayFolder="" count="0" memberValueDatatype="130" unbalanced="0"/>
    <cacheHierarchy uniqueName="[BI vw_WeeklyWrittenSalesMetrics].[Channel]" caption="Channel" attribute="1" defaultMemberUniqueName="[BI vw_WeeklyWrittenSalesMetrics].[Channel].[All]" allUniqueName="[BI vw_WeeklyWrittenSalesMetrics].[Channel].[All]" dimensionUniqueName="[BI vw_WeeklyWrittenSalesMetrics]" displayFolder="" count="2" memberValueDatatype="130" unbalanced="0">
      <fieldsUsage count="2">
        <fieldUsage x="-1"/>
        <fieldUsage x="11"/>
      </fieldsUsage>
    </cacheHierarchy>
    <cacheHierarchy uniqueName="[BI vw_WeeklyWrittenSalesMetrics].[ClassDesc]" caption="ClassDesc" attribute="1" defaultMemberUniqueName="[BI vw_WeeklyWrittenSalesMetrics].[ClassDesc].[All]" allUniqueName="[BI vw_WeeklyWrittenSalesMetrics].[ClassDesc].[All]" dimensionUniqueName="[BI vw_WeeklyWrittenSalesMetrics]" displayFolder="" count="0" memberValueDatatype="130" unbalanced="0"/>
    <cacheHierarchy uniqueName="[BI vw_WeeklyWrittenSalesMetrics].[Country]" caption="Country" attribute="1" defaultMemberUniqueName="[BI vw_WeeklyWrittenSalesMetrics].[Country].[All]" allUniqueName="[BI vw_WeeklyWrittenSalesMetrics].[Country].[All]" dimensionUniqueName="[BI vw_WeeklyWrittenSalesMetrics]" displayFolder="" count="2" memberValueDatatype="130" unbalanced="0">
      <fieldsUsage count="2">
        <fieldUsage x="-1"/>
        <fieldUsage x="10"/>
      </fieldsUsage>
    </cacheHierarchy>
    <cacheHierarchy uniqueName="[BI vw_WeeklyWrittenSalesMetrics].[DepartmentDesc]" caption="DepartmentDesc" attribute="1" defaultMemberUniqueName="[BI vw_WeeklyWrittenSalesMetrics].[DepartmentDesc].[All]" allUniqueName="[BI vw_WeeklyWrittenSalesMetrics].[DepartmentDesc].[All]" dimensionUniqueName="[BI vw_WeeklyWrittenSalesMetrics]" displayFolder="" count="0" memberValueDatatype="130" unbalanced="0"/>
    <cacheHierarchy uniqueName="[BI vw_WeeklyWrittenSalesMetrics].[Division]" caption="Division" attribute="1" defaultMemberUniqueName="[BI vw_WeeklyWrittenSalesMetrics].[Division].[All]" allUniqueName="[BI vw_WeeklyWrittenSalesMetrics].[Division].[All]" dimensionUniqueName="[BI vw_WeeklyWrittenSalesMetrics]" displayFolder="" count="2" memberValueDatatype="130" unbalanced="0">
      <fieldsUsage count="2">
        <fieldUsage x="-1"/>
        <fieldUsage x="9"/>
      </fieldsUsage>
    </cacheHierarchy>
    <cacheHierarchy uniqueName="[BI vw_WeeklyWrittenSalesMetrics].[Dropship]" caption="Dropship" attribute="1" defaultMemberUniqueName="[BI vw_WeeklyWrittenSalesMetrics].[Dropship].[All]" allUniqueName="[BI vw_WeeklyWrittenSalesMetrics].[Dropship].[All]" dimensionUniqueName="[BI vw_WeeklyWrittenSalesMetrics]" displayFolder="" count="0" memberValueDatatype="130" unbalanced="0"/>
    <cacheHierarchy uniqueName="[BI vw_WeeklyWrittenSalesMetrics].[DropshipBudget_JoinKey]" caption="DropshipBudget_JoinKey" attribute="1" defaultMemberUniqueName="[BI vw_WeeklyWrittenSalesMetrics].[DropshipBudget_JoinKey].[All]" allUniqueName="[BI vw_WeeklyWrittenSalesMetrics].[DropshipBudget_JoinKey].[All]" dimensionUniqueName="[BI vw_WeeklyWrittenSalesMetrics]" displayFolder="" count="0" memberValueDatatype="130" unbalanced="0"/>
    <cacheHierarchy uniqueName="[BI vw_WeeklyWrittenSalesMetrics].[FinPeriod]" caption="FinPeriod" attribute="1" defaultMemberUniqueName="[BI vw_WeeklyWrittenSalesMetrics].[FinPeriod].[All]" allUniqueName="[BI vw_WeeklyWrittenSalesMetrics].[FinPeriod].[All]" dimensionUniqueName="[BI vw_WeeklyWrittenSalesMetrics]" displayFolder="" count="0" memberValueDatatype="20" unbalanced="0"/>
    <cacheHierarchy uniqueName="[BI vw_WeeklyWrittenSalesMetrics].[FinPeriod_2025]" caption="FinPeriod_2025" attribute="1" defaultMemberUniqueName="[BI vw_WeeklyWrittenSalesMetrics].[FinPeriod_2025].[All]" allUniqueName="[BI vw_WeeklyWrittenSalesMetrics].[FinPeriod_2025].[All]" dimensionUniqueName="[BI vw_WeeklyWrittenSalesMetrics]" displayFolder="" count="0" memberValueDatatype="130" unbalanced="0"/>
    <cacheHierarchy uniqueName="[BI vw_WeeklyWrittenSalesMetrics].[FinPeriod_LY]" caption="FinPeriod_LY" attribute="1" defaultMemberUniqueName="[BI vw_WeeklyWrittenSalesMetrics].[FinPeriod_LY].[All]" allUniqueName="[BI vw_WeeklyWrittenSalesMetrics].[FinPeriod_LY].[All]" dimensionUniqueName="[BI vw_WeeklyWrittenSalesMetrics]" displayFolder="" count="0" memberValueDatatype="20" unbalanced="0"/>
    <cacheHierarchy uniqueName="[BI vw_WeeklyWrittenSalesMetrics].[FirstWeek-Month]" caption="FirstWeek-Month" attribute="1" defaultMemberUniqueName="[BI vw_WeeklyWrittenSalesMetrics].[FirstWeek-Month].[All]" allUniqueName="[BI vw_WeeklyWrittenSalesMetrics].[FirstWeek-Month].[All]" dimensionUniqueName="[BI vw_WeeklyWrittenSalesMetrics]" displayFolder="" count="0" memberValueDatatype="20" unbalanced="0"/>
    <cacheHierarchy uniqueName="[BI vw_WeeklyWrittenSalesMetrics].[FirstWeek-QTD]" caption="FirstWeek-QTD" attribute="1" defaultMemberUniqueName="[BI vw_WeeklyWrittenSalesMetrics].[FirstWeek-QTD].[All]" allUniqueName="[BI vw_WeeklyWrittenSalesMetrics].[FirstWeek-QTD].[All]" dimensionUniqueName="[BI vw_WeeklyWrittenSalesMetrics]" displayFolder="" count="0" memberValueDatatype="20" unbalanced="0"/>
    <cacheHierarchy uniqueName="[BI vw_WeeklyWrittenSalesMetrics].[FirstWeek-Year]" caption="FirstWeek-Year" attribute="1" defaultMemberUniqueName="[BI vw_WeeklyWrittenSalesMetrics].[FirstWeek-Year].[All]" allUniqueName="[BI vw_WeeklyWrittenSalesMetrics].[FirstWeek-Year].[All]" dimensionUniqueName="[BI vw_WeeklyWrittenSalesMetrics]" displayFolder="" count="0" memberValueDatatype="20" unbalanced="0"/>
    <cacheHierarchy uniqueName="[BI vw_WeeklyWrittenSalesMetrics].[Forcast_JoinKey]" caption="Forcast_JoinKey" attribute="1" defaultMemberUniqueName="[BI vw_WeeklyWrittenSalesMetrics].[Forcast_JoinKey].[All]" allUniqueName="[BI vw_WeeklyWrittenSalesMetrics].[Forcast_JoinKey].[All]" dimensionUniqueName="[BI vw_WeeklyWrittenSalesMetrics]" displayFolder="" count="0" memberValueDatatype="130" unbalanced="0"/>
    <cacheHierarchy uniqueName="[BI vw_WeeklyWrittenSalesMetrics].[ForcastByClass_JoinKey]" caption="ForcastByClass_JoinKey" attribute="1" defaultMemberUniqueName="[BI vw_WeeklyWrittenSalesMetrics].[ForcastByClass_JoinKey].[All]" allUniqueName="[BI vw_WeeklyWrittenSalesMetrics].[ForcastByClass_JoinKey].[All]" dimensionUniqueName="[BI vw_WeeklyWrittenSalesMetrics]" displayFolder="" count="0" memberValueDatatype="130" unbalanced="0"/>
    <cacheHierarchy uniqueName="[BI vw_WeeklyWrittenSalesMetrics].[SalesatFullRet]" caption="SalesatFullRet" attribute="1" defaultMemberUniqueName="[BI vw_WeeklyWrittenSalesMetrics].[SalesatFullRet].[All]" allUniqueName="[BI vw_WeeklyWrittenSalesMetrics].[SalesatFullRet].[All]" dimensionUniqueName="[BI vw_WeeklyWrittenSalesMetrics]" displayFolder="" count="0" memberValueDatatype="5" unbalanced="0"/>
    <cacheHierarchy uniqueName="[BI vw_WeeklyWrittenSalesMetrics].[SalesClassification]" caption="SalesClassification" attribute="1" defaultMemberUniqueName="[BI vw_WeeklyWrittenSalesMetrics].[SalesClassification].[All]" allUniqueName="[BI vw_WeeklyWrittenSalesMetrics].[SalesClassification].[All]" dimensionUniqueName="[BI vw_WeeklyWrittenSalesMetrics]" displayFolder="" count="0" memberValueDatatype="130" unbalanced="0"/>
    <cacheHierarchy uniqueName="[BI vw_WeeklyWrittenSalesMetrics].[SalesCost]" caption="SalesCost" attribute="1" defaultMemberUniqueName="[BI vw_WeeklyWrittenSalesMetrics].[SalesCost].[All]" allUniqueName="[BI vw_WeeklyWrittenSalesMetrics].[SalesCost].[All]" dimensionUniqueName="[BI vw_WeeklyWrittenSalesMetrics]" displayFolder="" count="0" memberValueDatatype="5" unbalanced="0"/>
    <cacheHierarchy uniqueName="[BI vw_WeeklyWrittenSalesMetrics].[SalesGM]" caption="SalesGM" attribute="1" defaultMemberUniqueName="[BI vw_WeeklyWrittenSalesMetrics].[SalesGM].[All]" allUniqueName="[BI vw_WeeklyWrittenSalesMetrics].[SalesGM].[All]" dimensionUniqueName="[BI vw_WeeklyWrittenSalesMetrics]" displayFolder="" count="0" memberValueDatatype="5" unbalanced="0"/>
    <cacheHierarchy uniqueName="[BI vw_WeeklyWrittenSalesMetrics].[SalesRetail]" caption="SalesRetail" attribute="1" defaultMemberUniqueName="[BI vw_WeeklyWrittenSalesMetrics].[SalesRetail].[All]" allUniqueName="[BI vw_WeeklyWrittenSalesMetrics].[SalesRetail].[All]" dimensionUniqueName="[BI vw_WeeklyWrittenSalesMetrics]" displayFolder="" count="0" memberValueDatatype="5" unbalanced="0"/>
    <cacheHierarchy uniqueName="[BI vw_WeeklyWrittenSalesMetrics].[SalesType]" caption="SalesType" attribute="1" defaultMemberUniqueName="[BI vw_WeeklyWrittenSalesMetrics].[SalesType].[All]" allUniqueName="[BI vw_WeeklyWrittenSalesMetrics].[SalesType].[All]" dimensionUniqueName="[BI vw_WeeklyWrittenSalesMetrics]" displayFolder="" count="0" memberValueDatatype="130" unbalanced="0"/>
    <cacheHierarchy uniqueName="[BI vw_WeeklyWrittenSalesMetrics].[SalesUnits]" caption="SalesUnits" attribute="1" defaultMemberUniqueName="[BI vw_WeeklyWrittenSalesMetrics].[SalesUnits].[All]" allUniqueName="[BI vw_WeeklyWrittenSalesMetrics].[SalesUnits].[All]" dimensionUniqueName="[BI vw_WeeklyWrittenSalesMetrics]" displayFolder="" count="0" memberValueDatatype="5" unbalanced="0"/>
    <cacheHierarchy uniqueName="[BI vw_WeeklyWrittenSalesMetrics].[Store]" caption="Store" attribute="1" defaultMemberUniqueName="[BI vw_WeeklyWrittenSalesMetrics].[Store].[All]" allUniqueName="[BI vw_WeeklyWrittenSalesMetrics].[Store].[All]" dimensionUniqueName="[BI vw_WeeklyWrittenSalesMetrics]" displayFolder="" count="0" memberValueDatatype="130" unbalanced="0"/>
    <cacheHierarchy uniqueName="[BI vw_WeeklyWrittenSalesMetrics].[StoreKey]" caption="StoreKey" attribute="1" defaultMemberUniqueName="[BI vw_WeeklyWrittenSalesMetrics].[StoreKey].[All]" allUniqueName="[BI vw_WeeklyWrittenSalesMetrics].[StoreKey].[All]" dimensionUniqueName="[BI vw_WeeklyWrittenSalesMetrics]" displayFolder="" count="0" memberValueDatatype="20" unbalanced="0"/>
    <cacheHierarchy uniqueName="[BI vw_WeeklyWrittenSalesMetrics].[SubDepartmentDesc]" caption="SubDepartmentDesc" attribute="1" defaultMemberUniqueName="[BI vw_WeeklyWrittenSalesMetrics].[SubDepartmentDesc].[All]" allUniqueName="[BI vw_WeeklyWrittenSalesMetrics].[SubDepartmentDesc].[All]" dimensionUniqueName="[BI vw_WeeklyWrittenSalesMetrics]" displayFolder="" count="0" memberValueDatatype="130" unbalanced="0"/>
    <cacheHierarchy uniqueName="[BI vw_WeeklyWrittenSalesMetrics].[TOTRETMD]" caption="TOTRETMD" attribute="1" defaultMemberUniqueName="[BI vw_WeeklyWrittenSalesMetrics].[TOTRETMD].[All]" allUniqueName="[BI vw_WeeklyWrittenSalesMetrics].[TOTRETMD].[All]" dimensionUniqueName="[BI vw_WeeklyWrittenSalesMetrics]" displayFolder="" count="0" memberValueDatatype="5" unbalanced="0"/>
    <cacheHierarchy uniqueName="[BI vw_WeeklyWrittenSalesMetrics].[Traffic_JoinKey]" caption="Traffic_JoinKey" attribute="1" defaultMemberUniqueName="[BI vw_WeeklyWrittenSalesMetrics].[Traffic_JoinKey].[All]" allUniqueName="[BI vw_WeeklyWrittenSalesMetrics].[Traffic_JoinKey].[All]" dimensionUniqueName="[BI vw_WeeklyWrittenSalesMetrics]" displayFolder="" count="0" memberValueDatatype="130" unbalanced="0"/>
    <cacheHierarchy uniqueName="[BI vw_WeeklyWrittenSalesMetrics].[WeeklyItemSaleKey]" caption="WeeklyItemSaleKey" attribute="1" defaultMemberUniqueName="[BI vw_WeeklyWrittenSalesMetrics].[WeeklyItemSaleKey].[All]" allUniqueName="[BI vw_WeeklyWrittenSalesMetrics].[WeeklyItemSaleKey].[All]" dimensionUniqueName="[BI vw_WeeklyWrittenSalesMetrics]" displayFolder="" count="0" memberValueDatatype="130" unbalanced="0"/>
    <cacheHierarchy uniqueName="[Dim_Category].[Column_Name]" caption="Column_Name" attribute="1" defaultMemberUniqueName="[Dim_Category].[Column_Name].[All]" allUniqueName="[Dim_Category].[Column_Name].[All]" dimensionUniqueName="[Dim_Category]" displayFolder="" count="0" memberValueDatatype="130" unbalanced="0"/>
    <cacheHierarchy uniqueName="[Dim_Category].[Sort N]" caption="Sort N" attribute="1" defaultMemberUniqueName="[Dim_Category].[Sort N].[All]" allUniqueName="[Dim_Category].[Sort N].[All]" dimensionUniqueName="[Dim_Category]" displayFolder="" count="0" memberValueDatatype="20" unbalanced="0"/>
    <cacheHierarchy uniqueName="[dim_period].[Current Date]" caption="Current Date" attribute="1" time="1" defaultMemberUniqueName="[dim_period].[Current Date].[All]" allUniqueName="[dim_period].[Current Date].[All]" dimensionUniqueName="[dim_period]" displayFolder="" count="0" memberValueDatatype="7" unbalanced="0"/>
    <cacheHierarchy uniqueName="[dim_period].[Date]" caption="Date" attribute="1" time="1" defaultMemberUniqueName="[dim_period].[Date].[All]" allUniqueName="[dim_period].[Date].[All]" dimensionUniqueName="[dim_period]" displayFolder="" count="0" memberValueDatatype="7" unbalanced="0"/>
    <cacheHierarchy uniqueName="[dim_period].[Fin_Period]" caption="Fin_Period" attribute="1" defaultMemberUniqueName="[dim_period].[Fin_Period].[All]" allUniqueName="[dim_period].[Fin_Period].[All]" dimensionUniqueName="[dim_period]" displayFolder="" count="0" memberValueDatatype="20" unbalanced="0"/>
    <cacheHierarchy uniqueName="[dim_period].[Fin_Week]" caption="Fin_Week" attribute="1" defaultMemberUniqueName="[dim_period].[Fin_Week].[All]" allUniqueName="[dim_period].[Fin_Week].[All]" dimensionUniqueName="[dim_period]" displayFolder="" count="0" memberValueDatatype="20" unbalanced="0"/>
    <cacheHierarchy uniqueName="[dim_period].[Fin_Year]" caption="Fin_Year" attribute="1" defaultMemberUniqueName="[dim_period].[Fin_Year].[All]" allUniqueName="[dim_period].[Fin_Year].[All]" dimensionUniqueName="[dim_period]" displayFolder="" count="0" memberValueDatatype="20" unbalanced="0"/>
    <cacheHierarchy uniqueName="[dim_period].[finPeriod_BeforeToday]" caption="finPeriod_BeforeToday" attribute="1" defaultMemberUniqueName="[dim_period].[finPeriod_BeforeToday].[All]" allUniqueName="[dim_period].[finPeriod_BeforeToday].[All]" dimensionUniqueName="[dim_period]" displayFolder="" count="0" memberValueDatatype="130" unbalanced="0"/>
    <cacheHierarchy uniqueName="[dim_period].[FY]" caption="FY" attribute="1" defaultMemberUniqueName="[dim_period].[FY].[All]" allUniqueName="[dim_period].[FY].[All]" dimensionUniqueName="[dim_period]" displayFolder="" count="0" memberValueDatatype="130" unbalanced="0"/>
    <cacheHierarchy uniqueName="[dim_period].[Is_Last_Week]" caption="Is_Last_Week" attribute="1" defaultMemberUniqueName="[dim_period].[Is_Last_Week].[All]" allUniqueName="[dim_period].[Is_Last_Week].[All]" dimensionUniqueName="[dim_period]" displayFolder="" count="0" memberValueDatatype="20" unbalanced="0"/>
    <cacheHierarchy uniqueName="[dim_period].[Is_ThisMonth]" caption="Is_ThisMonth" attribute="1" defaultMemberUniqueName="[dim_period].[Is_ThisMonth].[All]" allUniqueName="[dim_period].[Is_ThisMonth].[All]" dimensionUniqueName="[dim_period]" displayFolder="" count="0" memberValueDatatype="20" unbalanced="0"/>
    <cacheHierarchy uniqueName="[dim_period].[Is_ThisWeek]" caption="Is_ThisWeek" attribute="1" defaultMemberUniqueName="[dim_period].[Is_ThisWeek].[All]" allUniqueName="[dim_period].[Is_ThisWeek].[All]" dimensionUniqueName="[dim_period]" displayFolder="" count="0" memberValueDatatype="20" unbalanced="0"/>
    <cacheHierarchy uniqueName="[dim_period].[Is_ThisYear]" caption="Is_ThisYear" attribute="1" defaultMemberUniqueName="[dim_period].[Is_ThisYear].[All]" allUniqueName="[dim_period].[Is_ThisYear].[All]" dimensionUniqueName="[dim_period]" displayFolder="" count="0" memberValueDatatype="20" unbalanced="0"/>
    <cacheHierarchy uniqueName="[dim_period].[Is_Today]" caption="Is_Today" attribute="1" defaultMemberUniqueName="[dim_period].[Is_Today].[All]" allUniqueName="[dim_period].[Is_Today].[All]" dimensionUniqueName="[dim_period]" displayFolder="" count="0" memberValueDatatype="20" unbalanced="0"/>
    <cacheHierarchy uniqueName="[dim_period].[Month]" caption="Month" attribute="1" defaultMemberUniqueName="[dim_period].[Month].[All]" allUniqueName="[dim_period].[Month].[All]" dimensionUniqueName="[dim_period]" displayFolder="" count="0" memberValueDatatype="130" unbalanced="0"/>
    <cacheHierarchy uniqueName="[dim_period].[Month QTD]" caption="Month QTD" attribute="1" defaultMemberUniqueName="[dim_period].[Month QTD].[All]" allUniqueName="[dim_period].[Month QTD].[All]" dimensionUniqueName="[dim_period]" displayFolder="" count="0" memberValueDatatype="130" unbalanced="0"/>
    <cacheHierarchy uniqueName="[dim_period].[Month_Number]" caption="Month_Number" attribute="1" defaultMemberUniqueName="[dim_period].[Month_Number].[All]" allUniqueName="[dim_period].[Month_Number].[All]" dimensionUniqueName="[dim_period]" displayFolder="" count="0" memberValueDatatype="20" unbalanced="0"/>
    <cacheHierarchy uniqueName="[dim_period].[Month_NumberY]" caption="Month_NumberY" attribute="1" defaultMemberUniqueName="[dim_period].[Month_NumberY].[All]" allUniqueName="[dim_period].[Month_NumberY].[All]" dimensionUniqueName="[dim_period]" displayFolder="" count="0" memberValueDatatype="20" unbalanced="0"/>
    <cacheHierarchy uniqueName="[dim_period].[ThisQuarter]" caption="ThisQuarter" attribute="1" defaultMemberUniqueName="[dim_period].[ThisQuarter].[All]" allUniqueName="[dim_period].[ThisQuarter].[All]" dimensionUniqueName="[dim_period]" displayFolder="" count="0" memberValueDatatype="130" unbalanced="0"/>
    <cacheHierarchy uniqueName="[dim_period].[Year_New]" caption="Year_New" attribute="1" defaultMemberUniqueName="[dim_period].[Year_New].[All]" allUniqueName="[dim_period].[Year_New].[All]" dimensionUniqueName="[dim_period]" displayFolder="" count="0" memberValueDatatype="20" unbalanced="0"/>
    <cacheHierarchy uniqueName="[ForcastByClass].[Branch Type]" caption="Branch Type" attribute="1" defaultMemberUniqueName="[ForcastByClass].[Branch Type].[All]" allUniqueName="[ForcastByClass].[Branch Type].[All]" dimensionUniqueName="[ForcastByClass]" displayFolder="" count="0" memberValueDatatype="130" unbalanced="0"/>
    <cacheHierarchy uniqueName="[ForcastByClass].[Class]" caption="Class" attribute="1" defaultMemberUniqueName="[ForcastByClass].[Class].[All]" allUniqueName="[ForcastByClass].[Class].[All]" dimensionUniqueName="[ForcastByClass]" displayFolder="" count="0" memberValueDatatype="130" unbalanced="0"/>
    <cacheHierarchy uniqueName="[ForcastByClass].[Country]" caption="Country" attribute="1" defaultMemberUniqueName="[ForcastByClass].[Country].[All]" allUniqueName="[ForcastByClass].[Country].[All]" dimensionUniqueName="[ForcastByClass]" displayFolder="" count="0" memberValueDatatype="130" unbalanced="0"/>
    <cacheHierarchy uniqueName="[ForcastByClass].[CountryN]" caption="CountryN" attribute="1" defaultMemberUniqueName="[ForcastByClass].[CountryN].[All]" allUniqueName="[ForcastByClass].[CountryN].[All]" dimensionUniqueName="[ForcastByClass]" displayFolder="" count="0" memberValueDatatype="130" unbalanced="0"/>
    <cacheHierarchy uniqueName="[ForcastByClass].[FClassKey]" caption="FClassKey" attribute="1" defaultMemberUniqueName="[ForcastByClass].[FClassKey].[All]" allUniqueName="[ForcastByClass].[FClassKey].[All]" dimensionUniqueName="[ForcastByClass]" displayFolder="" count="0" memberValueDatatype="130" unbalanced="0"/>
    <cacheHierarchy uniqueName="[ForcastByClass].[FinPeriod]" caption="FinPeriod" attribute="1" defaultMemberUniqueName="[ForcastByClass].[FinPeriod].[All]" allUniqueName="[ForcastByClass].[FinPeriod].[All]" dimensionUniqueName="[ForcastByClass]" displayFolder="" count="0" memberValueDatatype="130" unbalanced="0"/>
    <cacheHierarchy uniqueName="[ForcastByClass].[FinWeek]" caption="FinWeek" attribute="1" defaultMemberUniqueName="[ForcastByClass].[FinWeek].[All]" allUniqueName="[ForcastByClass].[FinWeek].[All]" dimensionUniqueName="[ForcastByClass]" displayFolder="" count="0" memberValueDatatype="20" unbalanced="0"/>
    <cacheHierarchy uniqueName="[ForcastByClass].[FinYear]" caption="FinYear" attribute="1" defaultMemberUniqueName="[ForcastByClass].[FinYear].[All]" allUniqueName="[ForcastByClass].[FinYear].[All]" dimensionUniqueName="[ForcastByClass]" displayFolder="" count="0" memberValueDatatype="130" unbalanced="0"/>
    <cacheHierarchy uniqueName="[ForcastByClass].[ForcastDollars]" caption="ForcastDollars" attribute="1" defaultMemberUniqueName="[ForcastByClass].[ForcastDollars].[All]" allUniqueName="[ForcastByClass].[ForcastDollars].[All]" dimensionUniqueName="[ForcastByClass]" displayFolder="" count="0" memberValueDatatype="5" unbalanced="0"/>
    <cacheHierarchy uniqueName="[ForcastByClass].[StoreType]" caption="StoreType" attribute="1" defaultMemberUniqueName="[ForcastByClass].[StoreType].[All]" allUniqueName="[ForcastByClass].[StoreType].[All]" dimensionUniqueName="[ForcastByClass]" displayFolder="" count="0" memberValueDatatype="130" unbalanced="0"/>
    <cacheHierarchy uniqueName="[Forecast].[Branch Type]" caption="Branch Type" attribute="1" defaultMemberUniqueName="[Forecast].[Branch Type].[All]" allUniqueName="[Forecast].[Branch Type].[All]" dimensionUniqueName="[Forecast]" displayFolder="" count="0" memberValueDatatype="130" unbalanced="0"/>
    <cacheHierarchy uniqueName="[Forecast].[Channel]" caption="Channel" attribute="1" defaultMemberUniqueName="[Forecast].[Channel].[All]" allUniqueName="[Forecast].[Channel].[All]" dimensionUniqueName="[Forecast]" displayFolder="" count="0" memberValueDatatype="130" unbalanced="0"/>
    <cacheHierarchy uniqueName="[Forecast].[Class]" caption="Class" attribute="1" defaultMemberUniqueName="[Forecast].[Class].[All]" allUniqueName="[Forecast].[Class].[All]" dimensionUniqueName="[Forecast]" displayFolder="" count="0" memberValueDatatype="130" unbalanced="0"/>
    <cacheHierarchy uniqueName="[Forecast].[Class-1]" caption="Class-1" attribute="1" defaultMemberUniqueName="[Forecast].[Class-1].[All]" allUniqueName="[Forecast].[Class-1].[All]" dimensionUniqueName="[Forecast]" displayFolder="" count="0" memberValueDatatype="130" unbalanced="0"/>
    <cacheHierarchy uniqueName="[Forecast].[Column3 - Copy]" caption="Column3 - Copy" attribute="1" defaultMemberUniqueName="[Forecast].[Column3 - Copy].[All]" allUniqueName="[Forecast].[Column3 - Copy].[All]" dimensionUniqueName="[Forecast]" displayFolder="" count="0" memberValueDatatype="130" unbalanced="0"/>
    <cacheHierarchy uniqueName="[Forecast].[Country]" caption="Country" attribute="1" defaultMemberUniqueName="[Forecast].[Country].[All]" allUniqueName="[Forecast].[Country].[All]" dimensionUniqueName="[Forecast]" displayFolder="" count="0" memberValueDatatype="130" unbalanced="0"/>
    <cacheHierarchy uniqueName="[Forecast].[CountryN]" caption="CountryN" attribute="1" defaultMemberUniqueName="[Forecast].[CountryN].[All]" allUniqueName="[Forecast].[CountryN].[All]" dimensionUniqueName="[Forecast]" displayFolder="" count="0" memberValueDatatype="130" unbalanced="0"/>
    <cacheHierarchy uniqueName="[Forecast].[FClassKey]" caption="FClassKey" attribute="1" defaultMemberUniqueName="[Forecast].[FClassKey].[All]" allUniqueName="[Forecast].[FClassKey].[All]" dimensionUniqueName="[Forecast]" displayFolder="" count="0" memberValueDatatype="130" unbalanced="0"/>
    <cacheHierarchy uniqueName="[Forecast].[Fin_Period]" caption="Fin_Period" attribute="1" defaultMemberUniqueName="[Forecast].[Fin_Period].[All]" allUniqueName="[Forecast].[Fin_Period].[All]" dimensionUniqueName="[Forecast]" displayFolder="" count="0" memberValueDatatype="20" unbalanced="0"/>
    <cacheHierarchy uniqueName="[Forecast].[FinWeek]" caption="FinWeek" attribute="1" defaultMemberUniqueName="[Forecast].[FinWeek].[All]" allUniqueName="[Forecast].[FinWeek].[All]" dimensionUniqueName="[Forecast]" displayFolder="" count="0" memberValueDatatype="20" unbalanced="0"/>
    <cacheHierarchy uniqueName="[Forecast].[ForcastDollars]" caption="ForcastDollars" attribute="1" defaultMemberUniqueName="[Forecast].[ForcastDollars].[All]" allUniqueName="[Forecast].[ForcastDollars].[All]" dimensionUniqueName="[Forecast]" displayFolder="" count="0" memberValueDatatype="5" unbalanced="0"/>
    <cacheHierarchy uniqueName="[Forecast].[GM$]" caption="GM$" attribute="1" defaultMemberUniqueName="[Forecast].[GM$].[All]" allUniqueName="[Forecast].[GM$].[All]" dimensionUniqueName="[Forecast]" displayFolder="" count="0" memberValueDatatype="5" unbalanced="0"/>
    <cacheHierarchy uniqueName="[Forecast].[GM%]" caption="GM%" attribute="1" defaultMemberUniqueName="[Forecast].[GM%].[All]" allUniqueName="[Forecast].[GM%].[All]" dimensionUniqueName="[Forecast]" displayFolder="" count="0" memberValueDatatype="5" unbalanced="0"/>
    <cacheHierarchy uniqueName="[Forecast].[Period]" caption="Period" attribute="1" defaultMemberUniqueName="[Forecast].[Period].[All]" allUniqueName="[Forecast].[Period].[All]" dimensionUniqueName="[Forecast]" displayFolder="" count="0" memberValueDatatype="130" unbalanced="0"/>
    <cacheHierarchy uniqueName="[Forecast].[StoreType]" caption="StoreType" attribute="1" defaultMemberUniqueName="[Forecast].[StoreType].[All]" allUniqueName="[Forecast].[StoreType].[All]" dimensionUniqueName="[Forecast]" displayFolder="" count="0" memberValueDatatype="130" unbalanced="0"/>
    <cacheHierarchy uniqueName="[Measure].[StoreKey]" caption="StoreKey" attribute="1" defaultMemberUniqueName="[Measure].[StoreKey].[All]" allUniqueName="[Measure].[StoreKey].[All]" dimensionUniqueName="[Measure]" displayFolder="" count="0" memberValueDatatype="130" unbalanced="0"/>
    <cacheHierarchy uniqueName="[Measure Categories].[Cat Sort]" caption="Cat Sort" attribute="1" defaultMemberUniqueName="[Measure Categories].[Cat Sort].[All]" allUniqueName="[Measure Categories].[Cat Sort].[All]" dimensionUniqueName="[Measure Categories]" displayFolder="" count="0" memberValueDatatype="20" unbalanced="0"/>
    <cacheHierarchy uniqueName="[Measure Categories].[Measure Categories]" caption="Measure Categories" attribute="1" defaultMemberUniqueName="[Measure Categories].[Measure Categories].[All]" allUniqueName="[Measure Categories].[Measure Categories].[All]" dimensionUniqueName="[Measure Categories]" displayFolder="" count="0" memberValueDatatype="130" unbalanced="0"/>
    <cacheHierarchy uniqueName="[Product Parameter].[Product Parameter]" caption="Product Parameter" attribute="1" defaultMemberUniqueName="[Product Parameter].[Product Parameter].[All]" allUniqueName="[Product Parameter].[Product Parameter].[All]" dimensionUniqueName="[Product Parameter]" displayFolder="" count="0" memberValueDatatype="130" unbalanced="0"/>
    <cacheHierarchy uniqueName="[Query1].[Column1]" caption="Column1" attribute="1" time="1" defaultMemberUniqueName="[Query1].[Column1].[All]" allUniqueName="[Query1].[Column1].[All]" dimensionUniqueName="[Query1]" displayFolder="" count="0" memberValueDatatype="7" unbalanced="0"/>
    <cacheHierarchy uniqueName="[Query2].[Column1]" caption="Column1" attribute="1" defaultMemberUniqueName="[Query2].[Column1].[All]" allUniqueName="[Query2].[Column1].[All]" dimensionUniqueName="[Query2]" displayFolder="" count="0" memberValueDatatype="130" unbalanced="0"/>
    <cacheHierarchy uniqueName="[TimePeriodSort].[TimePeriod]" caption="TimePeriod" attribute="1" defaultMemberUniqueName="[TimePeriodSort].[TimePeriod].[All]" allUniqueName="[TimePeriodSort].[TimePeriod].[All]" dimensionUniqueName="[TimePeriodSort]" displayFolder="" count="2" memberValueDatatype="130" unbalanced="0">
      <fieldsUsage count="2">
        <fieldUsage x="-1"/>
        <fieldUsage x="7"/>
      </fieldsUsage>
    </cacheHierarchy>
    <cacheHierarchy uniqueName="[TimePeriodSort].[TimePeriodSort]" caption="TimePeriodSort" attribute="1" defaultMemberUniqueName="[TimePeriodSort].[TimePeriodSort].[All]" allUniqueName="[TimePeriodSort].[TimePeriodSort].[All]" dimensionUniqueName="[TimePeriodSort]" displayFolder="" count="0" memberValueDatatype="20" unbalanced="0"/>
    <cacheHierarchy uniqueName="[LocalDateTable_0d9eeced-3257-4609-8cfb-234f1d7c24d7].[Date]" caption="Date" attribute="1" time="1" defaultMemberUniqueName="[LocalDateTable_0d9eeced-3257-4609-8cfb-234f1d7c24d7].[Date].[All]" allUniqueName="[LocalDateTable_0d9eeced-3257-4609-8cfb-234f1d7c24d7].[Date].[All]" dimensionUniqueName="[LocalDateTable_0d9eeced-3257-4609-8cfb-234f1d7c24d7]" displayFolder="" count="0" memberValueDatatype="7" unbalanced="0" hidden="1"/>
    <cacheHierarchy uniqueName="[LocalDateTable_0d9eeced-3257-4609-8cfb-234f1d7c24d7].[Day]" caption="Day" attribute="1" defaultMemberUniqueName="[LocalDateTable_0d9eeced-3257-4609-8cfb-234f1d7c24d7].[Day].[All]" allUniqueName="[LocalDateTable_0d9eeced-3257-4609-8cfb-234f1d7c24d7].[Day].[All]" dimensionUniqueName="[LocalDateTable_0d9eeced-3257-4609-8cfb-234f1d7c24d7]" displayFolder="" count="0" memberValueDatatype="20" unbalanced="0" hidden="1"/>
    <cacheHierarchy uniqueName="[LocalDateTable_0d9eeced-3257-4609-8cfb-234f1d7c24d7].[Month]" caption="Month" attribute="1" defaultMemberUniqueName="[LocalDateTable_0d9eeced-3257-4609-8cfb-234f1d7c24d7].[Month].[All]" allUniqueName="[LocalDateTable_0d9eeced-3257-4609-8cfb-234f1d7c24d7].[Month].[All]" dimensionUniqueName="[LocalDateTable_0d9eeced-3257-4609-8cfb-234f1d7c24d7]" displayFolder="" count="0" memberValueDatatype="130" unbalanced="0" hidden="1"/>
    <cacheHierarchy uniqueName="[LocalDateTable_0d9eeced-3257-4609-8cfb-234f1d7c24d7].[MonthNo]" caption="MonthNo" attribute="1" defaultMemberUniqueName="[LocalDateTable_0d9eeced-3257-4609-8cfb-234f1d7c24d7].[MonthNo].[All]" allUniqueName="[LocalDateTable_0d9eeced-3257-4609-8cfb-234f1d7c24d7].[MonthNo].[All]" dimensionUniqueName="[LocalDateTable_0d9eeced-3257-4609-8cfb-234f1d7c24d7]" displayFolder="" count="0" memberValueDatatype="20" unbalanced="0" hidden="1"/>
    <cacheHierarchy uniqueName="[LocalDateTable_0d9eeced-3257-4609-8cfb-234f1d7c24d7].[Quarter]" caption="Quarter" attribute="1" defaultMemberUniqueName="[LocalDateTable_0d9eeced-3257-4609-8cfb-234f1d7c24d7].[Quarter].[All]" allUniqueName="[LocalDateTable_0d9eeced-3257-4609-8cfb-234f1d7c24d7].[Quarter].[All]" dimensionUniqueName="[LocalDateTable_0d9eeced-3257-4609-8cfb-234f1d7c24d7]" displayFolder="" count="0" memberValueDatatype="130" unbalanced="0" hidden="1"/>
    <cacheHierarchy uniqueName="[LocalDateTable_0d9eeced-3257-4609-8cfb-234f1d7c24d7].[QuarterNo]" caption="QuarterNo" attribute="1" defaultMemberUniqueName="[LocalDateTable_0d9eeced-3257-4609-8cfb-234f1d7c24d7].[QuarterNo].[All]" allUniqueName="[LocalDateTable_0d9eeced-3257-4609-8cfb-234f1d7c24d7].[QuarterNo].[All]" dimensionUniqueName="[LocalDateTable_0d9eeced-3257-4609-8cfb-234f1d7c24d7]" displayFolder="" count="0" memberValueDatatype="20" unbalanced="0" hidden="1"/>
    <cacheHierarchy uniqueName="[LocalDateTable_0d9eeced-3257-4609-8cfb-234f1d7c24d7].[Year]" caption="Year" attribute="1" defaultMemberUniqueName="[LocalDateTable_0d9eeced-3257-4609-8cfb-234f1d7c24d7].[Year].[All]" allUniqueName="[LocalDateTable_0d9eeced-3257-4609-8cfb-234f1d7c24d7].[Year].[All]" dimensionUniqueName="[LocalDateTable_0d9eeced-3257-4609-8cfb-234f1d7c24d7]" displayFolder="" count="0" memberValueDatatype="20" unbalanced="0" hidden="1"/>
    <cacheHierarchy uniqueName="[LocalDateTable_3a17192d-ec7c-4dba-ac0e-bcf6b3a6a0ff].[Date]" caption="Date" attribute="1" time="1" defaultMemberUniqueName="[LocalDateTable_3a17192d-ec7c-4dba-ac0e-bcf6b3a6a0ff].[Date].[All]" allUniqueName="[LocalDateTable_3a17192d-ec7c-4dba-ac0e-bcf6b3a6a0ff].[Date].[All]" dimensionUniqueName="[LocalDateTable_3a17192d-ec7c-4dba-ac0e-bcf6b3a6a0ff]" displayFolder="" count="0" memberValueDatatype="7" unbalanced="0" hidden="1"/>
    <cacheHierarchy uniqueName="[LocalDateTable_3a17192d-ec7c-4dba-ac0e-bcf6b3a6a0ff].[Day]" caption="Day" attribute="1" defaultMemberUniqueName="[LocalDateTable_3a17192d-ec7c-4dba-ac0e-bcf6b3a6a0ff].[Day].[All]" allUniqueName="[LocalDateTable_3a17192d-ec7c-4dba-ac0e-bcf6b3a6a0ff].[Day].[All]" dimensionUniqueName="[LocalDateTable_3a17192d-ec7c-4dba-ac0e-bcf6b3a6a0ff]" displayFolder="" count="0" memberValueDatatype="20" unbalanced="0" hidden="1"/>
    <cacheHierarchy uniqueName="[LocalDateTable_3a17192d-ec7c-4dba-ac0e-bcf6b3a6a0ff].[Month]" caption="Month" attribute="1" defaultMemberUniqueName="[LocalDateTable_3a17192d-ec7c-4dba-ac0e-bcf6b3a6a0ff].[Month].[All]" allUniqueName="[LocalDateTable_3a17192d-ec7c-4dba-ac0e-bcf6b3a6a0ff].[Month].[All]" dimensionUniqueName="[LocalDateTable_3a17192d-ec7c-4dba-ac0e-bcf6b3a6a0ff]" displayFolder="" count="0" memberValueDatatype="130" unbalanced="0" hidden="1"/>
    <cacheHierarchy uniqueName="[LocalDateTable_3a17192d-ec7c-4dba-ac0e-bcf6b3a6a0ff].[MonthNo]" caption="MonthNo" attribute="1" defaultMemberUniqueName="[LocalDateTable_3a17192d-ec7c-4dba-ac0e-bcf6b3a6a0ff].[MonthNo].[All]" allUniqueName="[LocalDateTable_3a17192d-ec7c-4dba-ac0e-bcf6b3a6a0ff].[MonthNo].[All]" dimensionUniqueName="[LocalDateTable_3a17192d-ec7c-4dba-ac0e-bcf6b3a6a0ff]" displayFolder="" count="0" memberValueDatatype="20" unbalanced="0" hidden="1"/>
    <cacheHierarchy uniqueName="[LocalDateTable_3a17192d-ec7c-4dba-ac0e-bcf6b3a6a0ff].[Quarter]" caption="Quarter" attribute="1" defaultMemberUniqueName="[LocalDateTable_3a17192d-ec7c-4dba-ac0e-bcf6b3a6a0ff].[Quarter].[All]" allUniqueName="[LocalDateTable_3a17192d-ec7c-4dba-ac0e-bcf6b3a6a0ff].[Quarter].[All]" dimensionUniqueName="[LocalDateTable_3a17192d-ec7c-4dba-ac0e-bcf6b3a6a0ff]" displayFolder="" count="0" memberValueDatatype="130" unbalanced="0" hidden="1"/>
    <cacheHierarchy uniqueName="[LocalDateTable_3a17192d-ec7c-4dba-ac0e-bcf6b3a6a0ff].[QuarterNo]" caption="QuarterNo" attribute="1" defaultMemberUniqueName="[LocalDateTable_3a17192d-ec7c-4dba-ac0e-bcf6b3a6a0ff].[QuarterNo].[All]" allUniqueName="[LocalDateTable_3a17192d-ec7c-4dba-ac0e-bcf6b3a6a0ff].[QuarterNo].[All]" dimensionUniqueName="[LocalDateTable_3a17192d-ec7c-4dba-ac0e-bcf6b3a6a0ff]" displayFolder="" count="0" memberValueDatatype="20" unbalanced="0" hidden="1"/>
    <cacheHierarchy uniqueName="[LocalDateTable_3a17192d-ec7c-4dba-ac0e-bcf6b3a6a0ff].[Year]" caption="Year" attribute="1" defaultMemberUniqueName="[LocalDateTable_3a17192d-ec7c-4dba-ac0e-bcf6b3a6a0ff].[Year].[All]" allUniqueName="[LocalDateTable_3a17192d-ec7c-4dba-ac0e-bcf6b3a6a0ff].[Year].[All]" dimensionUniqueName="[LocalDateTable_3a17192d-ec7c-4dba-ac0e-bcf6b3a6a0ff]" displayFolder="" count="0" memberValueDatatype="20" unbalanced="0" hidden="1"/>
    <cacheHierarchy uniqueName="[LocalDateTable_3f117c71-2c04-4fa5-8c23-2b2c1ab14338].[Date]" caption="Date" attribute="1" time="1" defaultMemberUniqueName="[LocalDateTable_3f117c71-2c04-4fa5-8c23-2b2c1ab14338].[Date].[All]" allUniqueName="[LocalDateTable_3f117c71-2c04-4fa5-8c23-2b2c1ab14338].[Date].[All]" dimensionUniqueName="[LocalDateTable_3f117c71-2c04-4fa5-8c23-2b2c1ab14338]" displayFolder="" count="0" memberValueDatatype="7" unbalanced="0" hidden="1"/>
    <cacheHierarchy uniqueName="[LocalDateTable_3f117c71-2c04-4fa5-8c23-2b2c1ab14338].[Day]" caption="Day" attribute="1" defaultMemberUniqueName="[LocalDateTable_3f117c71-2c04-4fa5-8c23-2b2c1ab14338].[Day].[All]" allUniqueName="[LocalDateTable_3f117c71-2c04-4fa5-8c23-2b2c1ab14338].[Day].[All]" dimensionUniqueName="[LocalDateTable_3f117c71-2c04-4fa5-8c23-2b2c1ab14338]" displayFolder="" count="0" memberValueDatatype="20" unbalanced="0" hidden="1"/>
    <cacheHierarchy uniqueName="[LocalDateTable_3f117c71-2c04-4fa5-8c23-2b2c1ab14338].[Month]" caption="Month" attribute="1" defaultMemberUniqueName="[LocalDateTable_3f117c71-2c04-4fa5-8c23-2b2c1ab14338].[Month].[All]" allUniqueName="[LocalDateTable_3f117c71-2c04-4fa5-8c23-2b2c1ab14338].[Month].[All]" dimensionUniqueName="[LocalDateTable_3f117c71-2c04-4fa5-8c23-2b2c1ab14338]" displayFolder="" count="0" memberValueDatatype="130" unbalanced="0" hidden="1"/>
    <cacheHierarchy uniqueName="[LocalDateTable_3f117c71-2c04-4fa5-8c23-2b2c1ab14338].[MonthNo]" caption="MonthNo" attribute="1" defaultMemberUniqueName="[LocalDateTable_3f117c71-2c04-4fa5-8c23-2b2c1ab14338].[MonthNo].[All]" allUniqueName="[LocalDateTable_3f117c71-2c04-4fa5-8c23-2b2c1ab14338].[MonthNo].[All]" dimensionUniqueName="[LocalDateTable_3f117c71-2c04-4fa5-8c23-2b2c1ab14338]" displayFolder="" count="0" memberValueDatatype="20" unbalanced="0" hidden="1"/>
    <cacheHierarchy uniqueName="[LocalDateTable_3f117c71-2c04-4fa5-8c23-2b2c1ab14338].[Quarter]" caption="Quarter" attribute="1" defaultMemberUniqueName="[LocalDateTable_3f117c71-2c04-4fa5-8c23-2b2c1ab14338].[Quarter].[All]" allUniqueName="[LocalDateTable_3f117c71-2c04-4fa5-8c23-2b2c1ab14338].[Quarter].[All]" dimensionUniqueName="[LocalDateTable_3f117c71-2c04-4fa5-8c23-2b2c1ab14338]" displayFolder="" count="0" memberValueDatatype="130" unbalanced="0" hidden="1"/>
    <cacheHierarchy uniqueName="[LocalDateTable_3f117c71-2c04-4fa5-8c23-2b2c1ab14338].[QuarterNo]" caption="QuarterNo" attribute="1" defaultMemberUniqueName="[LocalDateTable_3f117c71-2c04-4fa5-8c23-2b2c1ab14338].[QuarterNo].[All]" allUniqueName="[LocalDateTable_3f117c71-2c04-4fa5-8c23-2b2c1ab14338].[QuarterNo].[All]" dimensionUniqueName="[LocalDateTable_3f117c71-2c04-4fa5-8c23-2b2c1ab14338]" displayFolder="" count="0" memberValueDatatype="20" unbalanced="0" hidden="1"/>
    <cacheHierarchy uniqueName="[LocalDateTable_3f117c71-2c04-4fa5-8c23-2b2c1ab14338].[Year]" caption="Year" attribute="1" defaultMemberUniqueName="[LocalDateTable_3f117c71-2c04-4fa5-8c23-2b2c1ab14338].[Year].[All]" allUniqueName="[LocalDateTable_3f117c71-2c04-4fa5-8c23-2b2c1ab14338].[Year].[All]" dimensionUniqueName="[LocalDateTable_3f117c71-2c04-4fa5-8c23-2b2c1ab14338]" displayFolder="" count="0" memberValueDatatype="20" unbalanced="0" hidden="1"/>
    <cacheHierarchy uniqueName="[LocalDateTable_66f09a5d-f864-46bc-a2f5-c0014bc05155].[Date]" caption="Date" attribute="1" time="1" defaultMemberUniqueName="[LocalDateTable_66f09a5d-f864-46bc-a2f5-c0014bc05155].[Date].[All]" allUniqueName="[LocalDateTable_66f09a5d-f864-46bc-a2f5-c0014bc05155].[Date].[All]" dimensionUniqueName="[LocalDateTable_66f09a5d-f864-46bc-a2f5-c0014bc05155]" displayFolder="" count="0" memberValueDatatype="7" unbalanced="0" hidden="1"/>
    <cacheHierarchy uniqueName="[LocalDateTable_66f09a5d-f864-46bc-a2f5-c0014bc05155].[Day]" caption="Day" attribute="1" defaultMemberUniqueName="[LocalDateTable_66f09a5d-f864-46bc-a2f5-c0014bc05155].[Day].[All]" allUniqueName="[LocalDateTable_66f09a5d-f864-46bc-a2f5-c0014bc05155].[Day].[All]" dimensionUniqueName="[LocalDateTable_66f09a5d-f864-46bc-a2f5-c0014bc05155]" displayFolder="" count="0" memberValueDatatype="20" unbalanced="0" hidden="1"/>
    <cacheHierarchy uniqueName="[LocalDateTable_66f09a5d-f864-46bc-a2f5-c0014bc05155].[Month]" caption="Month" attribute="1" defaultMemberUniqueName="[LocalDateTable_66f09a5d-f864-46bc-a2f5-c0014bc05155].[Month].[All]" allUniqueName="[LocalDateTable_66f09a5d-f864-46bc-a2f5-c0014bc05155].[Month].[All]" dimensionUniqueName="[LocalDateTable_66f09a5d-f864-46bc-a2f5-c0014bc05155]" displayFolder="" count="0" memberValueDatatype="130" unbalanced="0" hidden="1"/>
    <cacheHierarchy uniqueName="[LocalDateTable_66f09a5d-f864-46bc-a2f5-c0014bc05155].[MonthNo]" caption="MonthNo" attribute="1" defaultMemberUniqueName="[LocalDateTable_66f09a5d-f864-46bc-a2f5-c0014bc05155].[MonthNo].[All]" allUniqueName="[LocalDateTable_66f09a5d-f864-46bc-a2f5-c0014bc05155].[MonthNo].[All]" dimensionUniqueName="[LocalDateTable_66f09a5d-f864-46bc-a2f5-c0014bc05155]" displayFolder="" count="0" memberValueDatatype="20" unbalanced="0" hidden="1"/>
    <cacheHierarchy uniqueName="[LocalDateTable_66f09a5d-f864-46bc-a2f5-c0014bc05155].[Quarter]" caption="Quarter" attribute="1" defaultMemberUniqueName="[LocalDateTable_66f09a5d-f864-46bc-a2f5-c0014bc05155].[Quarter].[All]" allUniqueName="[LocalDateTable_66f09a5d-f864-46bc-a2f5-c0014bc05155].[Quarter].[All]" dimensionUniqueName="[LocalDateTable_66f09a5d-f864-46bc-a2f5-c0014bc05155]" displayFolder="" count="0" memberValueDatatype="130" unbalanced="0" hidden="1"/>
    <cacheHierarchy uniqueName="[LocalDateTable_66f09a5d-f864-46bc-a2f5-c0014bc05155].[QuarterNo]" caption="QuarterNo" attribute="1" defaultMemberUniqueName="[LocalDateTable_66f09a5d-f864-46bc-a2f5-c0014bc05155].[QuarterNo].[All]" allUniqueName="[LocalDateTable_66f09a5d-f864-46bc-a2f5-c0014bc05155].[QuarterNo].[All]" dimensionUniqueName="[LocalDateTable_66f09a5d-f864-46bc-a2f5-c0014bc05155]" displayFolder="" count="0" memberValueDatatype="20" unbalanced="0" hidden="1"/>
    <cacheHierarchy uniqueName="[LocalDateTable_66f09a5d-f864-46bc-a2f5-c0014bc05155].[Year]" caption="Year" attribute="1" defaultMemberUniqueName="[LocalDateTable_66f09a5d-f864-46bc-a2f5-c0014bc05155].[Year].[All]" allUniqueName="[LocalDateTable_66f09a5d-f864-46bc-a2f5-c0014bc05155].[Year].[All]" dimensionUniqueName="[LocalDateTable_66f09a5d-f864-46bc-a2f5-c0014bc05155]" displayFolder="" count="0" memberValueDatatype="20" unbalanced="0" hidden="1"/>
    <cacheHierarchy uniqueName="[LocalDateTable_754a5606-f042-4514-8c57-59f8f32672fc].[Date]" caption="Date" attribute="1" time="1" defaultMemberUniqueName="[LocalDateTable_754a5606-f042-4514-8c57-59f8f32672fc].[Date].[All]" allUniqueName="[LocalDateTable_754a5606-f042-4514-8c57-59f8f32672fc].[Date].[All]" dimensionUniqueName="[LocalDateTable_754a5606-f042-4514-8c57-59f8f32672fc]" displayFolder="" count="0" memberValueDatatype="7" unbalanced="0" hidden="1"/>
    <cacheHierarchy uniqueName="[LocalDateTable_754a5606-f042-4514-8c57-59f8f32672fc].[Day]" caption="Day" attribute="1" defaultMemberUniqueName="[LocalDateTable_754a5606-f042-4514-8c57-59f8f32672fc].[Day].[All]" allUniqueName="[LocalDateTable_754a5606-f042-4514-8c57-59f8f32672fc].[Day].[All]" dimensionUniqueName="[LocalDateTable_754a5606-f042-4514-8c57-59f8f32672fc]" displayFolder="" count="0" memberValueDatatype="20" unbalanced="0" hidden="1"/>
    <cacheHierarchy uniqueName="[LocalDateTable_754a5606-f042-4514-8c57-59f8f32672fc].[Month]" caption="Month" attribute="1" defaultMemberUniqueName="[LocalDateTable_754a5606-f042-4514-8c57-59f8f32672fc].[Month].[All]" allUniqueName="[LocalDateTable_754a5606-f042-4514-8c57-59f8f32672fc].[Month].[All]" dimensionUniqueName="[LocalDateTable_754a5606-f042-4514-8c57-59f8f32672fc]" displayFolder="" count="0" memberValueDatatype="130" unbalanced="0" hidden="1"/>
    <cacheHierarchy uniqueName="[LocalDateTable_754a5606-f042-4514-8c57-59f8f32672fc].[MonthNo]" caption="MonthNo" attribute="1" defaultMemberUniqueName="[LocalDateTable_754a5606-f042-4514-8c57-59f8f32672fc].[MonthNo].[All]" allUniqueName="[LocalDateTable_754a5606-f042-4514-8c57-59f8f32672fc].[MonthNo].[All]" dimensionUniqueName="[LocalDateTable_754a5606-f042-4514-8c57-59f8f32672fc]" displayFolder="" count="0" memberValueDatatype="20" unbalanced="0" hidden="1"/>
    <cacheHierarchy uniqueName="[LocalDateTable_754a5606-f042-4514-8c57-59f8f32672fc].[Quarter]" caption="Quarter" attribute="1" defaultMemberUniqueName="[LocalDateTable_754a5606-f042-4514-8c57-59f8f32672fc].[Quarter].[All]" allUniqueName="[LocalDateTable_754a5606-f042-4514-8c57-59f8f32672fc].[Quarter].[All]" dimensionUniqueName="[LocalDateTable_754a5606-f042-4514-8c57-59f8f32672fc]" displayFolder="" count="0" memberValueDatatype="130" unbalanced="0" hidden="1"/>
    <cacheHierarchy uniqueName="[LocalDateTable_754a5606-f042-4514-8c57-59f8f32672fc].[QuarterNo]" caption="QuarterNo" attribute="1" defaultMemberUniqueName="[LocalDateTable_754a5606-f042-4514-8c57-59f8f32672fc].[QuarterNo].[All]" allUniqueName="[LocalDateTable_754a5606-f042-4514-8c57-59f8f32672fc].[QuarterNo].[All]" dimensionUniqueName="[LocalDateTable_754a5606-f042-4514-8c57-59f8f32672fc]" displayFolder="" count="0" memberValueDatatype="20" unbalanced="0" hidden="1"/>
    <cacheHierarchy uniqueName="[LocalDateTable_754a5606-f042-4514-8c57-59f8f32672fc].[Year]" caption="Year" attribute="1" defaultMemberUniqueName="[LocalDateTable_754a5606-f042-4514-8c57-59f8f32672fc].[Year].[All]" allUniqueName="[LocalDateTable_754a5606-f042-4514-8c57-59f8f32672fc].[Year].[All]" dimensionUniqueName="[LocalDateTable_754a5606-f042-4514-8c57-59f8f32672fc]" displayFolder="" count="0" memberValueDatatype="20" unbalanced="0" hidden="1"/>
    <cacheHierarchy uniqueName="[LocalDateTable_9b9a9699-5b52-40e9-b4a0-c11cb55a9d61].[Date]" caption="Date" attribute="1" time="1" defaultMemberUniqueName="[LocalDateTable_9b9a9699-5b52-40e9-b4a0-c11cb55a9d61].[Date].[All]" allUniqueName="[LocalDateTable_9b9a9699-5b52-40e9-b4a0-c11cb55a9d61].[Date].[All]" dimensionUniqueName="[LocalDateTable_9b9a9699-5b52-40e9-b4a0-c11cb55a9d61]" displayFolder="" count="0" memberValueDatatype="7" unbalanced="0" hidden="1"/>
    <cacheHierarchy uniqueName="[LocalDateTable_9b9a9699-5b52-40e9-b4a0-c11cb55a9d61].[Day]" caption="Day" attribute="1" defaultMemberUniqueName="[LocalDateTable_9b9a9699-5b52-40e9-b4a0-c11cb55a9d61].[Day].[All]" allUniqueName="[LocalDateTable_9b9a9699-5b52-40e9-b4a0-c11cb55a9d61].[Day].[All]" dimensionUniqueName="[LocalDateTable_9b9a9699-5b52-40e9-b4a0-c11cb55a9d61]" displayFolder="" count="0" memberValueDatatype="20" unbalanced="0" hidden="1"/>
    <cacheHierarchy uniqueName="[LocalDateTable_9b9a9699-5b52-40e9-b4a0-c11cb55a9d61].[Month]" caption="Month" attribute="1" defaultMemberUniqueName="[LocalDateTable_9b9a9699-5b52-40e9-b4a0-c11cb55a9d61].[Month].[All]" allUniqueName="[LocalDateTable_9b9a9699-5b52-40e9-b4a0-c11cb55a9d61].[Month].[All]" dimensionUniqueName="[LocalDateTable_9b9a9699-5b52-40e9-b4a0-c11cb55a9d61]" displayFolder="" count="0" memberValueDatatype="130" unbalanced="0" hidden="1"/>
    <cacheHierarchy uniqueName="[LocalDateTable_9b9a9699-5b52-40e9-b4a0-c11cb55a9d61].[MonthNo]" caption="MonthNo" attribute="1" defaultMemberUniqueName="[LocalDateTable_9b9a9699-5b52-40e9-b4a0-c11cb55a9d61].[MonthNo].[All]" allUniqueName="[LocalDateTable_9b9a9699-5b52-40e9-b4a0-c11cb55a9d61].[MonthNo].[All]" dimensionUniqueName="[LocalDateTable_9b9a9699-5b52-40e9-b4a0-c11cb55a9d61]" displayFolder="" count="0" memberValueDatatype="20" unbalanced="0" hidden="1"/>
    <cacheHierarchy uniqueName="[LocalDateTable_9b9a9699-5b52-40e9-b4a0-c11cb55a9d61].[Quarter]" caption="Quarter" attribute="1" defaultMemberUniqueName="[LocalDateTable_9b9a9699-5b52-40e9-b4a0-c11cb55a9d61].[Quarter].[All]" allUniqueName="[LocalDateTable_9b9a9699-5b52-40e9-b4a0-c11cb55a9d61].[Quarter].[All]" dimensionUniqueName="[LocalDateTable_9b9a9699-5b52-40e9-b4a0-c11cb55a9d61]" displayFolder="" count="0" memberValueDatatype="130" unbalanced="0" hidden="1"/>
    <cacheHierarchy uniqueName="[LocalDateTable_9b9a9699-5b52-40e9-b4a0-c11cb55a9d61].[QuarterNo]" caption="QuarterNo" attribute="1" defaultMemberUniqueName="[LocalDateTable_9b9a9699-5b52-40e9-b4a0-c11cb55a9d61].[QuarterNo].[All]" allUniqueName="[LocalDateTable_9b9a9699-5b52-40e9-b4a0-c11cb55a9d61].[QuarterNo].[All]" dimensionUniqueName="[LocalDateTable_9b9a9699-5b52-40e9-b4a0-c11cb55a9d61]" displayFolder="" count="0" memberValueDatatype="20" unbalanced="0" hidden="1"/>
    <cacheHierarchy uniqueName="[LocalDateTable_9b9a9699-5b52-40e9-b4a0-c11cb55a9d61].[Year]" caption="Year" attribute="1" defaultMemberUniqueName="[LocalDateTable_9b9a9699-5b52-40e9-b4a0-c11cb55a9d61].[Year].[All]" allUniqueName="[LocalDateTable_9b9a9699-5b52-40e9-b4a0-c11cb55a9d61].[Year].[All]" dimensionUniqueName="[LocalDateTable_9b9a9699-5b52-40e9-b4a0-c11cb55a9d61]" displayFolder="" count="0" memberValueDatatype="20" unbalanced="0" hidden="1"/>
    <cacheHierarchy uniqueName="[LocalDateTable_a29de990-df00-42e6-9e8c-814d0b4b9a86].[Date]" caption="Date" attribute="1" time="1" defaultMemberUniqueName="[LocalDateTable_a29de990-df00-42e6-9e8c-814d0b4b9a86].[Date].[All]" allUniqueName="[LocalDateTable_a29de990-df00-42e6-9e8c-814d0b4b9a86].[Date].[All]" dimensionUniqueName="[LocalDateTable_a29de990-df00-42e6-9e8c-814d0b4b9a86]" displayFolder="" count="0" memberValueDatatype="7" unbalanced="0" hidden="1"/>
    <cacheHierarchy uniqueName="[LocalDateTable_a29de990-df00-42e6-9e8c-814d0b4b9a86].[Day]" caption="Day" attribute="1" defaultMemberUniqueName="[LocalDateTable_a29de990-df00-42e6-9e8c-814d0b4b9a86].[Day].[All]" allUniqueName="[LocalDateTable_a29de990-df00-42e6-9e8c-814d0b4b9a86].[Day].[All]" dimensionUniqueName="[LocalDateTable_a29de990-df00-42e6-9e8c-814d0b4b9a86]" displayFolder="" count="0" memberValueDatatype="20" unbalanced="0" hidden="1"/>
    <cacheHierarchy uniqueName="[LocalDateTable_a29de990-df00-42e6-9e8c-814d0b4b9a86].[Month]" caption="Month" attribute="1" defaultMemberUniqueName="[LocalDateTable_a29de990-df00-42e6-9e8c-814d0b4b9a86].[Month].[All]" allUniqueName="[LocalDateTable_a29de990-df00-42e6-9e8c-814d0b4b9a86].[Month].[All]" dimensionUniqueName="[LocalDateTable_a29de990-df00-42e6-9e8c-814d0b4b9a86]" displayFolder="" count="0" memberValueDatatype="130" unbalanced="0" hidden="1"/>
    <cacheHierarchy uniqueName="[LocalDateTable_a29de990-df00-42e6-9e8c-814d0b4b9a86].[MonthNo]" caption="MonthNo" attribute="1" defaultMemberUniqueName="[LocalDateTable_a29de990-df00-42e6-9e8c-814d0b4b9a86].[MonthNo].[All]" allUniqueName="[LocalDateTable_a29de990-df00-42e6-9e8c-814d0b4b9a86].[MonthNo].[All]" dimensionUniqueName="[LocalDateTable_a29de990-df00-42e6-9e8c-814d0b4b9a86]" displayFolder="" count="0" memberValueDatatype="20" unbalanced="0" hidden="1"/>
    <cacheHierarchy uniqueName="[LocalDateTable_a29de990-df00-42e6-9e8c-814d0b4b9a86].[Quarter]" caption="Quarter" attribute="1" defaultMemberUniqueName="[LocalDateTable_a29de990-df00-42e6-9e8c-814d0b4b9a86].[Quarter].[All]" allUniqueName="[LocalDateTable_a29de990-df00-42e6-9e8c-814d0b4b9a86].[Quarter].[All]" dimensionUniqueName="[LocalDateTable_a29de990-df00-42e6-9e8c-814d0b4b9a86]" displayFolder="" count="0" memberValueDatatype="130" unbalanced="0" hidden="1"/>
    <cacheHierarchy uniqueName="[LocalDateTable_a29de990-df00-42e6-9e8c-814d0b4b9a86].[QuarterNo]" caption="QuarterNo" attribute="1" defaultMemberUniqueName="[LocalDateTable_a29de990-df00-42e6-9e8c-814d0b4b9a86].[QuarterNo].[All]" allUniqueName="[LocalDateTable_a29de990-df00-42e6-9e8c-814d0b4b9a86].[QuarterNo].[All]" dimensionUniqueName="[LocalDateTable_a29de990-df00-42e6-9e8c-814d0b4b9a86]" displayFolder="" count="0" memberValueDatatype="20" unbalanced="0" hidden="1"/>
    <cacheHierarchy uniqueName="[LocalDateTable_a29de990-df00-42e6-9e8c-814d0b4b9a86].[Year]" caption="Year" attribute="1" defaultMemberUniqueName="[LocalDateTable_a29de990-df00-42e6-9e8c-814d0b4b9a86].[Year].[All]" allUniqueName="[LocalDateTable_a29de990-df00-42e6-9e8c-814d0b4b9a86].[Year].[All]" dimensionUniqueName="[LocalDateTable_a29de990-df00-42e6-9e8c-814d0b4b9a86]" displayFolder="" count="0" memberValueDatatype="20" unbalanced="0" hidden="1"/>
    <cacheHierarchy uniqueName="[LocalDateTable_e1d748f9-bc77-4c73-ba8d-fcf5ec29dd71].[Date]" caption="Date" attribute="1" time="1" defaultMemberUniqueName="[LocalDateTable_e1d748f9-bc77-4c73-ba8d-fcf5ec29dd71].[Date].[All]" allUniqueName="[LocalDateTable_e1d748f9-bc77-4c73-ba8d-fcf5ec29dd71].[Date].[All]" dimensionUniqueName="[LocalDateTable_e1d748f9-bc77-4c73-ba8d-fcf5ec29dd71]" displayFolder="" count="0" memberValueDatatype="7" unbalanced="0" hidden="1"/>
    <cacheHierarchy uniqueName="[LocalDateTable_e1d748f9-bc77-4c73-ba8d-fcf5ec29dd71].[Day]" caption="Day" attribute="1" defaultMemberUniqueName="[LocalDateTable_e1d748f9-bc77-4c73-ba8d-fcf5ec29dd71].[Day].[All]" allUniqueName="[LocalDateTable_e1d748f9-bc77-4c73-ba8d-fcf5ec29dd71].[Day].[All]" dimensionUniqueName="[LocalDateTable_e1d748f9-bc77-4c73-ba8d-fcf5ec29dd71]" displayFolder="" count="0" memberValueDatatype="20" unbalanced="0" hidden="1"/>
    <cacheHierarchy uniqueName="[LocalDateTable_e1d748f9-bc77-4c73-ba8d-fcf5ec29dd71].[Month]" caption="Month" attribute="1" defaultMemberUniqueName="[LocalDateTable_e1d748f9-bc77-4c73-ba8d-fcf5ec29dd71].[Month].[All]" allUniqueName="[LocalDateTable_e1d748f9-bc77-4c73-ba8d-fcf5ec29dd71].[Month].[All]" dimensionUniqueName="[LocalDateTable_e1d748f9-bc77-4c73-ba8d-fcf5ec29dd71]" displayFolder="" count="0" memberValueDatatype="130" unbalanced="0" hidden="1"/>
    <cacheHierarchy uniqueName="[LocalDateTable_e1d748f9-bc77-4c73-ba8d-fcf5ec29dd71].[MonthNo]" caption="MonthNo" attribute="1" defaultMemberUniqueName="[LocalDateTable_e1d748f9-bc77-4c73-ba8d-fcf5ec29dd71].[MonthNo].[All]" allUniqueName="[LocalDateTable_e1d748f9-bc77-4c73-ba8d-fcf5ec29dd71].[MonthNo].[All]" dimensionUniqueName="[LocalDateTable_e1d748f9-bc77-4c73-ba8d-fcf5ec29dd71]" displayFolder="" count="0" memberValueDatatype="20" unbalanced="0" hidden="1"/>
    <cacheHierarchy uniqueName="[LocalDateTable_e1d748f9-bc77-4c73-ba8d-fcf5ec29dd71].[Quarter]" caption="Quarter" attribute="1" defaultMemberUniqueName="[LocalDateTable_e1d748f9-bc77-4c73-ba8d-fcf5ec29dd71].[Quarter].[All]" allUniqueName="[LocalDateTable_e1d748f9-bc77-4c73-ba8d-fcf5ec29dd71].[Quarter].[All]" dimensionUniqueName="[LocalDateTable_e1d748f9-bc77-4c73-ba8d-fcf5ec29dd71]" displayFolder="" count="0" memberValueDatatype="130" unbalanced="0" hidden="1"/>
    <cacheHierarchy uniqueName="[LocalDateTable_e1d748f9-bc77-4c73-ba8d-fcf5ec29dd71].[QuarterNo]" caption="QuarterNo" attribute="1" defaultMemberUniqueName="[LocalDateTable_e1d748f9-bc77-4c73-ba8d-fcf5ec29dd71].[QuarterNo].[All]" allUniqueName="[LocalDateTable_e1d748f9-bc77-4c73-ba8d-fcf5ec29dd71].[QuarterNo].[All]" dimensionUniqueName="[LocalDateTable_e1d748f9-bc77-4c73-ba8d-fcf5ec29dd71]" displayFolder="" count="0" memberValueDatatype="20" unbalanced="0" hidden="1"/>
    <cacheHierarchy uniqueName="[LocalDateTable_e1d748f9-bc77-4c73-ba8d-fcf5ec29dd71].[Year]" caption="Year" attribute="1" defaultMemberUniqueName="[LocalDateTable_e1d748f9-bc77-4c73-ba8d-fcf5ec29dd71].[Year].[All]" allUniqueName="[LocalDateTable_e1d748f9-bc77-4c73-ba8d-fcf5ec29dd71].[Year].[All]" dimensionUniqueName="[LocalDateTable_e1d748f9-bc77-4c73-ba8d-fcf5ec29dd71]" displayFolder="" count="0" memberValueDatatype="20" unbalanced="0" hidden="1"/>
    <cacheHierarchy uniqueName="[Product Parameter].[Product Parameter Fields]" caption="Product Parameter Fields" attribute="1" defaultMemberUniqueName="[Product Parameter].[Product Parameter Fields].[All]" allUniqueName="[Product Parameter].[Product Parameter Fields].[All]" dimensionUniqueName="[Product Parameter]" displayFolder="" count="0" memberValueDatatype="130" unbalanced="0" hidden="1"/>
    <cacheHierarchy uniqueName="[Product Parameter].[Product Parameter Order]" caption="Product Parameter Order" attribute="1" defaultMemberUniqueName="[Product Parameter].[Product Parameter Order].[All]" allUniqueName="[Product Parameter].[Product Parameter Order].[All]" dimensionUniqueName="[Product Parameter]" displayFolder="" count="0" memberValueDatatype="20" unbalanced="0" hidden="1"/>
    <cacheHierarchy uniqueName="[Measures].[Total Retail Sales]" caption="Total Retail Sales" measure="1" displayFolder="" measureGroup="BI vw_WeeklyWrittenSalesMetrics" count="0"/>
    <cacheHierarchy uniqueName="[Measures].[Cancelled]" caption="Cancelled" measure="1" displayFolder="" measureGroup="BI vw_WeeklyWrittenSalesMetrics" count="0"/>
    <cacheHierarchy uniqueName="[Measures].[Return]" caption="Return" measure="1" displayFolder="" measureGroup="BI vw_WeeklyWrittenSalesMetrics" count="0"/>
    <cacheHierarchy uniqueName="[Measures].[R-SalesCost]" caption="R-SalesCost" measure="1" displayFolder="" measureGroup="BI metrics" count="0"/>
    <cacheHierarchy uniqueName="[Measures].[R-SalesatFullRet]" caption="R-SalesatFullRet" measure="1" displayFolder="" measureGroup="BI metrics" count="0"/>
    <cacheHierarchy uniqueName="[Measures].[R-GM$ TY]" caption="R-GM$ TY" measure="1" displayFolder="" measureGroup="BI metrics" count="0"/>
    <cacheHierarchy uniqueName="[Measures].[R-Sales TY $]" caption="R-Sales TY $" measure="1" displayFolder="" measureGroup="BI metrics" count="0"/>
    <cacheHierarchy uniqueName="[Measures].[R-Units TY]" caption="R-Units TY" measure="1" displayFolder="" measureGroup="BI metrics" count="0"/>
    <cacheHierarchy uniqueName="[Measures].[R-M/D$ TY]" caption="R-M/D$ TY" measure="1" displayFolder="" measureGroup="BI metrics" count="0"/>
    <cacheHierarchy uniqueName="[Measures].[R-Budget$-ItemDept]" caption="R-Budget$-ItemDept" measure="1" displayFolder="" measureGroup="BI metrics" count="0"/>
    <cacheHierarchy uniqueName="[Measures].[R-BudgetGM$-ItemDept]" caption="R-BudgetGM$-ItemDept" measure="1" displayFolder="" measureGroup="BI metrics" count="0"/>
    <cacheHierarchy uniqueName="[Measures].[R-Budget$-Store]" caption="R-Budget$-Store" measure="1" displayFolder="" measureGroup="BI metrics" count="0"/>
    <cacheHierarchy uniqueName="[Measures].[R-Units LY]" caption="R-Units LY" measure="1" displayFolder="" measureGroup="BI metrics" count="0"/>
    <cacheHierarchy uniqueName="[Measures].[R-Sales LY $]" caption="R-Sales LY $" measure="1" displayFolder="" measureGroup="BI metrics" count="0"/>
    <cacheHierarchy uniqueName="[Measures].[R-GM$ LY]" caption="R-GM$ LY" measure="1" displayFolder="" measureGroup="BI metrics" count="0"/>
    <cacheHierarchy uniqueName="[Measures].[R-Sales YoY]" caption="R-Sales YoY" measure="1" displayFolder="" measureGroup="BI metrics" count="0"/>
    <cacheHierarchy uniqueName="[Measures].[R-GM$ YoY]" caption="R-GM$ YoY" measure="1" displayFolder="" measureGroup="BI metrics" count="0"/>
    <cacheHierarchy uniqueName="[Measures].[R-Sales vs Budget]" caption="R-Sales vs Budget" measure="1" displayFolder="" measureGroup="BI metrics" count="0"/>
    <cacheHierarchy uniqueName="[Measures].[R-M/D$ LY]" caption="R-M/D$ LY" measure="1" displayFolder="" measureGroup="BI metrics" count="0"/>
    <cacheHierarchy uniqueName="[Measures].[period_test]" caption="period_test" measure="1" displayFolder="" measureGroup="BI metrics" count="0"/>
    <cacheHierarchy uniqueName="[Measures].[R-Traffic TY]" caption="R-Traffic TY" measure="1" displayFolder="" measureGroup="BI metrics" count="0"/>
    <cacheHierarchy uniqueName="[Measures].[R-ATV TY]" caption="R-ATV TY" measure="1" displayFolder="" measureGroup="BI metrics" count="0" oneField="1">
      <fieldsUsage count="1">
        <fieldUsage x="13"/>
      </fieldsUsage>
    </cacheHierarchy>
    <cacheHierarchy uniqueName="[Measures].[R Sales YoY]" caption="R Sales YoY" measure="1" displayFolder="" measureGroup="BI metrics" count="0"/>
    <cacheHierarchy uniqueName="[Measures].[R-GM$ budget TY]" caption="R-GM$ budget TY" measure="1" displayFolder="" measureGroup="BI metrics" count="0"/>
    <cacheHierarchy uniqueName="[Measures].[R-GM$ Budget LY]" caption="R-GM$ Budget LY" measure="1" displayFolder="" measureGroup="BI metrics" count="0"/>
    <cacheHierarchy uniqueName="[Measures].[R-GM vs Budget]" caption="R-GM vs Budget" measure="1" displayFolder="" measureGroup="BI metrics" count="0"/>
    <cacheHierarchy uniqueName="[Measures].[R-GM % TY]" caption="R-GM % TY" measure="1" displayFolder="" measureGroup="BI metrics" count="0"/>
    <cacheHierarchy uniqueName="[Measures].[R-GM % LY]" caption="R-GM % LY" measure="1" displayFolder="" measureGroup="BI metrics" count="0"/>
    <cacheHierarchy uniqueName="[Measures].[R-GM% Budget TY]" caption="R-GM% Budget TY" measure="1" displayFolder="" measureGroup="BI metrics" count="0"/>
    <cacheHierarchy uniqueName="[Measures].[R-M/D % TY]" caption="R-M/D % TY" measure="1" displayFolder="" measureGroup="BI metrics" count="0"/>
    <cacheHierarchy uniqueName="[Measures].[R-M/D % LY]" caption="R-M/D % LY" measure="1" displayFolder="" measureGroup="BI metrics" count="0"/>
    <cacheHierarchy uniqueName="[Measures].[R-ATV LY]" caption="R-ATV LY" measure="1" displayFolder="" measureGroup="BI metrics" count="0"/>
    <cacheHierarchy uniqueName="[Measures].[R-Traffic LY]" caption="R-Traffic LY" measure="1" displayFolder="" measureGroup="BI metrics" count="0"/>
    <cacheHierarchy uniqueName="[Measures].[R-Traffic YoY]" caption="R-Traffic YoY" measure="1" displayFolder="" measureGroup="BI metrics" count="0"/>
    <cacheHierarchy uniqueName="[Measures].[R-Store Trans LY]" caption="R-Store Trans LY" measure="1" displayFolder="" measureGroup="BI metrics" count="0"/>
    <cacheHierarchy uniqueName="[Measures].[R-Store Trans TY]" caption="R-Store Trans TY" measure="1" displayFolder="" measureGroup="BI metrics" count="0"/>
    <cacheHierarchy uniqueName="[Measures].[R-Conv TY]" caption="R-Conv TY" measure="1" displayFolder="" measureGroup="BI metrics" count="0"/>
    <cacheHierarchy uniqueName="[Measures].[R-Conv LY]" caption="R-Conv LY" measure="1" displayFolder="" measureGroup="BI metrics" count="0"/>
    <cacheHierarchy uniqueName="[Measures].[R-IPT TY]" caption="R-IPT TY" measure="1" displayFolder="" measureGroup="BI metrics" count="0"/>
    <cacheHierarchy uniqueName="[Measures].[R-GM% Budget LY]" caption="R-GM% Budget LY" measure="1" displayFolder="" measureGroup="BI metrics" count="0"/>
    <cacheHierarchy uniqueName="[Measures].[R-Store Trans YoY]" caption="R-Store Trans YoY" measure="1" displayFolder="" measureGroup="BI metrics" count="0"/>
    <cacheHierarchy uniqueName="[Measures].[R-Conv YoY]" caption="R-Conv YoY" measure="1" displayFolder="" measureGroup="BI metrics" count="0"/>
    <cacheHierarchy uniqueName="[Measures].[R-Sales vs Budget - ItemDept]" caption="R-Sales vs Budget - ItemDept" measure="1" displayFolder="" measureGroup="BI metrics" count="0"/>
    <cacheHierarchy uniqueName="[Measures].[R-ATV YoY]" caption="R-ATV YoY" measure="1" displayFolder="" measureGroup="BI metrics" count="0"/>
    <cacheHierarchy uniqueName="[Measures].[R-M/D$ Budget-ItemDept]" caption="R-M/D$ Budget-ItemDept" measure="1" displayFolder="" measureGroup="BI metrics" count="0"/>
    <cacheHierarchy uniqueName="[Measures].[R-M/D% Budget TY]" caption="R-M/D% Budget TY" measure="1" displayFolder="" measureGroup="BI metrics" count="0"/>
    <cacheHierarchy uniqueName="[Measures].[R-Dropship$ budget TY]" caption="R-Dropship$ budget TY" measure="1" displayFolder="" measureGroup="BI metrics" count="0"/>
    <cacheHierarchy uniqueName="[Measures].[R-GM$ Revenue budget TY]" caption="R-GM$ Revenue budget TY" measure="1" displayFolder="" measureGroup="BI metrics" count="0"/>
    <cacheHierarchy uniqueName="[Measures].[GM$ Revenue Budget TY]" caption="GM$ Revenue Budget TY" measure="1" displayFolder="" measureGroup="BI metrics" count="0"/>
    <cacheHierarchy uniqueName="[Measures].[R-Sales vs Plan]" caption="R-Sales vs Plan" measure="1" displayFolder="" measureGroup="BI metrics" count="0"/>
    <cacheHierarchy uniqueName="[Measures].[R-Cancellation TY $]" caption="R-Cancellation TY $" measure="1" displayFolder="" measureGroup="BI metrics" count="0"/>
    <cacheHierarchy uniqueName="[Measures].[R-Return TY $]" caption="R-Return TY $" measure="1" displayFolder="" measureGroup="BI metrics" count="0"/>
    <cacheHierarchy uniqueName="[Measures].[R-Sales TY $1]" caption="R-Sales TY $1" measure="1" displayFolder="" measureGroup="BI metrics" count="0"/>
    <cacheHierarchy uniqueName="[Measures].[R-Budget ATV Online]" caption="R-Budget ATV Online" measure="1" displayFolder="" measureGroup="BI metrics" count="0"/>
    <cacheHierarchy uniqueName="[Measures].[R-Budget Traffic Online]" caption="R-Budget Traffic Online" measure="1" displayFolder="" measureGroup="BI metrics" count="0"/>
    <cacheHierarchy uniqueName="[Measures].[R-Budget Store Trans Online]" caption="R-Budget Store Trans Online" measure="1" displayFolder="" measureGroup="BI metrics" count="0"/>
    <cacheHierarchy uniqueName="[Measures].[R-Budget Conv Online]" caption="R-Budget Conv Online" measure="1" displayFolder="" measureGroup="BI metrics" count="0"/>
    <cacheHierarchy uniqueName="[Measures].[R-M/D$ YoY]" caption="R-M/D$ YoY" measure="1" displayFolder="" measureGroup="BI metrics" count="0"/>
    <cacheHierarchy uniqueName="[Measures].[R-M/D vs Budget]" caption="R-M/D vs Budget" measure="1" displayFolder="" measureGroup="BI metrics" count="0"/>
    <cacheHierarchy uniqueName="[Measures].[R-Traffic Budget Online]" caption="R-Traffic Budget Online" measure="1" displayFolder="" measureGroup="BI metrics" count="0"/>
    <cacheHierarchy uniqueName="[Measures].[R-Traffic vs Budget]" caption="R-Traffic vs Budget" measure="1" displayFolder="" measureGroup="BI metrics" count="0"/>
    <cacheHierarchy uniqueName="[Measures].[R-Store Trans Budget Online]" caption="R-Store Trans Budget Online" measure="1" displayFolder="" measureGroup="BI metrics" count="0"/>
    <cacheHierarchy uniqueName="[Measures].[R-Store Trans vs Budget]" caption="R-Store Trans vs Budget" measure="1" displayFolder="" measureGroup="BI metrics" count="0"/>
    <cacheHierarchy uniqueName="[Measures].[R-Conv Budget Online]" caption="R-Conv Budget Online" measure="1" displayFolder="" measureGroup="BI metrics" count="0"/>
    <cacheHierarchy uniqueName="[Measures].[R-Conv vs Budget]" caption="R-Conv vs Budget" measure="1" displayFolder="" measureGroup="BI metrics" count="0"/>
    <cacheHierarchy uniqueName="[Measures].[R-ATV Budget Online]" caption="R-ATV Budget Online" measure="1" displayFolder="" measureGroup="BI metrics" count="0"/>
    <cacheHierarchy uniqueName="[Measures].[R-ATV vs Budget]" caption="R-ATV vs Budget" measure="1" displayFolder="" measureGroup="BI metrics" count="0"/>
    <cacheHierarchy uniqueName="[Measures].[R-Conv LY1]" caption="R-Conv LY1" measure="1" displayFolder="" measureGroup="BI metrics" count="0"/>
    <cacheHierarchy uniqueName="[Measures].[R-Conv TY1]" caption="R-Conv TY1" measure="1" displayFolder="" measureGroup="BI metrics" count="0"/>
    <cacheHierarchy uniqueName="[Measures].[R-ASP TY]" caption="R-ASP TY" measure="1" displayFolder="" measureGroup="BI metrics" count="0" oneField="1">
      <fieldsUsage count="1">
        <fieldUsage x="12"/>
      </fieldsUsage>
    </cacheHierarchy>
    <cacheHierarchy uniqueName="[Measures].[ASP LY]" caption="ASP LY" measure="1" displayFolder="" measureGroup="BI metrics" count="0"/>
    <cacheHierarchy uniqueName="[Measures].[R-ASP LY]" caption="R-ASP LY" measure="1" displayFolder="" measureGroup="BI metrics" count="0"/>
    <cacheHierarchy uniqueName="[Measures].[R-Sales TY In Store$]" caption="R-Sales TY In Store$" measure="1" displayFolder="aa_New Measures" measureGroup="BI metrics" count="0"/>
    <cacheHierarchy uniqueName="[Measures].[R-Sales TY Dropship$]" caption="R-Sales TY Dropship$" measure="1" displayFolder="aa_New Measures" measureGroup="BI metrics" count="0"/>
    <cacheHierarchy uniqueName="[Measures].[R-Sales TY Online$]" caption="R-Sales TY Online$" measure="1" displayFolder="aa_New Measures" measureGroup="BI metrics" count="0"/>
    <cacheHierarchy uniqueName="[Measures].[R-Sales TY Dropship Budget$]" caption="R-Sales TY Dropship Budget$" measure="1" displayFolder="aa_New Measures" measureGroup="BI metrics" count="0"/>
    <cacheHierarchy uniqueName="[Measures].[R-Sales TY In Store Budget$]" caption="R-Sales TY In Store Budget$" measure="1" displayFolder="aa_New Measures" measureGroup="BI metrics" count="0"/>
    <cacheHierarchy uniqueName="[Measures].[R-Sales TY Online Budget$]" caption="R-Sales TY Online Budget$" measure="1" displayFolder="aa_New Measures" measureGroup="BI metrics" count="0"/>
    <cacheHierarchy uniqueName="[Measures].[Delta Dropship]" caption="Delta Dropship" measure="1" displayFolder="aa_New Measures" measureGroup="BI metrics" count="0"/>
    <cacheHierarchy uniqueName="[Measures].[Delta Total]" caption="Delta Total" measure="1" displayFolder="aa_New Measures" measureGroup="BI metrics" count="0"/>
    <cacheHierarchy uniqueName="[Measures].[Delta In Store + Online]" caption="Delta In Store + Online" measure="1" displayFolder="aa_New Measures" measureGroup="BI metrics" count="0"/>
    <cacheHierarchy uniqueName="[Measures].[Delta Online]" caption="Delta Online" measure="1" displayFolder="aa_New Measures" measureGroup="BI metrics" count="0"/>
    <cacheHierarchy uniqueName="[Measures].[%Var Total]" caption="%Var Total" measure="1" displayFolder="aa_New Measures" measureGroup="BI metrics" count="0"/>
    <cacheHierarchy uniqueName="[Measures].[%Var In Store + Online]" caption="%Var In Store + Online" measure="1" displayFolder="aa_New Measures" measureGroup="BI metrics" count="0"/>
    <cacheHierarchy uniqueName="[Measures].[%Var Online]" caption="%Var Online" measure="1" displayFolder="aa_New Measures" measureGroup="BI metrics" count="0"/>
    <cacheHierarchy uniqueName="[Measures].[%Var Dropship]" caption="%Var Dropship" measure="1" displayFolder="aa_New Measures" measureGroup="BI metrics" count="0"/>
    <cacheHierarchy uniqueName="[Measures].[R-Sales TY In Store + Online$]" caption="R-Sales TY In Store + Online$" measure="1" displayFolder="aa_New Measures" measureGroup="BI metrics" count="0"/>
    <cacheHierarchy uniqueName="[Measures].[R-Sales TY In Store + Online Budget$]" caption="R-Sales TY In Store + Online Budget$" measure="1" displayFolder="aa_New Measures" measureGroup="BI metrics" count="0"/>
    <cacheHierarchy uniqueName="[Measures].[Delta In Store]" caption="Delta In Store" measure="1" displayFolder="aa_New Measures" measureGroup="BI metrics" count="0"/>
    <cacheHierarchy uniqueName="[Measures].[%Var In Store]" caption="%Var In Store" measure="1" displayFolder="aa_New Measures" measureGroup="BI metrics" count="0"/>
    <cacheHierarchy uniqueName="[Measures].[Sales TY In Store$]" caption="Sales TY In Store$" measure="1" displayFolder="aa_New Measures" measureGroup="BI metrics" count="0"/>
    <cacheHierarchy uniqueName="[Measures].[Sales TY Total$]" caption="Sales TY Total$" measure="1" displayFolder="aa_New Measures" measureGroup="BI metrics" count="0"/>
    <cacheHierarchy uniqueName="[Measures].[Sales TY Instore + Online$]" caption="Sales TY Instore + Online$" measure="1" displayFolder="aa_New Measures" measureGroup="BI metrics" count="0"/>
    <cacheHierarchy uniqueName="[Measures].[Sales TY Dropship$]" caption="Sales TY Dropship$" measure="1" displayFolder="aa_New Measures" measureGroup="BI metrics" count="0"/>
    <cacheHierarchy uniqueName="[Measures].[Budget TY Total$]" caption="Budget TY Total$" measure="1" displayFolder="aa_New Measures" measureGroup="BI metrics" count="0"/>
    <cacheHierarchy uniqueName="[Measures].[Budget TY In Store$]" caption="Budget TY In Store$" measure="1" displayFolder="aa_New Measures" measureGroup="BI metrics" count="0"/>
    <cacheHierarchy uniqueName="[Measures].[Budget TY Dropship$]" caption="Budget TY Dropship$" measure="1" displayFolder="aa_New Measures" measureGroup="BI metrics" count="0"/>
    <cacheHierarchy uniqueName="[Measures].[Budget TY Instore + Online$]" caption="Budget TY Instore + Online$" measure="1" displayFolder="aa_New Measures" measureGroup="BI metrics" count="0"/>
    <cacheHierarchy uniqueName="[Measures].[Delta1 Total]" caption="Delta1 Total" measure="1" displayFolder="aa_New Measures" measureGroup="BI metrics" count="0"/>
    <cacheHierarchy uniqueName="[Measures].[Delta1 In Store]" caption="Delta1 In Store" measure="1" displayFolder="aa_New Measures" measureGroup="BI metrics" count="0"/>
    <cacheHierarchy uniqueName="[Measures].[Delta1 In Store + Online]" caption="Delta1 In Store + Online" measure="1" displayFolder="aa_New Measures" measureGroup="BI metrics" count="0"/>
    <cacheHierarchy uniqueName="[Measures].[Delta1 In Dropship]" caption="Delta1 In Dropship" measure="1" displayFolder="aa_New Measures" measureGroup="BI metrics" count="0"/>
    <cacheHierarchy uniqueName="[Measures].[%Var1 Total]" caption="%Var1 Total" measure="1" displayFolder="aa_New Measures" measureGroup="BI metrics" count="0"/>
    <cacheHierarchy uniqueName="[Measures].[%Var1 In Store]" caption="%Var1 In Store" measure="1" displayFolder="aa_New Measures" measureGroup="BI metrics" count="0"/>
    <cacheHierarchy uniqueName="[Measures].[%Var1 In Store + Online]" caption="%Var1 In Store + Online" measure="1" displayFolder="aa_New Measures" measureGroup="BI metrics" count="0"/>
    <cacheHierarchy uniqueName="[Measures].[%Var1 Dropship]" caption="%Var1 Dropship" measure="1" displayFolder="aa_New Measures" measureGroup="BI metrics" count="0"/>
    <cacheHierarchy uniqueName="[Measures].[Total Budget]" caption="Total Budget" measure="1" displayFolder="" measureGroup="BI vw_BudgetByStore" count="0"/>
    <cacheHierarchy uniqueName="[Measures].[R-Budget$-Store1]" caption="R-Budget$-Store1" measure="1" displayFolder="" measureGroup="BI vw_BudgetByStore" count="0"/>
    <cacheHierarchy uniqueName="[Measures].[Total Budget1]" caption="Total Budget1" measure="1" displayFolder="" measureGroup="BI vw_BudgetByStore" count="0"/>
    <cacheHierarchy uniqueName="[Measures].[Sales/Budget KPIs]" caption="Sales/Budget KPIs" measure="1" displayFolder="" measureGroup="BI vw_BudgetByStore" count="0"/>
    <cacheHierarchy uniqueName="[Measures].[Sales/Budget Color]" caption="Sales/Budget Color" measure="1" displayFolder="" measureGroup="BI vw_BudgetByStore" count="0"/>
    <cacheHierarchy uniqueName="[Measures].[Sales TY/LY KPIs]" caption="Sales TY/LY KPIs" measure="1" displayFolder="" measureGroup="BI vw_BudgetByStore" count="0"/>
    <cacheHierarchy uniqueName="[Measures].[Sales TY/LY Color]" caption="Sales TY/LY Color" measure="1" displayFolder="" measureGroup="BI vw_BudgetByStore" count="0"/>
    <cacheHierarchy uniqueName="[Measures].[GM KPIs]" caption="GM KPIs" measure="1" displayFolder="" measureGroup="BI vw_BudgetByStore" count="0"/>
    <cacheHierarchy uniqueName="[Measures].[GM TY/LY Color]" caption="GM TY/LY Color" measure="1" displayFolder="" measureGroup="BI vw_BudgetByStore" count="0"/>
    <cacheHierarchy uniqueName="[Measures].[R-Budget-ItemDept Y/N]" caption="R-Budget-ItemDept Y/N" measure="1" displayFolder="" measureGroup="BI vw_BudgetByItemCategory" count="0"/>
    <cacheHierarchy uniqueName="[Measures].[R-Sales vs Budget-ItemDept Y/N]" caption="R-Sales vs Budget-ItemDept Y/N" measure="1" displayFolder="" measureGroup="BI vw_BudgetByItemCategory" count="0"/>
    <cacheHierarchy uniqueName="[Measures].[Rank]" caption="Rank" measure="1" displayFolder="" measureGroup="BI vw_WeeklyItemSales" count="0"/>
    <cacheHierarchy uniqueName="[Measures].[Store Trans]" caption="Store Trans" measure="1" displayFolder="" measureGroup="BI vw_WeeklyStoreATV" count="0"/>
    <cacheHierarchy uniqueName="[Measures].[Sales TY $]" caption="Sales TY $" measure="1" displayFolder="" measureGroup="Measure" count="0"/>
    <cacheHierarchy uniqueName="[Measures].[This Year]" caption="This Year" measure="1" displayFolder="" measureGroup="Measure" count="0"/>
    <cacheHierarchy uniqueName="[Measures].[Sales LY $]" caption="Sales LY $" measure="1" displayFolder="" measureGroup="Measure" count="0"/>
    <cacheHierarchy uniqueName="[Measures].[GM$ TY]" caption="GM$ TY" measure="1" displayFolder="" measureGroup="Measure" count="0"/>
    <cacheHierarchy uniqueName="[Measures].[GM$ LY]" caption="GM$ LY" measure="1" displayFolder="" measureGroup="Measure" count="0"/>
    <cacheHierarchy uniqueName="[Measures].[M/D$ TY]" caption="M/D$ TY" measure="1" displayFolder="" measureGroup="Measure" count="0"/>
    <cacheHierarchy uniqueName="[Measures].[M/D LY $]" caption="M/D LY $" measure="1" displayFolder="" measureGroup="Measure" count="0"/>
    <cacheHierarchy uniqueName="[Measures].[Budget$-Store]" caption="Budget$-Store" measure="1" displayFolder="" measureGroup="Measure" count="0"/>
    <cacheHierarchy uniqueName="[Measures].[ATV TY]" caption="ATV TY" measure="1" displayFolder="" measureGroup="Measure" count="0"/>
    <cacheHierarchy uniqueName="[Measures].[ATV LY $]" caption="ATV LY $" measure="1" displayFolder="" measureGroup="Measure" count="0"/>
    <cacheHierarchy uniqueName="[Measures].[BudgetDollar-ItemDept]" caption="BudgetDollar-ItemDept" measure="1" displayFolder="" measureGroup="Measure" count="0"/>
    <cacheHierarchy uniqueName="[Measures].[BudgetGMDollar-ItemDept]" caption="BudgetGMDollar-ItemDept" measure="1" displayFolder="" measureGroup="Measure" count="0"/>
    <cacheHierarchy uniqueName="[Measures].[GM$ YoY]" caption="GM$ YoY" measure="1" displayFolder="" measureGroup="Measure" count="0"/>
    <cacheHierarchy uniqueName="[Measures].[Sales vs Budget]" caption="Sales vs Budget" measure="1" displayFolder="" measureGroup="Measure" count="0"/>
    <cacheHierarchy uniqueName="[Measures].[Sales YoY]" caption="Sales YoY" measure="1" displayFolder="" measureGroup="Measure" count="0"/>
    <cacheHierarchy uniqueName="[Measures].[SalesatFullRet]" caption="SalesatFullRet" measure="1" displayFolder="" measureGroup="Measure" count="0"/>
    <cacheHierarchy uniqueName="[Measures].[SalesCost]" caption="SalesCost" measure="1" displayFolder="" measureGroup="Measure" count="0"/>
    <cacheHierarchy uniqueName="[Measures].[Traffic TY]" caption="Traffic TY" measure="1" displayFolder="" measureGroup="Measure" count="0"/>
    <cacheHierarchy uniqueName="[Measures].[Units TY]" caption="Units TY" measure="1" displayFolder="" measureGroup="Measure" count="0"/>
    <cacheHierarchy uniqueName="[Measures].[Units LY]" caption="Units LY" measure="1" displayFolder="" measureGroup="Measure" count="0"/>
    <cacheHierarchy uniqueName="[Measures].[Rolling 12 months Sales]" caption="Rolling 12 months Sales" measure="1" displayFolder="" measureGroup="Measure" count="0"/>
    <cacheHierarchy uniqueName="[Measures].[Rolling 12 months GM]" caption="Rolling 12 months GM" measure="1" displayFolder="" measureGroup="Measure" count="0"/>
    <cacheHierarchy uniqueName="[Measures].[Rolling 12 months M/D]" caption="Rolling 12 months M/D" measure="1" displayFolder="" measureGroup="Measure" count="0"/>
    <cacheHierarchy uniqueName="[Measures].[Transaction TY]" caption="Transaction TY" measure="1" displayFolder="" measureGroup="Measure" count="0"/>
    <cacheHierarchy uniqueName="[Measures].[Transactions LY]" caption="Transactions LY" measure="1" displayFolder="" measureGroup="Measure" count="0"/>
    <cacheHierarchy uniqueName="[Measures].[Transaction YOY]" caption="Transaction YOY" measure="1" displayFolder="" measureGroup="Measure" count="0"/>
    <cacheHierarchy uniqueName="[Measures].[GM$ Budget TY]" caption="GM$ Budget TY" measure="1" displayFolder="" measureGroup="Measure" count="0"/>
    <cacheHierarchy uniqueName="[Measures].[GM$ Budget LY]" caption="GM$ Budget LY" measure="1" displayFolder="" measureGroup="Measure" count="0"/>
    <cacheHierarchy uniqueName="[Measures].[GM vs Budget $]" caption="GM vs Budget $" measure="1" displayFolder="" measureGroup="Measure" count="0"/>
    <cacheHierarchy uniqueName="[Measures].[Measure]" caption="Measure" measure="1" displayFolder="" measureGroup="Measure" count="0"/>
    <cacheHierarchy uniqueName="[Measures].[GM % TY]" caption="GM % TY" measure="1" displayFolder="" measureGroup="Measure" count="0"/>
    <cacheHierarchy uniqueName="[Measures].[GM % LY]" caption="GM % LY" measure="1" displayFolder="" measureGroup="Measure" count="0"/>
    <cacheHierarchy uniqueName="[Measures].[GM% Budget]" caption="GM% Budget" measure="1" displayFolder="" measureGroup="Measure" count="0"/>
    <cacheHierarchy uniqueName="[Measures].[Measure 2]" caption="Measure 2" measure="1" displayFolder="" measureGroup="Measure" count="0"/>
    <cacheHierarchy uniqueName="[Measures].[M/D % TY]" caption="M/D % TY" measure="1" displayFolder="" measureGroup="Measure" count="0"/>
    <cacheHierarchy uniqueName="[Measures].[M/D % LY]" caption="M/D % LY" measure="1" displayFolder="" measureGroup="Measure" count="0"/>
    <cacheHierarchy uniqueName="[Measures].[Dropship$ Budget TY]" caption="Dropship$ Budget TY" measure="1" displayFolder="" measureGroup="Measure" count="0"/>
    <cacheHierarchy uniqueName="[Measures].[Rolling 12 months R-Sale $ TY]" caption="Rolling 12 months R-Sale $ TY" measure="1" displayFolder="" measureGroup="Measure" count="0"/>
    <cacheHierarchy uniqueName="[Measures].[Rolling 12 months Traffic YoY]" caption="Rolling 12 months Traffic YoY" measure="1" displayFolder="" measureGroup="Measure" count="0"/>
    <cacheHierarchy uniqueName="[Measures].[Rolling 12 months ATV YoY]" caption="Rolling 12 months ATV YoY" measure="1" displayFolder="" measureGroup="Measure" count="0"/>
    <cacheHierarchy uniqueName="[Measures].[Rolling 12 months Conv YoY]" caption="Rolling 12 months Conv YoY" measure="1" displayFolder="" measureGroup="Measure" count="0"/>
    <cacheHierarchy uniqueName="[Measures].[Rolling 12 months Store Trans YoY]" caption="Rolling 12 months Store Trans YoY" measure="1" displayFolder="" measureGroup="Measure" count="0"/>
    <cacheHierarchy uniqueName="[Measures].[LastRefreshedSydney]" caption="LastRefreshedSydney" measure="1" displayFolder="" measureGroup="Measure" count="0"/>
    <cacheHierarchy uniqueName="[Measures].[R-Sales Forecast TY]" caption="R-Sales Forecast TY" measure="1" displayFolder="" measureGroup="ForcastByClass" count="0"/>
    <cacheHierarchy uniqueName="[Measures].[Actual Select]" caption="Actual Select" measure="1" displayFolder="" measureGroup="Dim_Category" count="0"/>
    <cacheHierarchy uniqueName="[Measures].[Actual select1]" caption="Actual select1" measure="1" displayFolder="" measureGroup="Dim_Category" count="0"/>
    <cacheHierarchy uniqueName="[Measures].[Week Sales]" caption="Week Sales" measure="1" displayFolder="" measureGroup="Dim_Category" count="0"/>
    <cacheHierarchy uniqueName="[Measures].[MTD Sales]" caption="MTD Sales" measure="1" displayFolder="" measureGroup="Dim_Category" count="0"/>
    <cacheHierarchy uniqueName="[Measures].[YTD Sales]" caption="YTD Sales" measure="1" displayFolder="" measureGroup="Dim_Category" count="0"/>
    <cacheHierarchy uniqueName="[Measures].[Week Budget]" caption="Week Budget" measure="1" displayFolder="" measureGroup="Dim_Category" count="0"/>
    <cacheHierarchy uniqueName="[Measures].[MTD Budget]" caption="MTD Budget" measure="1" displayFolder="" measureGroup="Dim_Category" count="0"/>
    <cacheHierarchy uniqueName="[Measures].[YTD Budget]" caption="YTD Budget" measure="1" displayFolder="" measureGroup="Dim_Category" count="0"/>
    <cacheHierarchy uniqueName="[Measures].[SelectorNum]" caption="SelectorNum" measure="1" displayFolder="" measureGroup="Dim_Category" count="0"/>
    <cacheHierarchy uniqueName="[Measures].[Sales Select]" caption="Sales Select" measure="1" displayFolder="" measureGroup="Dim_Category" count="0"/>
    <cacheHierarchy uniqueName="[Measures].[Budget Select]" caption="Budget Select" measure="1" displayFolder="" measureGroup="Dim_Category" count="0"/>
    <cacheHierarchy uniqueName="[Measures].[TodayWeek]" caption="TodayWeek" measure="1" displayFolder="" measureGroup="Dim_Category" count="0"/>
    <cacheHierarchy uniqueName="[Measures].[MTD Sales Filter]" caption="MTD Sales Filter" measure="1" displayFolder="" measureGroup="Dim_Category" count="0"/>
    <cacheHierarchy uniqueName="[Measures].[Week Sales LY]" caption="Week Sales LY" measure="1" displayFolder="" measureGroup="Dim_Category" count="0"/>
    <cacheHierarchy uniqueName="[Measures].[MTD Sales LY]" caption="MTD Sales LY" measure="1" displayFolder="" measureGroup="Dim_Category" count="0"/>
    <cacheHierarchy uniqueName="[Measures].[YTD Sales LY]" caption="YTD Sales LY" measure="1" displayFolder="" measureGroup="Dim_Category" count="0"/>
    <cacheHierarchy uniqueName="[Measures].[Sales LY Select]" caption="Sales LY Select" measure="1" displayFolder="" measureGroup="Dim_Category" count="0"/>
    <cacheHierarchy uniqueName="[Measures].[GM TY Week]" caption="GM TY Week" measure="1" displayFolder="" measureGroup="Dim_Category" count="0"/>
    <cacheHierarchy uniqueName="[Measures].[GM TY MTD]" caption="GM TY MTD" measure="1" displayFolder="" measureGroup="Dim_Category" count="0"/>
    <cacheHierarchy uniqueName="[Measures].[GM TY YTD]" caption="GM TY YTD" measure="1" displayFolder="" measureGroup="Dim_Category" count="0"/>
    <cacheHierarchy uniqueName="[Measures].[GM TY Select]" caption="GM TY Select" measure="1" displayFolder="" measureGroup="Dim_Category" count="0"/>
    <cacheHierarchy uniqueName="[Measures].[Sales Categories]" caption="Sales Categories" measure="1" displayFolder="" measureGroup="Measure Categories" count="0"/>
    <cacheHierarchy uniqueName="[Measures].[Sales Categories 1]" caption="Sales Categories 1" measure="1" displayFolder="" measureGroup="Measure Categories" count="0"/>
    <cacheHierarchy uniqueName="[Measures].[Sales Title]" caption="Sales Title" measure="1" displayFolder="" measureGroup="Measure Categories" count="0"/>
    <cacheHierarchy uniqueName="[Measures].[Traffic KPIs]" caption="Traffic KPIs" measure="1" displayFolder="" measureGroup="Measure Tooltip" count="0"/>
    <cacheHierarchy uniqueName="[Measures].[Traffic TY/LY Color]" caption="Traffic TY/LY Color" measure="1" displayFolder="" measureGroup="Measure Tooltip" count="0"/>
    <cacheHierarchy uniqueName="[Measures].[Store Trans KPIs]" caption="Store Trans KPIs" measure="1" displayFolder="" measureGroup="Measure Tooltip" count="0"/>
    <cacheHierarchy uniqueName="[Measures].[Store Trans TY/LY Color]" caption="Store Trans TY/LY Color" measure="1" displayFolder="" measureGroup="Measure Tooltip" count="0"/>
    <cacheHierarchy uniqueName="[Measures].[Conv KPIs]" caption="Conv KPIs" measure="1" displayFolder="" measureGroup="Measure Tooltip" count="0"/>
    <cacheHierarchy uniqueName="[Measures].[Conv TY/LY Color]" caption="Conv TY/LY Color" measure="1" displayFolder="" measureGroup="Measure Tooltip" count="0"/>
    <cacheHierarchy uniqueName="[Measures].[ATV KPIs]" caption="ATV KPIs" measure="1" displayFolder="" measureGroup="Measure Tooltip" count="0"/>
    <cacheHierarchy uniqueName="[Measures].[ATV TY/LY Color]" caption="ATV TY/LY Color" measure="1" displayFolder="" measureGroup="Measure Tooltip" count="0"/>
    <cacheHierarchy uniqueName="[Measures].[Measure 4]" caption="Measure 4" measure="1" displayFolder="" measureGroup="Measure Tooltip" count="0"/>
    <cacheHierarchy uniqueName="[Measures].[R-M/D$ Budget Color]" caption="R-M/D$ Budget Color" measure="1" displayFolder="" measureGroup="Measure Tooltip" count="0"/>
    <cacheHierarchy uniqueName="[Measures].[R-Sales$ Budget Color]" caption="R-Sales$ Budget Color" measure="1" displayFolder="" measureGroup="Measure Tooltip" count="0"/>
    <cacheHierarchy uniqueName="[Measures].[R-GM TY Color]" caption="R-GM TY Color" measure="1" displayFolder="" measureGroup="Measure Tooltip" count="0"/>
    <cacheHierarchy uniqueName="[Measures].[R-Store Trans Color]" caption="R-Store Trans Color" measure="1" displayFolder="" measureGroup="Measure Tooltip" count="0"/>
    <cacheHierarchy uniqueName="[Measures].[R-Traffic Color]" caption="R-Traffic Color" measure="1" displayFolder="" measureGroup="Measure Tooltip" count="0"/>
    <cacheHierarchy uniqueName="[Measures].[R-COnv Color]" caption="R-COnv Color" measure="1" displayFolder="" measureGroup="Measure Tooltip" count="0"/>
    <cacheHierarchy uniqueName="[Measures].[R-ATV Color]" caption="R-ATV Color" measure="1" displayFolder="" measureGroup="Measure Tooltip" count="0"/>
    <cacheHierarchy uniqueName="[Measures].[R-M/D$% Budget Color]" caption="R-M/D$% Budget Color" measure="1" displayFolder="" measureGroup="Measure Tooltip" count="0"/>
    <cacheHierarchy uniqueName="[Measures].[R-Traffic Budget Color]" caption="R-Traffic Budget Color" measure="1" displayFolder="" measureGroup="Measure Tooltip" count="0"/>
    <cacheHierarchy uniqueName="[Measures].[R-Store Trans Budget Color]" caption="R-Store Trans Budget Color" measure="1" displayFolder="" measureGroup="Measure Tooltip" count="0"/>
    <cacheHierarchy uniqueName="[Measures].[R-Conv Budget Color]" caption="R-Conv Budget Color" measure="1" displayFolder="" measureGroup="Measure Tooltip" count="0"/>
    <cacheHierarchy uniqueName="[Measures].[R-ATV Budget Color]" caption="R-ATV Budget Color" measure="1" displayFolder="" measureGroup="Measure Tooltip" count="0"/>
    <cacheHierarchy uniqueName="[Measures].[R-Sales TY/LY Color]" caption="R-Sales TY/LY Color" measure="1" displayFolder="" measureGroup="Measure Tooltip" count="0"/>
    <cacheHierarchy uniqueName="[Measures].[R-Sales$ Plan Color]" caption="R-Sales$ Plan Color" measure="1" displayFolder="" measureGroup="Measure Tooltip" count="0"/>
    <cacheHierarchy uniqueName="[Measures].[R-GM % TY Color]" caption="R-GM % TY Color" measure="1" displayFolder="" measureGroup="Measure Tooltip" count="0"/>
    <cacheHierarchy uniqueName="[Measures].[R-Budget$-Online-Store]" caption="R-Budget$-Online-Store" measure="1" displayFolder="" measureGroup="BI vw_BudgetOnlineByStore" count="0"/>
    <cacheHierarchy uniqueName="[Measures].[R-Budget-Online Store Y/N]" caption="R-Budget-Online Store Y/N" measure="1" displayFolder="" measureGroup="BI vw_BudgetOnlineByStore" count="0"/>
    <cacheHierarchy uniqueName="[Measures].[R-Budget Y/N]" caption="R-Budget Y/N" measure="1" displayFolder="" measureGroup="BI vw_BudgetOnlineByStore" count="0"/>
    <cacheHierarchy uniqueName="[Measures].[Product Dynamic Title]" caption="Product Dynamic Title" measure="1" displayFolder="" measureGroup="Product Parameter" count="0"/>
    <cacheHierarchy uniqueName="[Measures].[Budget Online]" caption="Budget Online" measure="1" displayFolder="" measureGroup="BI vw_BudgetDigital" count="0"/>
    <cacheHierarchy uniqueName="[Measures].[R-Budget Online TY]" caption="R-Budget Online TY" measure="1" displayFolder="" measureGroup="BI vw_BudgetDigital" count="0"/>
    <cacheHierarchy uniqueName="[Measures].[Store Trans Budget]" caption="Store Trans Budget" measure="1" displayFolder="" measureGroup="BI vw_BudgetByWeek" count="0"/>
    <cacheHierarchy uniqueName="[Measures].[R-Store Trans InStore Budget]" caption="R-Store Trans InStore Budget" measure="1" displayFolder="" measureGroup="BI vw_BudgetByWeek" count="0"/>
    <cacheHierarchy uniqueName="[Measures].[Traffic Budget]" caption="Traffic Budget" measure="1" displayFolder="" measureGroup="BI vw_BudgetByWeek" count="0"/>
    <cacheHierarchy uniqueName="[Measures].[R-Traffic InStore Budget]" caption="R-Traffic InStore Budget" measure="1" displayFolder="" measureGroup="BI vw_BudgetByWeek" count="0"/>
    <cacheHierarchy uniqueName="[Measures].[R-Conv Instore Budget]" caption="R-Conv Instore Budget" measure="1" displayFolder="" measureGroup="BI vw_BudgetByWeek" count="0"/>
    <cacheHierarchy uniqueName="[Measures].[R-Budget InStore]" caption="R-Budget InStore" measure="1" displayFolder="" measureGroup="BI vw_BudgetByWeek" count="0"/>
    <cacheHierarchy uniqueName="[Measures].[R-Traffic Budget Channel]" caption="R-Traffic Budget Channel" measure="1" displayFolder="" measureGroup="BI vw_BudgetByWeek" count="0"/>
    <cacheHierarchy uniqueName="[Measures].[R-Conv Budget Channel]" caption="R-Conv Budget Channel" measure="1" displayFolder="" measureGroup="BI vw_BudgetByWeek" count="0"/>
    <cacheHierarchy uniqueName="[Measures].[R-Store trans Budget Channel]" caption="R-Store trans Budget Channel" measure="1" displayFolder="" measureGroup="BI vw_BudgetByWeek" count="0"/>
    <cacheHierarchy uniqueName="[Measures].[R-ATV InStore Budget Cal]" caption="R-ATV InStore Budget Cal" measure="1" displayFolder="" measureGroup="BI vw_BudgetByWeek" count="0"/>
    <cacheHierarchy uniqueName="[Measures].[R-ATV Budget Channel]" caption="R-ATV Budget Channel" measure="1" displayFolder="" measureGroup="BI vw_BudgetByWeek" count="0"/>
    <cacheHierarchy uniqueName="[Measures].[R-GM Plan TY]" caption="R-GM Plan TY" measure="1" displayFolder="" measureGroup="Forecast" count="0"/>
    <cacheHierarchy uniqueName="[Measures].[R-GM vs Plan]" caption="R-GM vs Plan" measure="1" displayFolder="" measureGroup="Forecast" count="0"/>
    <cacheHierarchy uniqueName="[Measures].[R-GM %]" caption="R-GM %" measure="1" displayFolder="" measureGroup="Forecast" count="0"/>
    <cacheHierarchy uniqueName="[Measures].[R-Sales Plan TY]" caption="R-Sales Plan TY" measure="1" displayFolder="" measureGroup="Forecast" count="0"/>
    <cacheHierarchy uniqueName="[Measures].[R-GM Plan %]" caption="R-GM Plan %" measure="1" displayFolder="" measureGroup="Forecast" count="0"/>
    <cacheHierarchy uniqueName="[Measures].[R-Sales Plan TY-K]" caption="R-Sales Plan TY-K" measure="1" displayFolder="" measureGroup="Forecast" count="0"/>
    <cacheHierarchy uniqueName="[Measures].[__Default measure]" caption="__Default measure" measure="1" displayFolder="" count="0" hidden="1"/>
  </cacheHierarchies>
  <kpis count="0"/>
  <dimensions count="35">
    <dimension name="BI ForecastClass" uniqueName="[BI ForecastClass]" caption="BI ForecastClass"/>
    <dimension name="BI Item" uniqueName="[BI Item]" caption="BI Item"/>
    <dimension name="BI metrics" uniqueName="[BI metrics]" caption="BI metrics"/>
    <dimension name="BI Store" uniqueName="[BI Store]" caption="BI Store"/>
    <dimension name="BI Store State Sort" uniqueName="[BI Store State Sort]" caption="BI Store State Sort"/>
    <dimension name="BI vw_BudgetByItemCategory" uniqueName="[BI vw_BudgetByItemCategory]" caption="BI vw_BudgetByItemCategory"/>
    <dimension name="BI vw_BudgetByStore" uniqueName="[BI vw_BudgetByStore]" caption="BI vw_BudgetByStore"/>
    <dimension name="BI vw_BudgetByWeek" uniqueName="[BI vw_BudgetByWeek]" caption="BI vw_BudgetByWeek"/>
    <dimension name="BI vw_BudgetDigital" uniqueName="[BI vw_BudgetDigital]" caption="BI vw_BudgetDigital"/>
    <dimension name="BI vw_BudgetOnlineByStore" uniqueName="[BI vw_BudgetOnlineByStore]" caption="BI vw_BudgetOnlineByStore"/>
    <dimension name="BI vw_DropshipBudget" uniqueName="[BI vw_DropshipBudget]" caption="BI vw_DropshipBudget"/>
    <dimension name="BI vw_Items" uniqueName="[BI vw_Items]" caption="BI vw_Items"/>
    <dimension name="BI vw_WeeklyItemSales" uniqueName="[BI vw_WeeklyItemSales]" caption="BI vw_WeeklyItemSales"/>
    <dimension name="BI vw_WeeklyStoreATV" uniqueName="[BI vw_WeeklyStoreATV]" caption="BI vw_WeeklyStoreATV"/>
    <dimension name="BI vw_WeeklyStoreTraffic" uniqueName="[BI vw_WeeklyStoreTraffic]" caption="BI vw_WeeklyStoreTraffic"/>
    <dimension name="BI vw_WeeklyWrittenSalesMetrics" uniqueName="[BI vw_WeeklyWrittenSalesMetrics]" caption="BI vw_WeeklyWrittenSalesMetrics"/>
    <dimension name="Dim_Category" uniqueName="[Dim_Category]" caption="Dim_Category"/>
    <dimension name="dim_period" uniqueName="[dim_period]" caption="dim_period"/>
    <dimension name="ForcastByClass" uniqueName="[ForcastByClass]" caption="ForcastByClass"/>
    <dimension name="Forecast" uniqueName="[Forecast]" caption="Forecast"/>
    <dimension name="LocalDateTable_0d9eeced-3257-4609-8cfb-234f1d7c24d7" uniqueName="[LocalDateTable_0d9eeced-3257-4609-8cfb-234f1d7c24d7]" caption="LocalDateTable_0d9eeced-3257-4609-8cfb-234f1d7c24d7"/>
    <dimension name="LocalDateTable_3a17192d-ec7c-4dba-ac0e-bcf6b3a6a0ff" uniqueName="[LocalDateTable_3a17192d-ec7c-4dba-ac0e-bcf6b3a6a0ff]" caption="LocalDateTable_3a17192d-ec7c-4dba-ac0e-bcf6b3a6a0ff"/>
    <dimension name="LocalDateTable_3f117c71-2c04-4fa5-8c23-2b2c1ab14338" uniqueName="[LocalDateTable_3f117c71-2c04-4fa5-8c23-2b2c1ab14338]" caption="LocalDateTable_3f117c71-2c04-4fa5-8c23-2b2c1ab14338"/>
    <dimension name="LocalDateTable_66f09a5d-f864-46bc-a2f5-c0014bc05155" uniqueName="[LocalDateTable_66f09a5d-f864-46bc-a2f5-c0014bc05155]" caption="LocalDateTable_66f09a5d-f864-46bc-a2f5-c0014bc05155"/>
    <dimension name="LocalDateTable_754a5606-f042-4514-8c57-59f8f32672fc" uniqueName="[LocalDateTable_754a5606-f042-4514-8c57-59f8f32672fc]" caption="LocalDateTable_754a5606-f042-4514-8c57-59f8f32672fc"/>
    <dimension name="LocalDateTable_9b9a9699-5b52-40e9-b4a0-c11cb55a9d61" uniqueName="[LocalDateTable_9b9a9699-5b52-40e9-b4a0-c11cb55a9d61]" caption="LocalDateTable_9b9a9699-5b52-40e9-b4a0-c11cb55a9d61"/>
    <dimension name="LocalDateTable_a29de990-df00-42e6-9e8c-814d0b4b9a86" uniqueName="[LocalDateTable_a29de990-df00-42e6-9e8c-814d0b4b9a86]" caption="LocalDateTable_a29de990-df00-42e6-9e8c-814d0b4b9a86"/>
    <dimension name="LocalDateTable_e1d748f9-bc77-4c73-ba8d-fcf5ec29dd71" uniqueName="[LocalDateTable_e1d748f9-bc77-4c73-ba8d-fcf5ec29dd71]" caption="LocalDateTable_e1d748f9-bc77-4c73-ba8d-fcf5ec29dd71"/>
    <dimension name="Measure" uniqueName="[Measure]" caption="Measure"/>
    <dimension name="Measure Categories" uniqueName="[Measure Categories]" caption="Measure Categories"/>
    <dimension measure="1" name="Measures" uniqueName="[Measures]" caption="Measures"/>
    <dimension name="Product Parameter" uniqueName="[Product Parameter]" caption="Product Parameter"/>
    <dimension name="Query1" uniqueName="[Query1]" caption="Query1"/>
    <dimension name="Query2" uniqueName="[Query2]" caption="Query2"/>
    <dimension name="TimePeriodSort" uniqueName="[TimePeriodSort]" caption="TimePeriodSort"/>
  </dimensions>
  <measureGroups count="35">
    <measureGroup name="BI ForecastClass" caption="BI ForecastClass"/>
    <measureGroup name="BI Item" caption="BI Item"/>
    <measureGroup name="BI metrics" caption="BI metrics"/>
    <measureGroup name="BI Store" caption="BI Store"/>
    <measureGroup name="BI Store State Sort" caption="BI Store State Sort"/>
    <measureGroup name="BI vw_BudgetByItemCategory" caption="BI vw_BudgetByItemCategory"/>
    <measureGroup name="BI vw_BudgetByStore" caption="BI vw_BudgetByStore"/>
    <measureGroup name="BI vw_BudgetByWeek" caption="BI vw_BudgetByWeek"/>
    <measureGroup name="BI vw_BudgetDigital" caption="BI vw_BudgetDigital"/>
    <measureGroup name="BI vw_BudgetOnlineByStore" caption="BI vw_BudgetOnlineByStore"/>
    <measureGroup name="BI vw_DropshipBudget" caption="BI vw_DropshipBudget"/>
    <measureGroup name="BI vw_Items" caption="BI vw_Items"/>
    <measureGroup name="BI vw_WeeklyItemSales" caption="BI vw_WeeklyItemSales"/>
    <measureGroup name="BI vw_WeeklyStoreATV" caption="BI vw_WeeklyStoreATV"/>
    <measureGroup name="BI vw_WeeklyStoreTraffic" caption="BI vw_WeeklyStoreTraffic"/>
    <measureGroup name="BI vw_WeeklyWrittenSalesMetrics" caption="BI vw_WeeklyWrittenSalesMetrics"/>
    <measureGroup name="Dim_Category" caption="Dim_Category"/>
    <measureGroup name="dim_period" caption="dim_period"/>
    <measureGroup name="ForcastByClass" caption="ForcastByClass"/>
    <measureGroup name="Forecast" caption="Forecast"/>
    <measureGroup name="LocalDateTable_0d9eeced-3257-4609-8cfb-234f1d7c24d7" caption="LocalDateTable_0d9eeced-3257-4609-8cfb-234f1d7c24d7"/>
    <measureGroup name="LocalDateTable_3a17192d-ec7c-4dba-ac0e-bcf6b3a6a0ff" caption="LocalDateTable_3a17192d-ec7c-4dba-ac0e-bcf6b3a6a0ff"/>
    <measureGroup name="LocalDateTable_3f117c71-2c04-4fa5-8c23-2b2c1ab14338" caption="LocalDateTable_3f117c71-2c04-4fa5-8c23-2b2c1ab14338"/>
    <measureGroup name="LocalDateTable_66f09a5d-f864-46bc-a2f5-c0014bc05155" caption="LocalDateTable_66f09a5d-f864-46bc-a2f5-c0014bc05155"/>
    <measureGroup name="LocalDateTable_754a5606-f042-4514-8c57-59f8f32672fc" caption="LocalDateTable_754a5606-f042-4514-8c57-59f8f32672fc"/>
    <measureGroup name="LocalDateTable_9b9a9699-5b52-40e9-b4a0-c11cb55a9d61" caption="LocalDateTable_9b9a9699-5b52-40e9-b4a0-c11cb55a9d61"/>
    <measureGroup name="LocalDateTable_a29de990-df00-42e6-9e8c-814d0b4b9a86" caption="LocalDateTable_a29de990-df00-42e6-9e8c-814d0b4b9a86"/>
    <measureGroup name="LocalDateTable_e1d748f9-bc77-4c73-ba8d-fcf5ec29dd71" caption="LocalDateTable_e1d748f9-bc77-4c73-ba8d-fcf5ec29dd71"/>
    <measureGroup name="Measure" caption="Measure"/>
    <measureGroup name="Measure Categories" caption="Measure Categories"/>
    <measureGroup name="Measure Tooltip" caption="Measure Tooltip"/>
    <measureGroup name="Product Parameter" caption="Product Parameter"/>
    <measureGroup name="Query1" caption="Query1"/>
    <measureGroup name="Query2" caption="Query2"/>
    <measureGroup name="TimePeriodSort" caption="TimePeriodSort"/>
  </measureGroups>
  <maps count="41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2"/>
    <map measureGroup="0" dimension="13"/>
    <map measureGroup="0" dimension="14"/>
    <map measureGroup="0" dimension="15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7"/>
    <map measureGroup="0" dimension="28"/>
    <map measureGroup="0" dimension="34"/>
    <map measureGroup="1" dimension="1"/>
    <map measureGroup="1" dimension="23"/>
    <map measureGroup="1" dimension="25"/>
    <map measureGroup="2" dimension="2"/>
    <map measureGroup="2" dimension="20"/>
    <map measureGroup="2" dimension="24"/>
    <map measureGroup="2" dimension="27"/>
    <map measureGroup="2" dimension="34"/>
    <map measureGroup="3" dimension="0"/>
    <map measureGroup="3" dimension="1"/>
    <map measureGroup="3" dimension="2"/>
    <map measureGroup="3" dimension="3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2"/>
    <map measureGroup="3" dimension="13"/>
    <map measureGroup="3" dimension="14"/>
    <map measureGroup="3" dimension="15"/>
    <map measureGroup="3" dimension="17"/>
    <map measureGroup="3" dimension="18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8"/>
    <map measureGroup="3" dimension="34"/>
    <map measureGroup="4" dimension="4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2"/>
    <map measureGroup="5" dimension="13"/>
    <map measureGroup="5" dimension="14"/>
    <map measureGroup="5" dimension="15"/>
    <map measureGroup="5" dimension="17"/>
    <map measureGroup="5" dimension="18"/>
    <map measureGroup="5" dimension="19"/>
    <map measureGroup="5" dimension="20"/>
    <map measureGroup="5" dimension="21"/>
    <map measureGroup="5" dimension="22"/>
    <map measureGroup="5" dimension="23"/>
    <map measureGroup="5" dimension="24"/>
    <map measureGroup="5" dimension="25"/>
    <map measureGroup="5" dimension="27"/>
    <map measureGroup="5" dimension="28"/>
    <map measureGroup="5" dimension="34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  <map measureGroup="6" dimension="8"/>
    <map measureGroup="6" dimension="9"/>
    <map measureGroup="6" dimension="10"/>
    <map measureGroup="6" dimension="12"/>
    <map measureGroup="6" dimension="13"/>
    <map measureGroup="6" dimension="14"/>
    <map measureGroup="6" dimension="15"/>
    <map measureGroup="6" dimension="17"/>
    <map measureGroup="6" dimension="18"/>
    <map measureGroup="6" dimension="19"/>
    <map measureGroup="6" dimension="20"/>
    <map measureGroup="6" dimension="21"/>
    <map measureGroup="6" dimension="22"/>
    <map measureGroup="6" dimension="23"/>
    <map measureGroup="6" dimension="24"/>
    <map measureGroup="6" dimension="25"/>
    <map measureGroup="6" dimension="27"/>
    <map measureGroup="6" dimension="28"/>
    <map measureGroup="6" dimension="34"/>
    <map measureGroup="7" dimension="0"/>
    <map measureGroup="7" dimension="1"/>
    <map measureGroup="7" dimension="2"/>
    <map measureGroup="7" dimension="3"/>
    <map measureGroup="7" dimension="5"/>
    <map measureGroup="7" dimension="6"/>
    <map measureGroup="7" dimension="7"/>
    <map measureGroup="7" dimension="8"/>
    <map measureGroup="7" dimension="9"/>
    <map measureGroup="7" dimension="10"/>
    <map measureGroup="7" dimension="12"/>
    <map measureGroup="7" dimension="13"/>
    <map measureGroup="7" dimension="14"/>
    <map measureGroup="7" dimension="15"/>
    <map measureGroup="7" dimension="17"/>
    <map measureGroup="7" dimension="18"/>
    <map measureGroup="7" dimension="19"/>
    <map measureGroup="7" dimension="20"/>
    <map measureGroup="7" dimension="21"/>
    <map measureGroup="7" dimension="22"/>
    <map measureGroup="7" dimension="23"/>
    <map measureGroup="7" dimension="24"/>
    <map measureGroup="7" dimension="25"/>
    <map measureGroup="7" dimension="27"/>
    <map measureGroup="7" dimension="28"/>
    <map measureGroup="7" dimension="34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8" dimension="12"/>
    <map measureGroup="8" dimension="13"/>
    <map measureGroup="8" dimension="14"/>
    <map measureGroup="8" dimension="15"/>
    <map measureGroup="8" dimension="17"/>
    <map measureGroup="8" dimension="18"/>
    <map measureGroup="8" dimension="19"/>
    <map measureGroup="8" dimension="20"/>
    <map measureGroup="8" dimension="21"/>
    <map measureGroup="8" dimension="22"/>
    <map measureGroup="8" dimension="23"/>
    <map measureGroup="8" dimension="24"/>
    <map measureGroup="8" dimension="25"/>
    <map measureGroup="8" dimension="27"/>
    <map measureGroup="8" dimension="28"/>
    <map measureGroup="8" dimension="34"/>
    <map measureGroup="9" dimension="0"/>
    <map measureGroup="9" dimension="1"/>
    <map measureGroup="9" dimension="2"/>
    <map measureGroup="9" dimension="3"/>
    <map measureGroup="9" dimension="5"/>
    <map measureGroup="9" dimension="6"/>
    <map measureGroup="9" dimension="7"/>
    <map measureGroup="9" dimension="8"/>
    <map measureGroup="9" dimension="9"/>
    <map measureGroup="9" dimension="10"/>
    <map measureGroup="9" dimension="12"/>
    <map measureGroup="9" dimension="13"/>
    <map measureGroup="9" dimension="14"/>
    <map measureGroup="9" dimension="15"/>
    <map measureGroup="9" dimension="17"/>
    <map measureGroup="9" dimension="18"/>
    <map measureGroup="9" dimension="19"/>
    <map measureGroup="9" dimension="20"/>
    <map measureGroup="9" dimension="21"/>
    <map measureGroup="9" dimension="22"/>
    <map measureGroup="9" dimension="23"/>
    <map measureGroup="9" dimension="24"/>
    <map measureGroup="9" dimension="25"/>
    <map measureGroup="9" dimension="27"/>
    <map measureGroup="9" dimension="28"/>
    <map measureGroup="9" dimension="34"/>
    <map measureGroup="10" dimension="0"/>
    <map measureGroup="10" dimension="1"/>
    <map measureGroup="10" dimension="2"/>
    <map measureGroup="10" dimension="3"/>
    <map measureGroup="10" dimension="5"/>
    <map measureGroup="10" dimension="6"/>
    <map measureGroup="10" dimension="7"/>
    <map measureGroup="10" dimension="8"/>
    <map measureGroup="10" dimension="9"/>
    <map measureGroup="10" dimension="10"/>
    <map measureGroup="10" dimension="12"/>
    <map measureGroup="10" dimension="13"/>
    <map measureGroup="10" dimension="14"/>
    <map measureGroup="10" dimension="15"/>
    <map measureGroup="10" dimension="17"/>
    <map measureGroup="10" dimension="18"/>
    <map measureGroup="10" dimension="19"/>
    <map measureGroup="10" dimension="20"/>
    <map measureGroup="10" dimension="21"/>
    <map measureGroup="10" dimension="22"/>
    <map measureGroup="10" dimension="23"/>
    <map measureGroup="10" dimension="24"/>
    <map measureGroup="10" dimension="25"/>
    <map measureGroup="10" dimension="27"/>
    <map measureGroup="10" dimension="28"/>
    <map measureGroup="10" dimension="34"/>
    <map measureGroup="11" dimension="11"/>
    <map measureGroup="12" dimension="0"/>
    <map measureGroup="12" dimension="1"/>
    <map measureGroup="12" dimension="2"/>
    <map measureGroup="12" dimension="3"/>
    <map measureGroup="12" dimension="5"/>
    <map measureGroup="12" dimension="6"/>
    <map measureGroup="12" dimension="7"/>
    <map measureGroup="12" dimension="8"/>
    <map measureGroup="12" dimension="9"/>
    <map measureGroup="12" dimension="10"/>
    <map measureGroup="12" dimension="12"/>
    <map measureGroup="12" dimension="13"/>
    <map measureGroup="12" dimension="14"/>
    <map measureGroup="12" dimension="15"/>
    <map measureGroup="12" dimension="17"/>
    <map measureGroup="12" dimension="18"/>
    <map measureGroup="12" dimension="19"/>
    <map measureGroup="12" dimension="20"/>
    <map measureGroup="12" dimension="21"/>
    <map measureGroup="12" dimension="22"/>
    <map measureGroup="12" dimension="23"/>
    <map measureGroup="12" dimension="24"/>
    <map measureGroup="12" dimension="25"/>
    <map measureGroup="12" dimension="27"/>
    <map measureGroup="12" dimension="28"/>
    <map measureGroup="12" dimension="34"/>
    <map measureGroup="13" dimension="0"/>
    <map measureGroup="13" dimension="1"/>
    <map measureGroup="13" dimension="2"/>
    <map measureGroup="13" dimension="3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2"/>
    <map measureGroup="13" dimension="13"/>
    <map measureGroup="13" dimension="14"/>
    <map measureGroup="13" dimension="15"/>
    <map measureGroup="13" dimension="17"/>
    <map measureGroup="13" dimension="18"/>
    <map measureGroup="13" dimension="19"/>
    <map measureGroup="13" dimension="20"/>
    <map measureGroup="13" dimension="21"/>
    <map measureGroup="13" dimension="22"/>
    <map measureGroup="13" dimension="23"/>
    <map measureGroup="13" dimension="24"/>
    <map measureGroup="13" dimension="25"/>
    <map measureGroup="13" dimension="27"/>
    <map measureGroup="13" dimension="28"/>
    <map measureGroup="13" dimension="34"/>
    <map measureGroup="14" dimension="0"/>
    <map measureGroup="14" dimension="1"/>
    <map measureGroup="14" dimension="2"/>
    <map measureGroup="14" dimension="3"/>
    <map measureGroup="14" dimension="5"/>
    <map measureGroup="14" dimension="6"/>
    <map measureGroup="14" dimension="7"/>
    <map measureGroup="14" dimension="8"/>
    <map measureGroup="14" dimension="9"/>
    <map measureGroup="14" dimension="10"/>
    <map measureGroup="14" dimension="12"/>
    <map measureGroup="14" dimension="13"/>
    <map measureGroup="14" dimension="14"/>
    <map measureGroup="14" dimension="15"/>
    <map measureGroup="14" dimension="17"/>
    <map measureGroup="14" dimension="18"/>
    <map measureGroup="14" dimension="19"/>
    <map measureGroup="14" dimension="20"/>
    <map measureGroup="14" dimension="21"/>
    <map measureGroup="14" dimension="22"/>
    <map measureGroup="14" dimension="23"/>
    <map measureGroup="14" dimension="24"/>
    <map measureGroup="14" dimension="25"/>
    <map measureGroup="14" dimension="27"/>
    <map measureGroup="14" dimension="28"/>
    <map measureGroup="14" dimension="34"/>
    <map measureGroup="15" dimension="0"/>
    <map measureGroup="15" dimension="1"/>
    <map measureGroup="15" dimension="2"/>
    <map measureGroup="15" dimension="3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2"/>
    <map measureGroup="15" dimension="13"/>
    <map measureGroup="15" dimension="14"/>
    <map measureGroup="15" dimension="15"/>
    <map measureGroup="15" dimension="17"/>
    <map measureGroup="15" dimension="18"/>
    <map measureGroup="15" dimension="19"/>
    <map measureGroup="15" dimension="20"/>
    <map measureGroup="15" dimension="21"/>
    <map measureGroup="15" dimension="22"/>
    <map measureGroup="15" dimension="23"/>
    <map measureGroup="15" dimension="24"/>
    <map measureGroup="15" dimension="25"/>
    <map measureGroup="15" dimension="27"/>
    <map measureGroup="15" dimension="28"/>
    <map measureGroup="15" dimension="34"/>
    <map measureGroup="16" dimension="16"/>
    <map measureGroup="17" dimension="17"/>
    <map measureGroup="17" dimension="21"/>
    <map measureGroup="17" dimension="22"/>
    <map measureGroup="18" dimension="0"/>
    <map measureGroup="18" dimension="1"/>
    <map measureGroup="18" dimension="2"/>
    <map measureGroup="18" dimension="3"/>
    <map measureGroup="18" dimension="5"/>
    <map measureGroup="18" dimension="6"/>
    <map measureGroup="18" dimension="7"/>
    <map measureGroup="18" dimension="8"/>
    <map measureGroup="18" dimension="9"/>
    <map measureGroup="18" dimension="10"/>
    <map measureGroup="18" dimension="12"/>
    <map measureGroup="18" dimension="13"/>
    <map measureGroup="18" dimension="14"/>
    <map measureGroup="18" dimension="15"/>
    <map measureGroup="18" dimension="17"/>
    <map measureGroup="18" dimension="18"/>
    <map measureGroup="18" dimension="19"/>
    <map measureGroup="18" dimension="20"/>
    <map measureGroup="18" dimension="21"/>
    <map measureGroup="18" dimension="22"/>
    <map measureGroup="18" dimension="23"/>
    <map measureGroup="18" dimension="24"/>
    <map measureGroup="18" dimension="25"/>
    <map measureGroup="18" dimension="27"/>
    <map measureGroup="18" dimension="28"/>
    <map measureGroup="18" dimension="34"/>
    <map measureGroup="19" dimension="0"/>
    <map measureGroup="19" dimension="1"/>
    <map measureGroup="19" dimension="2"/>
    <map measureGroup="19" dimension="3"/>
    <map measureGroup="19" dimension="5"/>
    <map measureGroup="19" dimension="6"/>
    <map measureGroup="19" dimension="7"/>
    <map measureGroup="19" dimension="8"/>
    <map measureGroup="19" dimension="9"/>
    <map measureGroup="19" dimension="10"/>
    <map measureGroup="19" dimension="12"/>
    <map measureGroup="19" dimension="13"/>
    <map measureGroup="19" dimension="14"/>
    <map measureGroup="19" dimension="15"/>
    <map measureGroup="19" dimension="17"/>
    <map measureGroup="19" dimension="18"/>
    <map measureGroup="19" dimension="19"/>
    <map measureGroup="19" dimension="20"/>
    <map measureGroup="19" dimension="21"/>
    <map measureGroup="19" dimension="22"/>
    <map measureGroup="19" dimension="23"/>
    <map measureGroup="19" dimension="24"/>
    <map measureGroup="19" dimension="25"/>
    <map measureGroup="19" dimension="27"/>
    <map measureGroup="19" dimension="28"/>
    <map measureGroup="19" dimension="34"/>
    <map measureGroup="20" dimension="20"/>
    <map measureGroup="21" dimension="21"/>
    <map measureGroup="22" dimension="22"/>
    <map measureGroup="23" dimension="23"/>
    <map measureGroup="24" dimension="24"/>
    <map measureGroup="25" dimension="25"/>
    <map measureGroup="26" dimension="26"/>
    <map measureGroup="27" dimension="27"/>
    <map measureGroup="28" dimension="0"/>
    <map measureGroup="28" dimension="1"/>
    <map measureGroup="28" dimension="2"/>
    <map measureGroup="28" dimension="3"/>
    <map measureGroup="28" dimension="5"/>
    <map measureGroup="28" dimension="6"/>
    <map measureGroup="28" dimension="7"/>
    <map measureGroup="28" dimension="8"/>
    <map measureGroup="28" dimension="9"/>
    <map measureGroup="28" dimension="10"/>
    <map measureGroup="28" dimension="12"/>
    <map measureGroup="28" dimension="13"/>
    <map measureGroup="28" dimension="14"/>
    <map measureGroup="28" dimension="15"/>
    <map measureGroup="28" dimension="17"/>
    <map measureGroup="28" dimension="18"/>
    <map measureGroup="28" dimension="19"/>
    <map measureGroup="28" dimension="20"/>
    <map measureGroup="28" dimension="21"/>
    <map measureGroup="28" dimension="22"/>
    <map measureGroup="28" dimension="23"/>
    <map measureGroup="28" dimension="24"/>
    <map measureGroup="28" dimension="25"/>
    <map measureGroup="28" dimension="27"/>
    <map measureGroup="28" dimension="28"/>
    <map measureGroup="28" dimension="34"/>
    <map measureGroup="29" dimension="29"/>
    <map measureGroup="31" dimension="31"/>
    <map measureGroup="32" dimension="26"/>
    <map measureGroup="32" dimension="32"/>
    <map measureGroup="33" dimension="33"/>
    <map measureGroup="34" dimension="3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5A045-94AD-43A7-8DED-1D679691CE2D}" name="PivotTable1" cacheId="51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fieldListSortAscending="1">
  <location ref="A7:E11" firstHeaderRow="1" firstDataRow="3" firstDataCol="1" rowPageCount="4" colPageCount="1"/>
  <pivotFields count="8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2">
    <i>
      <x/>
    </i>
    <i t="grand">
      <x/>
    </i>
  </rowItems>
  <colFields count="2">
    <field x="3"/>
    <field x="2"/>
  </colFields>
  <colItems count="4">
    <i>
      <x/>
      <x/>
    </i>
    <i r="1">
      <x v="1"/>
    </i>
    <i r="1">
      <x v="2"/>
    </i>
    <i t="grand">
      <x/>
    </i>
  </colItems>
  <pageFields count="4">
    <pageField fld="0" hier="16" name="[BI metrics].[TimePeriod].&amp;[Week]" cap="Week"/>
    <pageField fld="4" hier="140" name="[BI vw_Store].[BranchType].&amp;[Company]" cap="Company"/>
    <pageField fld="5" hier="101" name="[BI vw_DynamicsDeliveredSales].[Sales Order Type].&amp;[Retail]" cap="Retail"/>
    <pageField fld="6" hier="60" name="[BI vw_DynamicsDeliveredSales].[Division].[All]" cap="All"/>
  </pageFields>
  <dataFields count="1">
    <dataField fld="7" baseField="0" baseItem="0"/>
  </dataFields>
  <pivotHierarchies count="31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Store].[BranchType].&amp;[Company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142"/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93757-0C10-4341-B10D-4FE8B2B17C50}" name="PivotTable2" cacheId="50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fieldListSortAscending="1">
  <location ref="L7:O19" firstHeaderRow="1" firstDataRow="3" firstDataCol="1" rowPageCount="4" colPageCount="1"/>
  <pivotFields count="9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s="1" x="8"/>
      </items>
    </pivotField>
    <pivotField allDrilled="1" subtotalTop="0" showAll="0" dataSourceSort="1" defaultSubtotal="0" defaultAttributeDrillState="1">
      <items count="2">
        <item s="1" x="0"/>
        <item s="1" x="1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2">
        <item s="1" x="0"/>
        <item s="1" x="1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3"/>
    <field x="7"/>
  </colFields>
  <colItems count="3">
    <i>
      <x/>
      <x/>
    </i>
    <i r="1">
      <x v="1"/>
    </i>
    <i t="grand">
      <x/>
    </i>
  </colItems>
  <pageFields count="4">
    <pageField fld="0" hier="16" name="[BI metrics].[TimePeriod].&amp;[Week]" cap="Week"/>
    <pageField fld="4" hier="140" name="[BI vw_Store].[BranchType].&amp;[Company]" cap="Company"/>
    <pageField fld="5" hier="101" name="[BI vw_DynamicsDeliveredSales].[Sales Order Type].&amp;[Retail]" cap="Retail"/>
    <pageField fld="6" hier="60" name="[BI vw_DynamicsDeliveredSales].[Division].&amp;" cap=""/>
  </pageFields>
  <dataFields count="1">
    <dataField fld="8" baseField="0" baseItem="0"/>
  </dataFields>
  <pivotHierarchies count="31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BI vw_DynamicsDeliveredSales].[Division].&amp;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Store].[BranchType].&amp;[Company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142"/>
    <colHierarchyUsage hierarchyUsage="15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FB9D6-0FF1-45BD-9CE6-336AB9925364}" name="PivotTable2" cacheId="52" applyNumberFormats="0" applyBorderFormats="0" applyFontFormats="0" applyPatternFormats="0" applyAlignmentFormats="0" applyWidthHeightFormats="1" dataCaption="Values" updatedVersion="8" minRefreshableVersion="3" subtotalHiddenItems="1" colGrandTotals="0" itemPrintTitles="1" createdVersion="8" indent="0" outline="1" outlineData="1" multipleFieldFilters="0" fieldListSortAscending="1">
  <location ref="A7:C62" firstHeaderRow="1" firstDataRow="3" firstDataCol="1" rowPageCount="5" colPageCount="1"/>
  <pivotFields count="9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</items>
    </pivotField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">
        <item s="1"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2">
    <field x="3"/>
    <field x="-2"/>
  </colFields>
  <colItems count="2">
    <i>
      <x/>
      <x/>
    </i>
    <i r="1" i="1">
      <x v="1"/>
    </i>
  </colItems>
  <pageFields count="5">
    <pageField fld="2" hier="38" name="[BI vw_DynamicsDeliveredSales].[CHANNEL].&amp;[Dropship]" cap="Dropship"/>
    <pageField fld="0" hier="16" name="[BI metrics].[TimePeriod].&amp;[Week]" cap="Week"/>
    <pageField fld="4" hier="140" name="[BI vw_Store].[BranchType].&amp;[Company]" cap="Company"/>
    <pageField fld="5" hier="101" name="[BI vw_DynamicsDeliveredSales].[Sales Order Type].&amp;[Retail]" cap="Retail"/>
    <pageField fld="6" hier="60" name="[BI vw_DynamicsDeliveredSales].[Division].[All]" cap="All"/>
  </pageFields>
  <dataFields count="2">
    <dataField fld="7" baseField="0" baseItem="0"/>
    <dataField fld="8" baseField="0" baseItem="0"/>
  </dataFields>
  <pivotHierarchies count="31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Store].[BranchType].&amp;[Company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14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C67F1-9E0E-4EDB-82EE-6FD5875763D4}" name="PivotTable4" cacheId="3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G7:J17" firstHeaderRow="1" firstDataRow="3" firstDataCol="1" rowPageCount="5" colPageCount="1"/>
  <pivotFields count="9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3"/>
    <field x="2"/>
  </colFields>
  <colItems count="3">
    <i>
      <x/>
      <x/>
    </i>
    <i r="1">
      <x v="1"/>
    </i>
    <i t="grand">
      <x/>
    </i>
  </colItems>
  <pageFields count="5">
    <pageField fld="0" hier="16" name="[BI metrics].[TimePeriod].&amp;[Week]" cap="Week"/>
    <pageField fld="4" hier="140" name="[BI vw_Store].[BranchType].&amp;[Company]" cap="Company"/>
    <pageField fld="5" hier="101" name="[BI vw_DynamicsDeliveredSales].[Sales Order Type].&amp;[Retail]" cap="Retail"/>
    <pageField fld="6" hier="60" name="[BI vw_DynamicsDeliveredSales].[Division].[All]" cap="All"/>
    <pageField fld="8" hier="151" name="[BI vw_Store].[StoreName].&amp;" cap=""/>
  </pageFields>
  <dataFields count="1">
    <dataField fld="7" baseField="0" baseItem="0"/>
  </dataFields>
  <pivotHierarchies count="31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Store].[BranchType].&amp;[Company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 multipleItemSelectionAllowed="1">
      <members count="123" level="1">
        <member name="[BI vw_Store].[StoreName].&amp;"/>
        <member name="[BI vw_Store].[StoreName].&amp;[DC- Quality]"/>
        <member name="[BI vw_Store].[StoreName].&amp;[Freedom Web]"/>
        <member name="[BI vw_Store].[StoreName].&amp;[NZ Head Office]"/>
        <member name="[BI vw_Store].[StoreName].&amp;[freedom NZ FCS]"/>
        <member name="[BI vw_Store].[StoreName].&amp;[freedom SA FCS]"/>
        <member name="[BI vw_Store].[StoreName].&amp;[freedom WA FCS]"/>
        <member name="[BI vw_Store].[StoreName].&amp;[BLR Online - SA]"/>
        <member name="[BI vw_Store].[StoreName].&amp;[BLR Online - WA]"/>
        <member name="[BI vw_Store].[StoreName].&amp;[Freedom VIC FCS]"/>
        <member name="[BI vw_Store].[StoreName].&amp;[freedom NSW FCS]"/>
        <member name="[BI vw_Store].[StoreName].&amp;[freedom QLD FCS]"/>
        <member name="[BI vw_Store].[StoreName].&amp;[BLR Online - NSW]"/>
        <member name="[BI vw_Store].[StoreName].&amp;[BLR Online - QLD]"/>
        <member name="[BI vw_Store].[StoreName].&amp;[BLR Online - VIC]"/>
        <member name="[BI vw_Store].[StoreName].&amp;[BLR VIC HTV test]"/>
        <member name="[BI vw_Store].[StoreName].&amp;[DC - Perth (PES)]"/>
        <member name="[BI vw_Store].[StoreName].&amp;[Freedom Dropship]"/>
        <member name="[BI vw_Store].[StoreName].&amp;[NZ Freedom Taupo]"/>
        <member name="[BI vw_Store].[StoreName].&amp;[Imports KPS (F01)]"/>
        <member name="[BI vw_Store].[StoreName].&amp;[NZ Freedom Albany]"/>
        <member name="[BI vw_Store].[StoreName].&amp;[freedom NSW Dubbo]"/>
        <member name="[BI vw_Store].[StoreName].&amp;[freedom QLD Logan]"/>
        <member name="[BI vw_Store].[StoreName].&amp;[freedom SA Glynde]"/>
        <member name="[BI vw_Store].[StoreName].&amp;[freedom SA Marion]"/>
        <member name="[BI vw_Store].[StoreName].&amp;[freedom WA Myaree]"/>
        <member name="[BI vw_Store].[StoreName].&amp;[DC - Pooraka (HNS)]"/>
        <member name="[BI vw_Store].[StoreName].&amp;[NZ Freedom Waipapa]"/>
        <member name="[BI vw_Store].[StoreName].&amp;[freedom NSW Albury]"/>
        <member name="[BI vw_Store].[StoreName].&amp;[freedom NSW Auburn]"/>
        <member name="[BI vw_Store].[StoreName].&amp;[freedom NSW Casula]"/>
        <member name="[BI vw_Store].[StoreName].&amp;[freedom NSW Kotara]"/>
        <member name="[BI vw_Store].[StoreName].&amp;[freedom QLD Aspley]"/>
        <member name="[BI vw_Store].[StoreName].&amp;[freedom QLD Cairns]"/>
        <member name="[BI vw_Store].[StoreName].&amp;[freedom TAS Hobart]"/>
        <member name="[BI vw_Store].[StoreName].&amp;[freedom WA Midland]"/>
        <member name="[BI vw_Store].[StoreName].&amp;[DC - Auckland (AKS)]"/>
        <member name="[BI vw_Store].[StoreName].&amp;[NZ Freedom Hamilton]"/>
        <member name="[BI vw_Store].[StoreName].&amp;[NZ Freedom Hastings]"/>
        <member name="[BI vw_Store].[StoreName].&amp;[NZ Freedom Tauranga]"/>
        <member name="[BI vw_Store].[StoreName].&amp;[NZ Freedom Westgate]"/>
        <member name="[BI vw_Store].[StoreName].&amp;[freedom NSW Belrose]"/>
        <member name="[BI vw_Store].[StoreName].&amp;[freedom NSW Penrith]"/>
        <member name="[BI vw_Store].[StoreName].&amp;[freedom QLD Windsor]"/>
        <member name="[BI vw_Store].[StoreName].&amp;[freedom SA Mile End]"/>
        <member name="[BI vw_Store].[StoreName].&amp;[freedom VIC Geelong]"/>
        <member name="[BI vw_Store].[StoreName].&amp;[freedom VIC Preston]"/>
        <member name="[BI vw_Store].[StoreName].&amp;[freedom WA Cockburn]"/>
        <member name="[BI vw_Store].[StoreName].&amp;[freedom WA Mandurah]"/>
        <member name="[BI vw_Store].[StoreName].&amp;[CLOSED BLR QLD Logan]"/>
        <member name="[BI vw_Store].[StoreName].&amp;[DC - Knoxfield (MUS)]"/>
        <member name="[BI vw_Store].[StoreName].&amp;[DC - Richlands (GES)]"/>
        <member name="[BI vw_Store].[StoreName].&amp;[NZ Freedom Marketing]"/>
        <member name="[BI vw_Store].[StoreName].&amp;[NZ Freedom Moorhouse]"/>
        <member name="[BI vw_Store].[StoreName].&amp;[NZ Freedom Newmarket]"/>
        <member name="[BI vw_Store].[StoreName].&amp;[NZ Freedom Whangarei]"/>
        <member name="[BI vw_Store].[StoreName].&amp;[NZ Freedom Wholesale]"/>
        <member name="[BI vw_Store].[StoreName].&amp;[freedom ACT Fyshwick]"/>
        <member name="[BI vw_Store].[StoreName].&amp;[freedom NSW Artarmon]"/>
        <member name="[BI vw_Store].[StoreName].&amp;[freedom NSW Homebush]"/>
        <member name="[BI vw_Store].[StoreName].&amp;[freedom QLD Capalaba]"/>
        <member name="[BI vw_Store].[StoreName].&amp;[freedom QLD Jindalee]"/>
        <member name="[BI vw_Store].[StoreName].&amp;[freedom VIC Ballarat]"/>
        <member name="[BI vw_Store].[StoreName].&amp;[freedom VIC Essendon]"/>
        <member name="[BI vw_Store].[StoreName].&amp;[freedom VIC HTS test]"/>
        <member name="[BI vw_Store].[StoreName].&amp;[freedom VIC Richmond]"/>
        <member name="[BI vw_Store].[StoreName].&amp;[freedom WA Joondalup]"/>
        <member name="[BI vw_Store].[StoreName].&amp;[CLOSED BLR NSW Kotara]"/>
        <member name="[BI vw_Store].[StoreName].&amp;[DC - Kings Park (LIS)]"/>
        <member name="[BI vw_Store].[StoreName].&amp;[Freedom QLD Toowoomba]"/>
        <member name="[BI vw_Store].[StoreName].&amp;[NZ Freedom Wellington]"/>
        <member name="[BI vw_Store].[StoreName].&amp;[freedom NSW Balgowlah]"/>
        <member name="[BI vw_Store].[StoreName].&amp;[freedom NSW Caringbah]"/>
        <member name="[BI vw_Store].[StoreName].&amp;[freedom NSW Warrawong]"/>
        <member name="[BI vw_Store].[StoreName].&amp;[freedom QLD Southport]"/>
        <member name="[BI vw_Store].[StoreName].&amp;[freedom VIC Chadstone]"/>
        <member name="[BI vw_Store].[StoreName].&amp;[freedom VIC Frankston]"/>
        <member name="[BI vw_Store].[StoreName].&amp;[freedom VIC Moorabbin]"/>
        <member name="[BI vw_Store].[StoreName].&amp;[freedom VIC Northland]"/>
        <member name="[BI vw_Store].[StoreName].&amp;[freedom VIC Traralgon]"/>
        <member name="[BI vw_Store].[StoreName].&amp;[freedom WA Cannington]"/>
        <member name="[BI vw_Store].[StoreName].&amp;[Freedom NSW Alexandria]"/>
        <member name="[BI vw_Store].[StoreName].&amp;[NZ Freedom Sylvia Park]"/>
        <member name="[BI vw_Store].[StoreName].&amp;[NZ Freedom Wairau Park]"/>
        <member name="[BI vw_Store].[StoreName].&amp;[freedom NSW Moore Park]"/>
        <member name="[BI vw_Store].[StoreName].&amp;[freedom QLD Cairns (F)]"/>
        <member name="[BI vw_Store].[StoreName].&amp;[freedom QLD Townsville]"/>
        <member name="[BI vw_Store].[StoreName].&amp;[freedom VIC Nunawading]"/>
        <member name="[BI vw_Store].[StoreName].&amp;[CLOSED BLR NSW Artarmon]"/>
        <member name="[BI vw_Store].[StoreName].&amp;[NZ Freedom Hastings (F)]"/>
        <member name="[BI vw_Store].[StoreName].&amp;[freedom NSW Castle Hill]"/>
        <member name="[BI vw_Store].[StoreName].&amp;[freedom VIC Craigieburn]"/>
        <member name="[BI vw_Store].[StoreName].&amp;[freedom VIC South Wharf]"/>
        <member name="[BI vw_Store].[StoreName].&amp;[freedom WA Osborne Park]"/>
        <member name="[BI vw_Store].[StoreName].&amp;[CLOSED BLR NSW Balgowlah]"/>
        <member name="[BI vw_Store].[StoreName].&amp;[freedom NSW West Gosford]"/>
        <member name="[BI vw_Store].[StoreName].&amp;[Big Brand Outlet - Aspley]"/>
        <member name="[BI vw_Store].[StoreName].&amp;[CLOSED BLR NSW Moore Park]"/>
        <member name="[BI vw_Store].[StoreName].&amp;[freedom NSW Coffs Harbour]"/>
        <member name="[BI vw_Store].[StoreName].&amp;[freedom VIC Fountain Gate]"/>
        <member name="[BI vw_Store].[StoreName].&amp;[CLOSED BLR NSW Castle Hill]"/>
        <member name="[BI vw_Store].[StoreName].&amp;[CLOSED BLR WA Osborne Park]"/>
        <member name="[BI vw_Store].[StoreName].&amp;[Freedom eCommerce Platform]"/>
        <member name="[BI vw_Store].[StoreName].&amp;[Freedom VIC Marketing Store]"/>
        <member name="[BI vw_Store].[StoreName].&amp;[MARKETING BLR NSW Marketing]"/>
        <member name="[BI vw_Store].[StoreName].&amp;[NZ Freedom Palmerston North]"/>
        <member name="[BI vw_Store].[StoreName].&amp;[CLOSED freedom NSW Bankstown]"/>
        <member name="[BI vw_Store].[StoreName].&amp;[NZ Pop up Store 2 Coastlands]"/>
        <member name="[BI vw_Store].[StoreName].&amp;[freedom QLD Fortitude Valley]"/>
        <member name="[BI vw_Store].[StoreName].&amp;[NZ Freedom eCommerce Platform]"/>
        <member name="[BI vw_Store].[StoreName].&amp;[CLOSED NZ Freedom Christchurch]"/>
        <member name="[BI vw_Store].[StoreName].&amp;[freedom QLD Sunshine Coast (C)]"/>
        <member name="[BI vw_Store].[StoreName].&amp;[freedom QLD Sunshine Coast (F)]"/>
        <member name="[BI vw_Store].[StoreName].&amp;[Bay Leather Republic NSW Auburn]"/>
        <member name="[BI vw_Store].[StoreName].&amp;[CLOSED BLR QLD Fortitude Valley]"/>
        <member name="[BI vw_Store].[StoreName].&amp;[MARKETING freedom NSW Marketing]"/>
        <member name="[BI vw_Store].[StoreName].&amp;[Bay Leather Republic VIC Essendon]"/>
        <member name="[BI vw_Store].[StoreName].&amp;[Bay Leather Republic VIC Chadstone]"/>
        <member name="[BI vw_Store].[StoreName].&amp;[Steinhoff Asia Pacific Head Office]"/>
        <member name="[BI vw_Store].[StoreName].&amp;[Bay Leather Republic NSW Alexandria]"/>
        <member name="[BI vw_Store].[StoreName].&amp;[Bay Leather Republic VIC Nunawading]"/>
        <member name="[BI vw_Store].[StoreName].&amp;[Imports-Offshore Hub-Malaysia (H01)]"/>
        <member name="[BI vw_Store].[StoreName].&amp;[Imports-Offshore Hub-Distribution (H02)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142"/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22F77-3F9D-4214-84DA-ADD5B94E6CA2}" name="PivotTable3" cacheId="3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7:E17" firstHeaderRow="1" firstDataRow="3" firstDataCol="1" rowPageCount="5" colPageCount="1"/>
  <pivotFields count="9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3"/>
    <field x="2"/>
  </colFields>
  <colItems count="4">
    <i>
      <x/>
      <x/>
    </i>
    <i r="1">
      <x v="1"/>
    </i>
    <i r="1">
      <x v="2"/>
    </i>
    <i t="grand">
      <x/>
    </i>
  </colItems>
  <pageFields count="5">
    <pageField fld="0" hier="16" name="[BI metrics].[TimePeriod].&amp;[Week]" cap="Week"/>
    <pageField fld="4" hier="140" name="[BI vw_Store].[BranchType].&amp;[Company]" cap="Company"/>
    <pageField fld="5" hier="101" name="[BI vw_DynamicsDeliveredSales].[Sales Order Type].&amp;[Retail]" cap="Retail"/>
    <pageField fld="6" hier="60" name="[BI vw_DynamicsDeliveredSales].[Division].[All]" cap="All"/>
    <pageField fld="8" hier="151" name="[BI vw_Store].[StoreName].&amp;" cap=""/>
  </pageFields>
  <dataFields count="1">
    <dataField fld="7" baseField="0" baseItem="0"/>
  </dataFields>
  <pivotHierarchies count="31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Store].[BranchType].&amp;[Company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 multipleItemSelectionAllowed="1">
      <members count="123" level="1">
        <member name="[BI vw_Store].[StoreName].&amp;"/>
        <member name="[BI vw_Store].[StoreName].&amp;[DC- Quality]"/>
        <member name="[BI vw_Store].[StoreName].&amp;[Freedom Web]"/>
        <member name="[BI vw_Store].[StoreName].&amp;[NZ Head Office]"/>
        <member name="[BI vw_Store].[StoreName].&amp;[freedom NZ FCS]"/>
        <member name="[BI vw_Store].[StoreName].&amp;[freedom SA FCS]"/>
        <member name="[BI vw_Store].[StoreName].&amp;[freedom WA FCS]"/>
        <member name="[BI vw_Store].[StoreName].&amp;[BLR Online - SA]"/>
        <member name="[BI vw_Store].[StoreName].&amp;[BLR Online - WA]"/>
        <member name="[BI vw_Store].[StoreName].&amp;[Freedom VIC FCS]"/>
        <member name="[BI vw_Store].[StoreName].&amp;[freedom NSW FCS]"/>
        <member name="[BI vw_Store].[StoreName].&amp;[freedom QLD FCS]"/>
        <member name="[BI vw_Store].[StoreName].&amp;[BLR Online - NSW]"/>
        <member name="[BI vw_Store].[StoreName].&amp;[BLR Online - QLD]"/>
        <member name="[BI vw_Store].[StoreName].&amp;[BLR Online - VIC]"/>
        <member name="[BI vw_Store].[StoreName].&amp;[BLR VIC HTV test]"/>
        <member name="[BI vw_Store].[StoreName].&amp;[DC - Perth (PES)]"/>
        <member name="[BI vw_Store].[StoreName].&amp;[Freedom Dropship]"/>
        <member name="[BI vw_Store].[StoreName].&amp;[NZ Freedom Taupo]"/>
        <member name="[BI vw_Store].[StoreName].&amp;[Imports KPS (F01)]"/>
        <member name="[BI vw_Store].[StoreName].&amp;[NZ Freedom Albany]"/>
        <member name="[BI vw_Store].[StoreName].&amp;[freedom NSW Dubbo]"/>
        <member name="[BI vw_Store].[StoreName].&amp;[freedom QLD Logan]"/>
        <member name="[BI vw_Store].[StoreName].&amp;[freedom SA Glynde]"/>
        <member name="[BI vw_Store].[StoreName].&amp;[freedom SA Marion]"/>
        <member name="[BI vw_Store].[StoreName].&amp;[freedom WA Myaree]"/>
        <member name="[BI vw_Store].[StoreName].&amp;[DC - Pooraka (HNS)]"/>
        <member name="[BI vw_Store].[StoreName].&amp;[NZ Freedom Waipapa]"/>
        <member name="[BI vw_Store].[StoreName].&amp;[freedom NSW Albury]"/>
        <member name="[BI vw_Store].[StoreName].&amp;[freedom NSW Auburn]"/>
        <member name="[BI vw_Store].[StoreName].&amp;[freedom NSW Casula]"/>
        <member name="[BI vw_Store].[StoreName].&amp;[freedom NSW Kotara]"/>
        <member name="[BI vw_Store].[StoreName].&amp;[freedom QLD Aspley]"/>
        <member name="[BI vw_Store].[StoreName].&amp;[freedom QLD Cairns]"/>
        <member name="[BI vw_Store].[StoreName].&amp;[freedom TAS Hobart]"/>
        <member name="[BI vw_Store].[StoreName].&amp;[freedom WA Midland]"/>
        <member name="[BI vw_Store].[StoreName].&amp;[DC - Auckland (AKS)]"/>
        <member name="[BI vw_Store].[StoreName].&amp;[NZ Freedom Hamilton]"/>
        <member name="[BI vw_Store].[StoreName].&amp;[NZ Freedom Hastings]"/>
        <member name="[BI vw_Store].[StoreName].&amp;[NZ Freedom Tauranga]"/>
        <member name="[BI vw_Store].[StoreName].&amp;[NZ Freedom Westgate]"/>
        <member name="[BI vw_Store].[StoreName].&amp;[freedom NSW Belrose]"/>
        <member name="[BI vw_Store].[StoreName].&amp;[freedom NSW Penrith]"/>
        <member name="[BI vw_Store].[StoreName].&amp;[freedom QLD Windsor]"/>
        <member name="[BI vw_Store].[StoreName].&amp;[freedom SA Mile End]"/>
        <member name="[BI vw_Store].[StoreName].&amp;[freedom VIC Geelong]"/>
        <member name="[BI vw_Store].[StoreName].&amp;[freedom VIC Preston]"/>
        <member name="[BI vw_Store].[StoreName].&amp;[freedom WA Cockburn]"/>
        <member name="[BI vw_Store].[StoreName].&amp;[freedom WA Mandurah]"/>
        <member name="[BI vw_Store].[StoreName].&amp;[CLOSED BLR QLD Logan]"/>
        <member name="[BI vw_Store].[StoreName].&amp;[DC - Knoxfield (MUS)]"/>
        <member name="[BI vw_Store].[StoreName].&amp;[DC - Richlands (GES)]"/>
        <member name="[BI vw_Store].[StoreName].&amp;[NZ Freedom Marketing]"/>
        <member name="[BI vw_Store].[StoreName].&amp;[NZ Freedom Moorhouse]"/>
        <member name="[BI vw_Store].[StoreName].&amp;[NZ Freedom Newmarket]"/>
        <member name="[BI vw_Store].[StoreName].&amp;[NZ Freedom Whangarei]"/>
        <member name="[BI vw_Store].[StoreName].&amp;[NZ Freedom Wholesale]"/>
        <member name="[BI vw_Store].[StoreName].&amp;[freedom ACT Fyshwick]"/>
        <member name="[BI vw_Store].[StoreName].&amp;[freedom NSW Artarmon]"/>
        <member name="[BI vw_Store].[StoreName].&amp;[freedom NSW Homebush]"/>
        <member name="[BI vw_Store].[StoreName].&amp;[freedom QLD Capalaba]"/>
        <member name="[BI vw_Store].[StoreName].&amp;[freedom QLD Jindalee]"/>
        <member name="[BI vw_Store].[StoreName].&amp;[freedom VIC Ballarat]"/>
        <member name="[BI vw_Store].[StoreName].&amp;[freedom VIC Essendon]"/>
        <member name="[BI vw_Store].[StoreName].&amp;[freedom VIC HTS test]"/>
        <member name="[BI vw_Store].[StoreName].&amp;[freedom VIC Richmond]"/>
        <member name="[BI vw_Store].[StoreName].&amp;[freedom WA Joondalup]"/>
        <member name="[BI vw_Store].[StoreName].&amp;[CLOSED BLR NSW Kotara]"/>
        <member name="[BI vw_Store].[StoreName].&amp;[DC - Kings Park (LIS)]"/>
        <member name="[BI vw_Store].[StoreName].&amp;[Freedom QLD Toowoomba]"/>
        <member name="[BI vw_Store].[StoreName].&amp;[NZ Freedom Wellington]"/>
        <member name="[BI vw_Store].[StoreName].&amp;[freedom NSW Balgowlah]"/>
        <member name="[BI vw_Store].[StoreName].&amp;[freedom NSW Caringbah]"/>
        <member name="[BI vw_Store].[StoreName].&amp;[freedom NSW Warrawong]"/>
        <member name="[BI vw_Store].[StoreName].&amp;[freedom QLD Southport]"/>
        <member name="[BI vw_Store].[StoreName].&amp;[freedom VIC Chadstone]"/>
        <member name="[BI vw_Store].[StoreName].&amp;[freedom VIC Frankston]"/>
        <member name="[BI vw_Store].[StoreName].&amp;[freedom VIC Moorabbin]"/>
        <member name="[BI vw_Store].[StoreName].&amp;[freedom VIC Northland]"/>
        <member name="[BI vw_Store].[StoreName].&amp;[freedom VIC Traralgon]"/>
        <member name="[BI vw_Store].[StoreName].&amp;[freedom WA Cannington]"/>
        <member name="[BI vw_Store].[StoreName].&amp;[Freedom NSW Alexandria]"/>
        <member name="[BI vw_Store].[StoreName].&amp;[NZ Freedom Sylvia Park]"/>
        <member name="[BI vw_Store].[StoreName].&amp;[NZ Freedom Wairau Park]"/>
        <member name="[BI vw_Store].[StoreName].&amp;[freedom NSW Moore Park]"/>
        <member name="[BI vw_Store].[StoreName].&amp;[freedom QLD Cairns (F)]"/>
        <member name="[BI vw_Store].[StoreName].&amp;[freedom QLD Townsville]"/>
        <member name="[BI vw_Store].[StoreName].&amp;[freedom VIC Nunawading]"/>
        <member name="[BI vw_Store].[StoreName].&amp;[CLOSED BLR NSW Artarmon]"/>
        <member name="[BI vw_Store].[StoreName].&amp;[NZ Freedom Hastings (F)]"/>
        <member name="[BI vw_Store].[StoreName].&amp;[NZ Freedom New Plymouth]"/>
        <member name="[BI vw_Store].[StoreName].&amp;[freedom NSW Castle Hill]"/>
        <member name="[BI vw_Store].[StoreName].&amp;[freedom VIC Craigieburn]"/>
        <member name="[BI vw_Store].[StoreName].&amp;[freedom VIC South Wharf]"/>
        <member name="[BI vw_Store].[StoreName].&amp;[freedom WA Osborne Park]"/>
        <member name="[BI vw_Store].[StoreName].&amp;[CLOSED BLR NSW Balgowlah]"/>
        <member name="[BI vw_Store].[StoreName].&amp;[freedom NSW West Gosford]"/>
        <member name="[BI vw_Store].[StoreName].&amp;[Big Brand Outlet - Aspley]"/>
        <member name="[BI vw_Store].[StoreName].&amp;[CLOSED BLR NSW Moore Park]"/>
        <member name="[BI vw_Store].[StoreName].&amp;[freedom NSW Coffs Harbour]"/>
        <member name="[BI vw_Store].[StoreName].&amp;[freedom VIC Fountain Gate]"/>
        <member name="[BI vw_Store].[StoreName].&amp;[CLOSED BLR NSW Castle Hill]"/>
        <member name="[BI vw_Store].[StoreName].&amp;[CLOSED BLR WA Osborne Park]"/>
        <member name="[BI vw_Store].[StoreName].&amp;[Freedom eCommerce Platform]"/>
        <member name="[BI vw_Store].[StoreName].&amp;[Freedom VIC Marketing Store]"/>
        <member name="[BI vw_Store].[StoreName].&amp;[MARKETING BLR NSW Marketing]"/>
        <member name="[BI vw_Store].[StoreName].&amp;[NZ Freedom Palmerston North]"/>
        <member name="[BI vw_Store].[StoreName].&amp;[CLOSED freedom NSW Bankstown]"/>
        <member name="[BI vw_Store].[StoreName].&amp;[NZ Pop up Store 2 Coastlands]"/>
        <member name="[BI vw_Store].[StoreName].&amp;[freedom QLD Fortitude Valley]"/>
        <member name="[BI vw_Store].[StoreName].&amp;[NZ Freedom eCommerce Platform]"/>
        <member name="[BI vw_Store].[StoreName].&amp;[CLOSED NZ Freedom Christchurch]"/>
        <member name="[BI vw_Store].[StoreName].&amp;[freedom QLD Sunshine Coast (F)]"/>
        <member name="[BI vw_Store].[StoreName].&amp;[Bay Leather Republic NSW Auburn]"/>
        <member name="[BI vw_Store].[StoreName].&amp;[CLOSED BLR QLD Fortitude Valley]"/>
        <member name="[BI vw_Store].[StoreName].&amp;[MARKETING freedom NSW Marketing]"/>
        <member name="[BI vw_Store].[StoreName].&amp;[Bay Leather Republic VIC Essendon]"/>
        <member name="[BI vw_Store].[StoreName].&amp;[Bay Leather Republic VIC Chadstone]"/>
        <member name="[BI vw_Store].[StoreName].&amp;[Steinhoff Asia Pacific Head Office]"/>
        <member name="[BI vw_Store].[StoreName].&amp;[Bay Leather Republic NSW Alexandria]"/>
        <member name="[BI vw_Store].[StoreName].&amp;[Bay Leather Republic VIC Nunawading]"/>
        <member name="[BI vw_Store].[StoreName].&amp;[Imports-Offshore Hub-Malaysia (H01)]"/>
        <member name="[BI vw_Store].[StoreName].&amp;[Imports-Offshore Hub-Distribution (H02)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142"/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2269A-3802-42A4-AF37-7BE4EF595CF5}" name="PivotTable6" cacheId="39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fieldListSortAscending="1">
  <location ref="A25:E34" firstHeaderRow="1" firstDataRow="3" firstDataCol="1" rowPageCount="4" colPageCount="1"/>
  <pivotFields count="8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2">
    <field x="3"/>
    <field x="2"/>
  </colFields>
  <colItems count="4">
    <i>
      <x/>
      <x/>
    </i>
    <i r="1">
      <x v="1"/>
    </i>
    <i r="1">
      <x v="2"/>
    </i>
    <i t="grand">
      <x/>
    </i>
  </colItems>
  <pageFields count="4">
    <pageField fld="0" hier="16" name="[BI metrics].[TimePeriod].&amp;[Week]" cap="Week"/>
    <pageField fld="4" hier="140" name="[BI vw_Store].[BranchType].&amp;[Company]" cap="Company"/>
    <pageField fld="5" hier="101" name="[BI vw_DynamicsDeliveredSales].[Sales Order Type].&amp;[Retail]" cap="Retail"/>
    <pageField fld="6" hier="60" name="[BI vw_DynamicsDeliveredSales].[Division].[All]" cap="All"/>
  </pageFields>
  <dataFields count="1">
    <dataField fld="7" baseField="0" baseItem="0"/>
  </dataFields>
  <pivotHierarchies count="31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Store].[BranchType].&amp;[Company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142"/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53970-0049-4590-96E5-B734D6E4C07E}" name="PivotTable5" cacheId="4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G25:J34" firstHeaderRow="1" firstDataRow="3" firstDataCol="1" rowPageCount="4" colPageCount="1"/>
  <pivotFields count="8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2">
    <field x="3"/>
    <field x="2"/>
  </colFields>
  <colItems count="3">
    <i>
      <x/>
      <x/>
    </i>
    <i r="1">
      <x v="1"/>
    </i>
    <i t="grand">
      <x/>
    </i>
  </colItems>
  <pageFields count="4">
    <pageField fld="0" hier="16" name="[BI metrics].[TimePeriod].&amp;[Week]" cap="Week"/>
    <pageField fld="4" hier="140" name="[BI vw_Store].[BranchType].&amp;[Company]" cap="Company"/>
    <pageField fld="5" hier="101" name="[BI vw_DynamicsDeliveredSales].[Sales Order Type].&amp;[Retail]" cap="Retail"/>
    <pageField fld="6" hier="60" name="[BI vw_DynamicsDeliveredSales].[Division].[All]" cap="All"/>
  </pageFields>
  <dataFields count="1">
    <dataField fld="7" baseField="0" baseItem="0"/>
  </dataFields>
  <pivotHierarchies count="31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Store].[BranchType].&amp;[Company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142"/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39324-24E7-4BB9-A68A-12BC7256797B}" name="PivotTable4" cacheId="3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L7:P108" firstHeaderRow="1" firstDataRow="3" firstDataCol="1" rowPageCount="4" colPageCount="1"/>
  <pivotFields count="8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2">
    <field x="3"/>
    <field x="2"/>
  </colFields>
  <colItems count="4">
    <i>
      <x/>
      <x/>
    </i>
    <i r="1">
      <x v="1"/>
    </i>
    <i r="1">
      <x v="2"/>
    </i>
    <i t="grand">
      <x/>
    </i>
  </colItems>
  <pageFields count="4">
    <pageField fld="0" hier="16" name="[BI metrics].[TimePeriod].&amp;[Week]" cap="Week"/>
    <pageField fld="4" hier="140" name="[BI vw_Store].[BranchType].&amp;[Company]" cap="Company"/>
    <pageField fld="5" hier="101" name="[BI vw_DynamicsDeliveredSales].[Sales Order Type].&amp;[Retail]" cap="Retail"/>
    <pageField fld="6" hier="60" name="[BI vw_DynamicsDeliveredSales].[Division].[All]" cap="All"/>
  </pageFields>
  <dataFields count="1">
    <dataField fld="7" baseField="0" baseItem="0"/>
  </dataFields>
  <pivotHierarchies count="31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Store].[BranchType].&amp;[Company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aptionGreaterThan" evalOrder="-1" id="1" stringValue1="202500">
      <autoFilter ref="A1">
        <filterColumn colId="0">
          <customFilters>
            <customFilter operator="greaterThan" val="202500"/>
          </customFilters>
        </filterColumn>
      </autoFilter>
    </filter>
  </filters>
  <rowHierarchiesUsage count="1">
    <rowHierarchyUsage hierarchyUsage="0"/>
  </rowHierarchiesUsage>
  <colHierarchiesUsage count="2">
    <colHierarchyUsage hierarchyUsage="142"/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028C2-0DCD-4051-8B10-F359CA5BBF5B}" name="PivotTable5" cacheId="4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7:D150" firstHeaderRow="1" firstDataRow="3" firstDataCol="1" rowPageCount="4" colPageCount="1"/>
  <pivotFields count="8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Fields count="2">
    <field x="3"/>
    <field x="2"/>
  </colFields>
  <colItems count="3">
    <i>
      <x/>
      <x/>
    </i>
    <i r="1">
      <x v="1"/>
    </i>
    <i t="grand">
      <x/>
    </i>
  </colItems>
  <pageFields count="4">
    <pageField fld="0" hier="16" name="[BI metrics].[TimePeriod].&amp;[Week]" cap="Week"/>
    <pageField fld="4" hier="140" name="[BI vw_Store].[BranchType].&amp;[Company]" cap="Company"/>
    <pageField fld="5" hier="101" name="[BI vw_DynamicsDeliveredSales].[Sales Order Type].&amp;[Retail]" cap="Retail"/>
    <pageField fld="6" hier="60" name="[BI vw_DynamicsDeliveredSales].[Division].[All]" cap="All"/>
  </pageFields>
  <dataFields count="1">
    <dataField fld="7" baseField="0" baseItem="0"/>
  </dataFields>
  <pivotHierarchies count="31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Store].[BranchType].&amp;[Company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142"/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3C99F-6D1B-459C-9843-B93101924C29}" name="WeeklyWrittenSalesbyStore" cacheId="48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multipleFieldFilters="0" fieldListSortAscending="1">
  <location ref="A6:D216" firstHeaderRow="1" firstDataRow="2" firstDataCol="1" rowPageCount="4" colPageCount="1"/>
  <pivotFields count="13">
    <pivotField axis="axisRow" compact="0" allDrilled="1" outline="0" subtotalTop="0" showAll="0" sortType="ascending" defaultSubtotal="0" defaultAttributeDrillState="1">
      <items count="2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>
      <items count="2">
        <item s="1" x="0"/>
        <item s="1" x="1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2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4">
    <pageField fld="7" hier="284" name="[TimePeriodSort].[TimePeriod].&amp;[WEEK]" cap="WEEK"/>
    <pageField fld="8" hier="199" name="[BI vw_WeeklyWrittenSalesMetrics].[Branch_Type].&amp;[Company]" cap="Company"/>
    <pageField fld="9" hier="209" name="[BI vw_WeeklyWrittenSalesMetrics].[Division].[All]" cap="All"/>
    <pageField fld="10" hier="207" name="[BI vw_WeeklyWrittenSalesMetrics].[Country].&amp;[NZ]" cap="NZ"/>
  </pageFields>
  <dataFields count="1">
    <dataField fld="11" baseField="0" baseItem="0"/>
  </dataFields>
  <formats count="3">
    <format dxfId="20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8">
      <pivotArea dataOnly="0" labelOnly="1" outline="0" fieldPosition="0">
        <references count="1">
          <reference field="0" count="2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</reference>
        </references>
      </pivotArea>
    </format>
  </formats>
  <pivotHierarchies count="579"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BI Item].[Division].&amp;[Furniture]"/>
        <member name="[BI Item].[Division].&amp;[Homewares]"/>
      </members>
    </pivotHierarchy>
    <pivotHierarchy/>
    <pivotHierarchy/>
    <pivotHierarchy/>
    <pivotHierarchy/>
    <pivotHierarchy multipleItemSelectionAllowed="1">
      <members count="1" level="1">
        <member name="[BI Item].[Item_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metrics].[TimePeriod].&amp;[Week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Store].[Branch_Type].&amp;[Company]"/>
      </members>
    </pivotHierarchy>
    <pivotHierarchy/>
    <pivotHierarchy/>
    <pivotHierarchy/>
    <pivotHierarchy/>
    <pivotHierarchy/>
    <pivotHierarchy multipleItemSelectionAllowed="1">
      <members count="1" level="1">
        <member name="[BI Store].[Store_Country].&amp;[AU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BudgetByItemCategory].[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WeeklyWrittenSalesMetrics].[Branch_Type].&amp;[Company]"/>
      </members>
    </pivotHierarchy>
    <pivotHierarchy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BI vw_WeeklyWrittenSalesMetrics].[Country].&amp;[NZ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imePeriodSort].[TimePeriod].&amp;[WEEK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20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98139-A92B-40CF-88EE-8DD4F1EE7CFA}" name="PivotTable1" cacheId="47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multipleFieldFilters="0" fieldListSortAscending="1">
  <location ref="L6:Q216" firstHeaderRow="1" firstDataRow="2" firstDataCol="1" rowPageCount="4" colPageCount="1"/>
  <pivotFields count="13">
    <pivotField axis="axisRow" compact="0" allDrilled="1" outline="0" subtotalTop="0" showAll="0" dataSourceSort="1" defaultSubtotal="0" defaultAttributeDrillState="1">
      <items count="20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>
      <items count="2">
        <item s="1" x="0"/>
        <item s="1" x="1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Col" compact="0" allDrilled="1" outline="0" subtotalTop="0" showAll="0" defaultSubtotal="0" defaultAttributeDrillState="1">
      <items count="4">
        <item x="1"/>
        <item x="2"/>
        <item x="3"/>
        <item x="0"/>
      </items>
    </pivotField>
  </pivotFields>
  <rowFields count="1">
    <field x="0"/>
  </rowFields>
  <rowItems count="2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4">
    <pageField fld="7" hier="284" name="[TimePeriodSort].[TimePeriod].&amp;[WEEK]" cap="WEEK"/>
    <pageField fld="8" hier="199" name="[BI vw_WeeklyWrittenSalesMetrics].[Branch_Type].&amp;[Company]" cap="Company"/>
    <pageField fld="9" hier="209" name="[BI vw_WeeklyWrittenSalesMetrics].[Division].[All]" cap="All"/>
    <pageField fld="10" hier="207" name="[BI vw_WeeklyWrittenSalesMetrics].[Country].&amp;[AU]" cap="AU"/>
  </pageFields>
  <dataFields count="1">
    <dataField fld="11" baseField="0" baseItem="0"/>
  </dataFields>
  <formats count="3">
    <format dxfId="23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1">
      <pivotArea dataOnly="0" labelOnly="1" outline="0" fieldPosition="0">
        <references count="1">
          <reference field="0" count="2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</reference>
        </references>
      </pivotArea>
    </format>
  </formats>
  <pivotHierarchies count="579"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BI Item].[Division].&amp;[Furniture]"/>
        <member name="[BI Item].[Division].&amp;[Homewares]"/>
      </members>
    </pivotHierarchy>
    <pivotHierarchy/>
    <pivotHierarchy/>
    <pivotHierarchy/>
    <pivotHierarchy/>
    <pivotHierarchy multipleItemSelectionAllowed="1">
      <members count="1" level="1">
        <member name="[BI Item].[Item_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metrics].[TimePeriod].&amp;[Week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Store].[Branch_Type].&amp;[Company]"/>
      </members>
    </pivotHierarchy>
    <pivotHierarchy/>
    <pivotHierarchy/>
    <pivotHierarchy/>
    <pivotHierarchy/>
    <pivotHierarchy/>
    <pivotHierarchy multipleItemSelectionAllowed="1">
      <members count="1" level="1">
        <member name="[BI Store].[Store_Country].&amp;[AU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BudgetByItemCategory].[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WeeklyWrittenSalesMetrics].[Branch_Type].&amp;[Company]"/>
      </members>
    </pivotHierarchy>
    <pivotHierarchy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BI vw_WeeklyWrittenSalesMetrics].[Country].&amp;[AU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imePeriodSort].[TimePeriod].&amp;[WEEK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20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2168D-E16B-435B-8D15-5B6998603894}" name="PivotTable8" cacheId="53" applyNumberFormats="0" applyBorderFormats="0" applyFontFormats="0" applyPatternFormats="0" applyAlignmentFormats="0" applyWidthHeightFormats="1" dataCaption="Values" updatedVersion="8" minRefreshableVersion="3" subtotalHiddenItems="1" colGrandTotals="0" itemPrintTitles="1" createdVersion="8" indent="0" compact="0" compactData="0" multipleFieldFilters="0" fieldListSortAscending="1">
  <location ref="A7:E13" firstHeaderRow="1" firstDataRow="3" firstDataCol="1" rowPageCount="4" colPageCount="1"/>
  <pivotFields count="14">
    <pivotField axis="axisPage" compact="0" allDrilled="1" outline="0" subtotalTop="0" showAll="0" dataSourceSort="1" defaultSubtotal="0" defaultAttributeDrillState="1">
      <items count="14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>
      <items count="2">
        <item s="1" x="0"/>
        <item x="1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Fields count="2">
    <field x="10"/>
    <field x="-2"/>
  </colFields>
  <colItems count="4">
    <i>
      <x/>
      <x/>
    </i>
    <i r="1" i="1">
      <x v="1"/>
    </i>
    <i>
      <x v="1"/>
      <x/>
    </i>
    <i r="1" i="1">
      <x v="1"/>
    </i>
  </colItems>
  <pageFields count="4">
    <pageField fld="7" hier="284" name="[TimePeriodSort].[TimePeriod].&amp;[WEEK]" cap="WEEK"/>
    <pageField fld="0" hier="44" name="[BI metrics].[Fin_Period].[All]" cap="All"/>
    <pageField fld="8" hier="199" name="[BI vw_WeeklyWrittenSalesMetrics].[Branch_Type].&amp;[Company]" cap="Company"/>
    <pageField fld="9" hier="209" name="[BI vw_WeeklyWrittenSalesMetrics].[Division].&amp;[Furniture]" cap="Furniture"/>
  </pageFields>
  <dataFields count="2">
    <dataField fld="12" baseField="0" baseItem="0"/>
    <dataField fld="13" baseField="0" baseItem="0"/>
  </dataFields>
  <formats count="3">
    <format dxfId="26">
      <pivotArea dataOnly="0" labelOnly="1" outline="0" fieldPosition="0">
        <references count="1">
          <reference field="0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25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</reference>
        </references>
      </pivotArea>
    </format>
    <format dxfId="24">
      <pivotArea dataOnly="0" labelOnly="1" outline="0" fieldPosition="0">
        <references count="1">
          <reference field="0" count="21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</formats>
  <pivotHierarchies count="579"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BI Item].[Division].&amp;[Furniture]"/>
        <member name="[BI Item].[Division].&amp;[Homewares]"/>
      </members>
    </pivotHierarchy>
    <pivotHierarchy/>
    <pivotHierarchy/>
    <pivotHierarchy/>
    <pivotHierarchy/>
    <pivotHierarchy multipleItemSelectionAllowed="1">
      <members count="1" level="1">
        <member name="[BI Item].[Item_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metrics].[TimePeriod].&amp;[Week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Store].[Branch_Type].&amp;[Company]"/>
      </members>
    </pivotHierarchy>
    <pivotHierarchy/>
    <pivotHierarchy/>
    <pivotHierarchy/>
    <pivotHierarchy/>
    <pivotHierarchy/>
    <pivotHierarchy multipleItemSelectionAllowed="1">
      <members count="1" level="1">
        <member name="[BI Store].[Store_Country].&amp;[AU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BudgetByItemCategory].[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WeeklyWrittenSalesMetrics].[Branch_Type].&amp;[Company]"/>
      </members>
    </pivotHierarchy>
    <pivotHierarchy/>
    <pivotHierarchy/>
    <pivotHierarchy/>
    <pivotHierarchy/>
    <pivotHierarchy/>
    <pivotHierarchy multipleItemSelectionAllowed="1"/>
    <pivotHierarchy/>
    <pivotHierarchy multipleItemSelectionAllowed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imePeriodSort].[TimePeriod].&amp;[WEEK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5"/>
  </rowHierarchiesUsage>
  <colHierarchiesUsage count="2">
    <colHierarchyUsage hierarchyUsage="207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D3E4F-F281-4123-9EEE-87D325E964A6}" name="PivotTable1" cacheId="42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multipleFieldFilters="0" fieldListSortAscending="1">
  <location ref="A6:F216" firstHeaderRow="1" firstDataRow="2" firstDataCol="1" rowPageCount="4" colPageCount="1"/>
  <pivotFields count="13">
    <pivotField axis="axisRow" compact="0" allDrilled="1" outline="0" subtotalTop="0" showAll="0" dataSourceSort="1" defaultSubtotal="0" defaultAttributeDrillState="1">
      <items count="20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>
      <items count="2">
        <item s="1" x="0"/>
        <item s="1" x="1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Col" compact="0" allDrilled="1" outline="0" subtotalTop="0" showAll="0" defaultSubtotal="0" defaultAttributeDrillState="1">
      <items count="4">
        <item x="1"/>
        <item x="2"/>
        <item x="3"/>
        <item x="0"/>
      </items>
    </pivotField>
  </pivotFields>
  <rowFields count="1">
    <field x="0"/>
  </rowFields>
  <rowItems count="2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4">
    <pageField fld="7" hier="284" name="[TimePeriodSort].[TimePeriod].&amp;[WEEK]" cap="WEEK"/>
    <pageField fld="8" hier="199" name="[BI vw_WeeklyWrittenSalesMetrics].[Branch_Type].&amp;[Company]" cap="Company"/>
    <pageField fld="9" hier="209" name="[BI vw_WeeklyWrittenSalesMetrics].[Division].[All]" cap="All"/>
    <pageField fld="10" hier="207" name="[BI vw_WeeklyWrittenSalesMetrics].[Country].&amp;[AU]" cap="AU"/>
  </pageFields>
  <dataFields count="1">
    <dataField fld="11" baseField="0" baseItem="0"/>
  </dataFields>
  <formats count="3">
    <format dxfId="14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">
      <pivotArea dataOnly="0" labelOnly="1" outline="0" fieldPosition="0">
        <references count="1">
          <reference field="0" count="2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</reference>
        </references>
      </pivotArea>
    </format>
  </formats>
  <pivotHierarchies count="579"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BI Item].[Division].&amp;[Furniture]"/>
        <member name="[BI Item].[Division].&amp;[Homewares]"/>
      </members>
    </pivotHierarchy>
    <pivotHierarchy/>
    <pivotHierarchy/>
    <pivotHierarchy/>
    <pivotHierarchy/>
    <pivotHierarchy multipleItemSelectionAllowed="1">
      <members count="1" level="1">
        <member name="[BI Item].[Item_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metrics].[TimePeriod].&amp;[Week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Store].[Branch_Type].&amp;[Company]"/>
      </members>
    </pivotHierarchy>
    <pivotHierarchy/>
    <pivotHierarchy/>
    <pivotHierarchy/>
    <pivotHierarchy/>
    <pivotHierarchy/>
    <pivotHierarchy multipleItemSelectionAllowed="1">
      <members count="1" level="1">
        <member name="[BI Store].[Store_Country].&amp;[AU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BudgetByItemCategory].[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WeeklyWrittenSalesMetrics].[Branch_Type].&amp;[Company]"/>
      </members>
    </pivotHierarchy>
    <pivotHierarchy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BI vw_WeeklyWrittenSalesMetrics].[Country].&amp;[AU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imePeriodSort].[TimePeriod].&amp;[WEEK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20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FE4D4-BCBA-4FC8-9DDA-030BD0162BFD}" name="PivotTable2" cacheId="41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multipleFieldFilters="0" fieldListSortAscending="1">
  <location ref="I6:N216" firstHeaderRow="1" firstDataRow="2" firstDataCol="1" rowPageCount="4" colPageCount="1"/>
  <pivotFields count="13">
    <pivotField axis="axisRow" compact="0" allDrilled="1" outline="0" subtotalTop="0" showAll="0" dataSourceSort="1" defaultSubtotal="0" defaultAttributeDrillState="1">
      <items count="20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>
      <items count="2">
        <item s="1" x="0"/>
        <item s="1" x="1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Col" compact="0" allDrilled="1" outline="0" subtotalTop="0" showAll="0" defaultSubtotal="0" defaultAttributeDrillState="1">
      <items count="4">
        <item x="1"/>
        <item x="2"/>
        <item x="3"/>
        <item x="0"/>
      </items>
    </pivotField>
  </pivotFields>
  <rowFields count="1">
    <field x="0"/>
  </rowFields>
  <rowItems count="2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4">
    <pageField fld="7" hier="284" name="[TimePeriodSort].[TimePeriod].&amp;[WEEK]" cap="WEEK"/>
    <pageField fld="8" hier="199" name="[BI vw_WeeklyWrittenSalesMetrics].[Branch_Type].&amp;[Company]" cap="Company"/>
    <pageField fld="9" hier="209" name="[BI vw_WeeklyWrittenSalesMetrics].[Division].[All]" cap="All"/>
    <pageField fld="10" hier="207" name="[BI vw_WeeklyWrittenSalesMetrics].[Country].&amp;[AU]" cap="AU"/>
  </pageFields>
  <dataFields count="1">
    <dataField fld="11" baseField="0" baseItem="0"/>
  </dataFields>
  <formats count="3">
    <format dxfId="17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5">
      <pivotArea dataOnly="0" labelOnly="1" outline="0" fieldPosition="0">
        <references count="1">
          <reference field="0" count="2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</reference>
        </references>
      </pivotArea>
    </format>
  </formats>
  <pivotHierarchies count="579"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BI Item].[Division].&amp;[Furniture]"/>
        <member name="[BI Item].[Division].&amp;[Homewares]"/>
      </members>
    </pivotHierarchy>
    <pivotHierarchy/>
    <pivotHierarchy/>
    <pivotHierarchy/>
    <pivotHierarchy/>
    <pivotHierarchy multipleItemSelectionAllowed="1">
      <members count="1" level="1">
        <member name="[BI Item].[Item_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metrics].[TimePeriod].&amp;[Week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Store].[Branch_Type].&amp;[Company]"/>
      </members>
    </pivotHierarchy>
    <pivotHierarchy/>
    <pivotHierarchy/>
    <pivotHierarchy/>
    <pivotHierarchy/>
    <pivotHierarchy/>
    <pivotHierarchy multipleItemSelectionAllowed="1">
      <members count="1" level="1">
        <member name="[BI Store].[Store_Country].&amp;[AU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BudgetByItemCategory].[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WeeklyWrittenSalesMetrics].[Branch_Type].&amp;[Company]"/>
      </members>
    </pivotHierarchy>
    <pivotHierarchy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BI vw_WeeklyWrittenSalesMetrics].[Country].&amp;[AU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imePeriodSort].[TimePeriod].&amp;[WEEK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20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B0437-2131-4FC0-99DB-17BE94DAF6D6}" name="PivotTable1" cacheId="43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multipleFieldFilters="0" fieldListSortAscending="1">
  <location ref="A7:E11" firstHeaderRow="1" firstDataRow="2" firstDataCol="1" rowPageCount="4" colPageCount="1"/>
  <pivotFields count="14">
    <pivotField axis="axisPage" compact="0" allDrilled="1" outline="0" subtotalTop="0" showAll="0" dataSourceSort="1" defaultSubtotal="0" defaultAttributeDrillState="1">
      <items count="2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>
      <items count="2">
        <item s="1" x="0"/>
        <item s="1"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  <pivotField axis="axisCol" compact="0" allDrilled="1" outline="0" subtotalTop="0" showAll="0" defaultSubtotal="0" defaultAttributeDrillState="1">
      <items count="3">
        <item x="0"/>
        <item x="1"/>
        <item x="2"/>
      </items>
    </pivotField>
    <pivotField compact="0" allDrilled="1" outline="0" subtotalTop="0" showAll="0" dataSourceSort="1" defaultSubtotal="0" defaultAttributeDrillState="1">
      <items count="4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4">
    <pageField fld="7" hier="284" name="[TimePeriodSort].[TimePeriod].&amp;[WEEK]" cap="WEEK"/>
    <pageField fld="8" hier="199" name="[BI vw_WeeklyWrittenSalesMetrics].[Branch_Type].&amp;[Company]" cap="Company"/>
    <pageField fld="9" hier="209" name="[BI vw_WeeklyWrittenSalesMetrics].[Division].[All]" cap="All"/>
    <pageField fld="0" hier="44" name="[BI metrics].[Fin_Period].&amp;[202540]" cap="202540"/>
  </pageFields>
  <dataFields count="1">
    <dataField fld="11" baseField="0" baseItem="0"/>
  </dataFields>
  <formats count="3">
    <format dxfId="11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">
      <pivotArea dataOnly="0" labelOnly="1" outline="0" fieldPosition="0">
        <references count="1">
          <reference field="0" count="2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</reference>
        </references>
      </pivotArea>
    </format>
  </formats>
  <pivotHierarchies count="579"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BI Item].[Division].&amp;[Furniture]"/>
        <member name="[BI Item].[Division].&amp;[Homewares]"/>
      </members>
    </pivotHierarchy>
    <pivotHierarchy/>
    <pivotHierarchy/>
    <pivotHierarchy/>
    <pivotHierarchy/>
    <pivotHierarchy multipleItemSelectionAllowed="1">
      <members count="1" level="1">
        <member name="[BI Item].[Item_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metrics].[TimePeriod].&amp;[Week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Store].[Branch_Type].&amp;[Company]"/>
      </members>
    </pivotHierarchy>
    <pivotHierarchy/>
    <pivotHierarchy/>
    <pivotHierarchy/>
    <pivotHierarchy/>
    <pivotHierarchy/>
    <pivotHierarchy multipleItemSelectionAllowed="1">
      <members count="1" level="1">
        <member name="[BI Store].[Store_Country].&amp;[AU]"/>
      </members>
    </pivotHierarchy>
    <pivotHierarchy multipleItemSelectionAllowed="1">
      <members count="109" level="1">
        <member name="[BI Store].[Store_Name].&amp;"/>
        <member name="[BI Store].[Store_Name].&amp;[Web]"/>
        <member name="[BI Store].[Store_Name].&amp;[Dropship]"/>
        <member name="[BI Store].[Store_Name].&amp;[NZ Taupo]"/>
        <member name="[BI Store].[Store_Name].&amp;[NSW Dubbo]"/>
        <member name=""/>
        <member name=""/>
        <member name=""/>
        <member name=""/>
        <member name=""/>
        <member name=""/>
        <member name="[BI Store].[Store_Name].&amp;[NSW Casula]"/>
        <member name=""/>
        <member name="[BI Store].[Store_Name].&amp;[NZ Waipapa]"/>
        <member name=""/>
        <member name=""/>
        <member name=""/>
        <member name="[BI Store].[Store_Name].&amp;[WA Midland]"/>
        <member name=""/>
        <member name=""/>
        <member name="[BI Store].[Store_Name].&amp;[NZ Hamilton]"/>
        <member name="[BI Store].[Store_Name].&amp;[NZ Hastings]"/>
        <member name="[BI Store].[Store_Name].&amp;[NZ Tauranga]"/>
        <member name="[BI Store].[Store_Name].&amp;[NZ Westgate]"/>
        <member name=""/>
        <member name=""/>
        <member name=""/>
        <member name=""/>
        <member name=""/>
        <member name=""/>
        <member name=""/>
        <member name=""/>
        <member name="[BI Store].[Store_Name].&amp;[NSW Homebush]"/>
        <member name="[BI Store].[Store_Name].&amp;[NZ Marketing]"/>
        <member name="[BI Store].[Store_Name].&amp;[NZ Moorhouse]"/>
        <member name="[BI Store].[Store_Name].&amp;[NZ Newmarket]"/>
        <member name="[BI Store].[Store_Name].&amp;[NZ Whangarei]"/>
        <member name="[BI Store].[Store_Name].&amp;[NZ Wholesale]"/>
        <member name=""/>
        <member name=""/>
        <member name=""/>
        <member name=""/>
        <member name="[BI Store].[Store_Name].&amp;[VIC HTS test]"/>
        <member name=""/>
        <member name=""/>
        <member name=""/>
        <member name=""/>
        <member name="[BI Store].[Store_Name].&amp;[NSW Warrawong]"/>
        <member name="[BI Store].[Store_Name].&amp;[NZ Wellington]"/>
        <member name=""/>
        <member name="[BI Store].[Store_Name].&amp;[QLD Toowoomba]"/>
        <member name="[BI Store].[Store_Name].&amp;[VIC Chadstone]"/>
        <member name=""/>
        <member name=""/>
        <member name="[BI Store].[Store_Name].&amp;[VIC Northland]"/>
        <member name="[BI Store].[Store_Name].&amp;[VIC Traralgon]"/>
        <member name=""/>
        <member name=""/>
        <member name=""/>
        <member name="[BI Store].[Store_Name].&amp;[NZ Head Office]"/>
        <member name="[BI Store].[Store_Name].&amp;[NZ Sylvia Park]"/>
        <member name="[BI Store].[Store_Name].&amp;[NZ Wairau Park]"/>
        <member name="[BI Store].[Store_Name].&amp;[QLD Cairns (F)]"/>
        <member name="[BI Store].[Store_Name].&amp;[QLD Townsville]"/>
        <member name=""/>
        <member name="[BI Store].[Store_Name].&amp;[BLR Online - SA]"/>
        <member name="[BI Store].[Store_Name].&amp;[BLR Online - WA]"/>
        <member name=""/>
        <member name="[BI Store].[Store_Name].&amp;[NZ Hastings (F)]"/>
        <member name="[BI Store].[Store_Name].&amp;[NZ New Plymouth]"/>
        <member name=""/>
        <member name=""/>
        <member name=""/>
        <member name="[BI Store].[Store_Name].&amp;[BLR Online - NSW]"/>
        <member name="[BI Store].[Store_Name].&amp;[BLR Online - QLD]"/>
        <member name="[BI Store].[Store_Name].&amp;[BLR Online - VIC]"/>
        <member name="[BI Store].[Store_Name].&amp;[BLR VIC HTV test]"/>
        <member name="[BI Store].[Store_Name].&amp;[NSW West Gosford]"/>
        <member name="[BI Store].[Store_Name].&amp;[Imports KPS (F01)]"/>
        <member name="[BI Store].[Store_Name].&amp;[NSW Coffs Harbour]"/>
        <member name=""/>
        <member name="[BI Store].[Store_Name].&amp;[NZ Palmerston North]"/>
        <member name="[BI Store].[Store_Name].&amp;[VIC Marketing Store]"/>
        <member name="[BI Store].[Store_Name].&amp;[CLOSED BLR QLD Logan]"/>
        <member name="[BI Store].[Store_Name].&amp;[CLOSED NSW Bankstown]"/>
        <member name="[BI Store].[Store_Name].&amp;[QLD Fortitude Valley]"/>
        <member name="[BI Store].[Store_Name].&amp;[CLOSED BLR NSW Kotara]"/>
        <member name="[BI Store].[Store_Name].&amp;[NZ eCommerce Platform]"/>
        <member name="[BI Store].[Store_Name].&amp;[CLOSED NZ Christchurch]"/>
        <member name=""/>
        <member name="[BI Store].[Store_Name].&amp;[QLD Sunshine Coast (F)]"/>
        <member name="[BI Store].[Store_Name].&amp;[CLOSED BLR NSW Artarmon]"/>
        <member name="[BI Store].[Store_Name].&amp;[MARKETING NSW Marketing]"/>
        <member name="[BI Store].[Store_Name].&amp;[CLOSED BLR NSW Balgowlah]"/>
        <member name="[BI Store].[Store_Name].&amp;[Big Brand Outlet - Aspley]"/>
        <member name="[BI Store].[Store_Name].&amp;[CLOSED BLR NSW Moore Park]"/>
        <member name="[BI Store].[Store_Name].&amp;[CLOSED BLR NSW Castle Hill]"/>
        <member name="[BI Store].[Store_Name].&amp;[CLOSED BLR WA Osborne Park]"/>
        <member name="[BI Store].[Store_Name].&amp;[MARKETING BLR NSW Marketing]"/>
        <member name="[BI Store].[Store_Name].&amp;[NZ Pop up Store 2 Coastlands]"/>
        <member name="[BI Store].[Store_Name].&amp;[Bay Leather Republic NSW Auburn]"/>
        <member name="[BI Store].[Store_Name].&amp;[CLOSED BLR QLD Fortitude Valley]"/>
        <member name="[BI Store].[Store_Name].&amp;[Bay Leather Republic VIC Essendon]"/>
        <member name="[BI Store].[Store_Name].&amp;[Bay Leather Republic VIC Chadstone]"/>
        <member name="[BI Store].[Store_Name].&amp;[Steinhoff Asia Pacific Head Office]"/>
        <member name="[BI Store].[Store_Name].&amp;[Bay Leather Republic NSW Alexandria]"/>
        <member name="[BI Store].[Store_Name].&amp;[Bay Leather Republic VIC Nunawading]"/>
        <member name="[BI Store].[Store_Name].&amp;[Imports-Offshore Hub-Malaysia (H01)]"/>
        <member name="[BI Store].[Store_Name].&amp;[Imports-Offshore Hub-Distribution (H02)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BudgetByItemCategory].[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WeeklyWrittenSalesMetrics].[Branch_Type].&amp;[Company]"/>
      </members>
    </pivotHierarchy>
    <pivotHierarchy/>
    <pivotHierarchy/>
    <pivotHierarchy/>
    <pivotHierarchy/>
    <pivotHierarchy/>
    <pivotHierarchy multipleItemSelectionAllowed="1"/>
    <pivotHierarchy/>
    <pivotHierarchy multipleItemSelectionAllowed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imePeriodSort].[TimePeriod].&amp;[WEEK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7"/>
  </rowHierarchiesUsage>
  <colHierarchiesUsage count="1">
    <colHierarchyUsage hierarchyUsage="20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6C9DE-0DAE-49A9-84AF-1AD78C8B5466}" name="PivotTable1" cacheId="44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multipleFieldFilters="0" fieldListSortAscending="1">
  <location ref="C7:G64" firstHeaderRow="1" firstDataRow="2" firstDataCol="1" rowPageCount="5" colPageCount="1"/>
  <pivotFields count="14">
    <pivotField axis="axisRow" compact="0" allDrilled="1" outline="0" subtotalTop="0" showAll="0" dataSourceSort="1" defaultSubtotal="0" defaultAttributeDrillState="1">
      <items count="15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>
      <items count="2">
        <item s="1" x="0"/>
        <item s="1" x="1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Col" compact="0" allDrilled="1" outline="0" subtotalTop="0" showAll="0" defaultSubtotal="0" defaultAttributeDrillState="1">
      <items count="3">
        <item x="0"/>
        <item x="1"/>
        <item x="2"/>
      </items>
    </pivotField>
    <pivotField axis="axisPage" compact="0" allDrilled="1" outline="0" subtotalTop="0" showAll="0" dataSourceSort="1" defaultSubtotal="0" defaultAttributeDrillState="1"/>
  </pivotFields>
  <rowFields count="1">
    <field x="0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5">
    <pageField fld="7" hier="284" name="[TimePeriodSort].[TimePeriod].&amp;[WEEK]" cap="WEEK"/>
    <pageField fld="8" hier="199" name="[BI vw_WeeklyWrittenSalesMetrics].[Branch_Type].&amp;[Company]" cap="Company"/>
    <pageField fld="9" hier="209" name="[BI vw_WeeklyWrittenSalesMetrics].[Division].[All]" cap="All"/>
    <pageField fld="10" hier="207" name="[BI vw_WeeklyWrittenSalesMetrics].[Country].&amp;[AU]" cap="AU"/>
    <pageField fld="13" hier="76" name="[BI Store].[Store_Name].&amp;[VIC Nunawading]" cap="VIC Nunawading"/>
  </pageFields>
  <dataFields count="1">
    <dataField fld="11" baseField="0" baseItem="0"/>
  </dataFields>
  <formats count="3">
    <format dxfId="8">
      <pivotArea dataOnly="0" labelOnly="1" outline="0" fieldPosition="0">
        <references count="1">
          <reference field="0" count="50"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</reference>
        </references>
      </pivotArea>
    </format>
    <format dxfId="7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">
      <pivotArea dataOnly="0" labelOnly="1" outline="0" fieldPosition="0">
        <references count="1">
          <reference field="0" count="21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</reference>
        </references>
      </pivotArea>
    </format>
  </formats>
  <pivotHierarchies count="579"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BI Item].[Division].&amp;[Furniture]"/>
        <member name="[BI Item].[Division].&amp;[Homewares]"/>
      </members>
    </pivotHierarchy>
    <pivotHierarchy/>
    <pivotHierarchy/>
    <pivotHierarchy/>
    <pivotHierarchy/>
    <pivotHierarchy multipleItemSelectionAllowed="1">
      <members count="1" level="1">
        <member name="[BI Item].[Item_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metrics].[TimePeriod].&amp;[Week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Store].[Branch_Type].&amp;[Company]"/>
      </members>
    </pivotHierarchy>
    <pivotHierarchy/>
    <pivotHierarchy/>
    <pivotHierarchy/>
    <pivotHierarchy/>
    <pivotHierarchy/>
    <pivotHierarchy multipleItemSelectionAllowed="1">
      <members count="1" level="1">
        <member name="[BI Store].[Store_Country].&amp;[AU]"/>
      </members>
    </pivotHierarchy>
    <pivotHierarchy multipleItemSelectionAllowed="1">
      <members count="1" level="1">
        <member name="[BI Store].[Store_Name].&amp;[VIC Nunawading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BudgetByItemCategory].[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WeeklyWrittenSalesMetrics].[Branch_Type].&amp;[Company]"/>
      </members>
    </pivotHierarchy>
    <pivotHierarchy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BI vw_WeeklyWrittenSalesMetrics].[Country].&amp;[AU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imePeriodSort].[TimePeriod].&amp;[WEEK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20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983C0-7127-4B2C-B941-48BC1F05DC2F}" name="PivotTable1" cacheId="45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multipleFieldFilters="0" fieldListSortAscending="1">
  <location ref="L6:Q216" firstHeaderRow="1" firstDataRow="2" firstDataCol="1" rowPageCount="4" colPageCount="1"/>
  <pivotFields count="13">
    <pivotField axis="axisRow" compact="0" allDrilled="1" outline="0" subtotalTop="0" showAll="0" defaultSubtotal="0" defaultAttributeDrillState="1">
      <items count="20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>
      <items count="2">
        <item s="1" x="0"/>
        <item s="1" x="1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efaultSubtotal="0" defaultAttributeDrillState="1">
      <items count="4">
        <item x="1"/>
        <item x="2"/>
        <item x="3"/>
        <item x="0"/>
      </items>
    </pivotField>
    <pivotField dataField="1" compact="0" outline="0" subtotalTop="0" showAll="0" defaultSubtotal="0"/>
  </pivotFields>
  <rowFields count="1">
    <field x="0"/>
  </rowFields>
  <rowItems count="2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pageFields count="4">
    <pageField fld="7" hier="284" name="[TimePeriodSort].[TimePeriod].&amp;[WEEK]" cap="WEEK"/>
    <pageField fld="8" hier="199" name="[BI vw_WeeklyWrittenSalesMetrics].[Branch_Type].&amp;[Company]" cap="Company"/>
    <pageField fld="9" hier="209" name="[BI vw_WeeklyWrittenSalesMetrics].[Division].[All]" cap="All"/>
    <pageField fld="10" hier="207" name="[BI vw_WeeklyWrittenSalesMetrics].[Country].&amp;[AU]" cap="AU"/>
  </pageFields>
  <dataFields count="1">
    <dataField fld="12" baseField="0" baseItem="0"/>
  </dataFields>
  <formats count="3">
    <format dxfId="2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0">
      <pivotArea dataOnly="0" labelOnly="1" outline="0" fieldPosition="0">
        <references count="1">
          <reference field="0" count="2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</reference>
        </references>
      </pivotArea>
    </format>
  </formats>
  <pivotHierarchies count="579"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BI Item].[Division].&amp;[Furniture]"/>
        <member name="[BI Item].[Division].&amp;[Homewares]"/>
      </members>
    </pivotHierarchy>
    <pivotHierarchy/>
    <pivotHierarchy/>
    <pivotHierarchy/>
    <pivotHierarchy/>
    <pivotHierarchy multipleItemSelectionAllowed="1">
      <members count="1" level="1">
        <member name="[BI Item].[Item_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metrics].[TimePeriod].&amp;[Week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Store].[Branch_Type].&amp;[Company]"/>
      </members>
    </pivotHierarchy>
    <pivotHierarchy/>
    <pivotHierarchy/>
    <pivotHierarchy/>
    <pivotHierarchy/>
    <pivotHierarchy/>
    <pivotHierarchy multipleItemSelectionAllowed="1">
      <members count="1" level="1">
        <member name="[BI Store].[Store_Country].&amp;[AU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BudgetByItemCategory].[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WeeklyWrittenSalesMetrics].[Branch_Type].&amp;[Company]"/>
      </members>
    </pivotHierarchy>
    <pivotHierarchy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BI vw_WeeklyWrittenSalesMetrics].[Country].&amp;[AU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imePeriodSort].[TimePeriod].&amp;[WEEK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20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D21DC-7BEC-444A-AAEE-D68453027C96}" name="PivotTable2" cacheId="46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multipleFieldFilters="0" fieldListSortAscending="1">
  <location ref="A6:D216" firstHeaderRow="1" firstDataRow="2" firstDataCol="1" rowPageCount="4" colPageCount="1"/>
  <pivotFields count="13">
    <pivotField axis="axisRow" compact="0" allDrilled="1" outline="0" subtotalTop="0" showAll="0" sortType="ascending" defaultSubtotal="0" defaultAttributeDrillState="1">
      <items count="2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>
      <items count="2">
        <item s="1" x="0"/>
        <item s="1" x="1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</pivotFields>
  <rowFields count="1">
    <field x="0"/>
  </rowFields>
  <rowItems count="2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4">
    <pageField fld="7" hier="284" name="[TimePeriodSort].[TimePeriod].&amp;[WEEK]" cap="WEEK"/>
    <pageField fld="8" hier="199" name="[BI vw_WeeklyWrittenSalesMetrics].[Branch_Type].&amp;[Company]" cap="Company"/>
    <pageField fld="9" hier="209" name="[BI vw_WeeklyWrittenSalesMetrics].[Division].[All]" cap="All"/>
    <pageField fld="10" hier="207" name="[BI vw_WeeklyWrittenSalesMetrics].[Country].&amp;[NZ]" cap="NZ"/>
  </pageFields>
  <dataFields count="1">
    <dataField fld="12" baseField="0" baseItem="0"/>
  </dataFields>
  <formats count="3">
    <format dxfId="5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">
      <pivotArea dataOnly="0" labelOnly="1" outline="0" fieldPosition="0">
        <references count="1">
          <reference field="0" count="2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</reference>
        </references>
      </pivotArea>
    </format>
  </formats>
  <pivotHierarchies count="579"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BI Item].[Division].&amp;[Furniture]"/>
        <member name="[BI Item].[Division].&amp;[Homewares]"/>
      </members>
    </pivotHierarchy>
    <pivotHierarchy/>
    <pivotHierarchy/>
    <pivotHierarchy/>
    <pivotHierarchy/>
    <pivotHierarchy multipleItemSelectionAllowed="1">
      <members count="1" level="1">
        <member name="[BI Item].[Item_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metrics].[TimePeriod].&amp;[Week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Store].[Branch_Type].&amp;[Company]"/>
      </members>
    </pivotHierarchy>
    <pivotHierarchy/>
    <pivotHierarchy/>
    <pivotHierarchy/>
    <pivotHierarchy/>
    <pivotHierarchy/>
    <pivotHierarchy multipleItemSelectionAllowed="1">
      <members count="1" level="1">
        <member name="[BI Store].[Store_Country].&amp;[AU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BudgetByItemCategory].[Country].&amp;[A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BI vw_WeeklyWrittenSalesMetrics].[Branch_Type].&amp;[Company]"/>
      </members>
    </pivotHierarchy>
    <pivotHierarchy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BI vw_WeeklyWrittenSalesMetrics].[Country].&amp;[NZ]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imePeriodSort].[TimePeriod].&amp;[WEEK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20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D59147-CB59-4B38-A5B7-BB96EF4F880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7b6eea0-9d30-4eb6-b256-56f6bdb9df3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CBE2-7908-444C-B867-E7722BCC2403}">
  <dimension ref="A2:S170"/>
  <sheetViews>
    <sheetView topLeftCell="A3" zoomScale="70" zoomScaleNormal="70" workbookViewId="0">
      <selection activeCell="L3" sqref="L1:O1048576"/>
    </sheetView>
  </sheetViews>
  <sheetFormatPr defaultRowHeight="15" outlineLevelCol="1" x14ac:dyDescent="0.25"/>
  <cols>
    <col min="1" max="1" width="20.140625" bestFit="1" customWidth="1"/>
    <col min="2" max="2" width="16.85546875" bestFit="1" customWidth="1"/>
    <col min="3" max="3" width="10.85546875" bestFit="1" customWidth="1"/>
    <col min="4" max="5" width="11.85546875" bestFit="1" customWidth="1"/>
    <col min="6" max="6" width="19" customWidth="1" outlineLevel="1"/>
    <col min="7" max="7" width="17.42578125" customWidth="1" outlineLevel="1"/>
    <col min="8" max="8" width="11.140625" bestFit="1" customWidth="1"/>
    <col min="9" max="9" width="10.140625" bestFit="1" customWidth="1"/>
    <col min="10" max="10" width="11.140625" bestFit="1" customWidth="1"/>
    <col min="11" max="11" width="9.85546875" customWidth="1"/>
    <col min="12" max="12" width="20.140625" bestFit="1" customWidth="1"/>
    <col min="13" max="13" width="16.85546875" bestFit="1" customWidth="1"/>
    <col min="14" max="16" width="11.85546875" bestFit="1" customWidth="1"/>
    <col min="17" max="17" width="9.85546875" bestFit="1" customWidth="1"/>
  </cols>
  <sheetData>
    <row r="2" spans="1:19" x14ac:dyDescent="0.25">
      <c r="A2" s="18" t="s">
        <v>0</v>
      </c>
      <c r="B2" t="s" vm="1">
        <v>1</v>
      </c>
      <c r="L2" s="18" t="s">
        <v>0</v>
      </c>
      <c r="M2" t="s" vm="1">
        <v>1</v>
      </c>
    </row>
    <row r="3" spans="1:19" x14ac:dyDescent="0.25">
      <c r="A3" s="18" t="s">
        <v>2</v>
      </c>
      <c r="B3" t="s" vm="2">
        <v>3</v>
      </c>
      <c r="L3" s="18" t="s">
        <v>2</v>
      </c>
      <c r="M3" t="s" vm="2">
        <v>3</v>
      </c>
    </row>
    <row r="4" spans="1:19" x14ac:dyDescent="0.25">
      <c r="A4" s="18" t="s">
        <v>4</v>
      </c>
      <c r="B4" t="s" vm="3">
        <v>5</v>
      </c>
      <c r="L4" s="18" t="s">
        <v>4</v>
      </c>
      <c r="M4" t="s" vm="3">
        <v>5</v>
      </c>
    </row>
    <row r="5" spans="1:19" x14ac:dyDescent="0.25">
      <c r="A5" s="18" t="s">
        <v>6</v>
      </c>
      <c r="B5" t="s" vm="4">
        <v>7</v>
      </c>
      <c r="L5" s="18" t="s">
        <v>6</v>
      </c>
      <c r="M5" t="s" vm="14">
        <v>7</v>
      </c>
    </row>
    <row r="7" spans="1:19" x14ac:dyDescent="0.25">
      <c r="A7" s="18" t="s">
        <v>303</v>
      </c>
      <c r="B7" s="18" t="s">
        <v>9</v>
      </c>
      <c r="L7" s="18" t="s">
        <v>303</v>
      </c>
      <c r="M7" s="18" t="s">
        <v>9</v>
      </c>
    </row>
    <row r="8" spans="1:19" x14ac:dyDescent="0.25">
      <c r="B8" t="s">
        <v>13</v>
      </c>
      <c r="E8" t="s">
        <v>11</v>
      </c>
      <c r="F8" s="52" t="s">
        <v>12</v>
      </c>
      <c r="G8" s="52"/>
      <c r="H8" s="52"/>
      <c r="I8" s="52"/>
      <c r="J8" s="52"/>
      <c r="M8" t="s">
        <v>13</v>
      </c>
      <c r="O8" t="s">
        <v>11</v>
      </c>
      <c r="S8" s="3" t="e">
        <f>J8+N8+O8</f>
        <v>#VALUE!</v>
      </c>
    </row>
    <row r="9" spans="1:19" x14ac:dyDescent="0.25">
      <c r="A9" s="18" t="s">
        <v>14</v>
      </c>
      <c r="B9" t="s">
        <v>21</v>
      </c>
      <c r="C9" t="s">
        <v>15</v>
      </c>
      <c r="D9" t="s">
        <v>16</v>
      </c>
      <c r="F9" s="15" t="s">
        <v>17</v>
      </c>
      <c r="G9" s="15" t="s">
        <v>18</v>
      </c>
      <c r="H9" s="15" t="s">
        <v>19</v>
      </c>
      <c r="I9" s="15" t="s">
        <v>16</v>
      </c>
      <c r="J9" s="15" t="s">
        <v>20</v>
      </c>
      <c r="L9" s="18" t="s">
        <v>14</v>
      </c>
      <c r="M9" t="s">
        <v>301</v>
      </c>
      <c r="N9" t="s">
        <v>302</v>
      </c>
      <c r="S9" s="3" t="e">
        <f t="shared" ref="S9:S72" si="0">J9+N9+O9</f>
        <v>#VALUE!</v>
      </c>
    </row>
    <row r="10" spans="1:19" x14ac:dyDescent="0.25">
      <c r="A10" s="2" t="s">
        <v>193</v>
      </c>
      <c r="B10" s="3">
        <v>521012.63</v>
      </c>
      <c r="C10" s="3">
        <v>3775579.13</v>
      </c>
      <c r="D10" s="3">
        <v>665512.6</v>
      </c>
      <c r="E10" s="3">
        <v>4962104.3600000003</v>
      </c>
      <c r="F10" s="14">
        <v>45930</v>
      </c>
      <c r="G10" s="16">
        <f>_xlfn.XLOOKUP(F10,FX!$A$12:$A$910,FX!$B$12:$B$910,"",-1)</f>
        <v>1.141</v>
      </c>
      <c r="H10" s="3">
        <f>B10/$G10</f>
        <v>456628.07186678355</v>
      </c>
      <c r="I10" s="3">
        <f>C10/$G10</f>
        <v>3309008.8781770375</v>
      </c>
      <c r="J10" s="3">
        <f>D10/$G10</f>
        <v>583271.3409290096</v>
      </c>
      <c r="L10" s="2" t="s">
        <v>113</v>
      </c>
      <c r="M10" s="3">
        <v>197317.65</v>
      </c>
      <c r="N10" s="3">
        <v>3367.47</v>
      </c>
      <c r="O10" s="3">
        <v>200685.12</v>
      </c>
      <c r="S10" s="3">
        <f t="shared" si="0"/>
        <v>787323.93092900957</v>
      </c>
    </row>
    <row r="11" spans="1:19" x14ac:dyDescent="0.25">
      <c r="A11" s="2" t="s">
        <v>11</v>
      </c>
      <c r="B11" s="3">
        <v>521012.63</v>
      </c>
      <c r="C11" s="3">
        <v>3775579.13</v>
      </c>
      <c r="D11" s="3">
        <v>665512.6</v>
      </c>
      <c r="E11" s="3">
        <v>4962104.3600000003</v>
      </c>
      <c r="F11" s="14">
        <f>F10+7</f>
        <v>45937</v>
      </c>
      <c r="G11" s="16">
        <f>_xlfn.XLOOKUP(F11,FX!$A$12:$A$910,FX!$B$12:$B$910,"",-1)</f>
        <v>1.1347</v>
      </c>
      <c r="H11" s="3">
        <f t="shared" ref="H11:H30" si="1">B11/$G11</f>
        <v>459163.32951440907</v>
      </c>
      <c r="I11" s="3">
        <f t="shared" ref="I11:I30" si="2">C11/$G11</f>
        <v>3327380.9200669779</v>
      </c>
      <c r="J11" s="3">
        <f t="shared" ref="J11:J30" si="3">D11/$G11</f>
        <v>586509.7382568079</v>
      </c>
      <c r="L11" s="2" t="s">
        <v>114</v>
      </c>
      <c r="M11" s="3">
        <v>252298.55</v>
      </c>
      <c r="N11" s="3">
        <v>12455.52</v>
      </c>
      <c r="O11" s="3">
        <v>264754.07</v>
      </c>
      <c r="S11" s="3">
        <f t="shared" si="0"/>
        <v>863719.32825680799</v>
      </c>
    </row>
    <row r="12" spans="1:19" x14ac:dyDescent="0.25">
      <c r="F12" s="14">
        <f t="shared" ref="F12:F75" si="4">F11+7</f>
        <v>45944</v>
      </c>
      <c r="G12" s="16">
        <f>_xlfn.XLOOKUP(F12,FX!$A$12:$A$910,FX!$B$12:$B$910,"",-1)</f>
        <v>1.1352</v>
      </c>
      <c r="H12" s="3">
        <f t="shared" si="1"/>
        <v>0</v>
      </c>
      <c r="I12" s="3">
        <f t="shared" si="2"/>
        <v>0</v>
      </c>
      <c r="J12" s="3">
        <f t="shared" si="3"/>
        <v>0</v>
      </c>
      <c r="L12" s="2" t="s">
        <v>115</v>
      </c>
      <c r="M12" s="3">
        <v>190684.36</v>
      </c>
      <c r="N12" s="3">
        <v>19319.740000000002</v>
      </c>
      <c r="O12" s="3">
        <v>210004.1</v>
      </c>
      <c r="S12" s="3">
        <f t="shared" si="0"/>
        <v>229323.84</v>
      </c>
    </row>
    <row r="13" spans="1:19" x14ac:dyDescent="0.25">
      <c r="F13" s="14">
        <f t="shared" si="4"/>
        <v>45951</v>
      </c>
      <c r="G13" s="16">
        <f>_xlfn.XLOOKUP(F13,FX!$A$12:$A$910,FX!$B$12:$B$910,"",-1)</f>
        <v>1.1351</v>
      </c>
      <c r="H13" s="3">
        <f t="shared" si="1"/>
        <v>0</v>
      </c>
      <c r="I13" s="3">
        <f t="shared" si="2"/>
        <v>0</v>
      </c>
      <c r="J13" s="3">
        <f t="shared" si="3"/>
        <v>0</v>
      </c>
      <c r="L13" s="2" t="s">
        <v>116</v>
      </c>
      <c r="M13" s="3">
        <v>212729.83</v>
      </c>
      <c r="N13" s="3">
        <v>29386.3</v>
      </c>
      <c r="O13" s="3">
        <v>242116.13</v>
      </c>
      <c r="S13" s="3">
        <f t="shared" si="0"/>
        <v>271502.43</v>
      </c>
    </row>
    <row r="14" spans="1:19" x14ac:dyDescent="0.25">
      <c r="F14" s="14">
        <f t="shared" si="4"/>
        <v>45958</v>
      </c>
      <c r="G14" s="16">
        <f>_xlfn.XLOOKUP(F14,FX!$A$12:$A$910,FX!$B$12:$B$910,"",-1)</f>
        <v>1.1351</v>
      </c>
      <c r="H14" s="3">
        <f t="shared" si="1"/>
        <v>0</v>
      </c>
      <c r="I14" s="3">
        <f t="shared" si="2"/>
        <v>0</v>
      </c>
      <c r="J14" s="3">
        <f t="shared" si="3"/>
        <v>0</v>
      </c>
      <c r="L14" s="2" t="s">
        <v>117</v>
      </c>
      <c r="M14" s="3">
        <v>219863.95</v>
      </c>
      <c r="N14" s="3">
        <v>28677.75</v>
      </c>
      <c r="O14" s="3">
        <v>248541.7</v>
      </c>
      <c r="S14" s="3">
        <f t="shared" si="0"/>
        <v>277219.45</v>
      </c>
    </row>
    <row r="15" spans="1:19" x14ac:dyDescent="0.25">
      <c r="F15" s="14">
        <f t="shared" si="4"/>
        <v>45965</v>
      </c>
      <c r="G15" s="16">
        <f>_xlfn.XLOOKUP(F15,FX!$A$12:$A$910,FX!$B$12:$B$910,"",-1)</f>
        <v>1.1482000000000001</v>
      </c>
      <c r="H15" s="3">
        <f t="shared" si="1"/>
        <v>0</v>
      </c>
      <c r="I15" s="3">
        <f t="shared" si="2"/>
        <v>0</v>
      </c>
      <c r="J15" s="3">
        <f t="shared" si="3"/>
        <v>0</v>
      </c>
      <c r="L15" s="2" t="s">
        <v>118</v>
      </c>
      <c r="M15" s="3">
        <v>174475.81</v>
      </c>
      <c r="N15" s="3">
        <v>14165.04</v>
      </c>
      <c r="O15" s="3">
        <v>188640.85</v>
      </c>
      <c r="S15" s="3">
        <f t="shared" si="0"/>
        <v>202805.89</v>
      </c>
    </row>
    <row r="16" spans="1:19" x14ac:dyDescent="0.25">
      <c r="F16" s="14">
        <f t="shared" si="4"/>
        <v>45972</v>
      </c>
      <c r="G16" s="16">
        <f>_xlfn.XLOOKUP(F16,FX!$A$12:$A$910,FX!$B$12:$B$910,"",-1)</f>
        <v>1.1569</v>
      </c>
      <c r="H16" s="3">
        <f t="shared" si="1"/>
        <v>0</v>
      </c>
      <c r="I16" s="3">
        <f t="shared" si="2"/>
        <v>0</v>
      </c>
      <c r="J16" s="3">
        <f t="shared" si="3"/>
        <v>0</v>
      </c>
      <c r="L16" s="2" t="s">
        <v>119</v>
      </c>
      <c r="M16" s="3">
        <v>166915.37</v>
      </c>
      <c r="N16" s="3">
        <v>21575.82</v>
      </c>
      <c r="O16" s="3">
        <v>188491.19</v>
      </c>
      <c r="S16" s="3">
        <f t="shared" si="0"/>
        <v>210067.01</v>
      </c>
    </row>
    <row r="17" spans="6:19" x14ac:dyDescent="0.25">
      <c r="F17" s="14">
        <f t="shared" si="4"/>
        <v>45979</v>
      </c>
      <c r="G17" s="16">
        <f>_xlfn.XLOOKUP(F17,FX!$A$12:$A$910,FX!$B$12:$B$910,"",-1)</f>
        <v>1.1469</v>
      </c>
      <c r="H17" s="3">
        <f t="shared" si="1"/>
        <v>0</v>
      </c>
      <c r="I17" s="3">
        <f t="shared" si="2"/>
        <v>0</v>
      </c>
      <c r="J17" s="3">
        <f t="shared" si="3"/>
        <v>0</v>
      </c>
      <c r="L17" s="2" t="s">
        <v>192</v>
      </c>
      <c r="M17" s="3">
        <v>249542.33</v>
      </c>
      <c r="N17" s="3">
        <v>39138.730000000003</v>
      </c>
      <c r="O17" s="3">
        <v>288681.06</v>
      </c>
      <c r="S17" s="3">
        <f t="shared" si="0"/>
        <v>327819.78999999998</v>
      </c>
    </row>
    <row r="18" spans="6:19" x14ac:dyDescent="0.25">
      <c r="F18" s="14">
        <f t="shared" si="4"/>
        <v>45986</v>
      </c>
      <c r="G18" s="16">
        <f>_xlfn.XLOOKUP(F18,FX!$A$12:$A$910,FX!$B$12:$B$910,"",-1)</f>
        <v>1.1523000000000001</v>
      </c>
      <c r="H18" s="3">
        <f t="shared" si="1"/>
        <v>0</v>
      </c>
      <c r="I18" s="3">
        <f t="shared" si="2"/>
        <v>0</v>
      </c>
      <c r="J18" s="3">
        <f t="shared" si="3"/>
        <v>0</v>
      </c>
      <c r="L18" s="2" t="s">
        <v>193</v>
      </c>
      <c r="M18" s="3">
        <v>118467.11</v>
      </c>
      <c r="N18" s="3">
        <v>23927.23</v>
      </c>
      <c r="O18" s="3">
        <v>142394.34</v>
      </c>
      <c r="S18" s="3">
        <f t="shared" si="0"/>
        <v>166321.57</v>
      </c>
    </row>
    <row r="19" spans="6:19" x14ac:dyDescent="0.25">
      <c r="F19" s="14">
        <f t="shared" si="4"/>
        <v>45993</v>
      </c>
      <c r="G19" s="16">
        <f>_xlfn.XLOOKUP(F19,FX!$A$12:$A$910,FX!$B$12:$B$910,"",-1)</f>
        <v>1.1440999999999999</v>
      </c>
      <c r="H19" s="3">
        <f t="shared" si="1"/>
        <v>0</v>
      </c>
      <c r="I19" s="3">
        <f t="shared" si="2"/>
        <v>0</v>
      </c>
      <c r="J19" s="3">
        <f t="shared" si="3"/>
        <v>0</v>
      </c>
      <c r="L19" s="2" t="s">
        <v>11</v>
      </c>
      <c r="M19" s="3">
        <v>1782294.96</v>
      </c>
      <c r="N19" s="3">
        <v>192013.6</v>
      </c>
      <c r="O19" s="3">
        <v>1974308.56</v>
      </c>
      <c r="S19" s="3">
        <f t="shared" si="0"/>
        <v>2166322.16</v>
      </c>
    </row>
    <row r="20" spans="6:19" x14ac:dyDescent="0.25">
      <c r="F20" s="14">
        <f t="shared" si="4"/>
        <v>46000</v>
      </c>
      <c r="G20" s="16">
        <f>_xlfn.XLOOKUP(F20,FX!$A$12:$A$910,FX!$B$12:$B$910,"",-1)</f>
        <v>1.1479999999999999</v>
      </c>
      <c r="H20" s="3">
        <f t="shared" si="1"/>
        <v>0</v>
      </c>
      <c r="I20" s="3">
        <f t="shared" si="2"/>
        <v>0</v>
      </c>
      <c r="J20" s="3">
        <f t="shared" si="3"/>
        <v>0</v>
      </c>
      <c r="S20" s="3">
        <f t="shared" si="0"/>
        <v>0</v>
      </c>
    </row>
    <row r="21" spans="6:19" x14ac:dyDescent="0.25">
      <c r="F21" s="14">
        <f t="shared" si="4"/>
        <v>46007</v>
      </c>
      <c r="G21" s="16">
        <f>_xlfn.XLOOKUP(F21,FX!$A$12:$A$910,FX!$B$12:$B$910,"",-1)</f>
        <v>1.1483000000000001</v>
      </c>
      <c r="H21" s="3">
        <f t="shared" si="1"/>
        <v>0</v>
      </c>
      <c r="I21" s="3">
        <f t="shared" si="2"/>
        <v>0</v>
      </c>
      <c r="J21" s="3">
        <f t="shared" si="3"/>
        <v>0</v>
      </c>
      <c r="S21" s="3">
        <f t="shared" si="0"/>
        <v>0</v>
      </c>
    </row>
    <row r="22" spans="6:19" x14ac:dyDescent="0.25">
      <c r="F22" s="14">
        <f t="shared" si="4"/>
        <v>46014</v>
      </c>
      <c r="G22" s="16">
        <f>_xlfn.XLOOKUP(F22,FX!$A$12:$A$910,FX!$B$12:$B$910,"",-1)</f>
        <v>1.1469</v>
      </c>
      <c r="H22" s="3">
        <f t="shared" si="1"/>
        <v>0</v>
      </c>
      <c r="I22" s="3">
        <f t="shared" si="2"/>
        <v>0</v>
      </c>
      <c r="J22" s="3">
        <f t="shared" si="3"/>
        <v>0</v>
      </c>
      <c r="S22" s="3">
        <f t="shared" si="0"/>
        <v>0</v>
      </c>
    </row>
    <row r="23" spans="6:19" x14ac:dyDescent="0.25">
      <c r="F23" s="14">
        <f t="shared" si="4"/>
        <v>46021</v>
      </c>
      <c r="G23" s="16">
        <f>_xlfn.XLOOKUP(F23,FX!$A$12:$A$910,FX!$B$12:$B$910,"",-1)</f>
        <v>1.1543000000000001</v>
      </c>
      <c r="H23" s="3">
        <f t="shared" si="1"/>
        <v>0</v>
      </c>
      <c r="I23" s="3">
        <f t="shared" si="2"/>
        <v>0</v>
      </c>
      <c r="J23" s="3">
        <f t="shared" si="3"/>
        <v>0</v>
      </c>
      <c r="S23" s="3">
        <f t="shared" si="0"/>
        <v>0</v>
      </c>
    </row>
    <row r="24" spans="6:19" x14ac:dyDescent="0.25">
      <c r="F24" s="14">
        <f t="shared" si="4"/>
        <v>46028</v>
      </c>
      <c r="G24" s="16">
        <f>_xlfn.XLOOKUP(F24,FX!$A$12:$A$910,FX!$B$12:$B$910,"",-1)</f>
        <v>1.1598999999999999</v>
      </c>
      <c r="H24" s="3">
        <f t="shared" si="1"/>
        <v>0</v>
      </c>
      <c r="I24" s="3">
        <f t="shared" si="2"/>
        <v>0</v>
      </c>
      <c r="J24" s="3">
        <f t="shared" si="3"/>
        <v>0</v>
      </c>
      <c r="S24" s="3">
        <f t="shared" si="0"/>
        <v>0</v>
      </c>
    </row>
    <row r="25" spans="6:19" x14ac:dyDescent="0.25">
      <c r="F25" s="14">
        <f t="shared" si="4"/>
        <v>46035</v>
      </c>
      <c r="G25" s="16">
        <f>_xlfn.XLOOKUP(F25,FX!$A$12:$A$910,FX!$B$12:$B$910,"",-1)</f>
        <v>1.1613</v>
      </c>
      <c r="H25" s="3">
        <f t="shared" si="1"/>
        <v>0</v>
      </c>
      <c r="I25" s="3">
        <f t="shared" si="2"/>
        <v>0</v>
      </c>
      <c r="J25" s="3">
        <f t="shared" si="3"/>
        <v>0</v>
      </c>
      <c r="S25" s="3">
        <f t="shared" si="0"/>
        <v>0</v>
      </c>
    </row>
    <row r="26" spans="6:19" x14ac:dyDescent="0.25">
      <c r="F26" s="14">
        <f t="shared" si="4"/>
        <v>46042</v>
      </c>
      <c r="G26" s="16">
        <f>_xlfn.XLOOKUP(F26,FX!$A$12:$A$910,FX!$B$12:$B$910,"",-1)</f>
        <v>1.1553</v>
      </c>
      <c r="H26" s="3">
        <f t="shared" si="1"/>
        <v>0</v>
      </c>
      <c r="I26" s="3">
        <f t="shared" si="2"/>
        <v>0</v>
      </c>
      <c r="J26" s="3">
        <f t="shared" si="3"/>
        <v>0</v>
      </c>
      <c r="S26" s="3">
        <f t="shared" si="0"/>
        <v>0</v>
      </c>
    </row>
    <row r="27" spans="6:19" x14ac:dyDescent="0.25">
      <c r="F27" s="14">
        <f t="shared" si="4"/>
        <v>46049</v>
      </c>
      <c r="G27" s="16">
        <f>_xlfn.XLOOKUP(F27,FX!$A$12:$A$910,FX!$B$12:$B$910,"",-1)</f>
        <v>1.1588000000000001</v>
      </c>
      <c r="H27" s="3">
        <f t="shared" si="1"/>
        <v>0</v>
      </c>
      <c r="I27" s="3">
        <f t="shared" si="2"/>
        <v>0</v>
      </c>
      <c r="J27" s="3">
        <f t="shared" si="3"/>
        <v>0</v>
      </c>
      <c r="S27" s="3">
        <f t="shared" si="0"/>
        <v>0</v>
      </c>
    </row>
    <row r="28" spans="6:19" x14ac:dyDescent="0.25">
      <c r="F28" s="14">
        <f t="shared" si="4"/>
        <v>46056</v>
      </c>
      <c r="G28" s="16">
        <f>_xlfn.XLOOKUP(F28,FX!$A$12:$A$910,FX!$B$12:$B$910,"",-1)</f>
        <v>1.1616</v>
      </c>
      <c r="H28" s="3">
        <f t="shared" si="1"/>
        <v>0</v>
      </c>
      <c r="I28" s="3">
        <f t="shared" si="2"/>
        <v>0</v>
      </c>
      <c r="J28" s="3">
        <f t="shared" si="3"/>
        <v>0</v>
      </c>
      <c r="S28" s="3">
        <f t="shared" si="0"/>
        <v>0</v>
      </c>
    </row>
    <row r="29" spans="6:19" x14ac:dyDescent="0.25">
      <c r="F29" s="14">
        <f t="shared" si="4"/>
        <v>46063</v>
      </c>
      <c r="G29" s="16">
        <f>_xlfn.XLOOKUP(F29,FX!$A$12:$A$910,FX!$B$12:$B$910,"",-1)</f>
        <v>1.1717</v>
      </c>
      <c r="H29" s="3">
        <f t="shared" si="1"/>
        <v>0</v>
      </c>
      <c r="I29" s="3">
        <f t="shared" si="2"/>
        <v>0</v>
      </c>
      <c r="J29" s="3">
        <f t="shared" si="3"/>
        <v>0</v>
      </c>
      <c r="S29" s="3">
        <f t="shared" si="0"/>
        <v>0</v>
      </c>
    </row>
    <row r="30" spans="6:19" x14ac:dyDescent="0.25">
      <c r="F30" s="14">
        <f t="shared" si="4"/>
        <v>46070</v>
      </c>
      <c r="G30" s="16">
        <f>_xlfn.XLOOKUP(F30,FX!$A$12:$A$910,FX!$B$12:$B$910,"",-1)</f>
        <v>1.1709000000000001</v>
      </c>
      <c r="H30" s="3">
        <f t="shared" si="1"/>
        <v>0</v>
      </c>
      <c r="I30" s="3">
        <f t="shared" si="2"/>
        <v>0</v>
      </c>
      <c r="J30" s="3">
        <f t="shared" si="3"/>
        <v>0</v>
      </c>
      <c r="S30" s="3">
        <f t="shared" si="0"/>
        <v>0</v>
      </c>
    </row>
    <row r="31" spans="6:19" x14ac:dyDescent="0.25">
      <c r="F31" s="14">
        <f t="shared" si="4"/>
        <v>46077</v>
      </c>
      <c r="G31" s="16">
        <f>_xlfn.XLOOKUP(F31,FX!$A$12:$A$910,FX!$B$12:$B$910,"",-1)</f>
        <v>1.1850000000000001</v>
      </c>
      <c r="H31" s="3">
        <f t="shared" ref="H31:H61" si="5">B31/$G31</f>
        <v>0</v>
      </c>
      <c r="I31" s="3">
        <f t="shared" ref="I31:I61" si="6">C31/$G31</f>
        <v>0</v>
      </c>
      <c r="J31" s="3">
        <f t="shared" ref="J31:J61" si="7">D31/$G31</f>
        <v>0</v>
      </c>
      <c r="S31" s="3">
        <f t="shared" si="0"/>
        <v>0</v>
      </c>
    </row>
    <row r="32" spans="6:19" x14ac:dyDescent="0.25">
      <c r="F32" s="14">
        <f t="shared" si="4"/>
        <v>46084</v>
      </c>
      <c r="G32" s="16">
        <f>_xlfn.XLOOKUP(F32,FX!$A$12:$A$910,FX!$B$12:$B$910,"",-1)</f>
        <v>1.1966000000000001</v>
      </c>
      <c r="H32" s="3">
        <f t="shared" si="5"/>
        <v>0</v>
      </c>
      <c r="I32" s="3">
        <f t="shared" si="6"/>
        <v>0</v>
      </c>
      <c r="J32" s="3">
        <f t="shared" si="7"/>
        <v>0</v>
      </c>
      <c r="S32" s="3">
        <f t="shared" si="0"/>
        <v>0</v>
      </c>
    </row>
    <row r="33" spans="6:19" x14ac:dyDescent="0.25">
      <c r="F33" s="14">
        <f t="shared" si="4"/>
        <v>46091</v>
      </c>
      <c r="G33" s="16">
        <f>_xlfn.XLOOKUP(F33,FX!$A$12:$A$910,FX!$B$12:$B$910,"",-1)</f>
        <v>1.1949000000000001</v>
      </c>
      <c r="H33" s="3">
        <f t="shared" si="5"/>
        <v>0</v>
      </c>
      <c r="I33" s="3">
        <f t="shared" si="6"/>
        <v>0</v>
      </c>
      <c r="J33" s="3">
        <f t="shared" si="7"/>
        <v>0</v>
      </c>
      <c r="S33" s="3">
        <f t="shared" si="0"/>
        <v>0</v>
      </c>
    </row>
    <row r="34" spans="6:19" x14ac:dyDescent="0.25">
      <c r="F34" s="14">
        <f t="shared" si="4"/>
        <v>46098</v>
      </c>
      <c r="G34" s="16">
        <f>_xlfn.XLOOKUP(F34,FX!$A$12:$A$910,FX!$B$12:$B$910,"",-1)</f>
        <v>1.2109000000000001</v>
      </c>
      <c r="H34" s="3">
        <f t="shared" si="5"/>
        <v>0</v>
      </c>
      <c r="I34" s="3">
        <f t="shared" si="6"/>
        <v>0</v>
      </c>
      <c r="J34" s="3">
        <f t="shared" si="7"/>
        <v>0</v>
      </c>
      <c r="S34" s="3">
        <f t="shared" si="0"/>
        <v>0</v>
      </c>
    </row>
    <row r="35" spans="6:19" x14ac:dyDescent="0.25">
      <c r="F35" s="14">
        <f t="shared" si="4"/>
        <v>46105</v>
      </c>
      <c r="G35" s="16">
        <f>_xlfn.XLOOKUP(F35,FX!$A$12:$A$910,FX!$B$12:$B$910,"",-1)</f>
        <v>1.1949000000000001</v>
      </c>
      <c r="H35" s="3">
        <f t="shared" si="5"/>
        <v>0</v>
      </c>
      <c r="I35" s="3">
        <f t="shared" si="6"/>
        <v>0</v>
      </c>
      <c r="J35" s="3">
        <f t="shared" si="7"/>
        <v>0</v>
      </c>
      <c r="S35" s="3">
        <f t="shared" si="0"/>
        <v>0</v>
      </c>
    </row>
    <row r="36" spans="6:19" x14ac:dyDescent="0.25">
      <c r="F36" s="14">
        <f t="shared" si="4"/>
        <v>46112</v>
      </c>
      <c r="G36" s="16">
        <f>_xlfn.XLOOKUP(F36,FX!$A$12:$A$910,FX!$B$12:$B$910,"",-1)</f>
        <v>1.1992</v>
      </c>
      <c r="H36" s="3">
        <f t="shared" si="5"/>
        <v>0</v>
      </c>
      <c r="I36" s="3">
        <f t="shared" si="6"/>
        <v>0</v>
      </c>
      <c r="J36" s="3">
        <f t="shared" si="7"/>
        <v>0</v>
      </c>
      <c r="S36" s="3">
        <f t="shared" si="0"/>
        <v>0</v>
      </c>
    </row>
    <row r="37" spans="6:19" x14ac:dyDescent="0.25">
      <c r="F37" s="14">
        <f t="shared" si="4"/>
        <v>46119</v>
      </c>
      <c r="G37" s="16">
        <f>_xlfn.XLOOKUP(F37,FX!$A$12:$A$910,FX!$B$12:$B$910,"",-1)</f>
        <v>1.2129000000000001</v>
      </c>
      <c r="H37" s="3">
        <f t="shared" si="5"/>
        <v>0</v>
      </c>
      <c r="I37" s="3">
        <f t="shared" si="6"/>
        <v>0</v>
      </c>
      <c r="J37" s="3">
        <f t="shared" si="7"/>
        <v>0</v>
      </c>
      <c r="S37" s="3">
        <f t="shared" si="0"/>
        <v>0</v>
      </c>
    </row>
    <row r="38" spans="6:19" x14ac:dyDescent="0.25">
      <c r="F38" s="14">
        <f t="shared" si="4"/>
        <v>46126</v>
      </c>
      <c r="G38" s="16">
        <f>_xlfn.XLOOKUP(F38,FX!$A$12:$A$910,FX!$B$12:$B$910,"",-1)</f>
        <v>1.2061999999999999</v>
      </c>
      <c r="H38" s="3">
        <f t="shared" si="5"/>
        <v>0</v>
      </c>
      <c r="I38" s="3">
        <f t="shared" si="6"/>
        <v>0</v>
      </c>
      <c r="J38" s="3">
        <f t="shared" si="7"/>
        <v>0</v>
      </c>
      <c r="S38" s="3">
        <f t="shared" si="0"/>
        <v>0</v>
      </c>
    </row>
    <row r="39" spans="6:19" x14ac:dyDescent="0.25">
      <c r="F39" s="14">
        <f t="shared" si="4"/>
        <v>46133</v>
      </c>
      <c r="G39" s="16">
        <f>_xlfn.XLOOKUP(F39,FX!$A$12:$A$910,FX!$B$12:$B$910,"",-1)</f>
        <v>1.2126999999999999</v>
      </c>
      <c r="H39" s="3">
        <f t="shared" si="5"/>
        <v>0</v>
      </c>
      <c r="I39" s="3">
        <f t="shared" si="6"/>
        <v>0</v>
      </c>
      <c r="J39" s="3">
        <f t="shared" si="7"/>
        <v>0</v>
      </c>
      <c r="S39" s="3">
        <f t="shared" si="0"/>
        <v>0</v>
      </c>
    </row>
    <row r="40" spans="6:19" x14ac:dyDescent="0.25">
      <c r="F40" s="14">
        <f t="shared" si="4"/>
        <v>46140</v>
      </c>
      <c r="G40" s="16">
        <f>_xlfn.XLOOKUP(F40,FX!$A$12:$A$910,FX!$B$12:$B$910,"",-1)</f>
        <v>1.2168000000000001</v>
      </c>
      <c r="H40" s="3">
        <f t="shared" si="5"/>
        <v>0</v>
      </c>
      <c r="I40" s="3">
        <f t="shared" si="6"/>
        <v>0</v>
      </c>
      <c r="J40" s="3">
        <f t="shared" si="7"/>
        <v>0</v>
      </c>
      <c r="S40" s="3">
        <f t="shared" si="0"/>
        <v>0</v>
      </c>
    </row>
    <row r="41" spans="6:19" x14ac:dyDescent="0.25">
      <c r="F41" s="14">
        <f t="shared" si="4"/>
        <v>46147</v>
      </c>
      <c r="G41" s="16">
        <f>_xlfn.XLOOKUP(F41,FX!$A$12:$A$910,FX!$B$12:$B$910,"",-1)</f>
        <v>1.2169000000000001</v>
      </c>
      <c r="H41" s="3">
        <f t="shared" si="5"/>
        <v>0</v>
      </c>
      <c r="I41" s="3">
        <f t="shared" si="6"/>
        <v>0</v>
      </c>
      <c r="J41" s="3">
        <f t="shared" si="7"/>
        <v>0</v>
      </c>
      <c r="S41" s="3">
        <f t="shared" si="0"/>
        <v>0</v>
      </c>
    </row>
    <row r="42" spans="6:19" x14ac:dyDescent="0.25">
      <c r="F42" s="14">
        <f t="shared" si="4"/>
        <v>46154</v>
      </c>
      <c r="G42" s="16">
        <f>_xlfn.XLOOKUP(F42,FX!$A$12:$A$910,FX!$B$12:$B$910,"",-1)</f>
        <v>1.2141</v>
      </c>
      <c r="H42" s="3">
        <f t="shared" si="5"/>
        <v>0</v>
      </c>
      <c r="I42" s="3">
        <f t="shared" si="6"/>
        <v>0</v>
      </c>
      <c r="J42" s="3">
        <f t="shared" si="7"/>
        <v>0</v>
      </c>
      <c r="S42" s="3">
        <f t="shared" si="0"/>
        <v>0</v>
      </c>
    </row>
    <row r="43" spans="6:19" x14ac:dyDescent="0.25">
      <c r="F43" s="14">
        <f t="shared" si="4"/>
        <v>46161</v>
      </c>
      <c r="G43" s="16">
        <f>_xlfn.XLOOKUP(F43,FX!$A$12:$A$910,FX!$B$12:$B$910,"",-1)</f>
        <v>1.2179</v>
      </c>
      <c r="H43" s="3">
        <f t="shared" si="5"/>
        <v>0</v>
      </c>
      <c r="I43" s="3">
        <f t="shared" si="6"/>
        <v>0</v>
      </c>
      <c r="J43" s="3">
        <f t="shared" si="7"/>
        <v>0</v>
      </c>
      <c r="S43" s="3">
        <f t="shared" si="0"/>
        <v>0</v>
      </c>
    </row>
    <row r="44" spans="6:19" x14ac:dyDescent="0.25">
      <c r="F44" s="14">
        <f t="shared" si="4"/>
        <v>46168</v>
      </c>
      <c r="G44" s="16">
        <f>_xlfn.XLOOKUP(F44,FX!$A$12:$A$910,FX!$B$12:$B$910,"",-1)</f>
        <v>1.2248000000000001</v>
      </c>
      <c r="H44" s="3">
        <f t="shared" si="5"/>
        <v>0</v>
      </c>
      <c r="I44" s="3">
        <f t="shared" si="6"/>
        <v>0</v>
      </c>
      <c r="J44" s="3">
        <f t="shared" si="7"/>
        <v>0</v>
      </c>
      <c r="S44" s="3">
        <f t="shared" si="0"/>
        <v>0</v>
      </c>
    </row>
    <row r="45" spans="6:19" x14ac:dyDescent="0.25">
      <c r="F45" s="14">
        <f t="shared" si="4"/>
        <v>46175</v>
      </c>
      <c r="G45" s="16">
        <f>_xlfn.XLOOKUP(F45,FX!$A$12:$A$910,FX!$B$12:$B$910,"",-1)</f>
        <v>1.2071000000000001</v>
      </c>
      <c r="H45" s="3">
        <f t="shared" si="5"/>
        <v>0</v>
      </c>
      <c r="I45" s="3">
        <f t="shared" si="6"/>
        <v>0</v>
      </c>
      <c r="J45" s="3">
        <f t="shared" si="7"/>
        <v>0</v>
      </c>
      <c r="S45" s="3">
        <f t="shared" si="0"/>
        <v>0</v>
      </c>
    </row>
    <row r="46" spans="6:19" x14ac:dyDescent="0.25">
      <c r="F46" s="14">
        <f t="shared" si="4"/>
        <v>46182</v>
      </c>
      <c r="G46" s="16">
        <f>_xlfn.XLOOKUP(F46,FX!$A$12:$A$910,FX!$B$12:$B$910,"",-1)</f>
        <v>1.2088000000000001</v>
      </c>
      <c r="H46" s="3">
        <f t="shared" si="5"/>
        <v>0</v>
      </c>
      <c r="I46" s="3">
        <f t="shared" si="6"/>
        <v>0</v>
      </c>
      <c r="J46" s="3">
        <f t="shared" si="7"/>
        <v>0</v>
      </c>
      <c r="S46" s="3">
        <f t="shared" si="0"/>
        <v>0</v>
      </c>
    </row>
    <row r="47" spans="6:19" x14ac:dyDescent="0.25">
      <c r="F47" s="14">
        <f t="shared" si="4"/>
        <v>46189</v>
      </c>
      <c r="G47" s="16">
        <f>_xlfn.XLOOKUP(F47,FX!$A$12:$A$910,FX!$B$12:$B$910,"",-1)</f>
        <v>1.2131000000000001</v>
      </c>
      <c r="H47" s="3">
        <f t="shared" si="5"/>
        <v>0</v>
      </c>
      <c r="I47" s="3">
        <f t="shared" si="6"/>
        <v>0</v>
      </c>
      <c r="J47" s="3">
        <f t="shared" si="7"/>
        <v>0</v>
      </c>
      <c r="S47" s="3">
        <f t="shared" si="0"/>
        <v>0</v>
      </c>
    </row>
    <row r="48" spans="6:19" x14ac:dyDescent="0.25">
      <c r="F48" s="14">
        <f t="shared" si="4"/>
        <v>46196</v>
      </c>
      <c r="G48" s="16">
        <f>_xlfn.XLOOKUP(F48,FX!$A$12:$A$910,FX!$B$12:$B$910,"",-1)</f>
        <v>1.2230000000000001</v>
      </c>
      <c r="H48" s="3">
        <f t="shared" si="5"/>
        <v>0</v>
      </c>
      <c r="I48" s="3">
        <f t="shared" si="6"/>
        <v>0</v>
      </c>
      <c r="J48" s="3">
        <f t="shared" si="7"/>
        <v>0</v>
      </c>
      <c r="S48" s="3">
        <f t="shared" si="0"/>
        <v>0</v>
      </c>
    </row>
    <row r="49" spans="6:19" x14ac:dyDescent="0.25">
      <c r="F49" s="14">
        <f t="shared" si="4"/>
        <v>46203</v>
      </c>
      <c r="G49" s="16">
        <f>_xlfn.XLOOKUP(F49,FX!$A$12:$A$910,FX!$B$12:$B$910,"",-1)</f>
        <v>1.2165999999999999</v>
      </c>
      <c r="H49" s="3">
        <f t="shared" si="5"/>
        <v>0</v>
      </c>
      <c r="I49" s="3">
        <f t="shared" si="6"/>
        <v>0</v>
      </c>
      <c r="J49" s="3">
        <f t="shared" si="7"/>
        <v>0</v>
      </c>
      <c r="S49" s="3">
        <f t="shared" si="0"/>
        <v>0</v>
      </c>
    </row>
    <row r="50" spans="6:19" x14ac:dyDescent="0.25">
      <c r="F50" s="14">
        <f t="shared" si="4"/>
        <v>46210</v>
      </c>
      <c r="G50" s="16">
        <f>_xlfn.XLOOKUP(F50,FX!$A$12:$A$910,FX!$B$12:$B$910,"",-1)</f>
        <v>1.2196</v>
      </c>
      <c r="H50" s="3">
        <f t="shared" si="5"/>
        <v>0</v>
      </c>
      <c r="I50" s="3">
        <f t="shared" si="6"/>
        <v>0</v>
      </c>
      <c r="J50" s="3">
        <f t="shared" si="7"/>
        <v>0</v>
      </c>
      <c r="S50" s="3">
        <f t="shared" si="0"/>
        <v>0</v>
      </c>
    </row>
    <row r="51" spans="6:19" x14ac:dyDescent="0.25">
      <c r="F51" s="14">
        <f t="shared" si="4"/>
        <v>46217</v>
      </c>
      <c r="G51" s="16">
        <f>_xlfn.XLOOKUP(F51,FX!$A$12:$A$910,FX!$B$12:$B$910,"",-1)</f>
        <v>1.1967000000000001</v>
      </c>
      <c r="H51" s="3">
        <f t="shared" si="5"/>
        <v>0</v>
      </c>
      <c r="I51" s="3">
        <f t="shared" si="6"/>
        <v>0</v>
      </c>
      <c r="J51" s="3">
        <f t="shared" si="7"/>
        <v>0</v>
      </c>
      <c r="S51" s="3">
        <f t="shared" si="0"/>
        <v>0</v>
      </c>
    </row>
    <row r="52" spans="6:19" x14ac:dyDescent="0.25">
      <c r="F52" s="14">
        <f t="shared" si="4"/>
        <v>46224</v>
      </c>
      <c r="G52" s="16">
        <f>_xlfn.XLOOKUP(F52,FX!$A$12:$A$910,FX!$B$12:$B$910,"",-1)</f>
        <v>1.1955</v>
      </c>
      <c r="H52" s="3">
        <f t="shared" si="5"/>
        <v>0</v>
      </c>
      <c r="I52" s="3">
        <f t="shared" si="6"/>
        <v>0</v>
      </c>
      <c r="J52" s="3">
        <f t="shared" si="7"/>
        <v>0</v>
      </c>
      <c r="S52" s="3">
        <f t="shared" si="0"/>
        <v>0</v>
      </c>
    </row>
    <row r="53" spans="6:19" x14ac:dyDescent="0.25">
      <c r="F53" s="14">
        <f t="shared" si="4"/>
        <v>46231</v>
      </c>
      <c r="G53" s="16">
        <f>_xlfn.XLOOKUP(F53,FX!$A$12:$A$910,FX!$B$12:$B$910,"",-1)</f>
        <v>1.2082999999999999</v>
      </c>
      <c r="H53" s="3">
        <f t="shared" si="5"/>
        <v>0</v>
      </c>
      <c r="I53" s="3">
        <f t="shared" si="6"/>
        <v>0</v>
      </c>
      <c r="J53" s="3">
        <f t="shared" si="7"/>
        <v>0</v>
      </c>
      <c r="S53" s="3">
        <f t="shared" si="0"/>
        <v>0</v>
      </c>
    </row>
    <row r="54" spans="6:19" x14ac:dyDescent="0.25">
      <c r="F54" s="14">
        <f t="shared" si="4"/>
        <v>46238</v>
      </c>
      <c r="G54" s="16">
        <f>_xlfn.XLOOKUP(F54,FX!$A$12:$A$910,FX!$B$12:$B$910,"",-1)</f>
        <v>1.198</v>
      </c>
      <c r="H54" s="3">
        <f t="shared" si="5"/>
        <v>0</v>
      </c>
      <c r="I54" s="3">
        <f t="shared" si="6"/>
        <v>0</v>
      </c>
      <c r="J54" s="3">
        <f t="shared" si="7"/>
        <v>0</v>
      </c>
      <c r="S54" s="3">
        <f t="shared" si="0"/>
        <v>0</v>
      </c>
    </row>
    <row r="55" spans="6:19" x14ac:dyDescent="0.25">
      <c r="F55" s="14">
        <f t="shared" si="4"/>
        <v>46245</v>
      </c>
      <c r="G55" s="16">
        <f>_xlfn.XLOOKUP(F55,FX!$A$12:$A$910,FX!$B$12:$B$910,"",-1)</f>
        <v>1.198</v>
      </c>
      <c r="H55" s="3">
        <f t="shared" si="5"/>
        <v>0</v>
      </c>
      <c r="I55" s="3">
        <f t="shared" si="6"/>
        <v>0</v>
      </c>
      <c r="J55" s="3">
        <f t="shared" si="7"/>
        <v>0</v>
      </c>
      <c r="S55" s="3">
        <f t="shared" si="0"/>
        <v>0</v>
      </c>
    </row>
    <row r="56" spans="6:19" x14ac:dyDescent="0.25">
      <c r="F56" s="14">
        <f t="shared" si="4"/>
        <v>46252</v>
      </c>
      <c r="G56" s="16">
        <f>_xlfn.XLOOKUP(F56,FX!$A$12:$A$910,FX!$B$12:$B$910,"",-1)</f>
        <v>1.198</v>
      </c>
      <c r="H56" s="3">
        <f t="shared" si="5"/>
        <v>0</v>
      </c>
      <c r="I56" s="3">
        <f t="shared" si="6"/>
        <v>0</v>
      </c>
      <c r="J56" s="3">
        <f t="shared" si="7"/>
        <v>0</v>
      </c>
      <c r="S56" s="3">
        <f t="shared" si="0"/>
        <v>0</v>
      </c>
    </row>
    <row r="57" spans="6:19" x14ac:dyDescent="0.25">
      <c r="F57" s="14">
        <f t="shared" si="4"/>
        <v>46259</v>
      </c>
      <c r="G57" s="16">
        <f>_xlfn.XLOOKUP(F57,FX!$A$12:$A$910,FX!$B$12:$B$910,"",-1)</f>
        <v>1.198</v>
      </c>
      <c r="H57" s="3">
        <f t="shared" si="5"/>
        <v>0</v>
      </c>
      <c r="I57" s="3">
        <f t="shared" si="6"/>
        <v>0</v>
      </c>
      <c r="J57" s="3">
        <f t="shared" si="7"/>
        <v>0</v>
      </c>
      <c r="S57" s="3">
        <f t="shared" si="0"/>
        <v>0</v>
      </c>
    </row>
    <row r="58" spans="6:19" x14ac:dyDescent="0.25">
      <c r="F58" s="14">
        <f t="shared" si="4"/>
        <v>46266</v>
      </c>
      <c r="G58" s="16">
        <f>_xlfn.XLOOKUP(F58,FX!$A$12:$A$910,FX!$B$12:$B$910,"",-1)</f>
        <v>1.198</v>
      </c>
      <c r="H58" s="3">
        <f t="shared" si="5"/>
        <v>0</v>
      </c>
      <c r="I58" s="3">
        <f t="shared" si="6"/>
        <v>0</v>
      </c>
      <c r="J58" s="3">
        <f t="shared" si="7"/>
        <v>0</v>
      </c>
      <c r="S58" s="3">
        <f t="shared" si="0"/>
        <v>0</v>
      </c>
    </row>
    <row r="59" spans="6:19" x14ac:dyDescent="0.25">
      <c r="F59" s="14">
        <f t="shared" si="4"/>
        <v>46273</v>
      </c>
      <c r="G59" s="16">
        <f>_xlfn.XLOOKUP(F59,FX!$A$12:$A$910,FX!$B$12:$B$910,"",-1)</f>
        <v>1.198</v>
      </c>
      <c r="H59" s="3">
        <f t="shared" si="5"/>
        <v>0</v>
      </c>
      <c r="I59" s="3">
        <f t="shared" si="6"/>
        <v>0</v>
      </c>
      <c r="J59" s="3">
        <f t="shared" si="7"/>
        <v>0</v>
      </c>
      <c r="S59" s="3">
        <f t="shared" si="0"/>
        <v>0</v>
      </c>
    </row>
    <row r="60" spans="6:19" x14ac:dyDescent="0.25">
      <c r="F60" s="14">
        <f t="shared" si="4"/>
        <v>46280</v>
      </c>
      <c r="G60" s="16">
        <f>_xlfn.XLOOKUP(F60,FX!$A$12:$A$910,FX!$B$12:$B$910,"",-1)</f>
        <v>1.198</v>
      </c>
      <c r="H60" s="3">
        <f t="shared" si="5"/>
        <v>0</v>
      </c>
      <c r="I60" s="3">
        <f t="shared" si="6"/>
        <v>0</v>
      </c>
      <c r="J60" s="3">
        <f t="shared" si="7"/>
        <v>0</v>
      </c>
      <c r="S60" s="3">
        <f t="shared" si="0"/>
        <v>0</v>
      </c>
    </row>
    <row r="61" spans="6:19" x14ac:dyDescent="0.25">
      <c r="F61" s="14">
        <f t="shared" si="4"/>
        <v>46287</v>
      </c>
      <c r="G61" s="16">
        <f>_xlfn.XLOOKUP(F61,FX!$A$12:$A$910,FX!$B$12:$B$910,"",-1)</f>
        <v>1.198</v>
      </c>
      <c r="H61" s="3">
        <f t="shared" si="5"/>
        <v>0</v>
      </c>
      <c r="I61" s="3">
        <f t="shared" si="6"/>
        <v>0</v>
      </c>
      <c r="J61" s="3">
        <f t="shared" si="7"/>
        <v>0</v>
      </c>
      <c r="S61" s="3">
        <f t="shared" si="0"/>
        <v>0</v>
      </c>
    </row>
    <row r="62" spans="6:19" x14ac:dyDescent="0.25">
      <c r="F62" s="14">
        <f t="shared" si="4"/>
        <v>46294</v>
      </c>
      <c r="G62" s="16">
        <f>_xlfn.XLOOKUP(F62,FX!$A$12:$A$910,FX!$B$12:$B$910,"",-1)</f>
        <v>1.198</v>
      </c>
      <c r="H62" s="3">
        <f t="shared" ref="H62:H107" si="8">B62/$G62</f>
        <v>0</v>
      </c>
      <c r="I62" s="3">
        <f t="shared" ref="I62:I107" si="9">C62/$G62</f>
        <v>0</v>
      </c>
      <c r="J62" s="3">
        <f t="shared" ref="J62:J107" si="10">D62/$G62</f>
        <v>0</v>
      </c>
      <c r="S62" s="3">
        <f t="shared" si="0"/>
        <v>0</v>
      </c>
    </row>
    <row r="63" spans="6:19" x14ac:dyDescent="0.25">
      <c r="F63" s="14">
        <f t="shared" si="4"/>
        <v>46301</v>
      </c>
      <c r="G63" s="16">
        <f>_xlfn.XLOOKUP(F63,FX!$A$12:$A$910,FX!$B$12:$B$910,"",-1)</f>
        <v>1.198</v>
      </c>
      <c r="H63" s="3">
        <f t="shared" si="8"/>
        <v>0</v>
      </c>
      <c r="I63" s="3">
        <f t="shared" si="9"/>
        <v>0</v>
      </c>
      <c r="J63" s="3">
        <f t="shared" si="10"/>
        <v>0</v>
      </c>
      <c r="S63" s="3">
        <f t="shared" si="0"/>
        <v>0</v>
      </c>
    </row>
    <row r="64" spans="6:19" x14ac:dyDescent="0.25">
      <c r="F64" s="14">
        <f t="shared" si="4"/>
        <v>46308</v>
      </c>
      <c r="G64" s="16">
        <f>_xlfn.XLOOKUP(F64,FX!$A$12:$A$910,FX!$B$12:$B$910,"",-1)</f>
        <v>1.198</v>
      </c>
      <c r="H64" s="3">
        <f t="shared" si="8"/>
        <v>0</v>
      </c>
      <c r="I64" s="3">
        <f t="shared" si="9"/>
        <v>0</v>
      </c>
      <c r="J64" s="3">
        <f t="shared" si="10"/>
        <v>0</v>
      </c>
      <c r="S64" s="3">
        <f t="shared" si="0"/>
        <v>0</v>
      </c>
    </row>
    <row r="65" spans="6:19" x14ac:dyDescent="0.25">
      <c r="F65" s="14">
        <f t="shared" si="4"/>
        <v>46315</v>
      </c>
      <c r="G65" s="16">
        <f>_xlfn.XLOOKUP(F65,FX!$A$12:$A$910,FX!$B$12:$B$910,"",-1)</f>
        <v>1.198</v>
      </c>
      <c r="H65" s="3">
        <f t="shared" si="8"/>
        <v>0</v>
      </c>
      <c r="I65" s="3">
        <f t="shared" si="9"/>
        <v>0</v>
      </c>
      <c r="J65" s="3">
        <f t="shared" si="10"/>
        <v>0</v>
      </c>
      <c r="S65" s="3">
        <f t="shared" si="0"/>
        <v>0</v>
      </c>
    </row>
    <row r="66" spans="6:19" x14ac:dyDescent="0.25">
      <c r="F66" s="14">
        <f t="shared" si="4"/>
        <v>46322</v>
      </c>
      <c r="G66" s="16">
        <f>_xlfn.XLOOKUP(F66,FX!$A$12:$A$910,FX!$B$12:$B$910,"",-1)</f>
        <v>1.198</v>
      </c>
      <c r="H66" s="3">
        <f t="shared" si="8"/>
        <v>0</v>
      </c>
      <c r="I66" s="3">
        <f t="shared" si="9"/>
        <v>0</v>
      </c>
      <c r="J66" s="3">
        <f t="shared" si="10"/>
        <v>0</v>
      </c>
      <c r="S66" s="3">
        <f t="shared" si="0"/>
        <v>0</v>
      </c>
    </row>
    <row r="67" spans="6:19" x14ac:dyDescent="0.25">
      <c r="F67" s="14">
        <f t="shared" si="4"/>
        <v>46329</v>
      </c>
      <c r="G67" s="16">
        <f>_xlfn.XLOOKUP(F67,FX!$A$12:$A$910,FX!$B$12:$B$910,"",-1)</f>
        <v>1.198</v>
      </c>
      <c r="H67" s="3">
        <f t="shared" si="8"/>
        <v>0</v>
      </c>
      <c r="I67" s="3">
        <f t="shared" si="9"/>
        <v>0</v>
      </c>
      <c r="J67" s="3">
        <f t="shared" si="10"/>
        <v>0</v>
      </c>
      <c r="S67" s="3">
        <f t="shared" si="0"/>
        <v>0</v>
      </c>
    </row>
    <row r="68" spans="6:19" x14ac:dyDescent="0.25">
      <c r="F68" s="14">
        <f t="shared" si="4"/>
        <v>46336</v>
      </c>
      <c r="G68" s="16">
        <f>_xlfn.XLOOKUP(F68,FX!$A$12:$A$910,FX!$B$12:$B$910,"",-1)</f>
        <v>1.198</v>
      </c>
      <c r="H68" s="3">
        <f t="shared" si="8"/>
        <v>0</v>
      </c>
      <c r="I68" s="3">
        <f t="shared" si="9"/>
        <v>0</v>
      </c>
      <c r="J68" s="3">
        <f t="shared" si="10"/>
        <v>0</v>
      </c>
      <c r="S68" s="3">
        <f t="shared" si="0"/>
        <v>0</v>
      </c>
    </row>
    <row r="69" spans="6:19" x14ac:dyDescent="0.25">
      <c r="F69" s="14">
        <f t="shared" si="4"/>
        <v>46343</v>
      </c>
      <c r="G69" s="16">
        <f>_xlfn.XLOOKUP(F69,FX!$A$12:$A$910,FX!$B$12:$B$910,"",-1)</f>
        <v>1.198</v>
      </c>
      <c r="H69" s="3">
        <f t="shared" si="8"/>
        <v>0</v>
      </c>
      <c r="I69" s="3">
        <f t="shared" si="9"/>
        <v>0</v>
      </c>
      <c r="J69" s="3">
        <f t="shared" si="10"/>
        <v>0</v>
      </c>
      <c r="S69" s="3">
        <f t="shared" si="0"/>
        <v>0</v>
      </c>
    </row>
    <row r="70" spans="6:19" x14ac:dyDescent="0.25">
      <c r="F70" s="14">
        <f t="shared" si="4"/>
        <v>46350</v>
      </c>
      <c r="G70" s="16">
        <f>_xlfn.XLOOKUP(F70,FX!$A$12:$A$910,FX!$B$12:$B$910,"",-1)</f>
        <v>1.198</v>
      </c>
      <c r="H70" s="3">
        <f t="shared" si="8"/>
        <v>0</v>
      </c>
      <c r="I70" s="3">
        <f t="shared" si="9"/>
        <v>0</v>
      </c>
      <c r="J70" s="3">
        <f t="shared" si="10"/>
        <v>0</v>
      </c>
      <c r="S70" s="3">
        <f t="shared" si="0"/>
        <v>0</v>
      </c>
    </row>
    <row r="71" spans="6:19" x14ac:dyDescent="0.25">
      <c r="F71" s="14">
        <f t="shared" si="4"/>
        <v>46357</v>
      </c>
      <c r="G71" s="16">
        <f>_xlfn.XLOOKUP(F71,FX!$A$12:$A$910,FX!$B$12:$B$910,"",-1)</f>
        <v>1.198</v>
      </c>
      <c r="H71" s="3">
        <f t="shared" si="8"/>
        <v>0</v>
      </c>
      <c r="I71" s="3">
        <f t="shared" si="9"/>
        <v>0</v>
      </c>
      <c r="J71" s="3">
        <f t="shared" si="10"/>
        <v>0</v>
      </c>
      <c r="S71" s="3">
        <f t="shared" si="0"/>
        <v>0</v>
      </c>
    </row>
    <row r="72" spans="6:19" x14ac:dyDescent="0.25">
      <c r="F72" s="14">
        <f t="shared" si="4"/>
        <v>46364</v>
      </c>
      <c r="G72" s="16">
        <f>_xlfn.XLOOKUP(F72,FX!$A$12:$A$910,FX!$B$12:$B$910,"",-1)</f>
        <v>1.198</v>
      </c>
      <c r="H72" s="3">
        <f t="shared" si="8"/>
        <v>0</v>
      </c>
      <c r="I72" s="3">
        <f t="shared" si="9"/>
        <v>0</v>
      </c>
      <c r="J72" s="3">
        <f t="shared" si="10"/>
        <v>0</v>
      </c>
      <c r="S72" s="3">
        <f t="shared" si="0"/>
        <v>0</v>
      </c>
    </row>
    <row r="73" spans="6:19" x14ac:dyDescent="0.25">
      <c r="F73" s="14">
        <f t="shared" si="4"/>
        <v>46371</v>
      </c>
      <c r="G73" s="16">
        <f>_xlfn.XLOOKUP(F73,FX!$A$12:$A$910,FX!$B$12:$B$910,"",-1)</f>
        <v>1.198</v>
      </c>
      <c r="H73" s="3">
        <f t="shared" si="8"/>
        <v>0</v>
      </c>
      <c r="I73" s="3">
        <f t="shared" si="9"/>
        <v>0</v>
      </c>
      <c r="J73" s="3">
        <f t="shared" si="10"/>
        <v>0</v>
      </c>
      <c r="S73" s="3">
        <f t="shared" ref="S73:S136" si="11">J73+N73+O73</f>
        <v>0</v>
      </c>
    </row>
    <row r="74" spans="6:19" x14ac:dyDescent="0.25">
      <c r="F74" s="14">
        <f t="shared" si="4"/>
        <v>46378</v>
      </c>
      <c r="G74" s="16">
        <f>_xlfn.XLOOKUP(F74,FX!$A$12:$A$910,FX!$B$12:$B$910,"",-1)</f>
        <v>1.198</v>
      </c>
      <c r="H74" s="3">
        <f t="shared" si="8"/>
        <v>0</v>
      </c>
      <c r="I74" s="3">
        <f t="shared" si="9"/>
        <v>0</v>
      </c>
      <c r="J74" s="3">
        <f t="shared" si="10"/>
        <v>0</v>
      </c>
      <c r="S74" s="3">
        <f t="shared" si="11"/>
        <v>0</v>
      </c>
    </row>
    <row r="75" spans="6:19" x14ac:dyDescent="0.25">
      <c r="F75" s="14">
        <f t="shared" si="4"/>
        <v>46385</v>
      </c>
      <c r="G75" s="16">
        <f>_xlfn.XLOOKUP(F75,FX!$A$12:$A$910,FX!$B$12:$B$910,"",-1)</f>
        <v>1.198</v>
      </c>
      <c r="H75" s="3">
        <f t="shared" si="8"/>
        <v>0</v>
      </c>
      <c r="I75" s="3">
        <f t="shared" si="9"/>
        <v>0</v>
      </c>
      <c r="J75" s="3">
        <f t="shared" si="10"/>
        <v>0</v>
      </c>
      <c r="S75" s="3">
        <f t="shared" si="11"/>
        <v>0</v>
      </c>
    </row>
    <row r="76" spans="6:19" x14ac:dyDescent="0.25">
      <c r="F76" s="14">
        <f t="shared" ref="F76:F107" si="12">F75+7</f>
        <v>46392</v>
      </c>
      <c r="G76" s="16">
        <f>_xlfn.XLOOKUP(F76,FX!$A$12:$A$910,FX!$B$12:$B$910,"",-1)</f>
        <v>1.198</v>
      </c>
      <c r="H76" s="3">
        <f t="shared" si="8"/>
        <v>0</v>
      </c>
      <c r="I76" s="3">
        <f t="shared" si="9"/>
        <v>0</v>
      </c>
      <c r="J76" s="3">
        <f t="shared" si="10"/>
        <v>0</v>
      </c>
      <c r="S76" s="3">
        <f t="shared" si="11"/>
        <v>0</v>
      </c>
    </row>
    <row r="77" spans="6:19" x14ac:dyDescent="0.25">
      <c r="F77" s="14">
        <f t="shared" si="12"/>
        <v>46399</v>
      </c>
      <c r="G77" s="16">
        <f>_xlfn.XLOOKUP(F77,FX!$A$12:$A$910,FX!$B$12:$B$910,"",-1)</f>
        <v>1.198</v>
      </c>
      <c r="H77" s="3">
        <f t="shared" si="8"/>
        <v>0</v>
      </c>
      <c r="I77" s="3">
        <f t="shared" si="9"/>
        <v>0</v>
      </c>
      <c r="J77" s="3">
        <f t="shared" si="10"/>
        <v>0</v>
      </c>
      <c r="S77" s="3">
        <f t="shared" si="11"/>
        <v>0</v>
      </c>
    </row>
    <row r="78" spans="6:19" x14ac:dyDescent="0.25">
      <c r="F78" s="14">
        <f t="shared" si="12"/>
        <v>46406</v>
      </c>
      <c r="G78" s="16">
        <f>_xlfn.XLOOKUP(F78,FX!$A$12:$A$910,FX!$B$12:$B$910,"",-1)</f>
        <v>1.198</v>
      </c>
      <c r="H78" s="3">
        <f t="shared" si="8"/>
        <v>0</v>
      </c>
      <c r="I78" s="3">
        <f t="shared" si="9"/>
        <v>0</v>
      </c>
      <c r="J78" s="3">
        <f t="shared" si="10"/>
        <v>0</v>
      </c>
      <c r="S78" s="3">
        <f t="shared" si="11"/>
        <v>0</v>
      </c>
    </row>
    <row r="79" spans="6:19" x14ac:dyDescent="0.25">
      <c r="F79" s="14">
        <f t="shared" si="12"/>
        <v>46413</v>
      </c>
      <c r="G79" s="16">
        <f>_xlfn.XLOOKUP(F79,FX!$A$12:$A$910,FX!$B$12:$B$910,"",-1)</f>
        <v>1.198</v>
      </c>
      <c r="H79" s="3">
        <f t="shared" si="8"/>
        <v>0</v>
      </c>
      <c r="I79" s="3">
        <f t="shared" si="9"/>
        <v>0</v>
      </c>
      <c r="J79" s="3">
        <f t="shared" si="10"/>
        <v>0</v>
      </c>
      <c r="S79" s="3">
        <f t="shared" si="11"/>
        <v>0</v>
      </c>
    </row>
    <row r="80" spans="6:19" x14ac:dyDescent="0.25">
      <c r="F80" s="14">
        <f t="shared" si="12"/>
        <v>46420</v>
      </c>
      <c r="G80" s="16">
        <f>_xlfn.XLOOKUP(F80,FX!$A$12:$A$910,FX!$B$12:$B$910,"",-1)</f>
        <v>1.198</v>
      </c>
      <c r="H80" s="3">
        <f t="shared" si="8"/>
        <v>0</v>
      </c>
      <c r="I80" s="3">
        <f t="shared" si="9"/>
        <v>0</v>
      </c>
      <c r="J80" s="3">
        <f t="shared" si="10"/>
        <v>0</v>
      </c>
      <c r="S80" s="3">
        <f t="shared" si="11"/>
        <v>0</v>
      </c>
    </row>
    <row r="81" spans="6:19" x14ac:dyDescent="0.25">
      <c r="F81" s="14">
        <f t="shared" si="12"/>
        <v>46427</v>
      </c>
      <c r="G81" s="16">
        <f>_xlfn.XLOOKUP(F81,FX!$A$12:$A$910,FX!$B$12:$B$910,"",-1)</f>
        <v>1.198</v>
      </c>
      <c r="H81" s="3">
        <f t="shared" si="8"/>
        <v>0</v>
      </c>
      <c r="I81" s="3">
        <f t="shared" si="9"/>
        <v>0</v>
      </c>
      <c r="J81" s="3">
        <f t="shared" si="10"/>
        <v>0</v>
      </c>
      <c r="S81" s="3">
        <f t="shared" si="11"/>
        <v>0</v>
      </c>
    </row>
    <row r="82" spans="6:19" x14ac:dyDescent="0.25">
      <c r="F82" s="14">
        <f t="shared" si="12"/>
        <v>46434</v>
      </c>
      <c r="G82" s="16">
        <f>_xlfn.XLOOKUP(F82,FX!$A$12:$A$910,FX!$B$12:$B$910,"",-1)</f>
        <v>1.198</v>
      </c>
      <c r="H82" s="3">
        <f t="shared" si="8"/>
        <v>0</v>
      </c>
      <c r="I82" s="3">
        <f t="shared" si="9"/>
        <v>0</v>
      </c>
      <c r="J82" s="3">
        <f t="shared" si="10"/>
        <v>0</v>
      </c>
      <c r="S82" s="3">
        <f t="shared" si="11"/>
        <v>0</v>
      </c>
    </row>
    <row r="83" spans="6:19" x14ac:dyDescent="0.25">
      <c r="F83" s="14">
        <f t="shared" si="12"/>
        <v>46441</v>
      </c>
      <c r="G83" s="16">
        <f>_xlfn.XLOOKUP(F83,FX!$A$12:$A$910,FX!$B$12:$B$910,"",-1)</f>
        <v>1.198</v>
      </c>
      <c r="H83" s="3">
        <f t="shared" si="8"/>
        <v>0</v>
      </c>
      <c r="I83" s="3">
        <f t="shared" si="9"/>
        <v>0</v>
      </c>
      <c r="J83" s="3">
        <f t="shared" si="10"/>
        <v>0</v>
      </c>
      <c r="S83" s="3">
        <f t="shared" si="11"/>
        <v>0</v>
      </c>
    </row>
    <row r="84" spans="6:19" x14ac:dyDescent="0.25">
      <c r="F84" s="14">
        <f t="shared" si="12"/>
        <v>46448</v>
      </c>
      <c r="G84" s="16">
        <f>_xlfn.XLOOKUP(F84,FX!$A$12:$A$910,FX!$B$12:$B$910,"",-1)</f>
        <v>1.198</v>
      </c>
      <c r="H84" s="3">
        <f t="shared" si="8"/>
        <v>0</v>
      </c>
      <c r="I84" s="3">
        <f t="shared" si="9"/>
        <v>0</v>
      </c>
      <c r="J84" s="3">
        <f t="shared" si="10"/>
        <v>0</v>
      </c>
      <c r="S84" s="3">
        <f t="shared" si="11"/>
        <v>0</v>
      </c>
    </row>
    <row r="85" spans="6:19" x14ac:dyDescent="0.25">
      <c r="F85" s="14">
        <f t="shared" si="12"/>
        <v>46455</v>
      </c>
      <c r="G85" s="16">
        <f>_xlfn.XLOOKUP(F85,FX!$A$12:$A$910,FX!$B$12:$B$910,"",-1)</f>
        <v>1.198</v>
      </c>
      <c r="H85" s="3">
        <f t="shared" si="8"/>
        <v>0</v>
      </c>
      <c r="I85" s="3">
        <f t="shared" si="9"/>
        <v>0</v>
      </c>
      <c r="J85" s="3">
        <f t="shared" si="10"/>
        <v>0</v>
      </c>
      <c r="S85" s="3">
        <f t="shared" si="11"/>
        <v>0</v>
      </c>
    </row>
    <row r="86" spans="6:19" x14ac:dyDescent="0.25">
      <c r="F86" s="14">
        <f t="shared" si="12"/>
        <v>46462</v>
      </c>
      <c r="G86" s="16">
        <f>_xlfn.XLOOKUP(F86,FX!$A$12:$A$910,FX!$B$12:$B$910,"",-1)</f>
        <v>1.198</v>
      </c>
      <c r="H86" s="3">
        <f t="shared" si="8"/>
        <v>0</v>
      </c>
      <c r="I86" s="3">
        <f t="shared" si="9"/>
        <v>0</v>
      </c>
      <c r="J86" s="3">
        <f t="shared" si="10"/>
        <v>0</v>
      </c>
      <c r="S86" s="3">
        <f t="shared" si="11"/>
        <v>0</v>
      </c>
    </row>
    <row r="87" spans="6:19" x14ac:dyDescent="0.25">
      <c r="F87" s="14">
        <f t="shared" si="12"/>
        <v>46469</v>
      </c>
      <c r="G87" s="16">
        <f>_xlfn.XLOOKUP(F87,FX!$A$12:$A$910,FX!$B$12:$B$910,"",-1)</f>
        <v>1.198</v>
      </c>
      <c r="H87" s="3">
        <f t="shared" si="8"/>
        <v>0</v>
      </c>
      <c r="I87" s="3">
        <f t="shared" si="9"/>
        <v>0</v>
      </c>
      <c r="J87" s="3">
        <f t="shared" si="10"/>
        <v>0</v>
      </c>
      <c r="S87" s="3">
        <f t="shared" si="11"/>
        <v>0</v>
      </c>
    </row>
    <row r="88" spans="6:19" x14ac:dyDescent="0.25">
      <c r="F88" s="14">
        <f t="shared" si="12"/>
        <v>46476</v>
      </c>
      <c r="G88" s="16">
        <f>_xlfn.XLOOKUP(F88,FX!$A$12:$A$910,FX!$B$12:$B$910,"",-1)</f>
        <v>1.198</v>
      </c>
      <c r="H88" s="3">
        <f t="shared" si="8"/>
        <v>0</v>
      </c>
      <c r="I88" s="3">
        <f t="shared" si="9"/>
        <v>0</v>
      </c>
      <c r="J88" s="3">
        <f t="shared" si="10"/>
        <v>0</v>
      </c>
      <c r="S88" s="3">
        <f t="shared" si="11"/>
        <v>0</v>
      </c>
    </row>
    <row r="89" spans="6:19" x14ac:dyDescent="0.25">
      <c r="F89" s="14">
        <f t="shared" si="12"/>
        <v>46483</v>
      </c>
      <c r="G89" s="16">
        <f>_xlfn.XLOOKUP(F89,FX!$A$12:$A$910,FX!$B$12:$B$910,"",-1)</f>
        <v>1.198</v>
      </c>
      <c r="H89" s="3">
        <f t="shared" si="8"/>
        <v>0</v>
      </c>
      <c r="I89" s="3">
        <f t="shared" si="9"/>
        <v>0</v>
      </c>
      <c r="J89" s="3">
        <f t="shared" si="10"/>
        <v>0</v>
      </c>
      <c r="S89" s="3">
        <f t="shared" si="11"/>
        <v>0</v>
      </c>
    </row>
    <row r="90" spans="6:19" x14ac:dyDescent="0.25">
      <c r="F90" s="14">
        <f t="shared" si="12"/>
        <v>46490</v>
      </c>
      <c r="G90" s="16">
        <f>_xlfn.XLOOKUP(F90,FX!$A$12:$A$910,FX!$B$12:$B$910,"",-1)</f>
        <v>1.198</v>
      </c>
      <c r="H90" s="3">
        <f t="shared" si="8"/>
        <v>0</v>
      </c>
      <c r="I90" s="3">
        <f t="shared" si="9"/>
        <v>0</v>
      </c>
      <c r="J90" s="3">
        <f t="shared" si="10"/>
        <v>0</v>
      </c>
      <c r="S90" s="3">
        <f t="shared" si="11"/>
        <v>0</v>
      </c>
    </row>
    <row r="91" spans="6:19" x14ac:dyDescent="0.25">
      <c r="F91" s="14">
        <f t="shared" si="12"/>
        <v>46497</v>
      </c>
      <c r="G91" s="16">
        <f>_xlfn.XLOOKUP(F91,FX!$A$12:$A$910,FX!$B$12:$B$910,"",-1)</f>
        <v>1.198</v>
      </c>
      <c r="H91" s="3">
        <f t="shared" si="8"/>
        <v>0</v>
      </c>
      <c r="I91" s="3">
        <f t="shared" si="9"/>
        <v>0</v>
      </c>
      <c r="J91" s="3">
        <f t="shared" si="10"/>
        <v>0</v>
      </c>
      <c r="S91" s="3">
        <f t="shared" si="11"/>
        <v>0</v>
      </c>
    </row>
    <row r="92" spans="6:19" x14ac:dyDescent="0.25">
      <c r="F92" s="14">
        <f t="shared" si="12"/>
        <v>46504</v>
      </c>
      <c r="G92" s="16">
        <f>_xlfn.XLOOKUP(F92,FX!$A$12:$A$910,FX!$B$12:$B$910,"",-1)</f>
        <v>1.198</v>
      </c>
      <c r="H92" s="3">
        <f t="shared" si="8"/>
        <v>0</v>
      </c>
      <c r="I92" s="3">
        <f t="shared" si="9"/>
        <v>0</v>
      </c>
      <c r="J92" s="3">
        <f t="shared" si="10"/>
        <v>0</v>
      </c>
      <c r="S92" s="3">
        <f t="shared" si="11"/>
        <v>0</v>
      </c>
    </row>
    <row r="93" spans="6:19" x14ac:dyDescent="0.25">
      <c r="F93" s="14">
        <f t="shared" si="12"/>
        <v>46511</v>
      </c>
      <c r="G93" s="16">
        <f>_xlfn.XLOOKUP(F93,FX!$A$12:$A$910,FX!$B$12:$B$910,"",-1)</f>
        <v>1.198</v>
      </c>
      <c r="H93" s="3">
        <f t="shared" si="8"/>
        <v>0</v>
      </c>
      <c r="I93" s="3">
        <f t="shared" si="9"/>
        <v>0</v>
      </c>
      <c r="J93" s="3">
        <f t="shared" si="10"/>
        <v>0</v>
      </c>
      <c r="S93" s="3">
        <f t="shared" si="11"/>
        <v>0</v>
      </c>
    </row>
    <row r="94" spans="6:19" x14ac:dyDescent="0.25">
      <c r="F94" s="14">
        <f t="shared" si="12"/>
        <v>46518</v>
      </c>
      <c r="G94" s="16">
        <f>_xlfn.XLOOKUP(F94,FX!$A$12:$A$910,FX!$B$12:$B$910,"",-1)</f>
        <v>1.198</v>
      </c>
      <c r="H94" s="3">
        <f t="shared" si="8"/>
        <v>0</v>
      </c>
      <c r="I94" s="3">
        <f t="shared" si="9"/>
        <v>0</v>
      </c>
      <c r="J94" s="3">
        <f t="shared" si="10"/>
        <v>0</v>
      </c>
      <c r="S94" s="3">
        <f t="shared" si="11"/>
        <v>0</v>
      </c>
    </row>
    <row r="95" spans="6:19" x14ac:dyDescent="0.25">
      <c r="F95" s="14">
        <f t="shared" si="12"/>
        <v>46525</v>
      </c>
      <c r="G95" s="16">
        <f>_xlfn.XLOOKUP(F95,FX!$A$12:$A$910,FX!$B$12:$B$910,"",-1)</f>
        <v>1.198</v>
      </c>
      <c r="H95" s="3">
        <f t="shared" si="8"/>
        <v>0</v>
      </c>
      <c r="I95" s="3">
        <f t="shared" si="9"/>
        <v>0</v>
      </c>
      <c r="J95" s="3">
        <f t="shared" si="10"/>
        <v>0</v>
      </c>
      <c r="S95" s="3">
        <f t="shared" si="11"/>
        <v>0</v>
      </c>
    </row>
    <row r="96" spans="6:19" x14ac:dyDescent="0.25">
      <c r="F96" s="14">
        <f t="shared" si="12"/>
        <v>46532</v>
      </c>
      <c r="G96" s="16">
        <f>_xlfn.XLOOKUP(F96,FX!$A$12:$A$910,FX!$B$12:$B$910,"",-1)</f>
        <v>1.198</v>
      </c>
      <c r="H96" s="3">
        <f t="shared" si="8"/>
        <v>0</v>
      </c>
      <c r="I96" s="3">
        <f t="shared" si="9"/>
        <v>0</v>
      </c>
      <c r="J96" s="3">
        <f t="shared" si="10"/>
        <v>0</v>
      </c>
      <c r="S96" s="3">
        <f t="shared" si="11"/>
        <v>0</v>
      </c>
    </row>
    <row r="97" spans="6:19" x14ac:dyDescent="0.25">
      <c r="F97" s="14">
        <f t="shared" si="12"/>
        <v>46539</v>
      </c>
      <c r="G97" s="16">
        <f>_xlfn.XLOOKUP(F97,FX!$A$12:$A$910,FX!$B$12:$B$910,"",-1)</f>
        <v>1.198</v>
      </c>
      <c r="H97" s="3">
        <f t="shared" si="8"/>
        <v>0</v>
      </c>
      <c r="I97" s="3">
        <f t="shared" si="9"/>
        <v>0</v>
      </c>
      <c r="J97" s="3">
        <f t="shared" si="10"/>
        <v>0</v>
      </c>
      <c r="S97" s="3">
        <f t="shared" si="11"/>
        <v>0</v>
      </c>
    </row>
    <row r="98" spans="6:19" x14ac:dyDescent="0.25">
      <c r="F98" s="14">
        <f t="shared" si="12"/>
        <v>46546</v>
      </c>
      <c r="G98" s="16">
        <f>_xlfn.XLOOKUP(F98,FX!$A$12:$A$910,FX!$B$12:$B$910,"",-1)</f>
        <v>1.198</v>
      </c>
      <c r="H98" s="3">
        <f t="shared" si="8"/>
        <v>0</v>
      </c>
      <c r="I98" s="3">
        <f t="shared" si="9"/>
        <v>0</v>
      </c>
      <c r="J98" s="3">
        <f t="shared" si="10"/>
        <v>0</v>
      </c>
      <c r="S98" s="3">
        <f t="shared" si="11"/>
        <v>0</v>
      </c>
    </row>
    <row r="99" spans="6:19" x14ac:dyDescent="0.25">
      <c r="F99" s="14">
        <f t="shared" si="12"/>
        <v>46553</v>
      </c>
      <c r="G99" s="16">
        <f>_xlfn.XLOOKUP(F99,FX!$A$12:$A$910,FX!$B$12:$B$910,"",-1)</f>
        <v>1.198</v>
      </c>
      <c r="H99" s="3">
        <f t="shared" si="8"/>
        <v>0</v>
      </c>
      <c r="I99" s="3">
        <f t="shared" si="9"/>
        <v>0</v>
      </c>
      <c r="J99" s="3">
        <f t="shared" si="10"/>
        <v>0</v>
      </c>
      <c r="S99" s="3">
        <f t="shared" si="11"/>
        <v>0</v>
      </c>
    </row>
    <row r="100" spans="6:19" x14ac:dyDescent="0.25">
      <c r="F100" s="14">
        <f t="shared" si="12"/>
        <v>46560</v>
      </c>
      <c r="G100" s="16">
        <f>_xlfn.XLOOKUP(F100,FX!$A$12:$A$910,FX!$B$12:$B$910,"",-1)</f>
        <v>1.198</v>
      </c>
      <c r="H100" s="3">
        <f t="shared" si="8"/>
        <v>0</v>
      </c>
      <c r="I100" s="3">
        <f t="shared" si="9"/>
        <v>0</v>
      </c>
      <c r="J100" s="3">
        <f t="shared" si="10"/>
        <v>0</v>
      </c>
      <c r="S100" s="3">
        <f t="shared" si="11"/>
        <v>0</v>
      </c>
    </row>
    <row r="101" spans="6:19" x14ac:dyDescent="0.25">
      <c r="F101" s="14">
        <f t="shared" si="12"/>
        <v>46567</v>
      </c>
      <c r="G101" s="16">
        <f>_xlfn.XLOOKUP(F101,FX!$A$12:$A$910,FX!$B$12:$B$910,"",-1)</f>
        <v>1.198</v>
      </c>
      <c r="H101" s="3">
        <f t="shared" si="8"/>
        <v>0</v>
      </c>
      <c r="I101" s="3">
        <f t="shared" si="9"/>
        <v>0</v>
      </c>
      <c r="J101" s="3">
        <f t="shared" si="10"/>
        <v>0</v>
      </c>
      <c r="S101" s="3">
        <f t="shared" si="11"/>
        <v>0</v>
      </c>
    </row>
    <row r="102" spans="6:19" x14ac:dyDescent="0.25">
      <c r="F102" s="14">
        <f t="shared" si="12"/>
        <v>46574</v>
      </c>
      <c r="G102" s="16">
        <f>_xlfn.XLOOKUP(F102,FX!$A$12:$A$910,FX!$B$12:$B$910,"",-1)</f>
        <v>1.198</v>
      </c>
      <c r="H102" s="3">
        <f t="shared" si="8"/>
        <v>0</v>
      </c>
      <c r="I102" s="3">
        <f t="shared" si="9"/>
        <v>0</v>
      </c>
      <c r="J102" s="3">
        <f t="shared" si="10"/>
        <v>0</v>
      </c>
      <c r="S102" s="3">
        <f t="shared" si="11"/>
        <v>0</v>
      </c>
    </row>
    <row r="103" spans="6:19" x14ac:dyDescent="0.25">
      <c r="F103" s="14">
        <f t="shared" si="12"/>
        <v>46581</v>
      </c>
      <c r="G103" s="16">
        <f>_xlfn.XLOOKUP(F103,FX!$A$12:$A$910,FX!$B$12:$B$910,"",-1)</f>
        <v>1.198</v>
      </c>
      <c r="H103" s="3">
        <f t="shared" si="8"/>
        <v>0</v>
      </c>
      <c r="I103" s="3">
        <f t="shared" si="9"/>
        <v>0</v>
      </c>
      <c r="J103" s="3">
        <f t="shared" si="10"/>
        <v>0</v>
      </c>
      <c r="S103" s="3">
        <f t="shared" si="11"/>
        <v>0</v>
      </c>
    </row>
    <row r="104" spans="6:19" x14ac:dyDescent="0.25">
      <c r="F104" s="14">
        <f t="shared" si="12"/>
        <v>46588</v>
      </c>
      <c r="G104" s="16">
        <f>_xlfn.XLOOKUP(F104,FX!$A$12:$A$910,FX!$B$12:$B$910,"",-1)</f>
        <v>1.198</v>
      </c>
      <c r="H104" s="3">
        <f t="shared" si="8"/>
        <v>0</v>
      </c>
      <c r="I104" s="3">
        <f t="shared" si="9"/>
        <v>0</v>
      </c>
      <c r="J104" s="3">
        <f t="shared" si="10"/>
        <v>0</v>
      </c>
      <c r="S104" s="3">
        <f t="shared" si="11"/>
        <v>0</v>
      </c>
    </row>
    <row r="105" spans="6:19" x14ac:dyDescent="0.25">
      <c r="F105" s="14">
        <f t="shared" si="12"/>
        <v>46595</v>
      </c>
      <c r="G105" s="16">
        <f>_xlfn.XLOOKUP(F105,FX!$A$12:$A$910,FX!$B$12:$B$910,"",-1)</f>
        <v>1.198</v>
      </c>
      <c r="H105" s="3">
        <f t="shared" si="8"/>
        <v>0</v>
      </c>
      <c r="I105" s="3">
        <f t="shared" si="9"/>
        <v>0</v>
      </c>
      <c r="J105" s="3">
        <f t="shared" si="10"/>
        <v>0</v>
      </c>
      <c r="S105" s="3">
        <f t="shared" si="11"/>
        <v>0</v>
      </c>
    </row>
    <row r="106" spans="6:19" x14ac:dyDescent="0.25">
      <c r="F106" s="14">
        <f t="shared" si="12"/>
        <v>46602</v>
      </c>
      <c r="G106" s="16">
        <f>_xlfn.XLOOKUP(F106,FX!$A$12:$A$910,FX!$B$12:$B$910,"",-1)</f>
        <v>1.198</v>
      </c>
      <c r="H106" s="3">
        <f t="shared" si="8"/>
        <v>0</v>
      </c>
      <c r="I106" s="3">
        <f t="shared" si="9"/>
        <v>0</v>
      </c>
      <c r="J106" s="3">
        <f t="shared" si="10"/>
        <v>0</v>
      </c>
      <c r="S106" s="3">
        <f t="shared" si="11"/>
        <v>0</v>
      </c>
    </row>
    <row r="107" spans="6:19" x14ac:dyDescent="0.25">
      <c r="F107" s="14">
        <f t="shared" si="12"/>
        <v>46609</v>
      </c>
      <c r="G107" s="16">
        <f>_xlfn.XLOOKUP(F107,FX!$A$12:$A$910,FX!$B$12:$B$910,"",-1)</f>
        <v>1.198</v>
      </c>
      <c r="H107" s="3">
        <f t="shared" si="8"/>
        <v>0</v>
      </c>
      <c r="I107" s="3">
        <f t="shared" si="9"/>
        <v>0</v>
      </c>
      <c r="J107" s="3">
        <f t="shared" si="10"/>
        <v>0</v>
      </c>
      <c r="S107" s="3">
        <f t="shared" si="11"/>
        <v>0</v>
      </c>
    </row>
    <row r="108" spans="6:19" x14ac:dyDescent="0.25">
      <c r="S108" s="3">
        <f t="shared" si="11"/>
        <v>0</v>
      </c>
    </row>
    <row r="109" spans="6:19" x14ac:dyDescent="0.25">
      <c r="S109" s="3">
        <f t="shared" si="11"/>
        <v>0</v>
      </c>
    </row>
    <row r="110" spans="6:19" x14ac:dyDescent="0.25">
      <c r="S110" s="3">
        <f t="shared" si="11"/>
        <v>0</v>
      </c>
    </row>
    <row r="111" spans="6:19" x14ac:dyDescent="0.25">
      <c r="S111" s="3">
        <f t="shared" si="11"/>
        <v>0</v>
      </c>
    </row>
    <row r="112" spans="6:19" x14ac:dyDescent="0.25">
      <c r="S112" s="3">
        <f t="shared" si="11"/>
        <v>0</v>
      </c>
    </row>
    <row r="113" spans="6:19" x14ac:dyDescent="0.25">
      <c r="S113" s="3">
        <f t="shared" si="11"/>
        <v>0</v>
      </c>
    </row>
    <row r="114" spans="6:19" x14ac:dyDescent="0.25">
      <c r="F114">
        <v>46202</v>
      </c>
      <c r="S114" s="3">
        <f t="shared" si="11"/>
        <v>0</v>
      </c>
    </row>
    <row r="115" spans="6:19" x14ac:dyDescent="0.25">
      <c r="F115">
        <v>46209</v>
      </c>
      <c r="S115" s="3">
        <f t="shared" si="11"/>
        <v>0</v>
      </c>
    </row>
    <row r="116" spans="6:19" x14ac:dyDescent="0.25">
      <c r="F116">
        <v>46216</v>
      </c>
      <c r="S116" s="3">
        <f t="shared" si="11"/>
        <v>0</v>
      </c>
    </row>
    <row r="117" spans="6:19" x14ac:dyDescent="0.25">
      <c r="F117">
        <v>46223</v>
      </c>
      <c r="S117" s="3">
        <f t="shared" si="11"/>
        <v>0</v>
      </c>
    </row>
    <row r="118" spans="6:19" x14ac:dyDescent="0.25">
      <c r="F118">
        <v>46230</v>
      </c>
      <c r="S118" s="3">
        <f t="shared" si="11"/>
        <v>0</v>
      </c>
    </row>
    <row r="119" spans="6:19" x14ac:dyDescent="0.25">
      <c r="F119">
        <v>46237</v>
      </c>
      <c r="S119" s="3">
        <f t="shared" si="11"/>
        <v>0</v>
      </c>
    </row>
    <row r="120" spans="6:19" x14ac:dyDescent="0.25">
      <c r="F120">
        <v>46244</v>
      </c>
      <c r="S120" s="3">
        <f t="shared" si="11"/>
        <v>0</v>
      </c>
    </row>
    <row r="121" spans="6:19" x14ac:dyDescent="0.25">
      <c r="S121" s="3">
        <f t="shared" si="11"/>
        <v>0</v>
      </c>
    </row>
    <row r="122" spans="6:19" x14ac:dyDescent="0.25">
      <c r="S122" s="3">
        <f t="shared" si="11"/>
        <v>0</v>
      </c>
    </row>
    <row r="123" spans="6:19" x14ac:dyDescent="0.25">
      <c r="S123" s="3">
        <f t="shared" si="11"/>
        <v>0</v>
      </c>
    </row>
    <row r="124" spans="6:19" x14ac:dyDescent="0.25">
      <c r="S124" s="3">
        <f t="shared" si="11"/>
        <v>0</v>
      </c>
    </row>
    <row r="125" spans="6:19" x14ac:dyDescent="0.25">
      <c r="S125" s="3">
        <f t="shared" si="11"/>
        <v>0</v>
      </c>
    </row>
    <row r="126" spans="6:19" x14ac:dyDescent="0.25">
      <c r="S126" s="3">
        <f t="shared" si="11"/>
        <v>0</v>
      </c>
    </row>
    <row r="127" spans="6:19" x14ac:dyDescent="0.25">
      <c r="S127" s="3">
        <f t="shared" si="11"/>
        <v>0</v>
      </c>
    </row>
    <row r="128" spans="6:19" x14ac:dyDescent="0.25">
      <c r="S128" s="3">
        <f t="shared" si="11"/>
        <v>0</v>
      </c>
    </row>
    <row r="129" spans="17:19" x14ac:dyDescent="0.25">
      <c r="S129" s="3">
        <f t="shared" si="11"/>
        <v>0</v>
      </c>
    </row>
    <row r="130" spans="17:19" x14ac:dyDescent="0.25">
      <c r="S130" s="3">
        <f t="shared" si="11"/>
        <v>0</v>
      </c>
    </row>
    <row r="131" spans="17:19" x14ac:dyDescent="0.25">
      <c r="S131" s="3">
        <f t="shared" si="11"/>
        <v>0</v>
      </c>
    </row>
    <row r="132" spans="17:19" x14ac:dyDescent="0.25">
      <c r="S132" s="3">
        <f t="shared" si="11"/>
        <v>0</v>
      </c>
    </row>
    <row r="133" spans="17:19" x14ac:dyDescent="0.25">
      <c r="S133" s="3">
        <f t="shared" si="11"/>
        <v>0</v>
      </c>
    </row>
    <row r="134" spans="17:19" x14ac:dyDescent="0.25">
      <c r="S134" s="3">
        <f t="shared" si="11"/>
        <v>0</v>
      </c>
    </row>
    <row r="135" spans="17:19" x14ac:dyDescent="0.25">
      <c r="S135" s="3">
        <f t="shared" si="11"/>
        <v>0</v>
      </c>
    </row>
    <row r="136" spans="17:19" x14ac:dyDescent="0.25">
      <c r="S136" s="3">
        <f t="shared" si="11"/>
        <v>0</v>
      </c>
    </row>
    <row r="137" spans="17:19" x14ac:dyDescent="0.25">
      <c r="S137" s="3">
        <f t="shared" ref="S137:S170" si="13">J137+N137+O137</f>
        <v>0</v>
      </c>
    </row>
    <row r="138" spans="17:19" x14ac:dyDescent="0.25">
      <c r="S138" s="3">
        <f t="shared" si="13"/>
        <v>0</v>
      </c>
    </row>
    <row r="139" spans="17:19" x14ac:dyDescent="0.25">
      <c r="S139" s="3">
        <f t="shared" si="13"/>
        <v>0</v>
      </c>
    </row>
    <row r="140" spans="17:19" x14ac:dyDescent="0.25">
      <c r="Q140" s="3">
        <f>N140+O140</f>
        <v>0</v>
      </c>
      <c r="S140" s="3">
        <f t="shared" si="13"/>
        <v>0</v>
      </c>
    </row>
    <row r="141" spans="17:19" x14ac:dyDescent="0.25">
      <c r="Q141" s="3">
        <f t="shared" ref="Q141:Q148" si="14">N141+O141</f>
        <v>0</v>
      </c>
      <c r="S141" s="3">
        <f t="shared" si="13"/>
        <v>0</v>
      </c>
    </row>
    <row r="142" spans="17:19" x14ac:dyDescent="0.25">
      <c r="Q142" s="3">
        <f t="shared" si="14"/>
        <v>0</v>
      </c>
      <c r="S142" s="3">
        <f t="shared" si="13"/>
        <v>0</v>
      </c>
    </row>
    <row r="143" spans="17:19" x14ac:dyDescent="0.25">
      <c r="Q143" s="3">
        <f t="shared" si="14"/>
        <v>0</v>
      </c>
      <c r="S143" s="3">
        <f t="shared" si="13"/>
        <v>0</v>
      </c>
    </row>
    <row r="144" spans="17:19" x14ac:dyDescent="0.25">
      <c r="Q144" s="3">
        <f t="shared" si="14"/>
        <v>0</v>
      </c>
      <c r="S144" s="3">
        <f t="shared" si="13"/>
        <v>0</v>
      </c>
    </row>
    <row r="145" spans="17:19" x14ac:dyDescent="0.25">
      <c r="Q145" s="3">
        <f t="shared" si="14"/>
        <v>0</v>
      </c>
      <c r="S145" s="3">
        <f t="shared" si="13"/>
        <v>0</v>
      </c>
    </row>
    <row r="146" spans="17:19" x14ac:dyDescent="0.25">
      <c r="Q146" s="3">
        <f t="shared" si="14"/>
        <v>0</v>
      </c>
      <c r="S146" s="3">
        <f t="shared" si="13"/>
        <v>0</v>
      </c>
    </row>
    <row r="147" spans="17:19" x14ac:dyDescent="0.25">
      <c r="Q147" s="3">
        <f t="shared" si="14"/>
        <v>0</v>
      </c>
      <c r="S147" s="3">
        <f t="shared" si="13"/>
        <v>0</v>
      </c>
    </row>
    <row r="148" spans="17:19" x14ac:dyDescent="0.25">
      <c r="Q148" s="3">
        <f t="shared" si="14"/>
        <v>0</v>
      </c>
      <c r="S148" s="3">
        <f t="shared" si="13"/>
        <v>0</v>
      </c>
    </row>
    <row r="149" spans="17:19" x14ac:dyDescent="0.25">
      <c r="S149" s="3">
        <f t="shared" si="13"/>
        <v>0</v>
      </c>
    </row>
    <row r="150" spans="17:19" x14ac:dyDescent="0.25">
      <c r="S150" s="3">
        <f t="shared" si="13"/>
        <v>0</v>
      </c>
    </row>
    <row r="151" spans="17:19" x14ac:dyDescent="0.25">
      <c r="S151" s="3">
        <f t="shared" si="13"/>
        <v>0</v>
      </c>
    </row>
    <row r="152" spans="17:19" x14ac:dyDescent="0.25">
      <c r="S152" s="3">
        <f t="shared" si="13"/>
        <v>0</v>
      </c>
    </row>
    <row r="153" spans="17:19" x14ac:dyDescent="0.25">
      <c r="S153" s="3">
        <f t="shared" si="13"/>
        <v>0</v>
      </c>
    </row>
    <row r="154" spans="17:19" x14ac:dyDescent="0.25">
      <c r="S154" s="3">
        <f t="shared" si="13"/>
        <v>0</v>
      </c>
    </row>
    <row r="155" spans="17:19" x14ac:dyDescent="0.25">
      <c r="S155" s="3">
        <f t="shared" si="13"/>
        <v>0</v>
      </c>
    </row>
    <row r="156" spans="17:19" x14ac:dyDescent="0.25">
      <c r="S156" s="3">
        <f t="shared" si="13"/>
        <v>0</v>
      </c>
    </row>
    <row r="157" spans="17:19" x14ac:dyDescent="0.25">
      <c r="S157" s="3">
        <f t="shared" si="13"/>
        <v>0</v>
      </c>
    </row>
    <row r="158" spans="17:19" x14ac:dyDescent="0.25">
      <c r="S158" s="3">
        <f t="shared" si="13"/>
        <v>0</v>
      </c>
    </row>
    <row r="159" spans="17:19" x14ac:dyDescent="0.25">
      <c r="S159" s="3">
        <f t="shared" si="13"/>
        <v>0</v>
      </c>
    </row>
    <row r="160" spans="17:19" x14ac:dyDescent="0.25">
      <c r="S160" s="3">
        <f t="shared" si="13"/>
        <v>0</v>
      </c>
    </row>
    <row r="161" spans="19:19" x14ac:dyDescent="0.25">
      <c r="S161" s="3">
        <f t="shared" si="13"/>
        <v>0</v>
      </c>
    </row>
    <row r="162" spans="19:19" x14ac:dyDescent="0.25">
      <c r="S162" s="3">
        <f t="shared" si="13"/>
        <v>0</v>
      </c>
    </row>
    <row r="163" spans="19:19" x14ac:dyDescent="0.25">
      <c r="S163" s="3">
        <f t="shared" si="13"/>
        <v>0</v>
      </c>
    </row>
    <row r="164" spans="19:19" x14ac:dyDescent="0.25">
      <c r="S164" s="3">
        <f t="shared" si="13"/>
        <v>0</v>
      </c>
    </row>
    <row r="165" spans="19:19" x14ac:dyDescent="0.25">
      <c r="S165" s="3">
        <f t="shared" si="13"/>
        <v>0</v>
      </c>
    </row>
    <row r="166" spans="19:19" x14ac:dyDescent="0.25">
      <c r="S166" s="3">
        <f t="shared" si="13"/>
        <v>0</v>
      </c>
    </row>
    <row r="167" spans="19:19" x14ac:dyDescent="0.25">
      <c r="S167" s="3">
        <f t="shared" si="13"/>
        <v>0</v>
      </c>
    </row>
    <row r="168" spans="19:19" x14ac:dyDescent="0.25">
      <c r="S168" s="3">
        <f t="shared" si="13"/>
        <v>0</v>
      </c>
    </row>
    <row r="169" spans="19:19" x14ac:dyDescent="0.25">
      <c r="S169" s="3">
        <f t="shared" si="13"/>
        <v>0</v>
      </c>
    </row>
    <row r="170" spans="19:19" x14ac:dyDescent="0.25">
      <c r="S170" s="3">
        <f t="shared" si="13"/>
        <v>0</v>
      </c>
    </row>
  </sheetData>
  <mergeCells count="1">
    <mergeCell ref="F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BFC7-71D8-45A7-8A8A-523E0BEEFA36}">
  <dimension ref="A1:G62"/>
  <sheetViews>
    <sheetView topLeftCell="A6" workbookViewId="0">
      <selection activeCell="G9" sqref="G9:G11"/>
    </sheetView>
  </sheetViews>
  <sheetFormatPr defaultRowHeight="15" x14ac:dyDescent="0.25"/>
  <cols>
    <col min="1" max="1" width="20.140625" bestFit="1" customWidth="1"/>
    <col min="2" max="2" width="16.85546875" bestFit="1" customWidth="1"/>
    <col min="3" max="3" width="10.85546875" bestFit="1" customWidth="1"/>
    <col min="4" max="5" width="11.85546875" bestFit="1" customWidth="1"/>
  </cols>
  <sheetData>
    <row r="1" spans="1:7" x14ac:dyDescent="0.25">
      <c r="A1" s="18" t="s">
        <v>304</v>
      </c>
      <c r="B1" t="s" vm="15">
        <v>21</v>
      </c>
    </row>
    <row r="2" spans="1:7" x14ac:dyDescent="0.25">
      <c r="A2" s="18" t="s">
        <v>0</v>
      </c>
      <c r="B2" t="s" vm="1">
        <v>1</v>
      </c>
    </row>
    <row r="3" spans="1:7" x14ac:dyDescent="0.25">
      <c r="A3" s="18" t="s">
        <v>2</v>
      </c>
      <c r="B3" t="s" vm="2">
        <v>3</v>
      </c>
    </row>
    <row r="4" spans="1:7" x14ac:dyDescent="0.25">
      <c r="A4" s="18" t="s">
        <v>4</v>
      </c>
      <c r="B4" t="s" vm="3">
        <v>5</v>
      </c>
    </row>
    <row r="5" spans="1:7" x14ac:dyDescent="0.25">
      <c r="A5" s="18" t="s">
        <v>6</v>
      </c>
      <c r="B5" t="s" vm="4">
        <v>7</v>
      </c>
    </row>
    <row r="7" spans="1:7" x14ac:dyDescent="0.25">
      <c r="B7" s="18" t="s">
        <v>9</v>
      </c>
    </row>
    <row r="8" spans="1:7" x14ac:dyDescent="0.25">
      <c r="B8" t="s">
        <v>13</v>
      </c>
    </row>
    <row r="9" spans="1:7" x14ac:dyDescent="0.25">
      <c r="A9" s="18" t="s">
        <v>14</v>
      </c>
      <c r="B9" t="s">
        <v>303</v>
      </c>
      <c r="C9" t="s">
        <v>305</v>
      </c>
      <c r="G9" s="50"/>
    </row>
    <row r="10" spans="1:7" x14ac:dyDescent="0.25">
      <c r="A10" s="2" t="s">
        <v>61</v>
      </c>
      <c r="B10" s="3">
        <v>1504303.72</v>
      </c>
      <c r="C10" s="3">
        <v>485581.56</v>
      </c>
      <c r="D10">
        <f>C10/B10</f>
        <v>0.32279489410556</v>
      </c>
    </row>
    <row r="11" spans="1:7" x14ac:dyDescent="0.25">
      <c r="A11" s="2" t="s">
        <v>62</v>
      </c>
      <c r="B11" s="3">
        <v>537273.71</v>
      </c>
      <c r="C11" s="3">
        <v>172403.68</v>
      </c>
      <c r="D11">
        <f t="shared" ref="D11:D61" si="0">C11/B11</f>
        <v>0.32088612711014652</v>
      </c>
      <c r="G11" s="50"/>
    </row>
    <row r="12" spans="1:7" x14ac:dyDescent="0.25">
      <c r="A12" s="2" t="s">
        <v>63</v>
      </c>
      <c r="B12" s="3">
        <v>453544.55</v>
      </c>
      <c r="C12" s="3">
        <v>131764.49</v>
      </c>
      <c r="D12">
        <f t="shared" si="0"/>
        <v>0.29052160366605662</v>
      </c>
    </row>
    <row r="13" spans="1:7" x14ac:dyDescent="0.25">
      <c r="A13" s="2" t="s">
        <v>64</v>
      </c>
      <c r="B13" s="3">
        <v>1383803.93</v>
      </c>
      <c r="C13" s="3">
        <v>390121.25</v>
      </c>
      <c r="D13">
        <f t="shared" si="0"/>
        <v>0.28191945516443218</v>
      </c>
    </row>
    <row r="14" spans="1:7" x14ac:dyDescent="0.25">
      <c r="A14" s="2" t="s">
        <v>65</v>
      </c>
      <c r="B14" s="3">
        <v>584253.49</v>
      </c>
      <c r="C14" s="3">
        <v>165424.35</v>
      </c>
      <c r="D14">
        <f t="shared" si="0"/>
        <v>0.28313797492249471</v>
      </c>
    </row>
    <row r="15" spans="1:7" x14ac:dyDescent="0.25">
      <c r="A15" s="2" t="s">
        <v>66</v>
      </c>
      <c r="B15" s="3">
        <v>525016.19999999995</v>
      </c>
      <c r="C15" s="3">
        <v>167030.99</v>
      </c>
      <c r="D15">
        <f t="shared" si="0"/>
        <v>0.31814444963793498</v>
      </c>
    </row>
    <row r="16" spans="1:7" x14ac:dyDescent="0.25">
      <c r="A16" s="2" t="s">
        <v>67</v>
      </c>
      <c r="B16" s="3">
        <v>510337.46</v>
      </c>
      <c r="C16" s="3">
        <v>201316.66</v>
      </c>
      <c r="D16">
        <f t="shared" si="0"/>
        <v>0.39447752865329538</v>
      </c>
    </row>
    <row r="17" spans="1:4" x14ac:dyDescent="0.25">
      <c r="A17" s="2" t="s">
        <v>68</v>
      </c>
      <c r="B17" s="3">
        <v>1005855.76</v>
      </c>
      <c r="C17" s="3">
        <v>305517.44</v>
      </c>
      <c r="D17">
        <f t="shared" si="0"/>
        <v>0.30373881837690125</v>
      </c>
    </row>
    <row r="18" spans="1:4" x14ac:dyDescent="0.25">
      <c r="A18" s="2" t="s">
        <v>69</v>
      </c>
      <c r="B18" s="3">
        <v>570415.38</v>
      </c>
      <c r="C18" s="3">
        <v>201005.29</v>
      </c>
      <c r="D18">
        <f t="shared" si="0"/>
        <v>0.35238406439882458</v>
      </c>
    </row>
    <row r="19" spans="1:4" x14ac:dyDescent="0.25">
      <c r="A19" s="2" t="s">
        <v>70</v>
      </c>
      <c r="B19" s="3">
        <v>847724.33</v>
      </c>
      <c r="C19" s="3">
        <v>221799.93</v>
      </c>
      <c r="D19">
        <f t="shared" si="0"/>
        <v>0.2616415763364961</v>
      </c>
    </row>
    <row r="20" spans="1:4" x14ac:dyDescent="0.25">
      <c r="A20" s="2" t="s">
        <v>71</v>
      </c>
      <c r="B20" s="3">
        <v>1088375.6000000001</v>
      </c>
      <c r="C20" s="3">
        <v>265750.33</v>
      </c>
      <c r="D20">
        <f t="shared" si="0"/>
        <v>0.24417152497722294</v>
      </c>
    </row>
    <row r="21" spans="1:4" x14ac:dyDescent="0.25">
      <c r="A21" s="2" t="s">
        <v>72</v>
      </c>
      <c r="B21" s="3">
        <v>464285.13</v>
      </c>
      <c r="C21" s="3">
        <v>166244.91</v>
      </c>
      <c r="D21">
        <f t="shared" si="0"/>
        <v>0.35806641061280597</v>
      </c>
    </row>
    <row r="22" spans="1:4" x14ac:dyDescent="0.25">
      <c r="A22" s="2" t="s">
        <v>73</v>
      </c>
      <c r="B22" s="3">
        <v>408808.73</v>
      </c>
      <c r="C22" s="3">
        <v>156694.71</v>
      </c>
      <c r="D22">
        <f t="shared" si="0"/>
        <v>0.3832958997720034</v>
      </c>
    </row>
    <row r="23" spans="1:4" x14ac:dyDescent="0.25">
      <c r="A23" s="2" t="s">
        <v>74</v>
      </c>
      <c r="B23" s="3">
        <v>561788.43000000005</v>
      </c>
      <c r="C23" s="3">
        <v>215896.26</v>
      </c>
      <c r="D23">
        <f t="shared" si="0"/>
        <v>0.38430172013332492</v>
      </c>
    </row>
    <row r="24" spans="1:4" x14ac:dyDescent="0.25">
      <c r="A24" s="2" t="s">
        <v>75</v>
      </c>
      <c r="B24" s="3">
        <v>613314.03</v>
      </c>
      <c r="C24" s="3">
        <v>225054.13</v>
      </c>
      <c r="D24">
        <f t="shared" si="0"/>
        <v>0.36694763040069373</v>
      </c>
    </row>
    <row r="25" spans="1:4" x14ac:dyDescent="0.25">
      <c r="A25" s="2" t="s">
        <v>76</v>
      </c>
      <c r="B25" s="3">
        <v>436426.89</v>
      </c>
      <c r="C25" s="3">
        <v>174658.63</v>
      </c>
      <c r="D25">
        <f t="shared" si="0"/>
        <v>0.40020134872990981</v>
      </c>
    </row>
    <row r="26" spans="1:4" x14ac:dyDescent="0.25">
      <c r="A26" s="2" t="s">
        <v>77</v>
      </c>
      <c r="B26" s="3">
        <v>769479.66</v>
      </c>
      <c r="C26" s="3">
        <v>246370.17</v>
      </c>
      <c r="D26">
        <f t="shared" si="0"/>
        <v>0.3201776249680206</v>
      </c>
    </row>
    <row r="27" spans="1:4" x14ac:dyDescent="0.25">
      <c r="A27" s="2" t="s">
        <v>78</v>
      </c>
      <c r="B27" s="3">
        <v>905239.9</v>
      </c>
      <c r="C27" s="3">
        <v>298396.74</v>
      </c>
      <c r="D27">
        <f t="shared" si="0"/>
        <v>0.32963277469320562</v>
      </c>
    </row>
    <row r="28" spans="1:4" x14ac:dyDescent="0.25">
      <c r="A28" s="2" t="s">
        <v>79</v>
      </c>
      <c r="B28" s="3">
        <v>481885.93</v>
      </c>
      <c r="C28" s="3">
        <v>190298.76</v>
      </c>
      <c r="D28">
        <f t="shared" si="0"/>
        <v>0.39490416331516465</v>
      </c>
    </row>
    <row r="29" spans="1:4" x14ac:dyDescent="0.25">
      <c r="A29" s="2" t="s">
        <v>80</v>
      </c>
      <c r="B29" s="3">
        <v>787357.25</v>
      </c>
      <c r="C29" s="3">
        <v>289493.12</v>
      </c>
      <c r="D29">
        <f t="shared" si="0"/>
        <v>0.36767695985526266</v>
      </c>
    </row>
    <row r="30" spans="1:4" x14ac:dyDescent="0.25">
      <c r="A30" s="2" t="s">
        <v>81</v>
      </c>
      <c r="B30" s="3">
        <v>891659.39</v>
      </c>
      <c r="C30" s="3">
        <v>311522.95</v>
      </c>
      <c r="D30">
        <f t="shared" si="0"/>
        <v>0.34937438386646724</v>
      </c>
    </row>
    <row r="31" spans="1:4" x14ac:dyDescent="0.25">
      <c r="A31" s="2" t="s">
        <v>82</v>
      </c>
      <c r="B31" s="3">
        <v>1235338.28</v>
      </c>
      <c r="C31" s="3">
        <v>365334.77</v>
      </c>
      <c r="D31">
        <f t="shared" si="0"/>
        <v>0.29573662203683998</v>
      </c>
    </row>
    <row r="32" spans="1:4" x14ac:dyDescent="0.25">
      <c r="A32" s="2" t="s">
        <v>83</v>
      </c>
      <c r="B32" s="3">
        <v>2064826.55</v>
      </c>
      <c r="C32" s="3">
        <v>503160.35</v>
      </c>
      <c r="D32">
        <f t="shared" si="0"/>
        <v>0.24368165451960117</v>
      </c>
    </row>
    <row r="33" spans="1:4" x14ac:dyDescent="0.25">
      <c r="A33" s="2" t="s">
        <v>84</v>
      </c>
      <c r="B33" s="3">
        <v>1969157.55</v>
      </c>
      <c r="C33" s="3">
        <v>516607.25</v>
      </c>
      <c r="D33">
        <f t="shared" si="0"/>
        <v>0.2623493737207569</v>
      </c>
    </row>
    <row r="34" spans="1:4" x14ac:dyDescent="0.25">
      <c r="A34" s="2" t="s">
        <v>85</v>
      </c>
      <c r="B34" s="3">
        <v>662639.93000000005</v>
      </c>
      <c r="C34" s="3">
        <v>236997.31</v>
      </c>
      <c r="D34">
        <f t="shared" si="0"/>
        <v>0.35765624628144577</v>
      </c>
    </row>
    <row r="35" spans="1:4" x14ac:dyDescent="0.25">
      <c r="A35" s="2" t="s">
        <v>86</v>
      </c>
      <c r="B35" s="3">
        <v>281083.28000000003</v>
      </c>
      <c r="C35" s="3">
        <v>87716.27</v>
      </c>
      <c r="D35">
        <f t="shared" si="0"/>
        <v>0.31206505772950988</v>
      </c>
    </row>
    <row r="36" spans="1:4" x14ac:dyDescent="0.25">
      <c r="A36" s="2" t="s">
        <v>87</v>
      </c>
      <c r="B36" s="3">
        <v>758245.54</v>
      </c>
      <c r="C36" s="3">
        <v>263916.31</v>
      </c>
      <c r="D36">
        <f t="shared" si="0"/>
        <v>0.34806180330450737</v>
      </c>
    </row>
    <row r="37" spans="1:4" x14ac:dyDescent="0.25">
      <c r="A37" s="2" t="s">
        <v>88</v>
      </c>
      <c r="B37" s="3">
        <v>1523169.54</v>
      </c>
      <c r="C37" s="3">
        <v>490881.81</v>
      </c>
      <c r="D37">
        <f t="shared" si="0"/>
        <v>0.32227654053533661</v>
      </c>
    </row>
    <row r="38" spans="1:4" x14ac:dyDescent="0.25">
      <c r="A38" s="2" t="s">
        <v>89</v>
      </c>
      <c r="B38" s="3">
        <v>881580.03</v>
      </c>
      <c r="C38" s="3">
        <v>297919.28000000003</v>
      </c>
      <c r="D38">
        <f t="shared" si="0"/>
        <v>0.33793787275331094</v>
      </c>
    </row>
    <row r="39" spans="1:4" x14ac:dyDescent="0.25">
      <c r="A39" s="2" t="s">
        <v>90</v>
      </c>
      <c r="B39" s="3">
        <v>978839.55</v>
      </c>
      <c r="C39" s="3">
        <v>326802.96000000002</v>
      </c>
      <c r="D39">
        <f t="shared" si="0"/>
        <v>0.33386775187005879</v>
      </c>
    </row>
    <row r="40" spans="1:4" x14ac:dyDescent="0.25">
      <c r="A40" s="2" t="s">
        <v>91</v>
      </c>
      <c r="B40" s="3">
        <v>1218673.8500000001</v>
      </c>
      <c r="C40" s="3">
        <v>404137.45</v>
      </c>
      <c r="D40">
        <f t="shared" si="0"/>
        <v>0.33162067931465006</v>
      </c>
    </row>
    <row r="41" spans="1:4" x14ac:dyDescent="0.25">
      <c r="A41" s="2" t="s">
        <v>92</v>
      </c>
      <c r="B41" s="3">
        <v>853874.45</v>
      </c>
      <c r="C41" s="3">
        <v>279333.05</v>
      </c>
      <c r="D41">
        <f t="shared" si="0"/>
        <v>0.32713597414701895</v>
      </c>
    </row>
    <row r="42" spans="1:4" x14ac:dyDescent="0.25">
      <c r="A42" s="2" t="s">
        <v>93</v>
      </c>
      <c r="B42" s="3">
        <v>543157.99</v>
      </c>
      <c r="C42" s="3">
        <v>173883.01</v>
      </c>
      <c r="D42">
        <f t="shared" si="0"/>
        <v>0.32013339249598449</v>
      </c>
    </row>
    <row r="43" spans="1:4" x14ac:dyDescent="0.25">
      <c r="A43" s="2" t="s">
        <v>94</v>
      </c>
      <c r="B43" s="3">
        <v>1317770.8400000001</v>
      </c>
      <c r="C43" s="3">
        <v>374627.62</v>
      </c>
      <c r="D43">
        <f t="shared" si="0"/>
        <v>0.28428889806060664</v>
      </c>
    </row>
    <row r="44" spans="1:4" x14ac:dyDescent="0.25">
      <c r="A44" s="2" t="s">
        <v>95</v>
      </c>
      <c r="B44" s="3">
        <v>571061.96</v>
      </c>
      <c r="C44" s="3">
        <v>181084.57</v>
      </c>
      <c r="D44">
        <f t="shared" si="0"/>
        <v>0.31710144027103471</v>
      </c>
    </row>
    <row r="45" spans="1:4" x14ac:dyDescent="0.25">
      <c r="A45" s="2" t="s">
        <v>96</v>
      </c>
      <c r="B45" s="3">
        <v>597261.34</v>
      </c>
      <c r="C45" s="3">
        <v>207440.94</v>
      </c>
      <c r="D45">
        <f t="shared" si="0"/>
        <v>0.34732021998946061</v>
      </c>
    </row>
    <row r="46" spans="1:4" x14ac:dyDescent="0.25">
      <c r="A46" s="2" t="s">
        <v>97</v>
      </c>
      <c r="B46" s="3">
        <v>578263.43999999994</v>
      </c>
      <c r="C46" s="3">
        <v>218606.24</v>
      </c>
      <c r="D46">
        <f t="shared" si="0"/>
        <v>0.37803918573859696</v>
      </c>
    </row>
    <row r="47" spans="1:4" x14ac:dyDescent="0.25">
      <c r="A47" s="2" t="s">
        <v>98</v>
      </c>
      <c r="B47" s="3">
        <v>838130.98</v>
      </c>
      <c r="C47" s="3">
        <v>285469.59000000003</v>
      </c>
      <c r="D47">
        <f t="shared" si="0"/>
        <v>0.34060259889212069</v>
      </c>
    </row>
    <row r="48" spans="1:4" x14ac:dyDescent="0.25">
      <c r="A48" s="2" t="s">
        <v>99</v>
      </c>
      <c r="B48" s="3">
        <v>1260274.5900000001</v>
      </c>
      <c r="C48" s="3">
        <v>401386.26</v>
      </c>
      <c r="D48">
        <f t="shared" si="0"/>
        <v>0.31849111549571113</v>
      </c>
    </row>
    <row r="49" spans="1:4" x14ac:dyDescent="0.25">
      <c r="A49" s="2" t="s">
        <v>100</v>
      </c>
      <c r="B49" s="3">
        <v>595907.39</v>
      </c>
      <c r="C49" s="3">
        <v>220881.88</v>
      </c>
      <c r="D49">
        <f t="shared" si="0"/>
        <v>0.37066477729031017</v>
      </c>
    </row>
    <row r="50" spans="1:4" x14ac:dyDescent="0.25">
      <c r="A50" s="2" t="s">
        <v>101</v>
      </c>
      <c r="B50" s="3">
        <v>723523.54</v>
      </c>
      <c r="C50" s="3">
        <v>234419.33</v>
      </c>
      <c r="D50">
        <f t="shared" si="0"/>
        <v>0.32399682531407337</v>
      </c>
    </row>
    <row r="51" spans="1:4" x14ac:dyDescent="0.25">
      <c r="A51" s="2" t="s">
        <v>102</v>
      </c>
      <c r="B51" s="3">
        <v>829145.37</v>
      </c>
      <c r="C51" s="3">
        <v>280411.38</v>
      </c>
      <c r="D51">
        <f t="shared" si="0"/>
        <v>0.33819326519305054</v>
      </c>
    </row>
    <row r="52" spans="1:4" x14ac:dyDescent="0.25">
      <c r="A52" s="2" t="s">
        <v>103</v>
      </c>
      <c r="B52" s="3">
        <v>650553.14</v>
      </c>
      <c r="C52" s="3">
        <v>237728.81</v>
      </c>
      <c r="D52">
        <f t="shared" si="0"/>
        <v>0.3654256591552229</v>
      </c>
    </row>
    <row r="53" spans="1:4" x14ac:dyDescent="0.25">
      <c r="A53" s="2" t="s">
        <v>104</v>
      </c>
      <c r="B53" s="3">
        <v>854990.56</v>
      </c>
      <c r="C53" s="3">
        <v>294926.2</v>
      </c>
      <c r="D53">
        <f t="shared" si="0"/>
        <v>0.34494673251129226</v>
      </c>
    </row>
    <row r="54" spans="1:4" x14ac:dyDescent="0.25">
      <c r="A54" s="2" t="s">
        <v>105</v>
      </c>
      <c r="B54" s="3">
        <v>1453157.44</v>
      </c>
      <c r="C54" s="3">
        <v>431352.6</v>
      </c>
      <c r="D54">
        <f t="shared" si="0"/>
        <v>0.2968381732952487</v>
      </c>
    </row>
    <row r="55" spans="1:4" x14ac:dyDescent="0.25">
      <c r="A55" s="2" t="s">
        <v>106</v>
      </c>
      <c r="B55" s="3">
        <v>580193.53</v>
      </c>
      <c r="C55" s="3">
        <v>218852.01</v>
      </c>
      <c r="D55">
        <f t="shared" si="0"/>
        <v>0.37720518875830966</v>
      </c>
    </row>
    <row r="56" spans="1:4" x14ac:dyDescent="0.25">
      <c r="A56" s="2" t="s">
        <v>107</v>
      </c>
      <c r="B56" s="3">
        <v>687865.3</v>
      </c>
      <c r="C56" s="3">
        <v>276893.49</v>
      </c>
      <c r="D56">
        <f t="shared" si="0"/>
        <v>0.40254027932503644</v>
      </c>
    </row>
    <row r="57" spans="1:4" x14ac:dyDescent="0.25">
      <c r="A57" s="2" t="s">
        <v>108</v>
      </c>
      <c r="B57" s="3">
        <v>1107062.73</v>
      </c>
      <c r="C57" s="3">
        <v>432419.97</v>
      </c>
      <c r="D57">
        <f t="shared" si="0"/>
        <v>0.39060114506790411</v>
      </c>
    </row>
    <row r="58" spans="1:4" x14ac:dyDescent="0.25">
      <c r="A58" s="2" t="s">
        <v>109</v>
      </c>
      <c r="B58" s="3">
        <v>754390.71</v>
      </c>
      <c r="C58" s="3">
        <v>296618.90999999997</v>
      </c>
      <c r="D58">
        <f t="shared" si="0"/>
        <v>0.39319003543932823</v>
      </c>
    </row>
    <row r="59" spans="1:4" x14ac:dyDescent="0.25">
      <c r="A59" s="2" t="s">
        <v>110</v>
      </c>
      <c r="B59" s="3">
        <v>977299.43</v>
      </c>
      <c r="C59" s="3">
        <v>378513.35</v>
      </c>
      <c r="D59">
        <f t="shared" si="0"/>
        <v>0.38730540342175374</v>
      </c>
    </row>
    <row r="60" spans="1:4" x14ac:dyDescent="0.25">
      <c r="A60" s="2" t="s">
        <v>111</v>
      </c>
      <c r="B60" s="3">
        <v>851037.6</v>
      </c>
      <c r="C60" s="3">
        <v>284322.51</v>
      </c>
      <c r="D60">
        <f t="shared" si="0"/>
        <v>0.33408924588055805</v>
      </c>
    </row>
    <row r="61" spans="1:4" x14ac:dyDescent="0.25">
      <c r="A61" s="2" t="s">
        <v>112</v>
      </c>
      <c r="B61" s="3">
        <v>940046.81</v>
      </c>
      <c r="C61" s="3">
        <v>326280.71999999997</v>
      </c>
      <c r="D61">
        <f t="shared" si="0"/>
        <v>0.34708986459940216</v>
      </c>
    </row>
    <row r="62" spans="1:4" x14ac:dyDescent="0.25">
      <c r="A62" s="2" t="s">
        <v>11</v>
      </c>
      <c r="B62" s="3">
        <v>44469672.710000001</v>
      </c>
      <c r="C62" s="3">
        <v>14511272.550000001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E7F7-9315-4C56-9169-E57CC058D900}">
  <dimension ref="A1:O37"/>
  <sheetViews>
    <sheetView workbookViewId="0">
      <selection activeCell="C32" sqref="C32"/>
    </sheetView>
  </sheetViews>
  <sheetFormatPr defaultRowHeight="15" x14ac:dyDescent="0.25"/>
  <cols>
    <col min="1" max="1" width="19.85546875" bestFit="1" customWidth="1"/>
    <col min="2" max="2" width="15.85546875" bestFit="1" customWidth="1"/>
    <col min="3" max="5" width="10.85546875" bestFit="1" customWidth="1"/>
    <col min="7" max="7" width="16.5703125" bestFit="1" customWidth="1"/>
    <col min="8" max="8" width="15.85546875" bestFit="1" customWidth="1"/>
    <col min="9" max="9" width="8.42578125" bestFit="1" customWidth="1"/>
    <col min="10" max="11" width="10.42578125" bestFit="1" customWidth="1"/>
    <col min="12" max="12" width="19.85546875" bestFit="1" customWidth="1"/>
    <col min="13" max="13" width="16.5703125" bestFit="1" customWidth="1"/>
    <col min="14" max="14" width="24.42578125" bestFit="1" customWidth="1"/>
    <col min="15" max="15" width="21.140625" bestFit="1" customWidth="1"/>
  </cols>
  <sheetData>
    <row r="1" spans="1:15" x14ac:dyDescent="0.25">
      <c r="A1" s="18" t="s">
        <v>0</v>
      </c>
      <c r="B1" t="s" vm="1">
        <v>1</v>
      </c>
      <c r="G1" s="18" t="s">
        <v>0</v>
      </c>
      <c r="H1" t="s" vm="1">
        <v>1</v>
      </c>
    </row>
    <row r="2" spans="1:15" x14ac:dyDescent="0.25">
      <c r="A2" s="18" t="s">
        <v>2</v>
      </c>
      <c r="B2" t="s" vm="2">
        <v>3</v>
      </c>
      <c r="G2" s="18" t="s">
        <v>2</v>
      </c>
      <c r="H2" t="s" vm="2">
        <v>3</v>
      </c>
    </row>
    <row r="3" spans="1:15" x14ac:dyDescent="0.25">
      <c r="A3" s="18" t="s">
        <v>4</v>
      </c>
      <c r="B3" t="s" vm="3">
        <v>5</v>
      </c>
      <c r="G3" s="18" t="s">
        <v>4</v>
      </c>
      <c r="H3" t="s" vm="3">
        <v>5</v>
      </c>
    </row>
    <row r="4" spans="1:15" x14ac:dyDescent="0.25">
      <c r="A4" s="18" t="s">
        <v>6</v>
      </c>
      <c r="B4" t="s" vm="4">
        <v>7</v>
      </c>
      <c r="G4" s="18" t="s">
        <v>6</v>
      </c>
      <c r="H4" t="s" vm="4">
        <v>7</v>
      </c>
    </row>
    <row r="5" spans="1:15" x14ac:dyDescent="0.25">
      <c r="A5" s="18" t="s">
        <v>295</v>
      </c>
      <c r="B5" t="s" vm="12">
        <v>7</v>
      </c>
      <c r="G5" s="18" t="s">
        <v>295</v>
      </c>
      <c r="H5" t="s" vm="13">
        <v>7</v>
      </c>
    </row>
    <row r="7" spans="1:15" x14ac:dyDescent="0.25">
      <c r="A7" s="18" t="s">
        <v>8</v>
      </c>
      <c r="B7" s="18" t="s">
        <v>9</v>
      </c>
      <c r="G7" s="18" t="s">
        <v>8</v>
      </c>
      <c r="H7" s="18" t="s">
        <v>9</v>
      </c>
    </row>
    <row r="8" spans="1:15" x14ac:dyDescent="0.25">
      <c r="B8" t="s">
        <v>13</v>
      </c>
      <c r="E8" t="s">
        <v>11</v>
      </c>
      <c r="H8" t="s">
        <v>10</v>
      </c>
      <c r="J8" t="s">
        <v>11</v>
      </c>
    </row>
    <row r="9" spans="1:15" x14ac:dyDescent="0.25">
      <c r="A9" s="18" t="s">
        <v>14</v>
      </c>
      <c r="B9" t="s">
        <v>21</v>
      </c>
      <c r="C9" t="s">
        <v>15</v>
      </c>
      <c r="D9" t="s">
        <v>16</v>
      </c>
      <c r="G9" s="18" t="s">
        <v>14</v>
      </c>
      <c r="H9" t="s">
        <v>15</v>
      </c>
      <c r="I9" t="s">
        <v>16</v>
      </c>
    </row>
    <row r="10" spans="1:15" x14ac:dyDescent="0.25">
      <c r="A10" s="2" t="s">
        <v>113</v>
      </c>
      <c r="B10" s="3">
        <v>1513050.61</v>
      </c>
      <c r="C10" s="3">
        <v>5353941.3600000003</v>
      </c>
      <c r="D10" s="3">
        <v>1229677.5900000001</v>
      </c>
      <c r="E10" s="3">
        <v>8096669.5599999996</v>
      </c>
      <c r="G10" s="2" t="s">
        <v>113</v>
      </c>
      <c r="H10" s="3">
        <v>1069527.1100000001</v>
      </c>
      <c r="I10" s="3">
        <v>172397.77</v>
      </c>
      <c r="J10" s="3">
        <v>1241924.8799999999</v>
      </c>
    </row>
    <row r="11" spans="1:15" x14ac:dyDescent="0.25">
      <c r="A11" s="2" t="s">
        <v>114</v>
      </c>
      <c r="B11" s="3">
        <v>799925.47</v>
      </c>
      <c r="C11" s="3">
        <v>4823046.55</v>
      </c>
      <c r="D11" s="3">
        <v>1067559.31</v>
      </c>
      <c r="E11" s="3">
        <v>6690531.3300000001</v>
      </c>
      <c r="G11" s="2" t="s">
        <v>114</v>
      </c>
      <c r="H11" s="3">
        <v>848969.81</v>
      </c>
      <c r="I11" s="3">
        <v>182189.25</v>
      </c>
      <c r="J11" s="3">
        <v>1031159.06</v>
      </c>
    </row>
    <row r="12" spans="1:15" x14ac:dyDescent="0.25">
      <c r="A12" s="2" t="s">
        <v>115</v>
      </c>
      <c r="B12" s="3">
        <v>732734.73</v>
      </c>
      <c r="C12" s="3">
        <v>3994817.96</v>
      </c>
      <c r="D12" s="3">
        <v>756475.03</v>
      </c>
      <c r="E12" s="3">
        <v>5484027.7199999997</v>
      </c>
      <c r="G12" s="2" t="s">
        <v>115</v>
      </c>
      <c r="H12" s="3">
        <v>1137956.5900000001</v>
      </c>
      <c r="I12" s="3">
        <v>203157.19</v>
      </c>
      <c r="J12" s="3">
        <v>1341113.78</v>
      </c>
    </row>
    <row r="13" spans="1:15" x14ac:dyDescent="0.25">
      <c r="A13" s="2" t="s">
        <v>116</v>
      </c>
      <c r="B13" s="3">
        <v>1566889.22</v>
      </c>
      <c r="C13" s="3">
        <v>4008074.46</v>
      </c>
      <c r="D13" s="3">
        <v>1029213.59</v>
      </c>
      <c r="E13" s="3">
        <v>6604177.2699999996</v>
      </c>
      <c r="G13" s="2" t="s">
        <v>116</v>
      </c>
      <c r="H13" s="3">
        <v>916513.58</v>
      </c>
      <c r="I13" s="3">
        <v>180862.89</v>
      </c>
      <c r="J13" s="3">
        <v>1097376.47</v>
      </c>
      <c r="L13" s="47" t="s">
        <v>300</v>
      </c>
      <c r="M13" s="47"/>
      <c r="N13" s="47"/>
      <c r="O13" s="47"/>
    </row>
    <row r="14" spans="1:15" x14ac:dyDescent="0.25">
      <c r="A14" s="2" t="s">
        <v>117</v>
      </c>
      <c r="B14" s="3">
        <v>814999.2</v>
      </c>
      <c r="C14" s="3">
        <v>3729983.47</v>
      </c>
      <c r="D14" s="3">
        <v>668725.68000000005</v>
      </c>
      <c r="E14" s="3">
        <v>5213708.3499999996</v>
      </c>
      <c r="G14" s="2" t="s">
        <v>117</v>
      </c>
      <c r="H14" s="3">
        <v>865369.63</v>
      </c>
      <c r="I14" s="3">
        <v>158015.72</v>
      </c>
      <c r="J14" s="3">
        <v>1023385.35</v>
      </c>
      <c r="L14" s="48"/>
      <c r="M14" s="48" t="s">
        <v>296</v>
      </c>
      <c r="N14" s="48" t="s">
        <v>297</v>
      </c>
      <c r="O14" s="48"/>
    </row>
    <row r="15" spans="1:15" x14ac:dyDescent="0.25">
      <c r="A15" s="2" t="s">
        <v>118</v>
      </c>
      <c r="B15" s="3">
        <v>968526.79</v>
      </c>
      <c r="C15" s="3">
        <v>4014386.61</v>
      </c>
      <c r="D15" s="3">
        <v>809359.01</v>
      </c>
      <c r="E15" s="3">
        <v>5792272.4100000001</v>
      </c>
      <c r="G15" s="2" t="s">
        <v>118</v>
      </c>
      <c r="H15" s="3">
        <v>753067.58</v>
      </c>
      <c r="I15" s="3">
        <v>170016.27</v>
      </c>
      <c r="J15" s="3">
        <v>923083.85</v>
      </c>
      <c r="L15" s="48" t="s">
        <v>298</v>
      </c>
      <c r="M15" s="49">
        <f>C17+D17+(H17+I17)/1.2</f>
        <v>42989739.946666665</v>
      </c>
      <c r="N15" s="49" cm="1">
        <f t="array" aca="1" ref="N15" ca="1">C35+D35+(SUM(H35:I35/1.2))</f>
        <v>46639990.623333335</v>
      </c>
      <c r="O15" s="47">
        <f ca="1">M15/N15-1</f>
        <v>-7.8264395594464409E-2</v>
      </c>
    </row>
    <row r="16" spans="1:15" x14ac:dyDescent="0.25">
      <c r="A16" s="2" t="s">
        <v>119</v>
      </c>
      <c r="B16" s="3">
        <v>642302.78</v>
      </c>
      <c r="C16" s="3">
        <v>4114387.42</v>
      </c>
      <c r="D16" s="3">
        <v>856835.39</v>
      </c>
      <c r="E16" s="3">
        <v>5613525.5899999999</v>
      </c>
      <c r="G16" s="2" t="s">
        <v>119</v>
      </c>
      <c r="H16" s="3">
        <v>991351.07</v>
      </c>
      <c r="I16" s="3">
        <v>190513.36</v>
      </c>
      <c r="J16" s="3">
        <v>1181864.43</v>
      </c>
      <c r="L16" s="48" t="s">
        <v>299</v>
      </c>
      <c r="M16" s="49">
        <f>M15+B17</f>
        <v>50028168.746666662</v>
      </c>
      <c r="N16" s="49">
        <f ca="1">N15+B35</f>
        <v>52138523.683333337</v>
      </c>
      <c r="O16" s="47">
        <f ca="1">M16/N16-1</f>
        <v>-4.0475924279790743E-2</v>
      </c>
    </row>
    <row r="17" spans="1:15" x14ac:dyDescent="0.25">
      <c r="A17" s="2" t="s">
        <v>11</v>
      </c>
      <c r="B17" s="3">
        <v>7038428.7999999998</v>
      </c>
      <c r="C17" s="3">
        <v>30038637.829999998</v>
      </c>
      <c r="D17" s="3">
        <v>6417845.5999999996</v>
      </c>
      <c r="E17" s="3">
        <v>43494912.229999997</v>
      </c>
      <c r="G17" s="2" t="s">
        <v>11</v>
      </c>
      <c r="H17" s="3">
        <v>6582755.3700000001</v>
      </c>
      <c r="I17" s="3">
        <v>1257152.45</v>
      </c>
      <c r="J17" s="3">
        <v>7839907.8200000003</v>
      </c>
      <c r="L17" s="48"/>
      <c r="M17" s="48"/>
      <c r="N17" s="48"/>
      <c r="O17" s="48"/>
    </row>
    <row r="18" spans="1:15" x14ac:dyDescent="0.25">
      <c r="L18" s="48"/>
      <c r="M18" s="48"/>
      <c r="N18" s="48"/>
      <c r="O18" s="48"/>
    </row>
    <row r="19" spans="1:15" x14ac:dyDescent="0.25">
      <c r="L19" s="48"/>
      <c r="M19" s="48"/>
      <c r="N19" s="48"/>
      <c r="O19" s="48"/>
    </row>
    <row r="20" spans="1:15" x14ac:dyDescent="0.25">
      <c r="A20" s="18" t="s">
        <v>0</v>
      </c>
      <c r="B20" t="s" vm="1">
        <v>1</v>
      </c>
      <c r="G20" s="18" t="s">
        <v>0</v>
      </c>
      <c r="H20" t="s" vm="1">
        <v>1</v>
      </c>
      <c r="L20" s="53"/>
      <c r="M20" s="53"/>
      <c r="N20" s="53"/>
      <c r="O20" s="53"/>
    </row>
    <row r="21" spans="1:15" x14ac:dyDescent="0.25">
      <c r="A21" s="18" t="s">
        <v>2</v>
      </c>
      <c r="B21" t="s" vm="2">
        <v>3</v>
      </c>
      <c r="G21" s="18" t="s">
        <v>2</v>
      </c>
      <c r="H21" t="s" vm="2">
        <v>3</v>
      </c>
      <c r="L21" s="48"/>
      <c r="M21" s="48"/>
      <c r="N21" s="48"/>
      <c r="O21" s="48"/>
    </row>
    <row r="22" spans="1:15" x14ac:dyDescent="0.25">
      <c r="A22" s="18" t="s">
        <v>4</v>
      </c>
      <c r="B22" t="s" vm="3">
        <v>5</v>
      </c>
      <c r="G22" s="18" t="s">
        <v>4</v>
      </c>
      <c r="H22" t="s" vm="3">
        <v>5</v>
      </c>
      <c r="L22" s="48"/>
      <c r="M22" s="49"/>
      <c r="N22" s="49"/>
      <c r="O22" s="47"/>
    </row>
    <row r="23" spans="1:15" x14ac:dyDescent="0.25">
      <c r="A23" s="18" t="s">
        <v>6</v>
      </c>
      <c r="B23" t="s" vm="4">
        <v>7</v>
      </c>
      <c r="G23" s="18" t="s">
        <v>6</v>
      </c>
      <c r="H23" t="s" vm="4">
        <v>7</v>
      </c>
      <c r="L23" s="48"/>
      <c r="M23" s="49"/>
      <c r="N23" s="49"/>
      <c r="O23" s="47"/>
    </row>
    <row r="25" spans="1:15" x14ac:dyDescent="0.25">
      <c r="A25" s="18" t="s">
        <v>294</v>
      </c>
      <c r="B25" s="18" t="s">
        <v>9</v>
      </c>
      <c r="G25" s="18" t="s">
        <v>294</v>
      </c>
      <c r="H25" s="18" t="s">
        <v>9</v>
      </c>
    </row>
    <row r="26" spans="1:15" x14ac:dyDescent="0.25">
      <c r="B26" t="s">
        <v>13</v>
      </c>
      <c r="E26" t="s">
        <v>11</v>
      </c>
      <c r="H26" t="s">
        <v>10</v>
      </c>
      <c r="J26" t="s">
        <v>11</v>
      </c>
    </row>
    <row r="27" spans="1:15" x14ac:dyDescent="0.25">
      <c r="A27" s="18" t="s">
        <v>14</v>
      </c>
      <c r="B27" t="s">
        <v>21</v>
      </c>
      <c r="C27" t="s">
        <v>15</v>
      </c>
      <c r="D27" t="s">
        <v>16</v>
      </c>
      <c r="G27" s="18" t="s">
        <v>14</v>
      </c>
      <c r="H27" t="s">
        <v>15</v>
      </c>
      <c r="I27" t="s">
        <v>16</v>
      </c>
    </row>
    <row r="28" spans="1:15" x14ac:dyDescent="0.25">
      <c r="A28" s="2" t="s">
        <v>113</v>
      </c>
      <c r="B28" s="3">
        <v>1504303.72</v>
      </c>
      <c r="C28" s="3">
        <v>5530942.0499999998</v>
      </c>
      <c r="D28" s="3">
        <v>1856459.73</v>
      </c>
      <c r="E28" s="3">
        <v>8891705.5</v>
      </c>
      <c r="G28" s="2" t="s">
        <v>113</v>
      </c>
      <c r="H28" s="3">
        <v>881173.87</v>
      </c>
      <c r="I28" s="3">
        <v>220639.44</v>
      </c>
      <c r="J28" s="3">
        <v>1101813.31</v>
      </c>
    </row>
    <row r="29" spans="1:15" x14ac:dyDescent="0.25">
      <c r="A29" s="2" t="s">
        <v>114</v>
      </c>
      <c r="B29" s="3">
        <v>537273.71</v>
      </c>
      <c r="C29" s="3">
        <v>4932482.4800000004</v>
      </c>
      <c r="D29" s="3">
        <v>1089777.1200000001</v>
      </c>
      <c r="E29" s="3">
        <v>6559533.3099999996</v>
      </c>
      <c r="G29" s="2" t="s">
        <v>114</v>
      </c>
      <c r="H29" s="3">
        <v>881966.07</v>
      </c>
      <c r="I29" s="3">
        <v>151835.82999999999</v>
      </c>
      <c r="J29" s="3">
        <v>1033801.9</v>
      </c>
    </row>
    <row r="30" spans="1:15" x14ac:dyDescent="0.25">
      <c r="A30" s="2" t="s">
        <v>115</v>
      </c>
      <c r="B30" s="3">
        <v>453544.55</v>
      </c>
      <c r="C30" s="3">
        <v>4735388.5</v>
      </c>
      <c r="D30" s="3">
        <v>800089.43</v>
      </c>
      <c r="E30" s="3">
        <v>5989022.4800000004</v>
      </c>
      <c r="G30" s="2" t="s">
        <v>115</v>
      </c>
      <c r="H30" s="3">
        <v>1018296.05</v>
      </c>
      <c r="I30" s="3">
        <v>156385.22</v>
      </c>
      <c r="J30" s="3">
        <v>1174681.27</v>
      </c>
    </row>
    <row r="31" spans="1:15" x14ac:dyDescent="0.25">
      <c r="A31" s="2" t="s">
        <v>116</v>
      </c>
      <c r="B31" s="3">
        <v>1383803.93</v>
      </c>
      <c r="C31" s="3">
        <v>4441078.2699999996</v>
      </c>
      <c r="D31" s="3">
        <v>1061234.95</v>
      </c>
      <c r="E31" s="3">
        <v>6886117.1500000004</v>
      </c>
      <c r="G31" s="2" t="s">
        <v>116</v>
      </c>
      <c r="H31" s="3">
        <v>861657.55</v>
      </c>
      <c r="I31" s="3">
        <v>185048.71</v>
      </c>
      <c r="J31" s="3">
        <v>1046706.26</v>
      </c>
    </row>
    <row r="32" spans="1:15" x14ac:dyDescent="0.25">
      <c r="A32" s="2" t="s">
        <v>117</v>
      </c>
      <c r="B32" s="3">
        <v>584253.49</v>
      </c>
      <c r="C32" s="3">
        <v>4648652.09</v>
      </c>
      <c r="D32" s="3">
        <v>882425.59</v>
      </c>
      <c r="E32" s="3">
        <v>6115331.1699999999</v>
      </c>
      <c r="G32" s="2" t="s">
        <v>117</v>
      </c>
      <c r="H32" s="3">
        <v>954050.5</v>
      </c>
      <c r="I32" s="3">
        <v>186389.89</v>
      </c>
      <c r="J32" s="3">
        <v>1140440.3899999999</v>
      </c>
    </row>
    <row r="33" spans="1:10" x14ac:dyDescent="0.25">
      <c r="A33" s="2" t="s">
        <v>118</v>
      </c>
      <c r="B33" s="3">
        <v>525016.19999999995</v>
      </c>
      <c r="C33" s="3">
        <v>4498420.03</v>
      </c>
      <c r="D33" s="3">
        <v>848415.97</v>
      </c>
      <c r="E33" s="3">
        <v>5871852.2000000002</v>
      </c>
      <c r="G33" s="2" t="s">
        <v>118</v>
      </c>
      <c r="H33" s="3">
        <v>962802.76</v>
      </c>
      <c r="I33" s="3">
        <v>124893.09</v>
      </c>
      <c r="J33" s="3">
        <v>1087695.8500000001</v>
      </c>
    </row>
    <row r="34" spans="1:10" x14ac:dyDescent="0.25">
      <c r="A34" s="2" t="s">
        <v>119</v>
      </c>
      <c r="B34" s="3">
        <v>510337.46</v>
      </c>
      <c r="C34" s="3">
        <v>4282235.43</v>
      </c>
      <c r="D34" s="3">
        <v>684220.35</v>
      </c>
      <c r="E34" s="3">
        <v>5476793.2400000002</v>
      </c>
      <c r="G34" s="2" t="s">
        <v>119</v>
      </c>
      <c r="H34" s="3">
        <v>915268.26</v>
      </c>
      <c r="I34" s="3">
        <v>117395.12</v>
      </c>
      <c r="J34" s="3">
        <v>1032663.38</v>
      </c>
    </row>
    <row r="35" spans="1:10" x14ac:dyDescent="0.25">
      <c r="B35" s="45">
        <f ca="1">SUM(B28:B39)</f>
        <v>5498533.0600000005</v>
      </c>
      <c r="C35" s="45">
        <f ca="1">SUM(C28:C39)</f>
        <v>33069198.850000001</v>
      </c>
      <c r="D35" s="45">
        <f ca="1">SUM(D28:D39)</f>
        <v>7222623.1399999997</v>
      </c>
      <c r="E35" s="45">
        <f ca="1">SUM(E28:E39)</f>
        <v>45790355.050000004</v>
      </c>
      <c r="G35" s="45">
        <f ca="1">SUM(G28:G40)</f>
        <v>0</v>
      </c>
      <c r="H35" s="45">
        <f ca="1">SUM(H28:H40)</f>
        <v>6475215.0599999996</v>
      </c>
      <c r="I35" s="45">
        <f ca="1">SUM(I28:I40)</f>
        <v>1142587.2999999998</v>
      </c>
      <c r="J35" s="45">
        <f ca="1">SUM(J28:J40)</f>
        <v>7617802.3600000003</v>
      </c>
    </row>
    <row r="37" spans="1:10" x14ac:dyDescent="0.25">
      <c r="B37" s="46">
        <f ca="1">B17/B35-1</f>
        <v>0.2800557390847076</v>
      </c>
      <c r="C37" s="46">
        <f ca="1">C17/C35-1</f>
        <v>-9.1643012996669659E-2</v>
      </c>
      <c r="D37" s="46">
        <f ca="1">D17/D35-1</f>
        <v>-0.11142455094230486</v>
      </c>
      <c r="E37" s="46">
        <f ca="1">E17/E35-1</f>
        <v>-5.012939553522866E-2</v>
      </c>
      <c r="G37" s="46"/>
      <c r="H37" s="46">
        <f ca="1">#REF!/H35-1</f>
        <v>-1</v>
      </c>
      <c r="I37" s="46">
        <f ca="1">#REF!/I35-1</f>
        <v>-1</v>
      </c>
      <c r="J37" s="46">
        <f ca="1">#REF!/J35-1</f>
        <v>-1</v>
      </c>
    </row>
  </sheetData>
  <mergeCells count="1">
    <mergeCell ref="L20:O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8A9D-0EC0-45F4-9BAD-48C84B4D7318}">
  <dimension ref="A2:S170"/>
  <sheetViews>
    <sheetView topLeftCell="D73" workbookViewId="0">
      <selection activeCell="M10" sqref="M10:M106"/>
    </sheetView>
  </sheetViews>
  <sheetFormatPr defaultRowHeight="15" outlineLevelCol="1" x14ac:dyDescent="0.25"/>
  <cols>
    <col min="1" max="1" width="18.7109375" bestFit="1" customWidth="1"/>
    <col min="2" max="2" width="15.85546875" bestFit="1" customWidth="1"/>
    <col min="3" max="4" width="10.85546875" bestFit="1" customWidth="1"/>
    <col min="5" max="5" width="10.42578125" bestFit="1" customWidth="1"/>
    <col min="6" max="6" width="10.42578125" customWidth="1" outlineLevel="1"/>
    <col min="7" max="7" width="17.42578125" customWidth="1" outlineLevel="1"/>
    <col min="8" max="8" width="11.140625" bestFit="1" customWidth="1"/>
    <col min="9" max="9" width="10.140625" bestFit="1" customWidth="1"/>
    <col min="10" max="10" width="11.140625" bestFit="1" customWidth="1"/>
    <col min="11" max="11" width="9.85546875" customWidth="1"/>
    <col min="12" max="12" width="18.7109375" bestFit="1" customWidth="1"/>
    <col min="13" max="13" width="15.85546875" bestFit="1" customWidth="1"/>
    <col min="14" max="14" width="11.85546875" bestFit="1" customWidth="1"/>
    <col min="15" max="15" width="10.85546875" bestFit="1" customWidth="1"/>
    <col min="16" max="16" width="11.85546875" bestFit="1" customWidth="1"/>
  </cols>
  <sheetData>
    <row r="2" spans="1:19" x14ac:dyDescent="0.25">
      <c r="A2" s="18" t="s">
        <v>0</v>
      </c>
      <c r="B2" t="s" vm="1">
        <v>1</v>
      </c>
      <c r="L2" s="18" t="s">
        <v>0</v>
      </c>
      <c r="M2" t="s" vm="1">
        <v>1</v>
      </c>
    </row>
    <row r="3" spans="1:19" x14ac:dyDescent="0.25">
      <c r="A3" s="18" t="s">
        <v>2</v>
      </c>
      <c r="B3" t="s" vm="2">
        <v>3</v>
      </c>
      <c r="L3" s="18" t="s">
        <v>2</v>
      </c>
      <c r="M3" t="s" vm="2">
        <v>3</v>
      </c>
    </row>
    <row r="4" spans="1:19" x14ac:dyDescent="0.25">
      <c r="A4" s="18" t="s">
        <v>4</v>
      </c>
      <c r="B4" t="s" vm="3">
        <v>5</v>
      </c>
      <c r="L4" s="18" t="s">
        <v>4</v>
      </c>
      <c r="M4" t="s" vm="3">
        <v>5</v>
      </c>
    </row>
    <row r="5" spans="1:19" x14ac:dyDescent="0.25">
      <c r="A5" s="18" t="s">
        <v>6</v>
      </c>
      <c r="B5" t="s" vm="4">
        <v>7</v>
      </c>
      <c r="L5" s="18" t="s">
        <v>6</v>
      </c>
      <c r="M5" t="s" vm="4">
        <v>7</v>
      </c>
    </row>
    <row r="7" spans="1:19" x14ac:dyDescent="0.25">
      <c r="A7" s="18" t="s">
        <v>120</v>
      </c>
      <c r="B7" s="18" t="s">
        <v>9</v>
      </c>
      <c r="L7" s="18" t="s">
        <v>120</v>
      </c>
      <c r="M7" s="18" t="s">
        <v>9</v>
      </c>
    </row>
    <row r="8" spans="1:19" x14ac:dyDescent="0.25">
      <c r="B8" t="s">
        <v>10</v>
      </c>
      <c r="D8" t="s">
        <v>11</v>
      </c>
      <c r="F8" s="52" t="s">
        <v>12</v>
      </c>
      <c r="G8" s="52"/>
      <c r="H8" s="52"/>
      <c r="I8" s="52"/>
      <c r="J8" s="52"/>
      <c r="M8" t="s">
        <v>13</v>
      </c>
      <c r="P8" t="s">
        <v>11</v>
      </c>
      <c r="S8" s="3">
        <f>J8+N8+O8</f>
        <v>0</v>
      </c>
    </row>
    <row r="9" spans="1:19" x14ac:dyDescent="0.25">
      <c r="A9" s="18" t="s">
        <v>14</v>
      </c>
      <c r="B9" t="s">
        <v>15</v>
      </c>
      <c r="C9" t="s">
        <v>16</v>
      </c>
      <c r="F9" s="15" t="s">
        <v>17</v>
      </c>
      <c r="G9" s="15" t="s">
        <v>18</v>
      </c>
      <c r="H9" s="15" t="s">
        <v>19</v>
      </c>
      <c r="I9" s="15" t="s">
        <v>16</v>
      </c>
      <c r="J9" s="15" t="s">
        <v>20</v>
      </c>
      <c r="L9" s="18" t="s">
        <v>14</v>
      </c>
      <c r="M9" t="s">
        <v>21</v>
      </c>
      <c r="N9" t="s">
        <v>15</v>
      </c>
      <c r="O9" t="s">
        <v>16</v>
      </c>
      <c r="S9" s="3" t="e">
        <f t="shared" ref="S9:S72" si="0">J9+N9+O9</f>
        <v>#VALUE!</v>
      </c>
    </row>
    <row r="10" spans="1:19" x14ac:dyDescent="0.25">
      <c r="A10" s="2" t="s">
        <v>140</v>
      </c>
      <c r="B10" s="3">
        <v>337979.32</v>
      </c>
      <c r="C10" s="3">
        <v>109698.59</v>
      </c>
      <c r="D10" s="3">
        <v>447677.91</v>
      </c>
      <c r="F10" s="14">
        <v>45930</v>
      </c>
      <c r="G10" s="16">
        <f>_xlfn.XLOOKUP(F10,FX!$A$12:$A$910,FX!$B$12:$B$910,"",-1)</f>
        <v>1.141</v>
      </c>
      <c r="H10" s="3">
        <f>B10/$G10</f>
        <v>296213.25153374235</v>
      </c>
      <c r="I10" s="3">
        <f>C10/$G10</f>
        <v>96142.497808939515</v>
      </c>
      <c r="J10" s="3">
        <f>D10/$G10</f>
        <v>392355.74934268184</v>
      </c>
      <c r="L10" s="2" t="s">
        <v>22</v>
      </c>
      <c r="M10" s="3">
        <v>81333.86</v>
      </c>
      <c r="N10" s="3">
        <v>2228562.87</v>
      </c>
      <c r="O10" s="3">
        <v>364959.9</v>
      </c>
      <c r="P10" s="3">
        <v>2674856.63</v>
      </c>
      <c r="S10" s="3">
        <f t="shared" si="0"/>
        <v>2985878.5193426819</v>
      </c>
    </row>
    <row r="11" spans="1:19" x14ac:dyDescent="0.25">
      <c r="A11" s="2" t="s">
        <v>141</v>
      </c>
      <c r="B11" s="3">
        <v>374763.9</v>
      </c>
      <c r="C11" s="3">
        <v>101935.21</v>
      </c>
      <c r="D11" s="3">
        <v>476699.11</v>
      </c>
      <c r="F11" s="14">
        <f>F10+7</f>
        <v>45937</v>
      </c>
      <c r="G11" s="16">
        <f>_xlfn.XLOOKUP(F11,FX!$A$12:$A$910,FX!$B$12:$B$910,"",-1)</f>
        <v>1.1347</v>
      </c>
      <c r="H11" s="3">
        <f t="shared" ref="H11:J30" si="1">B11/$G11</f>
        <v>330275.7557063541</v>
      </c>
      <c r="I11" s="3">
        <f t="shared" si="1"/>
        <v>89834.502511677099</v>
      </c>
      <c r="J11" s="3">
        <f t="shared" si="1"/>
        <v>420110.25821803114</v>
      </c>
      <c r="L11" s="2" t="s">
        <v>23</v>
      </c>
      <c r="M11" s="3">
        <v>151408.57999999999</v>
      </c>
      <c r="N11" s="3">
        <v>2691024.21</v>
      </c>
      <c r="O11" s="3">
        <v>468288.49</v>
      </c>
      <c r="P11" s="3">
        <v>3310721.28</v>
      </c>
      <c r="S11" s="3">
        <f t="shared" si="0"/>
        <v>3579422.9582180316</v>
      </c>
    </row>
    <row r="12" spans="1:19" x14ac:dyDescent="0.25">
      <c r="A12" s="2" t="s">
        <v>142</v>
      </c>
      <c r="B12" s="3">
        <v>432751.53</v>
      </c>
      <c r="C12" s="3">
        <v>86616.75</v>
      </c>
      <c r="D12" s="3">
        <v>519368.28</v>
      </c>
      <c r="F12" s="14">
        <f t="shared" ref="F12:F75" si="2">F11+7</f>
        <v>45944</v>
      </c>
      <c r="G12" s="16">
        <f>_xlfn.XLOOKUP(F12,FX!$A$12:$A$910,FX!$B$12:$B$910,"",-1)</f>
        <v>1.1352</v>
      </c>
      <c r="H12" s="3">
        <f t="shared" si="1"/>
        <v>381211.70718816068</v>
      </c>
      <c r="I12" s="3">
        <f t="shared" si="1"/>
        <v>76300.872093023252</v>
      </c>
      <c r="J12" s="3">
        <f t="shared" si="1"/>
        <v>457512.57928118395</v>
      </c>
      <c r="L12" s="2" t="s">
        <v>24</v>
      </c>
      <c r="M12" s="3">
        <v>144117.9</v>
      </c>
      <c r="N12" s="3">
        <v>2954724.33</v>
      </c>
      <c r="O12" s="3">
        <v>515157.13</v>
      </c>
      <c r="P12" s="3">
        <v>3613999.36</v>
      </c>
      <c r="S12" s="3">
        <f t="shared" si="0"/>
        <v>3927394.0392811839</v>
      </c>
    </row>
    <row r="13" spans="1:19" x14ac:dyDescent="0.25">
      <c r="A13" s="2" t="s">
        <v>143</v>
      </c>
      <c r="B13" s="3">
        <v>447675.34</v>
      </c>
      <c r="C13" s="3">
        <v>72449.55</v>
      </c>
      <c r="D13" s="3">
        <v>520124.89</v>
      </c>
      <c r="F13" s="14">
        <f t="shared" si="2"/>
        <v>45951</v>
      </c>
      <c r="G13" s="16">
        <f>_xlfn.XLOOKUP(F13,FX!$A$12:$A$910,FX!$B$12:$B$910,"",-1)</f>
        <v>1.1351</v>
      </c>
      <c r="H13" s="3">
        <f t="shared" si="1"/>
        <v>394392.86406484013</v>
      </c>
      <c r="I13" s="3">
        <f t="shared" si="1"/>
        <v>63826.5791560215</v>
      </c>
      <c r="J13" s="3">
        <f t="shared" si="1"/>
        <v>458219.44322086161</v>
      </c>
      <c r="L13" s="2" t="s">
        <v>25</v>
      </c>
      <c r="M13" s="3">
        <v>137957.96</v>
      </c>
      <c r="N13" s="3">
        <v>2879006.39</v>
      </c>
      <c r="O13" s="3">
        <v>569604.82999999996</v>
      </c>
      <c r="P13" s="3">
        <v>3586569.18</v>
      </c>
      <c r="S13" s="3">
        <f t="shared" si="0"/>
        <v>3906830.6632208619</v>
      </c>
    </row>
    <row r="14" spans="1:19" x14ac:dyDescent="0.25">
      <c r="A14" s="2" t="s">
        <v>144</v>
      </c>
      <c r="B14" s="3">
        <v>446872.92</v>
      </c>
      <c r="C14" s="3">
        <v>108454.53</v>
      </c>
      <c r="D14" s="3">
        <v>555327.44999999995</v>
      </c>
      <c r="F14" s="14">
        <f t="shared" si="2"/>
        <v>45958</v>
      </c>
      <c r="G14" s="16">
        <f>_xlfn.XLOOKUP(F14,FX!$A$12:$A$910,FX!$B$12:$B$910,"",-1)</f>
        <v>1.1351</v>
      </c>
      <c r="H14" s="3">
        <f t="shared" si="1"/>
        <v>393685.94837459252</v>
      </c>
      <c r="I14" s="3">
        <f t="shared" si="1"/>
        <v>95546.233811998944</v>
      </c>
      <c r="J14" s="3">
        <f t="shared" si="1"/>
        <v>489232.18218659144</v>
      </c>
      <c r="L14" s="2" t="s">
        <v>26</v>
      </c>
      <c r="M14" s="3">
        <v>193317.4</v>
      </c>
      <c r="N14" s="3">
        <v>2753752.75</v>
      </c>
      <c r="O14" s="3">
        <v>618573.74</v>
      </c>
      <c r="P14" s="3">
        <v>3565643.89</v>
      </c>
      <c r="S14" s="3">
        <f t="shared" si="0"/>
        <v>3861558.6721865917</v>
      </c>
    </row>
    <row r="15" spans="1:19" x14ac:dyDescent="0.25">
      <c r="A15" s="2" t="s">
        <v>145</v>
      </c>
      <c r="B15" s="3">
        <v>546359.89</v>
      </c>
      <c r="C15" s="3">
        <v>176609.81</v>
      </c>
      <c r="D15" s="3">
        <v>722969.7</v>
      </c>
      <c r="F15" s="14">
        <f t="shared" si="2"/>
        <v>45965</v>
      </c>
      <c r="G15" s="16">
        <f>_xlfn.XLOOKUP(F15,FX!$A$12:$A$910,FX!$B$12:$B$910,"",-1)</f>
        <v>1.1482000000000001</v>
      </c>
      <c r="H15" s="3">
        <f t="shared" si="1"/>
        <v>475840.35011322069</v>
      </c>
      <c r="I15" s="3">
        <f t="shared" si="1"/>
        <v>153814.50095802124</v>
      </c>
      <c r="J15" s="3">
        <f t="shared" si="1"/>
        <v>629654.85107124189</v>
      </c>
      <c r="L15" s="2" t="s">
        <v>27</v>
      </c>
      <c r="M15" s="3">
        <v>151981.06</v>
      </c>
      <c r="N15" s="3">
        <v>2830302.79</v>
      </c>
      <c r="O15" s="3">
        <v>574587.9</v>
      </c>
      <c r="P15" s="3">
        <v>3556871.75</v>
      </c>
      <c r="S15" s="3">
        <f t="shared" si="0"/>
        <v>4034545.5410712417</v>
      </c>
    </row>
    <row r="16" spans="1:19" x14ac:dyDescent="0.25">
      <c r="A16" s="2" t="s">
        <v>146</v>
      </c>
      <c r="B16" s="3">
        <v>645913.86</v>
      </c>
      <c r="C16" s="3">
        <v>187115.02</v>
      </c>
      <c r="D16" s="3">
        <v>833028.88</v>
      </c>
      <c r="F16" s="14">
        <f t="shared" si="2"/>
        <v>45972</v>
      </c>
      <c r="G16" s="16">
        <f>_xlfn.XLOOKUP(F16,FX!$A$12:$A$910,FX!$B$12:$B$910,"",-1)</f>
        <v>1.1569</v>
      </c>
      <c r="H16" s="3">
        <f t="shared" si="1"/>
        <v>558314.34004667646</v>
      </c>
      <c r="I16" s="3">
        <f t="shared" si="1"/>
        <v>161738.28334341774</v>
      </c>
      <c r="J16" s="3">
        <f t="shared" si="1"/>
        <v>720052.62339009414</v>
      </c>
      <c r="L16" s="2" t="s">
        <v>28</v>
      </c>
      <c r="M16" s="3">
        <v>242677.57</v>
      </c>
      <c r="N16" s="3">
        <v>3082859.88</v>
      </c>
      <c r="O16" s="3">
        <v>696551.37</v>
      </c>
      <c r="P16" s="3">
        <v>4022088.82</v>
      </c>
      <c r="S16" s="3">
        <f t="shared" si="0"/>
        <v>4499463.8733900944</v>
      </c>
    </row>
    <row r="17" spans="1:19" x14ac:dyDescent="0.25">
      <c r="A17" s="2" t="s">
        <v>147</v>
      </c>
      <c r="B17" s="3">
        <v>625948.15</v>
      </c>
      <c r="C17" s="3">
        <v>171441.89</v>
      </c>
      <c r="D17" s="3">
        <v>797390.04</v>
      </c>
      <c r="F17" s="14">
        <f t="shared" si="2"/>
        <v>45979</v>
      </c>
      <c r="G17" s="16">
        <f>_xlfn.XLOOKUP(F17,FX!$A$12:$A$910,FX!$B$12:$B$910,"",-1)</f>
        <v>1.1469</v>
      </c>
      <c r="H17" s="3">
        <f t="shared" si="1"/>
        <v>545773.95588107069</v>
      </c>
      <c r="I17" s="3">
        <f t="shared" si="1"/>
        <v>149482.85813933212</v>
      </c>
      <c r="J17" s="3">
        <f t="shared" si="1"/>
        <v>695256.81402040285</v>
      </c>
      <c r="L17" s="2" t="s">
        <v>29</v>
      </c>
      <c r="M17" s="3">
        <v>240857.59</v>
      </c>
      <c r="N17" s="3">
        <v>3191169.44</v>
      </c>
      <c r="O17" s="3">
        <v>528650.26</v>
      </c>
      <c r="P17" s="3">
        <v>3960677.29</v>
      </c>
      <c r="S17" s="3">
        <f t="shared" si="0"/>
        <v>4415076.5140204029</v>
      </c>
    </row>
    <row r="18" spans="1:19" x14ac:dyDescent="0.25">
      <c r="A18" s="2" t="s">
        <v>148</v>
      </c>
      <c r="B18" s="3">
        <v>632231.32999999996</v>
      </c>
      <c r="C18" s="3">
        <v>150950.45000000001</v>
      </c>
      <c r="D18" s="3">
        <v>783181.78</v>
      </c>
      <c r="F18" s="14">
        <f t="shared" si="2"/>
        <v>45986</v>
      </c>
      <c r="G18" s="16">
        <f>_xlfn.XLOOKUP(F18,FX!$A$12:$A$910,FX!$B$12:$B$910,"",-1)</f>
        <v>1.1523000000000001</v>
      </c>
      <c r="H18" s="3">
        <f t="shared" si="1"/>
        <v>548669.03584136069</v>
      </c>
      <c r="I18" s="3">
        <f t="shared" si="1"/>
        <v>130999.26234487546</v>
      </c>
      <c r="J18" s="3">
        <f t="shared" si="1"/>
        <v>679668.29818623618</v>
      </c>
      <c r="L18" s="2" t="s">
        <v>30</v>
      </c>
      <c r="M18" s="3">
        <v>313520.81</v>
      </c>
      <c r="N18" s="3">
        <v>3169506.97</v>
      </c>
      <c r="O18" s="3">
        <v>749573.49</v>
      </c>
      <c r="P18" s="3">
        <v>4232601.2699999996</v>
      </c>
      <c r="S18" s="3">
        <f t="shared" si="0"/>
        <v>4598748.758186236</v>
      </c>
    </row>
    <row r="19" spans="1:19" x14ac:dyDescent="0.25">
      <c r="A19" s="2" t="s">
        <v>149</v>
      </c>
      <c r="B19" s="3">
        <v>621172.68000000005</v>
      </c>
      <c r="C19" s="3">
        <v>163308.6</v>
      </c>
      <c r="D19" s="3">
        <v>784481.28000000003</v>
      </c>
      <c r="F19" s="14">
        <f t="shared" si="2"/>
        <v>45993</v>
      </c>
      <c r="G19" s="16">
        <f>_xlfn.XLOOKUP(F19,FX!$A$12:$A$910,FX!$B$12:$B$910,"",-1)</f>
        <v>1.1440999999999999</v>
      </c>
      <c r="H19" s="3">
        <f t="shared" si="1"/>
        <v>542935.6524779303</v>
      </c>
      <c r="I19" s="3">
        <f t="shared" si="1"/>
        <v>142739.79547242375</v>
      </c>
      <c r="J19" s="3">
        <f t="shared" si="1"/>
        <v>685675.44795035408</v>
      </c>
      <c r="L19" s="2" t="s">
        <v>31</v>
      </c>
      <c r="M19" s="3">
        <v>364493.1</v>
      </c>
      <c r="N19" s="3">
        <v>2629342.54</v>
      </c>
      <c r="O19" s="3">
        <v>822429.05</v>
      </c>
      <c r="P19" s="3">
        <v>3816264.69</v>
      </c>
      <c r="S19" s="3">
        <f t="shared" si="0"/>
        <v>4137447.0379503537</v>
      </c>
    </row>
    <row r="20" spans="1:19" x14ac:dyDescent="0.25">
      <c r="A20" s="2" t="s">
        <v>150</v>
      </c>
      <c r="B20" s="3">
        <v>564295.47</v>
      </c>
      <c r="C20" s="3">
        <v>120867.52</v>
      </c>
      <c r="D20" s="3">
        <v>685162.99</v>
      </c>
      <c r="F20" s="14">
        <f t="shared" si="2"/>
        <v>46000</v>
      </c>
      <c r="G20" s="16">
        <f>_xlfn.XLOOKUP(F20,FX!$A$12:$A$910,FX!$B$12:$B$910,"",-1)</f>
        <v>1.1479999999999999</v>
      </c>
      <c r="H20" s="3">
        <f t="shared" si="1"/>
        <v>491546.57665505225</v>
      </c>
      <c r="I20" s="3">
        <f t="shared" si="1"/>
        <v>105285.2961672474</v>
      </c>
      <c r="J20" s="3">
        <f t="shared" si="1"/>
        <v>596831.87282229972</v>
      </c>
      <c r="L20" s="2" t="s">
        <v>32</v>
      </c>
      <c r="M20" s="3">
        <v>390445.63</v>
      </c>
      <c r="N20" s="3">
        <v>4593274.8</v>
      </c>
      <c r="O20" s="3">
        <v>1625702.14</v>
      </c>
      <c r="P20" s="3">
        <v>6609422.5700000003</v>
      </c>
      <c r="S20" s="3">
        <f t="shared" si="0"/>
        <v>6815808.8128222991</v>
      </c>
    </row>
    <row r="21" spans="1:19" x14ac:dyDescent="0.25">
      <c r="A21" s="2" t="s">
        <v>151</v>
      </c>
      <c r="B21" s="3">
        <v>699732.95</v>
      </c>
      <c r="C21" s="3">
        <v>133382.87</v>
      </c>
      <c r="D21" s="3">
        <v>833115.82</v>
      </c>
      <c r="F21" s="14">
        <f t="shared" si="2"/>
        <v>46007</v>
      </c>
      <c r="G21" s="16">
        <f>_xlfn.XLOOKUP(F21,FX!$A$12:$A$910,FX!$B$12:$B$910,"",-1)</f>
        <v>1.1483000000000001</v>
      </c>
      <c r="H21" s="3">
        <f t="shared" si="1"/>
        <v>609364.23408516927</v>
      </c>
      <c r="I21" s="3">
        <f t="shared" si="1"/>
        <v>116156.81442131846</v>
      </c>
      <c r="J21" s="3">
        <f t="shared" si="1"/>
        <v>725521.04850648774</v>
      </c>
      <c r="L21" s="2" t="s">
        <v>33</v>
      </c>
      <c r="M21" s="3">
        <v>158636.35999999999</v>
      </c>
      <c r="N21" s="3">
        <v>4691391.8600000003</v>
      </c>
      <c r="O21" s="3">
        <v>1011688.02</v>
      </c>
      <c r="P21" s="3">
        <v>5861716.2400000002</v>
      </c>
      <c r="S21" s="3">
        <f t="shared" si="0"/>
        <v>6428600.928506488</v>
      </c>
    </row>
    <row r="22" spans="1:19" x14ac:dyDescent="0.25">
      <c r="A22" s="2" t="s">
        <v>152</v>
      </c>
      <c r="B22" s="3">
        <v>521540.09</v>
      </c>
      <c r="C22" s="3">
        <v>137248.46</v>
      </c>
      <c r="D22" s="3">
        <v>658788.55000000005</v>
      </c>
      <c r="F22" s="14">
        <f t="shared" si="2"/>
        <v>46014</v>
      </c>
      <c r="G22" s="16">
        <f>_xlfn.XLOOKUP(F22,FX!$A$12:$A$910,FX!$B$12:$B$910,"",-1)</f>
        <v>1.1469</v>
      </c>
      <c r="H22" s="3">
        <f t="shared" si="1"/>
        <v>454738.93975063215</v>
      </c>
      <c r="I22" s="3">
        <f t="shared" si="1"/>
        <v>119669.07315371871</v>
      </c>
      <c r="J22" s="3">
        <f t="shared" si="1"/>
        <v>574408.01290435088</v>
      </c>
      <c r="L22" s="2" t="s">
        <v>34</v>
      </c>
      <c r="M22" s="3">
        <v>54727.25</v>
      </c>
      <c r="N22" s="3">
        <v>2590362.42</v>
      </c>
      <c r="O22" s="3">
        <v>446573.21</v>
      </c>
      <c r="P22" s="3">
        <v>3091662.88</v>
      </c>
      <c r="S22" s="3">
        <f t="shared" si="0"/>
        <v>3611343.6429043505</v>
      </c>
    </row>
    <row r="23" spans="1:19" x14ac:dyDescent="0.25">
      <c r="A23" s="2" t="s">
        <v>153</v>
      </c>
      <c r="B23" s="3">
        <v>459965.39</v>
      </c>
      <c r="C23" s="3">
        <v>147079.14000000001</v>
      </c>
      <c r="D23" s="3">
        <v>607044.53</v>
      </c>
      <c r="F23" s="14">
        <f t="shared" si="2"/>
        <v>46021</v>
      </c>
      <c r="G23" s="16">
        <f>_xlfn.XLOOKUP(F23,FX!$A$12:$A$910,FX!$B$12:$B$910,"",-1)</f>
        <v>1.1543000000000001</v>
      </c>
      <c r="H23" s="3">
        <f t="shared" si="1"/>
        <v>398479.93589188252</v>
      </c>
      <c r="I23" s="3">
        <f t="shared" si="1"/>
        <v>127418.47006843975</v>
      </c>
      <c r="J23" s="3">
        <f t="shared" si="1"/>
        <v>525898.40596032224</v>
      </c>
      <c r="L23" s="2" t="s">
        <v>35</v>
      </c>
      <c r="M23" s="3">
        <v>241448.77</v>
      </c>
      <c r="N23" s="3">
        <v>2782447.08</v>
      </c>
      <c r="O23" s="3">
        <v>779215.89</v>
      </c>
      <c r="P23" s="3">
        <v>3803111.74</v>
      </c>
      <c r="S23" s="3">
        <f t="shared" si="0"/>
        <v>4087561.3759603226</v>
      </c>
    </row>
    <row r="24" spans="1:19" x14ac:dyDescent="0.25">
      <c r="A24" s="2" t="s">
        <v>154</v>
      </c>
      <c r="B24" s="3">
        <v>485869.31</v>
      </c>
      <c r="C24" s="3">
        <v>90920.78</v>
      </c>
      <c r="D24" s="3">
        <v>576790.09</v>
      </c>
      <c r="F24" s="14">
        <f t="shared" si="2"/>
        <v>46028</v>
      </c>
      <c r="G24" s="16">
        <f>_xlfn.XLOOKUP(F24,FX!$A$12:$A$910,FX!$B$12:$B$910,"",-1)</f>
        <v>1.1598999999999999</v>
      </c>
      <c r="H24" s="3">
        <f t="shared" si="1"/>
        <v>418888.96456591086</v>
      </c>
      <c r="I24" s="3">
        <f t="shared" si="1"/>
        <v>78386.74023622727</v>
      </c>
      <c r="J24" s="3">
        <f t="shared" si="1"/>
        <v>497275.70480213809</v>
      </c>
      <c r="L24" s="2" t="s">
        <v>36</v>
      </c>
      <c r="M24" s="3">
        <v>238185.02</v>
      </c>
      <c r="N24" s="3">
        <v>3197584.6</v>
      </c>
      <c r="O24" s="3">
        <v>690834.48</v>
      </c>
      <c r="P24" s="3">
        <v>4126604.1</v>
      </c>
      <c r="S24" s="3">
        <f t="shared" si="0"/>
        <v>4385694.7848021388</v>
      </c>
    </row>
    <row r="25" spans="1:19" x14ac:dyDescent="0.25">
      <c r="A25" s="2" t="s">
        <v>155</v>
      </c>
      <c r="B25" s="3">
        <v>402328.91</v>
      </c>
      <c r="C25" s="3">
        <v>90689.29</v>
      </c>
      <c r="D25" s="3">
        <v>493018.2</v>
      </c>
      <c r="F25" s="14">
        <f t="shared" si="2"/>
        <v>46035</v>
      </c>
      <c r="G25" s="16">
        <f>_xlfn.XLOOKUP(F25,FX!$A$12:$A$910,FX!$B$12:$B$910,"",-1)</f>
        <v>1.1613</v>
      </c>
      <c r="H25" s="3">
        <f t="shared" si="1"/>
        <v>346447.007663825</v>
      </c>
      <c r="I25" s="3">
        <f t="shared" si="1"/>
        <v>78092.904503573576</v>
      </c>
      <c r="J25" s="3">
        <f t="shared" si="1"/>
        <v>424539.91216739861</v>
      </c>
      <c r="L25" s="2" t="s">
        <v>37</v>
      </c>
      <c r="M25" s="3">
        <v>139183.4</v>
      </c>
      <c r="N25" s="3">
        <v>2993533.75</v>
      </c>
      <c r="O25" s="3">
        <v>580030.82999999996</v>
      </c>
      <c r="P25" s="3">
        <v>3712747.98</v>
      </c>
      <c r="S25" s="3">
        <f t="shared" si="0"/>
        <v>3998104.4921673988</v>
      </c>
    </row>
    <row r="26" spans="1:19" x14ac:dyDescent="0.25">
      <c r="A26" s="2" t="s">
        <v>156</v>
      </c>
      <c r="B26" s="3">
        <v>407283.74</v>
      </c>
      <c r="C26" s="3">
        <v>52868.37</v>
      </c>
      <c r="D26" s="3">
        <v>460152.11</v>
      </c>
      <c r="F26" s="14">
        <f t="shared" si="2"/>
        <v>46042</v>
      </c>
      <c r="G26" s="16">
        <f>_xlfn.XLOOKUP(F26,FX!$A$12:$A$910,FX!$B$12:$B$910,"",-1)</f>
        <v>1.1553</v>
      </c>
      <c r="H26" s="3">
        <f t="shared" si="1"/>
        <v>352535.04717389424</v>
      </c>
      <c r="I26" s="3">
        <f t="shared" si="1"/>
        <v>45761.594391067258</v>
      </c>
      <c r="J26" s="3">
        <f t="shared" si="1"/>
        <v>398296.64156496146</v>
      </c>
      <c r="L26" s="2" t="s">
        <v>38</v>
      </c>
      <c r="M26" s="3">
        <v>362190.46</v>
      </c>
      <c r="N26" s="3">
        <v>2807084.1</v>
      </c>
      <c r="O26" s="3">
        <v>619433.13</v>
      </c>
      <c r="P26" s="3">
        <v>3788707.69</v>
      </c>
      <c r="S26" s="3">
        <f t="shared" si="0"/>
        <v>3824813.8715649615</v>
      </c>
    </row>
    <row r="27" spans="1:19" x14ac:dyDescent="0.25">
      <c r="A27" s="2" t="s">
        <v>157</v>
      </c>
      <c r="B27" s="3">
        <v>503414.47</v>
      </c>
      <c r="C27" s="3">
        <v>118680.72</v>
      </c>
      <c r="D27" s="3">
        <v>622095.18999999994</v>
      </c>
      <c r="F27" s="14">
        <f t="shared" si="2"/>
        <v>46049</v>
      </c>
      <c r="G27" s="16">
        <f>_xlfn.XLOOKUP(F27,FX!$A$12:$A$910,FX!$B$12:$B$910,"",-1)</f>
        <v>1.1588000000000001</v>
      </c>
      <c r="H27" s="3">
        <f t="shared" si="1"/>
        <v>434427.39903348288</v>
      </c>
      <c r="I27" s="3">
        <f t="shared" si="1"/>
        <v>102416.91404901622</v>
      </c>
      <c r="J27" s="3">
        <f t="shared" si="1"/>
        <v>536844.31308249908</v>
      </c>
      <c r="L27" s="2" t="s">
        <v>39</v>
      </c>
      <c r="M27" s="3">
        <v>254724.52</v>
      </c>
      <c r="N27" s="3">
        <v>2453714.17</v>
      </c>
      <c r="O27" s="3">
        <v>668744.26</v>
      </c>
      <c r="P27" s="3">
        <v>3377182.95</v>
      </c>
      <c r="S27" s="3">
        <f t="shared" si="0"/>
        <v>3659302.7430824991</v>
      </c>
    </row>
    <row r="28" spans="1:19" x14ac:dyDescent="0.25">
      <c r="A28" s="2" t="s">
        <v>158</v>
      </c>
      <c r="B28" s="3">
        <v>480655.28</v>
      </c>
      <c r="C28" s="3">
        <v>86000.79</v>
      </c>
      <c r="D28" s="3">
        <v>566656.06999999995</v>
      </c>
      <c r="F28" s="14">
        <f t="shared" si="2"/>
        <v>46056</v>
      </c>
      <c r="G28" s="16">
        <f>_xlfn.XLOOKUP(F28,FX!$A$12:$A$910,FX!$B$12:$B$910,"",-1)</f>
        <v>1.1616</v>
      </c>
      <c r="H28" s="3">
        <f t="shared" si="1"/>
        <v>413787.25895316806</v>
      </c>
      <c r="I28" s="3">
        <f t="shared" si="1"/>
        <v>74036.492768595039</v>
      </c>
      <c r="J28" s="3">
        <f t="shared" si="1"/>
        <v>487823.75172176305</v>
      </c>
      <c r="L28" s="2" t="s">
        <v>40</v>
      </c>
      <c r="M28" s="3">
        <v>233546.43</v>
      </c>
      <c r="N28" s="3">
        <v>2138844.5</v>
      </c>
      <c r="O28" s="3">
        <v>511927.16</v>
      </c>
      <c r="P28" s="3">
        <v>2884318.09</v>
      </c>
      <c r="S28" s="3">
        <f t="shared" si="0"/>
        <v>3138595.4117217632</v>
      </c>
    </row>
    <row r="29" spans="1:19" x14ac:dyDescent="0.25">
      <c r="A29" s="2" t="s">
        <v>159</v>
      </c>
      <c r="B29" s="3">
        <v>504506.43</v>
      </c>
      <c r="C29" s="3">
        <v>98680.07</v>
      </c>
      <c r="D29" s="3">
        <v>603186.5</v>
      </c>
      <c r="F29" s="14">
        <f t="shared" si="2"/>
        <v>46063</v>
      </c>
      <c r="G29" s="16">
        <f>_xlfn.XLOOKUP(F29,FX!$A$12:$A$910,FX!$B$12:$B$910,"",-1)</f>
        <v>1.1717</v>
      </c>
      <c r="H29" s="3">
        <f t="shared" si="1"/>
        <v>430576.45301698387</v>
      </c>
      <c r="I29" s="3">
        <f t="shared" si="1"/>
        <v>84219.569855765134</v>
      </c>
      <c r="J29" s="3">
        <f t="shared" si="1"/>
        <v>514796.02287274902</v>
      </c>
      <c r="L29" s="2" t="s">
        <v>41</v>
      </c>
      <c r="M29" s="3">
        <v>164731.57999999999</v>
      </c>
      <c r="N29" s="3">
        <v>2833289.08</v>
      </c>
      <c r="O29" s="3">
        <v>442470.88</v>
      </c>
      <c r="P29" s="3">
        <v>3440491.54</v>
      </c>
      <c r="S29" s="3">
        <f t="shared" si="0"/>
        <v>3790555.9828727487</v>
      </c>
    </row>
    <row r="30" spans="1:19" x14ac:dyDescent="0.25">
      <c r="A30" s="2" t="s">
        <v>160</v>
      </c>
      <c r="B30" s="3">
        <v>498265.75</v>
      </c>
      <c r="C30" s="3">
        <v>86500.42</v>
      </c>
      <c r="D30" s="3">
        <v>584766.17000000004</v>
      </c>
      <c r="F30" s="14">
        <f t="shared" si="2"/>
        <v>46070</v>
      </c>
      <c r="G30" s="16">
        <f>_xlfn.XLOOKUP(F30,FX!$A$12:$A$910,FX!$B$12:$B$910,"",-1)</f>
        <v>1.1709000000000001</v>
      </c>
      <c r="H30" s="3">
        <f t="shared" si="1"/>
        <v>425540.8232983175</v>
      </c>
      <c r="I30" s="3">
        <f t="shared" si="1"/>
        <v>73875.155863011358</v>
      </c>
      <c r="J30" s="3">
        <f t="shared" si="1"/>
        <v>499415.97916132893</v>
      </c>
      <c r="L30" s="2" t="s">
        <v>42</v>
      </c>
      <c r="M30" s="3">
        <v>243257.3</v>
      </c>
      <c r="N30" s="3">
        <v>2462250.42</v>
      </c>
      <c r="O30" s="3">
        <v>606081.28000000003</v>
      </c>
      <c r="P30" s="3">
        <v>3311589</v>
      </c>
      <c r="S30" s="3">
        <f t="shared" si="0"/>
        <v>3567747.6791613288</v>
      </c>
    </row>
    <row r="31" spans="1:19" x14ac:dyDescent="0.25">
      <c r="A31" s="2" t="s">
        <v>161</v>
      </c>
      <c r="B31" s="3">
        <v>436524.31</v>
      </c>
      <c r="C31" s="3">
        <v>89227.06</v>
      </c>
      <c r="D31" s="3">
        <v>525751.37</v>
      </c>
      <c r="F31" s="14">
        <f t="shared" si="2"/>
        <v>46077</v>
      </c>
      <c r="G31" s="16">
        <f>_xlfn.XLOOKUP(F31,FX!$A$12:$A$910,FX!$B$12:$B$910,"",-1)</f>
        <v>1.1850000000000001</v>
      </c>
      <c r="H31" s="3">
        <f t="shared" ref="H31:J61" si="3">B31/$G31</f>
        <v>368374.9451476793</v>
      </c>
      <c r="I31" s="3">
        <f t="shared" si="3"/>
        <v>75297.097046413503</v>
      </c>
      <c r="J31" s="3">
        <f t="shared" si="3"/>
        <v>443672.04219409282</v>
      </c>
      <c r="L31" s="2" t="s">
        <v>43</v>
      </c>
      <c r="M31" s="3">
        <v>134103.38</v>
      </c>
      <c r="N31" s="3">
        <v>2341750.2200000002</v>
      </c>
      <c r="O31" s="3">
        <v>382231.76</v>
      </c>
      <c r="P31" s="3">
        <v>2858085.36</v>
      </c>
      <c r="S31" s="3">
        <f t="shared" si="0"/>
        <v>3167654.0221940931</v>
      </c>
    </row>
    <row r="32" spans="1:19" x14ac:dyDescent="0.25">
      <c r="A32" s="2" t="s">
        <v>162</v>
      </c>
      <c r="B32" s="3">
        <v>579874.73</v>
      </c>
      <c r="C32" s="3">
        <v>144463.15</v>
      </c>
      <c r="D32" s="3">
        <v>724337.88</v>
      </c>
      <c r="F32" s="14">
        <f t="shared" si="2"/>
        <v>46084</v>
      </c>
      <c r="G32" s="16">
        <f>_xlfn.XLOOKUP(F32,FX!$A$12:$A$910,FX!$B$12:$B$910,"",-1)</f>
        <v>1.1966000000000001</v>
      </c>
      <c r="H32" s="3">
        <f t="shared" si="3"/>
        <v>484601.98061173316</v>
      </c>
      <c r="I32" s="3">
        <f t="shared" si="3"/>
        <v>120728.02105966904</v>
      </c>
      <c r="J32" s="3">
        <f t="shared" si="3"/>
        <v>605330.00167140225</v>
      </c>
      <c r="L32" s="2" t="s">
        <v>44</v>
      </c>
      <c r="M32" s="3">
        <v>127275.94</v>
      </c>
      <c r="N32" s="3">
        <v>2234492.33</v>
      </c>
      <c r="O32" s="3">
        <v>396022.88</v>
      </c>
      <c r="P32" s="3">
        <v>2757791.15</v>
      </c>
      <c r="S32" s="3">
        <f t="shared" si="0"/>
        <v>3235845.2116714022</v>
      </c>
    </row>
    <row r="33" spans="1:19" x14ac:dyDescent="0.25">
      <c r="A33" s="2" t="s">
        <v>163</v>
      </c>
      <c r="B33" s="3">
        <v>483150.63</v>
      </c>
      <c r="C33" s="3">
        <v>109189.09</v>
      </c>
      <c r="D33" s="3">
        <v>592339.72</v>
      </c>
      <c r="F33" s="14">
        <f t="shared" si="2"/>
        <v>46091</v>
      </c>
      <c r="G33" s="16">
        <f>_xlfn.XLOOKUP(F33,FX!$A$12:$A$910,FX!$B$12:$B$910,"",-1)</f>
        <v>1.1949000000000001</v>
      </c>
      <c r="H33" s="3">
        <f t="shared" si="3"/>
        <v>404343.98694451415</v>
      </c>
      <c r="I33" s="3">
        <f t="shared" si="3"/>
        <v>91379.270231818547</v>
      </c>
      <c r="J33" s="3">
        <f t="shared" si="3"/>
        <v>495723.2571763327</v>
      </c>
      <c r="L33" s="2" t="s">
        <v>45</v>
      </c>
      <c r="M33" s="3">
        <v>145994.51999999999</v>
      </c>
      <c r="N33" s="3">
        <v>1942307.15</v>
      </c>
      <c r="O33" s="3">
        <v>383038.68</v>
      </c>
      <c r="P33" s="3">
        <v>2471340.35</v>
      </c>
      <c r="S33" s="3">
        <f t="shared" si="0"/>
        <v>2821069.0871763327</v>
      </c>
    </row>
    <row r="34" spans="1:19" x14ac:dyDescent="0.25">
      <c r="A34" s="2" t="s">
        <v>164</v>
      </c>
      <c r="B34" s="3">
        <v>538011.41</v>
      </c>
      <c r="C34" s="3">
        <v>106155.92</v>
      </c>
      <c r="D34" s="3">
        <v>644167.32999999996</v>
      </c>
      <c r="F34" s="14">
        <f t="shared" si="2"/>
        <v>46098</v>
      </c>
      <c r="G34" s="16">
        <f>_xlfn.XLOOKUP(F34,FX!$A$12:$A$910,FX!$B$12:$B$910,"",-1)</f>
        <v>1.2109000000000001</v>
      </c>
      <c r="H34" s="3">
        <f t="shared" si="3"/>
        <v>444307.05260550004</v>
      </c>
      <c r="I34" s="3">
        <f t="shared" si="3"/>
        <v>87666.958460649097</v>
      </c>
      <c r="J34" s="3">
        <f t="shared" si="3"/>
        <v>531974.01106614911</v>
      </c>
      <c r="L34" s="2" t="s">
        <v>46</v>
      </c>
      <c r="M34" s="3">
        <v>175415.46</v>
      </c>
      <c r="N34" s="3">
        <v>1845255.29</v>
      </c>
      <c r="O34" s="3">
        <v>421344.66</v>
      </c>
      <c r="P34" s="3">
        <v>2442015.41</v>
      </c>
      <c r="S34" s="3">
        <f t="shared" si="0"/>
        <v>2798573.9610661492</v>
      </c>
    </row>
    <row r="35" spans="1:19" x14ac:dyDescent="0.25">
      <c r="A35" s="2" t="s">
        <v>165</v>
      </c>
      <c r="B35" s="3">
        <v>569915.48</v>
      </c>
      <c r="C35" s="3">
        <v>121327.09</v>
      </c>
      <c r="D35" s="3">
        <v>691242.57</v>
      </c>
      <c r="F35" s="14">
        <f t="shared" si="2"/>
        <v>46105</v>
      </c>
      <c r="G35" s="16">
        <f>_xlfn.XLOOKUP(F35,FX!$A$12:$A$910,FX!$B$12:$B$910,"",-1)</f>
        <v>1.1949000000000001</v>
      </c>
      <c r="H35" s="3">
        <f t="shared" si="3"/>
        <v>476956.63235417183</v>
      </c>
      <c r="I35" s="3">
        <f t="shared" si="3"/>
        <v>101537.44246380449</v>
      </c>
      <c r="J35" s="3">
        <f t="shared" si="3"/>
        <v>578494.07481797633</v>
      </c>
      <c r="L35" s="2" t="s">
        <v>47</v>
      </c>
      <c r="M35" s="3">
        <v>206486.5</v>
      </c>
      <c r="N35" s="3">
        <v>2609467.77</v>
      </c>
      <c r="O35" s="3">
        <v>623094.13</v>
      </c>
      <c r="P35" s="3">
        <v>3439048.4</v>
      </c>
      <c r="S35" s="3">
        <f t="shared" si="0"/>
        <v>3811055.9748179764</v>
      </c>
    </row>
    <row r="36" spans="1:19" x14ac:dyDescent="0.25">
      <c r="A36" s="2" t="s">
        <v>166</v>
      </c>
      <c r="B36" s="3">
        <v>563281.06999999995</v>
      </c>
      <c r="C36" s="3">
        <v>110738.47</v>
      </c>
      <c r="D36" s="3">
        <v>674019.54</v>
      </c>
      <c r="F36" s="14">
        <f t="shared" si="2"/>
        <v>46112</v>
      </c>
      <c r="G36" s="16">
        <f>_xlfn.XLOOKUP(F36,FX!$A$12:$A$910,FX!$B$12:$B$910,"",-1)</f>
        <v>1.1992</v>
      </c>
      <c r="H36" s="3">
        <f t="shared" si="3"/>
        <v>469714.03435623745</v>
      </c>
      <c r="I36" s="3">
        <f t="shared" si="3"/>
        <v>92343.620747164779</v>
      </c>
      <c r="J36" s="3">
        <f t="shared" si="3"/>
        <v>562057.65510340233</v>
      </c>
      <c r="L36" s="2" t="s">
        <v>48</v>
      </c>
      <c r="M36" s="3">
        <v>125680.19</v>
      </c>
      <c r="N36" s="3">
        <v>2812236.85</v>
      </c>
      <c r="O36" s="3">
        <v>502649.72</v>
      </c>
      <c r="P36" s="3">
        <v>3440566.76</v>
      </c>
      <c r="S36" s="3">
        <f t="shared" si="0"/>
        <v>3876944.2251034025</v>
      </c>
    </row>
    <row r="37" spans="1:19" x14ac:dyDescent="0.25">
      <c r="A37" s="2" t="s">
        <v>167</v>
      </c>
      <c r="B37" s="3">
        <v>512912.39</v>
      </c>
      <c r="C37" s="3">
        <v>112527.1</v>
      </c>
      <c r="D37" s="3">
        <v>625439.49</v>
      </c>
      <c r="F37" s="14">
        <f t="shared" si="2"/>
        <v>46119</v>
      </c>
      <c r="G37" s="16">
        <f>_xlfn.XLOOKUP(F37,FX!$A$12:$A$910,FX!$B$12:$B$910,"",-1)</f>
        <v>1.2129000000000001</v>
      </c>
      <c r="H37" s="3">
        <f t="shared" si="3"/>
        <v>422881.02069420397</v>
      </c>
      <c r="I37" s="3">
        <f t="shared" si="3"/>
        <v>92775.24940225904</v>
      </c>
      <c r="J37" s="3">
        <f t="shared" si="3"/>
        <v>515656.27009646298</v>
      </c>
      <c r="L37" s="2" t="s">
        <v>49</v>
      </c>
      <c r="M37" s="3">
        <v>160809.04999999999</v>
      </c>
      <c r="N37" s="3">
        <v>2426325.56</v>
      </c>
      <c r="O37" s="3">
        <v>405662.16</v>
      </c>
      <c r="P37" s="3">
        <v>2992796.77</v>
      </c>
      <c r="S37" s="3">
        <f t="shared" si="0"/>
        <v>3347643.9900964634</v>
      </c>
    </row>
    <row r="38" spans="1:19" x14ac:dyDescent="0.25">
      <c r="A38" s="2" t="s">
        <v>168</v>
      </c>
      <c r="B38" s="3">
        <v>501993.05</v>
      </c>
      <c r="C38" s="3">
        <v>91397.49</v>
      </c>
      <c r="D38" s="3">
        <v>593390.54</v>
      </c>
      <c r="F38" s="14">
        <f t="shared" si="2"/>
        <v>46126</v>
      </c>
      <c r="G38" s="16">
        <f>_xlfn.XLOOKUP(F38,FX!$A$12:$A$910,FX!$B$12:$B$910,"",-1)</f>
        <v>1.2061999999999999</v>
      </c>
      <c r="H38" s="3">
        <f t="shared" si="3"/>
        <v>416177.29232299788</v>
      </c>
      <c r="I38" s="3">
        <f t="shared" si="3"/>
        <v>75773.080749461122</v>
      </c>
      <c r="J38" s="3">
        <f t="shared" si="3"/>
        <v>491950.37307245901</v>
      </c>
      <c r="L38" s="2" t="s">
        <v>50</v>
      </c>
      <c r="M38" s="3">
        <v>157351.07</v>
      </c>
      <c r="N38" s="3">
        <v>1825651.21</v>
      </c>
      <c r="O38" s="3">
        <v>324789.13</v>
      </c>
      <c r="P38" s="3">
        <v>2307791.41</v>
      </c>
      <c r="S38" s="3">
        <f t="shared" si="0"/>
        <v>2642390.7130724587</v>
      </c>
    </row>
    <row r="39" spans="1:19" x14ac:dyDescent="0.25">
      <c r="A39" s="2" t="s">
        <v>169</v>
      </c>
      <c r="B39" s="3">
        <v>444400.01</v>
      </c>
      <c r="C39" s="3">
        <v>112787.7</v>
      </c>
      <c r="D39" s="3">
        <v>557187.71</v>
      </c>
      <c r="F39" s="14">
        <f t="shared" si="2"/>
        <v>46133</v>
      </c>
      <c r="G39" s="16">
        <f>_xlfn.XLOOKUP(F39,FX!$A$12:$A$910,FX!$B$12:$B$910,"",-1)</f>
        <v>1.2126999999999999</v>
      </c>
      <c r="H39" s="3">
        <f t="shared" si="3"/>
        <v>366455.02597509691</v>
      </c>
      <c r="I39" s="3">
        <f t="shared" si="3"/>
        <v>93005.442401253415</v>
      </c>
      <c r="J39" s="3">
        <f t="shared" si="3"/>
        <v>459460.4683763503</v>
      </c>
      <c r="L39" s="2" t="s">
        <v>51</v>
      </c>
      <c r="M39" s="3">
        <v>189977.3</v>
      </c>
      <c r="N39" s="3">
        <v>2256781.89</v>
      </c>
      <c r="O39" s="3">
        <v>367964.39</v>
      </c>
      <c r="P39" s="3">
        <v>2814723.58</v>
      </c>
      <c r="S39" s="3">
        <f t="shared" si="0"/>
        <v>3084206.7483763504</v>
      </c>
    </row>
    <row r="40" spans="1:19" x14ac:dyDescent="0.25">
      <c r="A40" s="2" t="s">
        <v>170</v>
      </c>
      <c r="B40" s="3">
        <v>424424.53</v>
      </c>
      <c r="C40" s="3">
        <v>93709.95</v>
      </c>
      <c r="D40" s="3">
        <v>518134.48</v>
      </c>
      <c r="F40" s="14">
        <f t="shared" si="2"/>
        <v>46140</v>
      </c>
      <c r="G40" s="16">
        <f>_xlfn.XLOOKUP(F40,FX!$A$12:$A$910,FX!$B$12:$B$910,"",-1)</f>
        <v>1.2168000000000001</v>
      </c>
      <c r="H40" s="3">
        <f t="shared" si="3"/>
        <v>348803.85437212361</v>
      </c>
      <c r="I40" s="3">
        <f t="shared" si="3"/>
        <v>77013.436883629183</v>
      </c>
      <c r="J40" s="3">
        <f t="shared" si="3"/>
        <v>425817.29125575273</v>
      </c>
      <c r="L40" s="2" t="s">
        <v>52</v>
      </c>
      <c r="M40" s="3">
        <v>199328.01</v>
      </c>
      <c r="N40" s="3">
        <v>2608076.2599999998</v>
      </c>
      <c r="O40" s="3">
        <v>500361.93</v>
      </c>
      <c r="P40" s="3">
        <v>3307766.2</v>
      </c>
      <c r="S40" s="3">
        <f t="shared" si="0"/>
        <v>3534255.4812557525</v>
      </c>
    </row>
    <row r="41" spans="1:19" x14ac:dyDescent="0.25">
      <c r="A41" s="2" t="s">
        <v>171</v>
      </c>
      <c r="B41" s="3">
        <v>522572.26</v>
      </c>
      <c r="C41" s="3">
        <v>99286.55</v>
      </c>
      <c r="D41" s="3">
        <v>621858.81000000006</v>
      </c>
      <c r="F41" s="14">
        <f t="shared" si="2"/>
        <v>46147</v>
      </c>
      <c r="G41" s="16">
        <f>_xlfn.XLOOKUP(F41,FX!$A$12:$A$910,FX!$B$12:$B$910,"",-1)</f>
        <v>1.2169000000000001</v>
      </c>
      <c r="H41" s="3">
        <f t="shared" si="3"/>
        <v>429429.0903114471</v>
      </c>
      <c r="I41" s="3">
        <f t="shared" si="3"/>
        <v>81589.736214972465</v>
      </c>
      <c r="J41" s="3">
        <f t="shared" si="3"/>
        <v>511018.82652641961</v>
      </c>
      <c r="L41" s="2" t="s">
        <v>53</v>
      </c>
      <c r="M41" s="3">
        <v>183948.21</v>
      </c>
      <c r="N41" s="3">
        <v>2832641.4</v>
      </c>
      <c r="O41" s="3">
        <v>404010.69</v>
      </c>
      <c r="P41" s="3">
        <v>3420600.3</v>
      </c>
      <c r="S41" s="3">
        <f t="shared" si="0"/>
        <v>3747670.9165264196</v>
      </c>
    </row>
    <row r="42" spans="1:19" x14ac:dyDescent="0.25">
      <c r="A42" s="2" t="s">
        <v>172</v>
      </c>
      <c r="B42" s="3">
        <v>426914.64</v>
      </c>
      <c r="C42" s="3">
        <v>82920.740000000005</v>
      </c>
      <c r="D42" s="3">
        <v>509835.38</v>
      </c>
      <c r="F42" s="14">
        <f t="shared" si="2"/>
        <v>46154</v>
      </c>
      <c r="G42" s="16">
        <f>_xlfn.XLOOKUP(F42,FX!$A$12:$A$910,FX!$B$12:$B$910,"",-1)</f>
        <v>1.2141</v>
      </c>
      <c r="H42" s="3">
        <f t="shared" si="3"/>
        <v>351630.54114158638</v>
      </c>
      <c r="I42" s="3">
        <f t="shared" si="3"/>
        <v>68298.113829173875</v>
      </c>
      <c r="J42" s="3">
        <f t="shared" si="3"/>
        <v>419928.65497076022</v>
      </c>
      <c r="L42" s="2" t="s">
        <v>54</v>
      </c>
      <c r="M42" s="3">
        <v>360102.38</v>
      </c>
      <c r="N42" s="3">
        <v>3024819.11</v>
      </c>
      <c r="O42" s="3">
        <v>715243.62</v>
      </c>
      <c r="P42" s="3">
        <v>4100165.11</v>
      </c>
      <c r="S42" s="3">
        <f t="shared" si="0"/>
        <v>4159991.38497076</v>
      </c>
    </row>
    <row r="43" spans="1:19" x14ac:dyDescent="0.25">
      <c r="A43" s="2" t="s">
        <v>173</v>
      </c>
      <c r="B43" s="3">
        <v>492969.65</v>
      </c>
      <c r="C43" s="3">
        <v>96227.71</v>
      </c>
      <c r="D43" s="3">
        <v>589197.36</v>
      </c>
      <c r="F43" s="14">
        <f t="shared" si="2"/>
        <v>46161</v>
      </c>
      <c r="G43" s="16">
        <f>_xlfn.XLOOKUP(F43,FX!$A$12:$A$910,FX!$B$12:$B$910,"",-1)</f>
        <v>1.2179</v>
      </c>
      <c r="H43" s="3">
        <f t="shared" si="3"/>
        <v>404770.21922982187</v>
      </c>
      <c r="I43" s="3">
        <f t="shared" si="3"/>
        <v>79011.17497331473</v>
      </c>
      <c r="J43" s="3">
        <f t="shared" si="3"/>
        <v>483781.39420313656</v>
      </c>
      <c r="L43" s="2" t="s">
        <v>55</v>
      </c>
      <c r="M43" s="3">
        <v>298888.75</v>
      </c>
      <c r="N43" s="3">
        <v>3231486.08</v>
      </c>
      <c r="O43" s="3">
        <v>662284.72</v>
      </c>
      <c r="P43" s="3">
        <v>4192659.55</v>
      </c>
      <c r="S43" s="3">
        <f t="shared" si="0"/>
        <v>4377552.1942031365</v>
      </c>
    </row>
    <row r="44" spans="1:19" x14ac:dyDescent="0.25">
      <c r="A44" s="2" t="s">
        <v>174</v>
      </c>
      <c r="B44" s="3">
        <v>467442.92</v>
      </c>
      <c r="C44" s="3">
        <v>77172.429999999993</v>
      </c>
      <c r="D44" s="3">
        <v>544615.35</v>
      </c>
      <c r="F44" s="14">
        <f t="shared" si="2"/>
        <v>46168</v>
      </c>
      <c r="G44" s="16">
        <f>_xlfn.XLOOKUP(F44,FX!$A$12:$A$910,FX!$B$12:$B$910,"",-1)</f>
        <v>1.2248000000000001</v>
      </c>
      <c r="H44" s="3">
        <f t="shared" si="3"/>
        <v>381648.36708033958</v>
      </c>
      <c r="I44" s="3">
        <f t="shared" si="3"/>
        <v>63008.189092096654</v>
      </c>
      <c r="J44" s="3">
        <f t="shared" si="3"/>
        <v>444656.55617243628</v>
      </c>
      <c r="L44" s="2" t="s">
        <v>56</v>
      </c>
      <c r="M44" s="3">
        <v>317941.67</v>
      </c>
      <c r="N44" s="3">
        <v>2907534.59</v>
      </c>
      <c r="O44" s="3">
        <v>655522.5</v>
      </c>
      <c r="P44" s="3">
        <v>3880998.76</v>
      </c>
      <c r="S44" s="3">
        <f t="shared" si="0"/>
        <v>4007713.646172436</v>
      </c>
    </row>
    <row r="45" spans="1:19" x14ac:dyDescent="0.25">
      <c r="A45" s="2" t="s">
        <v>175</v>
      </c>
      <c r="B45" s="3">
        <v>458072.51</v>
      </c>
      <c r="C45" s="3">
        <v>69685.490000000005</v>
      </c>
      <c r="D45" s="3">
        <v>527758</v>
      </c>
      <c r="F45" s="14">
        <f t="shared" si="2"/>
        <v>46175</v>
      </c>
      <c r="G45" s="16">
        <f>_xlfn.XLOOKUP(F45,FX!$A$12:$A$910,FX!$B$12:$B$910,"",-1)</f>
        <v>1.2071000000000001</v>
      </c>
      <c r="H45" s="3">
        <f t="shared" si="3"/>
        <v>379481.82420677657</v>
      </c>
      <c r="I45" s="3">
        <f t="shared" si="3"/>
        <v>57729.674426310994</v>
      </c>
      <c r="J45" s="3">
        <f t="shared" si="3"/>
        <v>437211.49863308755</v>
      </c>
      <c r="L45" s="2" t="s">
        <v>57</v>
      </c>
      <c r="M45" s="3">
        <v>278457.75</v>
      </c>
      <c r="N45" s="3">
        <v>2970842.89</v>
      </c>
      <c r="O45" s="3">
        <v>581806.5</v>
      </c>
      <c r="P45" s="3">
        <v>3831107.14</v>
      </c>
      <c r="S45" s="3">
        <f t="shared" si="0"/>
        <v>3989860.8886330877</v>
      </c>
    </row>
    <row r="46" spans="1:19" x14ac:dyDescent="0.25">
      <c r="A46" s="2" t="s">
        <v>176</v>
      </c>
      <c r="B46" s="3">
        <v>487196.54</v>
      </c>
      <c r="C46" s="3">
        <v>91458.35</v>
      </c>
      <c r="D46" s="3">
        <v>578654.89</v>
      </c>
      <c r="F46" s="14">
        <f t="shared" si="2"/>
        <v>46182</v>
      </c>
      <c r="G46" s="16">
        <f>_xlfn.XLOOKUP(F46,FX!$A$12:$A$910,FX!$B$12:$B$910,"",-1)</f>
        <v>1.2088000000000001</v>
      </c>
      <c r="H46" s="3">
        <f t="shared" si="3"/>
        <v>403041.47915287886</v>
      </c>
      <c r="I46" s="3">
        <f t="shared" si="3"/>
        <v>75660.448378557252</v>
      </c>
      <c r="J46" s="3">
        <f t="shared" si="3"/>
        <v>478701.92753143609</v>
      </c>
      <c r="L46" s="2" t="s">
        <v>58</v>
      </c>
      <c r="M46" s="3">
        <v>299357.43</v>
      </c>
      <c r="N46" s="3">
        <v>2774718.98</v>
      </c>
      <c r="O46" s="3">
        <v>657881.09</v>
      </c>
      <c r="P46" s="3">
        <v>3731957.5</v>
      </c>
      <c r="S46" s="3">
        <f t="shared" si="0"/>
        <v>3911301.9975314359</v>
      </c>
    </row>
    <row r="47" spans="1:19" x14ac:dyDescent="0.25">
      <c r="A47" s="2" t="s">
        <v>177</v>
      </c>
      <c r="B47" s="3">
        <v>481564.14</v>
      </c>
      <c r="C47" s="3">
        <v>83081.600000000006</v>
      </c>
      <c r="D47" s="3">
        <v>564645.74</v>
      </c>
      <c r="F47" s="14">
        <f t="shared" si="2"/>
        <v>46189</v>
      </c>
      <c r="G47" s="16">
        <f>_xlfn.XLOOKUP(F47,FX!$A$12:$A$910,FX!$B$12:$B$910,"",-1)</f>
        <v>1.2131000000000001</v>
      </c>
      <c r="H47" s="3">
        <f t="shared" si="3"/>
        <v>396969.86233616353</v>
      </c>
      <c r="I47" s="3">
        <f t="shared" si="3"/>
        <v>68487.016733987301</v>
      </c>
      <c r="J47" s="3">
        <f t="shared" si="3"/>
        <v>465456.87907015084</v>
      </c>
      <c r="L47" s="2" t="s">
        <v>59</v>
      </c>
      <c r="M47" s="3">
        <v>324554.14</v>
      </c>
      <c r="N47" s="3">
        <v>2553057.98</v>
      </c>
      <c r="O47" s="3">
        <v>558365.39</v>
      </c>
      <c r="P47" s="3">
        <v>3435977.51</v>
      </c>
      <c r="S47" s="3">
        <f t="shared" si="0"/>
        <v>3576880.2490701508</v>
      </c>
    </row>
    <row r="48" spans="1:19" x14ac:dyDescent="0.25">
      <c r="A48" s="2" t="s">
        <v>178</v>
      </c>
      <c r="B48" s="3">
        <v>501504.26</v>
      </c>
      <c r="C48" s="3">
        <v>98231.55</v>
      </c>
      <c r="D48" s="3">
        <v>599735.81000000006</v>
      </c>
      <c r="F48" s="14">
        <f t="shared" si="2"/>
        <v>46196</v>
      </c>
      <c r="G48" s="16">
        <f>_xlfn.XLOOKUP(F48,FX!$A$12:$A$910,FX!$B$12:$B$910,"",-1)</f>
        <v>1.2230000000000001</v>
      </c>
      <c r="H48" s="3">
        <f t="shared" si="3"/>
        <v>410060.71954210952</v>
      </c>
      <c r="I48" s="3">
        <f t="shared" si="3"/>
        <v>80320.155355682742</v>
      </c>
      <c r="J48" s="3">
        <f t="shared" si="3"/>
        <v>490380.87489779235</v>
      </c>
      <c r="L48" s="2" t="s">
        <v>60</v>
      </c>
      <c r="M48" s="3">
        <v>355545.81</v>
      </c>
      <c r="N48" s="3">
        <v>2710342.61</v>
      </c>
      <c r="O48" s="3">
        <v>665921.80000000005</v>
      </c>
      <c r="P48" s="3">
        <v>3731810.22</v>
      </c>
      <c r="S48" s="3">
        <f t="shared" si="0"/>
        <v>3866645.2848977922</v>
      </c>
    </row>
    <row r="49" spans="1:19" x14ac:dyDescent="0.25">
      <c r="A49" s="2" t="s">
        <v>22</v>
      </c>
      <c r="B49" s="3">
        <v>561578.39</v>
      </c>
      <c r="C49" s="3">
        <v>89375.78</v>
      </c>
      <c r="D49" s="3">
        <v>650954.17000000004</v>
      </c>
      <c r="F49" s="14">
        <f t="shared" si="2"/>
        <v>46203</v>
      </c>
      <c r="G49" s="16">
        <f>_xlfn.XLOOKUP(F49,FX!$A$12:$A$910,FX!$B$12:$B$910,"",-1)</f>
        <v>1.2165999999999999</v>
      </c>
      <c r="H49" s="3">
        <f t="shared" si="3"/>
        <v>461596.57241492689</v>
      </c>
      <c r="I49" s="3">
        <f t="shared" si="3"/>
        <v>73463.570606608584</v>
      </c>
      <c r="J49" s="3">
        <f t="shared" si="3"/>
        <v>535060.14302153548</v>
      </c>
      <c r="L49" s="2" t="s">
        <v>61</v>
      </c>
      <c r="M49" s="3">
        <v>485581.56</v>
      </c>
      <c r="N49" s="3">
        <v>2856764.15</v>
      </c>
      <c r="O49" s="3">
        <v>955767.31</v>
      </c>
      <c r="P49" s="3">
        <v>4298113.0199999996</v>
      </c>
      <c r="S49" s="3">
        <f t="shared" si="0"/>
        <v>4347591.603021536</v>
      </c>
    </row>
    <row r="50" spans="1:19" x14ac:dyDescent="0.25">
      <c r="A50" s="2" t="s">
        <v>23</v>
      </c>
      <c r="B50" s="3">
        <v>497403</v>
      </c>
      <c r="C50" s="3">
        <v>68255.3</v>
      </c>
      <c r="D50" s="3">
        <v>565658.30000000005</v>
      </c>
      <c r="F50" s="14">
        <f t="shared" si="2"/>
        <v>46210</v>
      </c>
      <c r="G50" s="16">
        <f>_xlfn.XLOOKUP(F50,FX!$A$12:$A$910,FX!$B$12:$B$910,"",-1)</f>
        <v>1.2196</v>
      </c>
      <c r="H50" s="3">
        <f t="shared" si="3"/>
        <v>407841.09544112824</v>
      </c>
      <c r="I50" s="3">
        <f t="shared" si="3"/>
        <v>55965.316497212203</v>
      </c>
      <c r="J50" s="3">
        <f t="shared" si="3"/>
        <v>463806.41193834046</v>
      </c>
      <c r="L50" s="2" t="s">
        <v>62</v>
      </c>
      <c r="M50" s="3">
        <v>172403.68</v>
      </c>
      <c r="N50" s="3">
        <v>2623257.5499999998</v>
      </c>
      <c r="O50" s="3">
        <v>575858.75</v>
      </c>
      <c r="P50" s="3">
        <v>3371519.98</v>
      </c>
      <c r="S50" s="3">
        <f t="shared" si="0"/>
        <v>3662922.7119383402</v>
      </c>
    </row>
    <row r="51" spans="1:19" x14ac:dyDescent="0.25">
      <c r="A51" s="2" t="s">
        <v>24</v>
      </c>
      <c r="B51" s="3">
        <v>452087.44</v>
      </c>
      <c r="C51" s="3">
        <v>77764.56</v>
      </c>
      <c r="D51" s="3">
        <v>529852</v>
      </c>
      <c r="F51" s="14">
        <f t="shared" si="2"/>
        <v>46217</v>
      </c>
      <c r="G51" s="16">
        <f>_xlfn.XLOOKUP(F51,FX!$A$12:$A$910,FX!$B$12:$B$910,"",-1)</f>
        <v>1.1967000000000001</v>
      </c>
      <c r="H51" s="3">
        <f t="shared" si="3"/>
        <v>377778.42399933148</v>
      </c>
      <c r="I51" s="3">
        <f t="shared" si="3"/>
        <v>64982.501880170465</v>
      </c>
      <c r="J51" s="3">
        <f t="shared" si="3"/>
        <v>442760.92587950191</v>
      </c>
      <c r="L51" s="2" t="s">
        <v>63</v>
      </c>
      <c r="M51" s="3">
        <v>131764.49</v>
      </c>
      <c r="N51" s="3">
        <v>2502023.94</v>
      </c>
      <c r="O51" s="3">
        <v>430176.95</v>
      </c>
      <c r="P51" s="3">
        <v>3063965.38</v>
      </c>
      <c r="S51" s="3">
        <f t="shared" si="0"/>
        <v>3374961.8158795019</v>
      </c>
    </row>
    <row r="52" spans="1:19" x14ac:dyDescent="0.25">
      <c r="A52" s="2" t="s">
        <v>25</v>
      </c>
      <c r="B52" s="3">
        <v>668400.30000000005</v>
      </c>
      <c r="C52" s="3">
        <v>112223.46</v>
      </c>
      <c r="D52" s="3">
        <v>780623.76</v>
      </c>
      <c r="F52" s="14">
        <f t="shared" si="2"/>
        <v>46224</v>
      </c>
      <c r="G52" s="16">
        <f>_xlfn.XLOOKUP(F52,FX!$A$12:$A$910,FX!$B$12:$B$910,"",-1)</f>
        <v>1.1955</v>
      </c>
      <c r="H52" s="3">
        <f t="shared" si="3"/>
        <v>559096.8632371393</v>
      </c>
      <c r="I52" s="3">
        <f t="shared" si="3"/>
        <v>93871.568381430363</v>
      </c>
      <c r="J52" s="3">
        <f t="shared" si="3"/>
        <v>652968.43161856965</v>
      </c>
      <c r="L52" s="2" t="s">
        <v>64</v>
      </c>
      <c r="M52" s="3">
        <v>390121.25</v>
      </c>
      <c r="N52" s="3">
        <v>2350229.7400000002</v>
      </c>
      <c r="O52" s="3">
        <v>580017.43000000005</v>
      </c>
      <c r="P52" s="3">
        <v>3320368.42</v>
      </c>
      <c r="S52" s="3">
        <f t="shared" si="0"/>
        <v>3583215.6016185698</v>
      </c>
    </row>
    <row r="53" spans="1:19" x14ac:dyDescent="0.25">
      <c r="A53" s="2" t="s">
        <v>26</v>
      </c>
      <c r="B53" s="3">
        <v>539542.68999999994</v>
      </c>
      <c r="C53" s="3">
        <v>115765.44</v>
      </c>
      <c r="D53" s="3">
        <v>655308.13</v>
      </c>
      <c r="F53" s="14">
        <f t="shared" si="2"/>
        <v>46231</v>
      </c>
      <c r="G53" s="16">
        <f>_xlfn.XLOOKUP(F53,FX!$A$12:$A$910,FX!$B$12:$B$910,"",-1)</f>
        <v>1.2082999999999999</v>
      </c>
      <c r="H53" s="3">
        <f t="shared" si="3"/>
        <v>446530.40635603736</v>
      </c>
      <c r="I53" s="3">
        <f t="shared" si="3"/>
        <v>95808.524373086155</v>
      </c>
      <c r="J53" s="3">
        <f t="shared" si="3"/>
        <v>542338.93072912365</v>
      </c>
      <c r="L53" s="2" t="s">
        <v>65</v>
      </c>
      <c r="M53" s="3">
        <v>165424.35</v>
      </c>
      <c r="N53" s="3">
        <v>2465107.04</v>
      </c>
      <c r="O53" s="3">
        <v>489670</v>
      </c>
      <c r="P53" s="3">
        <v>3120201.39</v>
      </c>
      <c r="S53" s="3">
        <f t="shared" si="0"/>
        <v>3497115.9707291238</v>
      </c>
    </row>
    <row r="54" spans="1:19" x14ac:dyDescent="0.25">
      <c r="A54" s="2" t="s">
        <v>27</v>
      </c>
      <c r="B54" s="3">
        <v>601343.22</v>
      </c>
      <c r="C54" s="3">
        <v>116725.92</v>
      </c>
      <c r="D54" s="3">
        <v>718069.14</v>
      </c>
      <c r="F54" s="14">
        <f t="shared" si="2"/>
        <v>46238</v>
      </c>
      <c r="G54" s="16">
        <f>_xlfn.XLOOKUP(F54,FX!$A$12:$A$910,FX!$B$12:$B$910,"",-1)</f>
        <v>1.198</v>
      </c>
      <c r="H54" s="3">
        <f t="shared" si="3"/>
        <v>501955.94323873124</v>
      </c>
      <c r="I54" s="3">
        <f t="shared" si="3"/>
        <v>97433.98998330551</v>
      </c>
      <c r="J54" s="3">
        <f t="shared" si="3"/>
        <v>599389.93322203681</v>
      </c>
      <c r="L54" s="2" t="s">
        <v>66</v>
      </c>
      <c r="M54" s="3">
        <v>167030.99</v>
      </c>
      <c r="N54" s="3">
        <v>2429513.0099999998</v>
      </c>
      <c r="O54" s="3">
        <v>474987.73</v>
      </c>
      <c r="P54" s="3">
        <v>3071531.73</v>
      </c>
      <c r="S54" s="3">
        <f t="shared" si="0"/>
        <v>3503890.6732220366</v>
      </c>
    </row>
    <row r="55" spans="1:19" x14ac:dyDescent="0.25">
      <c r="A55" s="2" t="s">
        <v>28</v>
      </c>
      <c r="B55" s="3">
        <v>560869.56000000006</v>
      </c>
      <c r="C55" s="3">
        <v>95886.77</v>
      </c>
      <c r="D55" s="3">
        <v>656756.32999999996</v>
      </c>
      <c r="F55" s="14">
        <f t="shared" si="2"/>
        <v>46245</v>
      </c>
      <c r="G55" s="16">
        <f>_xlfn.XLOOKUP(F55,FX!$A$12:$A$910,FX!$B$12:$B$910,"",-1)</f>
        <v>1.198</v>
      </c>
      <c r="H55" s="3">
        <f t="shared" si="3"/>
        <v>468171.58597662777</v>
      </c>
      <c r="I55" s="3">
        <f t="shared" si="3"/>
        <v>80039.040066777976</v>
      </c>
      <c r="J55" s="3">
        <f t="shared" si="3"/>
        <v>548210.62604340562</v>
      </c>
      <c r="L55" s="2" t="s">
        <v>67</v>
      </c>
      <c r="M55" s="3">
        <v>201316.66</v>
      </c>
      <c r="N55" s="3">
        <v>2329152.39</v>
      </c>
      <c r="O55" s="3">
        <v>396098.45</v>
      </c>
      <c r="P55" s="3">
        <v>2926567.5</v>
      </c>
      <c r="S55" s="3">
        <f t="shared" si="0"/>
        <v>3273461.4660434062</v>
      </c>
    </row>
    <row r="56" spans="1:19" x14ac:dyDescent="0.25">
      <c r="A56" s="2" t="s">
        <v>29</v>
      </c>
      <c r="B56" s="3">
        <v>681535.2</v>
      </c>
      <c r="C56" s="3">
        <v>152212.13</v>
      </c>
      <c r="D56" s="3">
        <v>833747.33</v>
      </c>
      <c r="F56" s="14">
        <f t="shared" si="2"/>
        <v>46252</v>
      </c>
      <c r="G56" s="16">
        <f>_xlfn.XLOOKUP(F56,FX!$A$12:$A$910,FX!$B$12:$B$910,"",-1)</f>
        <v>1.198</v>
      </c>
      <c r="H56" s="3">
        <f t="shared" si="3"/>
        <v>568894.15692821366</v>
      </c>
      <c r="I56" s="3">
        <f t="shared" si="3"/>
        <v>127055.20033388982</v>
      </c>
      <c r="J56" s="3">
        <f t="shared" si="3"/>
        <v>695949.35726210347</v>
      </c>
      <c r="L56" s="2" t="s">
        <v>68</v>
      </c>
      <c r="M56" s="3">
        <v>305517.44</v>
      </c>
      <c r="N56" s="3">
        <v>2484113.1800000002</v>
      </c>
      <c r="O56" s="3">
        <v>566034.74</v>
      </c>
      <c r="P56" s="3">
        <v>3355665.36</v>
      </c>
      <c r="S56" s="3">
        <f t="shared" si="0"/>
        <v>3746097.2772621037</v>
      </c>
    </row>
    <row r="57" spans="1:19" x14ac:dyDescent="0.25">
      <c r="A57" s="2" t="s">
        <v>30</v>
      </c>
      <c r="B57" s="3">
        <v>824339.47</v>
      </c>
      <c r="C57" s="3">
        <v>151291.07</v>
      </c>
      <c r="D57" s="3">
        <v>975630.54</v>
      </c>
      <c r="F57" s="14">
        <f t="shared" si="2"/>
        <v>46259</v>
      </c>
      <c r="G57" s="16">
        <f>_xlfn.XLOOKUP(F57,FX!$A$12:$A$910,FX!$B$12:$B$910,"",-1)</f>
        <v>1.198</v>
      </c>
      <c r="H57" s="3">
        <f t="shared" si="3"/>
        <v>688096.38564273785</v>
      </c>
      <c r="I57" s="3">
        <f t="shared" si="3"/>
        <v>126286.36894824709</v>
      </c>
      <c r="J57" s="3">
        <f t="shared" si="3"/>
        <v>814382.75459098502</v>
      </c>
      <c r="L57" s="2" t="s">
        <v>69</v>
      </c>
      <c r="M57" s="3">
        <v>201005.29</v>
      </c>
      <c r="N57" s="3">
        <v>2471953.3199999998</v>
      </c>
      <c r="O57" s="3">
        <v>615296.28</v>
      </c>
      <c r="P57" s="3">
        <v>3288254.89</v>
      </c>
      <c r="S57" s="3">
        <f t="shared" si="0"/>
        <v>3901632.354590985</v>
      </c>
    </row>
    <row r="58" spans="1:19" x14ac:dyDescent="0.25">
      <c r="A58" s="2" t="s">
        <v>31</v>
      </c>
      <c r="B58" s="3">
        <v>706532.68</v>
      </c>
      <c r="C58" s="3">
        <v>226135.66</v>
      </c>
      <c r="D58" s="3">
        <v>932668.34</v>
      </c>
      <c r="F58" s="14">
        <f t="shared" si="2"/>
        <v>46266</v>
      </c>
      <c r="G58" s="16">
        <f>_xlfn.XLOOKUP(F58,FX!$A$12:$A$910,FX!$B$12:$B$910,"",-1)</f>
        <v>1.198</v>
      </c>
      <c r="H58" s="3">
        <f t="shared" si="3"/>
        <v>589760.16694490821</v>
      </c>
      <c r="I58" s="3">
        <f t="shared" si="3"/>
        <v>188760.98497495826</v>
      </c>
      <c r="J58" s="3">
        <f t="shared" si="3"/>
        <v>778521.15191986645</v>
      </c>
      <c r="L58" s="2" t="s">
        <v>70</v>
      </c>
      <c r="M58" s="3">
        <v>221799.93</v>
      </c>
      <c r="N58" s="3">
        <v>2007871.89</v>
      </c>
      <c r="O58" s="3">
        <v>492988.8</v>
      </c>
      <c r="P58" s="3">
        <v>2722660.62</v>
      </c>
      <c r="S58" s="3">
        <f t="shared" si="0"/>
        <v>3279381.8419198664</v>
      </c>
    </row>
    <row r="59" spans="1:19" x14ac:dyDescent="0.25">
      <c r="A59" s="2" t="s">
        <v>32</v>
      </c>
      <c r="B59" s="3">
        <v>633646.73</v>
      </c>
      <c r="C59" s="3">
        <v>163173.69</v>
      </c>
      <c r="D59" s="3">
        <v>796820.42</v>
      </c>
      <c r="F59" s="14">
        <f t="shared" si="2"/>
        <v>46273</v>
      </c>
      <c r="G59" s="16">
        <f>_xlfn.XLOOKUP(F59,FX!$A$12:$A$910,FX!$B$12:$B$910,"",-1)</f>
        <v>1.198</v>
      </c>
      <c r="H59" s="3">
        <f t="shared" si="3"/>
        <v>528920.47579298832</v>
      </c>
      <c r="I59" s="3">
        <f t="shared" si="3"/>
        <v>136205.08347245411</v>
      </c>
      <c r="J59" s="3">
        <f t="shared" si="3"/>
        <v>665125.55926544243</v>
      </c>
      <c r="L59" s="2" t="s">
        <v>71</v>
      </c>
      <c r="M59" s="3">
        <v>265750.33</v>
      </c>
      <c r="N59" s="3">
        <v>2604658.38</v>
      </c>
      <c r="O59" s="3">
        <v>846594.77</v>
      </c>
      <c r="P59" s="3">
        <v>3717003.48</v>
      </c>
      <c r="S59" s="3">
        <f t="shared" si="0"/>
        <v>4116378.7092654421</v>
      </c>
    </row>
    <row r="60" spans="1:19" x14ac:dyDescent="0.25">
      <c r="A60" s="2" t="s">
        <v>33</v>
      </c>
      <c r="B60" s="3">
        <v>752502.26</v>
      </c>
      <c r="C60" s="3">
        <v>185411.73</v>
      </c>
      <c r="D60" s="3">
        <v>937913.99</v>
      </c>
      <c r="F60" s="14">
        <f t="shared" si="2"/>
        <v>46280</v>
      </c>
      <c r="G60" s="16">
        <f>_xlfn.XLOOKUP(F60,FX!$A$12:$A$910,FX!$B$12:$B$910,"",-1)</f>
        <v>1.198</v>
      </c>
      <c r="H60" s="3">
        <f t="shared" si="3"/>
        <v>628132.10350584309</v>
      </c>
      <c r="I60" s="3">
        <f t="shared" si="3"/>
        <v>154767.72120200336</v>
      </c>
      <c r="J60" s="3">
        <f t="shared" si="3"/>
        <v>782899.82470784639</v>
      </c>
      <c r="L60" s="2" t="s">
        <v>72</v>
      </c>
      <c r="M60" s="3">
        <v>166244.91</v>
      </c>
      <c r="N60" s="3">
        <v>2674291.11</v>
      </c>
      <c r="O60" s="3">
        <v>563694.76</v>
      </c>
      <c r="P60" s="3">
        <v>3404230.78</v>
      </c>
      <c r="S60" s="3">
        <f t="shared" si="0"/>
        <v>4020885.6947078463</v>
      </c>
    </row>
    <row r="61" spans="1:19" x14ac:dyDescent="0.25">
      <c r="A61" s="2" t="s">
        <v>34</v>
      </c>
      <c r="B61" s="3">
        <v>511105.85</v>
      </c>
      <c r="C61" s="3">
        <v>118404.51</v>
      </c>
      <c r="D61" s="3">
        <v>629510.36</v>
      </c>
      <c r="F61" s="14">
        <f t="shared" si="2"/>
        <v>46287</v>
      </c>
      <c r="G61" s="16">
        <f>_xlfn.XLOOKUP(F61,FX!$A$12:$A$910,FX!$B$12:$B$910,"",-1)</f>
        <v>1.198</v>
      </c>
      <c r="H61" s="3">
        <f t="shared" si="3"/>
        <v>426632.5959933222</v>
      </c>
      <c r="I61" s="3">
        <f t="shared" si="3"/>
        <v>98835.150250417355</v>
      </c>
      <c r="J61" s="3">
        <f t="shared" si="3"/>
        <v>525467.74624373962</v>
      </c>
      <c r="L61" s="2" t="s">
        <v>73</v>
      </c>
      <c r="M61" s="3">
        <v>156694.71</v>
      </c>
      <c r="N61" s="3">
        <v>3168472.95</v>
      </c>
      <c r="O61" s="3">
        <v>540885.77</v>
      </c>
      <c r="P61" s="3">
        <v>3866053.43</v>
      </c>
      <c r="S61" s="3">
        <f t="shared" si="0"/>
        <v>4234826.4662437402</v>
      </c>
    </row>
    <row r="62" spans="1:19" x14ac:dyDescent="0.25">
      <c r="A62" s="2" t="s">
        <v>35</v>
      </c>
      <c r="B62" s="3">
        <v>376920.88</v>
      </c>
      <c r="C62" s="3">
        <v>86539.81</v>
      </c>
      <c r="D62" s="3">
        <v>463460.69</v>
      </c>
      <c r="F62" s="14">
        <f t="shared" si="2"/>
        <v>46294</v>
      </c>
      <c r="G62" s="16">
        <f>_xlfn.XLOOKUP(F62,FX!$A$12:$A$910,FX!$B$12:$B$910,"",-1)</f>
        <v>1.198</v>
      </c>
      <c r="H62" s="3">
        <f t="shared" ref="H62:J107" si="4">B62/$G62</f>
        <v>314625.10851419036</v>
      </c>
      <c r="I62" s="3">
        <f t="shared" si="4"/>
        <v>72236.90317195325</v>
      </c>
      <c r="J62" s="3">
        <f t="shared" si="4"/>
        <v>386862.01168614358</v>
      </c>
      <c r="L62" s="2" t="s">
        <v>74</v>
      </c>
      <c r="M62" s="3">
        <v>215896.26</v>
      </c>
      <c r="N62" s="3">
        <v>2436975.31</v>
      </c>
      <c r="O62" s="3">
        <v>488765.37</v>
      </c>
      <c r="P62" s="3">
        <v>3141636.94</v>
      </c>
      <c r="S62" s="3">
        <f t="shared" si="0"/>
        <v>3312602.6916861436</v>
      </c>
    </row>
    <row r="63" spans="1:19" x14ac:dyDescent="0.25">
      <c r="A63" s="2" t="s">
        <v>36</v>
      </c>
      <c r="B63" s="3">
        <v>549552.09</v>
      </c>
      <c r="C63" s="3">
        <v>127316.13</v>
      </c>
      <c r="D63" s="3">
        <v>676868.22</v>
      </c>
      <c r="F63" s="14">
        <f t="shared" si="2"/>
        <v>46301</v>
      </c>
      <c r="G63" s="16">
        <f>_xlfn.XLOOKUP(F63,FX!$A$12:$A$910,FX!$B$12:$B$910,"",-1)</f>
        <v>1.198</v>
      </c>
      <c r="H63" s="3">
        <f t="shared" si="4"/>
        <v>458724.61602671118</v>
      </c>
      <c r="I63" s="3">
        <f t="shared" si="4"/>
        <v>106273.89816360602</v>
      </c>
      <c r="J63" s="3">
        <f t="shared" si="4"/>
        <v>564998.51419031725</v>
      </c>
      <c r="L63" s="2" t="s">
        <v>75</v>
      </c>
      <c r="M63" s="3">
        <v>225054.13</v>
      </c>
      <c r="N63" s="3">
        <v>2787819.14</v>
      </c>
      <c r="O63" s="3">
        <v>547739.87</v>
      </c>
      <c r="P63" s="3">
        <v>3560613.14</v>
      </c>
      <c r="S63" s="3">
        <f t="shared" si="0"/>
        <v>3900557.5241903174</v>
      </c>
    </row>
    <row r="64" spans="1:19" x14ac:dyDescent="0.25">
      <c r="A64" s="2" t="s">
        <v>37</v>
      </c>
      <c r="B64" s="3">
        <v>532917.16</v>
      </c>
      <c r="C64" s="3">
        <v>136970.25</v>
      </c>
      <c r="D64" s="3">
        <v>669887.41</v>
      </c>
      <c r="F64" s="14">
        <f t="shared" si="2"/>
        <v>46308</v>
      </c>
      <c r="G64" s="16">
        <f>_xlfn.XLOOKUP(F64,FX!$A$12:$A$910,FX!$B$12:$B$910,"",-1)</f>
        <v>1.198</v>
      </c>
      <c r="H64" s="3">
        <f t="shared" si="4"/>
        <v>444839.03171953262</v>
      </c>
      <c r="I64" s="3">
        <f t="shared" si="4"/>
        <v>114332.42904841402</v>
      </c>
      <c r="J64" s="3">
        <f t="shared" si="4"/>
        <v>559171.46076794667</v>
      </c>
      <c r="L64" s="2" t="s">
        <v>76</v>
      </c>
      <c r="M64" s="3">
        <v>174658.63</v>
      </c>
      <c r="N64" s="3">
        <v>2884934.49</v>
      </c>
      <c r="O64" s="3">
        <v>518732.39</v>
      </c>
      <c r="P64" s="3">
        <v>3578325.51</v>
      </c>
      <c r="S64" s="3">
        <f t="shared" si="0"/>
        <v>3962838.340767947</v>
      </c>
    </row>
    <row r="65" spans="1:19" x14ac:dyDescent="0.25">
      <c r="A65" s="2" t="s">
        <v>38</v>
      </c>
      <c r="B65" s="3">
        <v>558955.99</v>
      </c>
      <c r="C65" s="3">
        <v>102203.53</v>
      </c>
      <c r="D65" s="3">
        <v>661159.52</v>
      </c>
      <c r="F65" s="14">
        <f t="shared" si="2"/>
        <v>46315</v>
      </c>
      <c r="G65" s="16">
        <f>_xlfn.XLOOKUP(F65,FX!$A$12:$A$910,FX!$B$12:$B$910,"",-1)</f>
        <v>1.198</v>
      </c>
      <c r="H65" s="3">
        <f t="shared" si="4"/>
        <v>466574.28213689482</v>
      </c>
      <c r="I65" s="3">
        <f t="shared" si="4"/>
        <v>85311.794657762934</v>
      </c>
      <c r="J65" s="3">
        <f t="shared" si="4"/>
        <v>551886.07679465786</v>
      </c>
      <c r="L65" s="2" t="s">
        <v>77</v>
      </c>
      <c r="M65" s="3">
        <v>246370.17</v>
      </c>
      <c r="N65" s="3">
        <v>2876655.95</v>
      </c>
      <c r="O65" s="3">
        <v>607325.39</v>
      </c>
      <c r="P65" s="3">
        <v>3730351.51</v>
      </c>
      <c r="S65" s="3">
        <f t="shared" si="0"/>
        <v>4035867.4167946582</v>
      </c>
    </row>
    <row r="66" spans="1:19" x14ac:dyDescent="0.25">
      <c r="A66" s="2" t="s">
        <v>39</v>
      </c>
      <c r="B66" s="3">
        <v>536150.24</v>
      </c>
      <c r="C66" s="3">
        <v>116292.79</v>
      </c>
      <c r="D66" s="3">
        <v>652443.03</v>
      </c>
      <c r="F66" s="14">
        <f t="shared" si="2"/>
        <v>46322</v>
      </c>
      <c r="G66" s="16">
        <f>_xlfn.XLOOKUP(F66,FX!$A$12:$A$910,FX!$B$12:$B$910,"",-1)</f>
        <v>1.198</v>
      </c>
      <c r="H66" s="3">
        <f t="shared" si="4"/>
        <v>447537.76293823041</v>
      </c>
      <c r="I66" s="3">
        <f t="shared" si="4"/>
        <v>97072.445742904834</v>
      </c>
      <c r="J66" s="3">
        <f t="shared" si="4"/>
        <v>544610.20868113532</v>
      </c>
      <c r="L66" s="2" t="s">
        <v>78</v>
      </c>
      <c r="M66" s="3">
        <v>298396.74</v>
      </c>
      <c r="N66" s="3">
        <v>3055120.05</v>
      </c>
      <c r="O66" s="3">
        <v>703716.94</v>
      </c>
      <c r="P66" s="3">
        <v>4057233.73</v>
      </c>
      <c r="S66" s="3">
        <f t="shared" si="0"/>
        <v>4303447.1986811347</v>
      </c>
    </row>
    <row r="67" spans="1:19" x14ac:dyDescent="0.25">
      <c r="A67" s="2" t="s">
        <v>40</v>
      </c>
      <c r="B67" s="3">
        <v>404730.03</v>
      </c>
      <c r="C67" s="3">
        <v>90492.51</v>
      </c>
      <c r="D67" s="3">
        <v>495222.54</v>
      </c>
      <c r="F67" s="14">
        <f t="shared" si="2"/>
        <v>46329</v>
      </c>
      <c r="G67" s="16">
        <f>_xlfn.XLOOKUP(F67,FX!$A$12:$A$910,FX!$B$12:$B$910,"",-1)</f>
        <v>1.198</v>
      </c>
      <c r="H67" s="3">
        <f t="shared" si="4"/>
        <v>337838.08848080138</v>
      </c>
      <c r="I67" s="3">
        <f t="shared" si="4"/>
        <v>75536.318864774628</v>
      </c>
      <c r="J67" s="3">
        <f t="shared" si="4"/>
        <v>413374.40734557598</v>
      </c>
      <c r="L67" s="2" t="s">
        <v>79</v>
      </c>
      <c r="M67" s="3">
        <v>190298.76</v>
      </c>
      <c r="N67" s="3">
        <v>2854032.07</v>
      </c>
      <c r="O67" s="3">
        <v>606119.21</v>
      </c>
      <c r="P67" s="3">
        <v>3650450.04</v>
      </c>
      <c r="S67" s="3">
        <f t="shared" si="0"/>
        <v>3873525.6873455755</v>
      </c>
    </row>
    <row r="68" spans="1:19" x14ac:dyDescent="0.25">
      <c r="A68" s="2" t="s">
        <v>41</v>
      </c>
      <c r="B68" s="3">
        <v>448297.52</v>
      </c>
      <c r="C68" s="3">
        <v>77602.009999999995</v>
      </c>
      <c r="D68" s="3">
        <v>525899.53</v>
      </c>
      <c r="F68" s="14">
        <f t="shared" si="2"/>
        <v>46336</v>
      </c>
      <c r="G68" s="16">
        <f>_xlfn.XLOOKUP(F68,FX!$A$12:$A$910,FX!$B$12:$B$910,"",-1)</f>
        <v>1.198</v>
      </c>
      <c r="H68" s="3">
        <f t="shared" si="4"/>
        <v>374204.94156928215</v>
      </c>
      <c r="I68" s="3">
        <f t="shared" si="4"/>
        <v>64776.302170283801</v>
      </c>
      <c r="J68" s="3">
        <f t="shared" si="4"/>
        <v>438981.24373956601</v>
      </c>
      <c r="L68" s="2" t="s">
        <v>80</v>
      </c>
      <c r="M68" s="3">
        <v>289493.12</v>
      </c>
      <c r="N68" s="3">
        <v>3108291.81</v>
      </c>
      <c r="O68" s="3">
        <v>620832.09</v>
      </c>
      <c r="P68" s="3">
        <v>4018617.02</v>
      </c>
      <c r="S68" s="3">
        <f t="shared" si="0"/>
        <v>4168105.1437395657</v>
      </c>
    </row>
    <row r="69" spans="1:19" x14ac:dyDescent="0.25">
      <c r="A69" s="2" t="s">
        <v>42</v>
      </c>
      <c r="B69" s="3">
        <v>388487.33</v>
      </c>
      <c r="C69" s="3">
        <v>73548.72</v>
      </c>
      <c r="D69" s="3">
        <v>462036.05</v>
      </c>
      <c r="F69" s="14">
        <f t="shared" si="2"/>
        <v>46343</v>
      </c>
      <c r="G69" s="16">
        <f>_xlfn.XLOOKUP(F69,FX!$A$12:$A$910,FX!$B$12:$B$910,"",-1)</f>
        <v>1.198</v>
      </c>
      <c r="H69" s="3">
        <f t="shared" si="4"/>
        <v>324279.90818030055</v>
      </c>
      <c r="I69" s="3">
        <f t="shared" si="4"/>
        <v>61392.921535893161</v>
      </c>
      <c r="J69" s="3">
        <f t="shared" si="4"/>
        <v>385672.82971619366</v>
      </c>
      <c r="L69" s="2" t="s">
        <v>81</v>
      </c>
      <c r="M69" s="3">
        <v>311522.95</v>
      </c>
      <c r="N69" s="3">
        <v>2767150.73</v>
      </c>
      <c r="O69" s="3">
        <v>594491.98</v>
      </c>
      <c r="P69" s="3">
        <v>3673165.66</v>
      </c>
      <c r="S69" s="3">
        <f t="shared" si="0"/>
        <v>3747315.5397161935</v>
      </c>
    </row>
    <row r="70" spans="1:19" x14ac:dyDescent="0.25">
      <c r="A70" s="2" t="s">
        <v>43</v>
      </c>
      <c r="B70" s="3">
        <v>357946.8</v>
      </c>
      <c r="C70" s="3">
        <v>59685.24</v>
      </c>
      <c r="D70" s="3">
        <v>417632.04</v>
      </c>
      <c r="F70" s="14">
        <f t="shared" si="2"/>
        <v>46350</v>
      </c>
      <c r="G70" s="16">
        <f>_xlfn.XLOOKUP(F70,FX!$A$12:$A$910,FX!$B$12:$B$910,"",-1)</f>
        <v>1.198</v>
      </c>
      <c r="H70" s="3">
        <f t="shared" si="4"/>
        <v>298786.97829716193</v>
      </c>
      <c r="I70" s="3">
        <f t="shared" si="4"/>
        <v>49820.734557595992</v>
      </c>
      <c r="J70" s="3">
        <f t="shared" si="4"/>
        <v>348607.71285475791</v>
      </c>
      <c r="L70" s="2" t="s">
        <v>82</v>
      </c>
      <c r="M70" s="3">
        <v>365334.77</v>
      </c>
      <c r="N70" s="3">
        <v>3041150.52</v>
      </c>
      <c r="O70" s="3">
        <v>697112.3</v>
      </c>
      <c r="P70" s="3">
        <v>4103597.59</v>
      </c>
      <c r="S70" s="3">
        <f t="shared" si="0"/>
        <v>4086870.5328547582</v>
      </c>
    </row>
    <row r="71" spans="1:19" x14ac:dyDescent="0.25">
      <c r="A71" s="2" t="s">
        <v>44</v>
      </c>
      <c r="B71" s="3">
        <v>427824.47</v>
      </c>
      <c r="C71" s="3">
        <v>74860.100000000006</v>
      </c>
      <c r="D71" s="3">
        <v>502684.57</v>
      </c>
      <c r="F71" s="14">
        <f t="shared" si="2"/>
        <v>46357</v>
      </c>
      <c r="G71" s="16">
        <f>_xlfn.XLOOKUP(F71,FX!$A$12:$A$910,FX!$B$12:$B$910,"",-1)</f>
        <v>1.198</v>
      </c>
      <c r="H71" s="3">
        <f t="shared" si="4"/>
        <v>357115.58430717862</v>
      </c>
      <c r="I71" s="3">
        <f t="shared" si="4"/>
        <v>62487.562604340572</v>
      </c>
      <c r="J71" s="3">
        <f t="shared" si="4"/>
        <v>419603.14691151923</v>
      </c>
      <c r="L71" s="2" t="s">
        <v>83</v>
      </c>
      <c r="M71" s="3">
        <v>503160.35</v>
      </c>
      <c r="N71" s="3">
        <v>1960861.56</v>
      </c>
      <c r="O71" s="3">
        <v>654152.47</v>
      </c>
      <c r="P71" s="3">
        <v>3118174.38</v>
      </c>
      <c r="S71" s="3">
        <f t="shared" si="0"/>
        <v>3034617.1769115189</v>
      </c>
    </row>
    <row r="72" spans="1:19" x14ac:dyDescent="0.25">
      <c r="A72" s="2" t="s">
        <v>45</v>
      </c>
      <c r="B72" s="3">
        <v>461499.12</v>
      </c>
      <c r="C72" s="3">
        <v>109023.62</v>
      </c>
      <c r="D72" s="3">
        <v>570522.74</v>
      </c>
      <c r="F72" s="14">
        <f t="shared" si="2"/>
        <v>46364</v>
      </c>
      <c r="G72" s="16">
        <f>_xlfn.XLOOKUP(F72,FX!$A$12:$A$910,FX!$B$12:$B$910,"",-1)</f>
        <v>1.198</v>
      </c>
      <c r="H72" s="3">
        <f t="shared" si="4"/>
        <v>385224.64106844744</v>
      </c>
      <c r="I72" s="3">
        <f t="shared" si="4"/>
        <v>91004.691151919862</v>
      </c>
      <c r="J72" s="3">
        <f t="shared" si="4"/>
        <v>476229.33222036727</v>
      </c>
      <c r="L72" s="2" t="s">
        <v>84</v>
      </c>
      <c r="M72" s="3">
        <v>516607.25</v>
      </c>
      <c r="N72" s="3">
        <v>5349877.2300000004</v>
      </c>
      <c r="O72" s="3">
        <v>1883895.09</v>
      </c>
      <c r="P72" s="3">
        <v>7750379.5700000003</v>
      </c>
      <c r="S72" s="3">
        <f t="shared" si="0"/>
        <v>7710001.6522203675</v>
      </c>
    </row>
    <row r="73" spans="1:19" x14ac:dyDescent="0.25">
      <c r="A73" s="2" t="s">
        <v>46</v>
      </c>
      <c r="B73" s="3">
        <v>355243.9</v>
      </c>
      <c r="C73" s="3">
        <v>123951.59</v>
      </c>
      <c r="D73" s="3">
        <v>479195.49</v>
      </c>
      <c r="F73" s="14">
        <f t="shared" si="2"/>
        <v>46371</v>
      </c>
      <c r="G73" s="16">
        <f>_xlfn.XLOOKUP(F73,FX!$A$12:$A$910,FX!$B$12:$B$910,"",-1)</f>
        <v>1.198</v>
      </c>
      <c r="H73" s="3">
        <f t="shared" si="4"/>
        <v>296530.80133555928</v>
      </c>
      <c r="I73" s="3">
        <f t="shared" si="4"/>
        <v>103465.43405676127</v>
      </c>
      <c r="J73" s="3">
        <f t="shared" si="4"/>
        <v>399996.23539232055</v>
      </c>
      <c r="L73" s="2" t="s">
        <v>85</v>
      </c>
      <c r="M73" s="3">
        <v>236997.31</v>
      </c>
      <c r="N73" s="3">
        <v>3244594.3</v>
      </c>
      <c r="O73" s="3">
        <v>729026.68</v>
      </c>
      <c r="P73" s="3">
        <v>4210618.29</v>
      </c>
      <c r="S73" s="3">
        <f t="shared" ref="S73:S136" si="5">J73+N73+O73</f>
        <v>4373617.2153923204</v>
      </c>
    </row>
    <row r="74" spans="1:19" x14ac:dyDescent="0.25">
      <c r="A74" s="2" t="s">
        <v>47</v>
      </c>
      <c r="B74" s="3">
        <v>383551.9</v>
      </c>
      <c r="C74" s="3">
        <v>105547.42</v>
      </c>
      <c r="D74" s="3">
        <v>489099.32</v>
      </c>
      <c r="F74" s="14">
        <f t="shared" si="2"/>
        <v>46378</v>
      </c>
      <c r="G74" s="16">
        <f>_xlfn.XLOOKUP(F74,FX!$A$12:$A$910,FX!$B$12:$B$910,"",-1)</f>
        <v>1.198</v>
      </c>
      <c r="H74" s="3">
        <f t="shared" si="4"/>
        <v>320160.18363939901</v>
      </c>
      <c r="I74" s="3">
        <f t="shared" si="4"/>
        <v>88103.021702838072</v>
      </c>
      <c r="J74" s="3">
        <f t="shared" si="4"/>
        <v>408263.20534223708</v>
      </c>
      <c r="L74" s="2" t="s">
        <v>86</v>
      </c>
      <c r="M74" s="3">
        <v>87716.27</v>
      </c>
      <c r="N74" s="3">
        <v>2183551.0099999998</v>
      </c>
      <c r="O74" s="3">
        <v>337940.58</v>
      </c>
      <c r="P74" s="3">
        <v>2609207.86</v>
      </c>
      <c r="S74" s="3">
        <f t="shared" si="5"/>
        <v>2929754.7953422368</v>
      </c>
    </row>
    <row r="75" spans="1:19" x14ac:dyDescent="0.25">
      <c r="A75" s="2" t="s">
        <v>48</v>
      </c>
      <c r="B75" s="3">
        <v>493120.05</v>
      </c>
      <c r="C75" s="3">
        <v>78484.600000000006</v>
      </c>
      <c r="D75" s="3">
        <v>571604.65</v>
      </c>
      <c r="F75" s="14">
        <f t="shared" si="2"/>
        <v>46385</v>
      </c>
      <c r="G75" s="16">
        <f>_xlfn.XLOOKUP(F75,FX!$A$12:$A$910,FX!$B$12:$B$910,"",-1)</f>
        <v>1.198</v>
      </c>
      <c r="H75" s="3">
        <f t="shared" si="4"/>
        <v>411619.40734557598</v>
      </c>
      <c r="I75" s="3">
        <f t="shared" si="4"/>
        <v>65513.021702838072</v>
      </c>
      <c r="J75" s="3">
        <f t="shared" si="4"/>
        <v>477132.42904841405</v>
      </c>
      <c r="L75" s="2" t="s">
        <v>87</v>
      </c>
      <c r="M75" s="3">
        <v>263916.31</v>
      </c>
      <c r="N75" s="3">
        <v>2561448.37</v>
      </c>
      <c r="O75" s="3">
        <v>577536.47</v>
      </c>
      <c r="P75" s="3">
        <v>3402901.15</v>
      </c>
      <c r="S75" s="3">
        <f t="shared" si="5"/>
        <v>3616117.2690484142</v>
      </c>
    </row>
    <row r="76" spans="1:19" x14ac:dyDescent="0.25">
      <c r="A76" s="2" t="s">
        <v>49</v>
      </c>
      <c r="B76" s="3">
        <v>614369.07999999996</v>
      </c>
      <c r="C76" s="3">
        <v>101817.97</v>
      </c>
      <c r="D76" s="3">
        <v>716187.05</v>
      </c>
      <c r="F76" s="14">
        <f t="shared" ref="F76:F107" si="6">F75+7</f>
        <v>46392</v>
      </c>
      <c r="G76" s="16">
        <f>_xlfn.XLOOKUP(F76,FX!$A$12:$A$910,FX!$B$12:$B$910,"",-1)</f>
        <v>1.198</v>
      </c>
      <c r="H76" s="3">
        <f t="shared" si="4"/>
        <v>512828.94824707846</v>
      </c>
      <c r="I76" s="3">
        <f t="shared" si="4"/>
        <v>84989.958263772962</v>
      </c>
      <c r="J76" s="3">
        <f t="shared" si="4"/>
        <v>597818.90651085146</v>
      </c>
      <c r="L76" s="2" t="s">
        <v>88</v>
      </c>
      <c r="M76" s="3">
        <v>490881.81</v>
      </c>
      <c r="N76" s="3">
        <v>3165734.5</v>
      </c>
      <c r="O76" s="3">
        <v>801925.5</v>
      </c>
      <c r="P76" s="3">
        <v>4458541.8099999996</v>
      </c>
      <c r="S76" s="3">
        <f t="shared" si="5"/>
        <v>4565478.9065108513</v>
      </c>
    </row>
    <row r="77" spans="1:19" x14ac:dyDescent="0.25">
      <c r="A77" s="2" t="s">
        <v>50</v>
      </c>
      <c r="B77" s="3">
        <v>417900.08</v>
      </c>
      <c r="C77" s="3">
        <v>74300.66</v>
      </c>
      <c r="D77" s="3">
        <v>492200.74</v>
      </c>
      <c r="F77" s="14">
        <f t="shared" si="6"/>
        <v>46399</v>
      </c>
      <c r="G77" s="16">
        <f>_xlfn.XLOOKUP(F77,FX!$A$12:$A$910,FX!$B$12:$B$910,"",-1)</f>
        <v>1.198</v>
      </c>
      <c r="H77" s="3">
        <f t="shared" si="4"/>
        <v>348831.45242070121</v>
      </c>
      <c r="I77" s="3">
        <f t="shared" si="4"/>
        <v>62020.584307178637</v>
      </c>
      <c r="J77" s="3">
        <f t="shared" si="4"/>
        <v>410852.03672787984</v>
      </c>
      <c r="L77" s="2" t="s">
        <v>89</v>
      </c>
      <c r="M77" s="3">
        <v>297919.28000000003</v>
      </c>
      <c r="N77" s="3">
        <v>2953337.21</v>
      </c>
      <c r="O77" s="3">
        <v>556575.01</v>
      </c>
      <c r="P77" s="3">
        <v>3807831.5</v>
      </c>
      <c r="S77" s="3">
        <f t="shared" si="5"/>
        <v>3920764.2567278799</v>
      </c>
    </row>
    <row r="78" spans="1:19" x14ac:dyDescent="0.25">
      <c r="A78" s="2" t="s">
        <v>51</v>
      </c>
      <c r="B78" s="3">
        <v>442415.83</v>
      </c>
      <c r="C78" s="3">
        <v>93031.52</v>
      </c>
      <c r="D78" s="3">
        <v>535447.35</v>
      </c>
      <c r="F78" s="14">
        <f t="shared" si="6"/>
        <v>46406</v>
      </c>
      <c r="G78" s="16">
        <f>_xlfn.XLOOKUP(F78,FX!$A$12:$A$910,FX!$B$12:$B$910,"",-1)</f>
        <v>1.198</v>
      </c>
      <c r="H78" s="3">
        <f t="shared" si="4"/>
        <v>369295.35058430722</v>
      </c>
      <c r="I78" s="3">
        <f t="shared" si="4"/>
        <v>77655.692821368953</v>
      </c>
      <c r="J78" s="3">
        <f t="shared" si="4"/>
        <v>446951.04340567614</v>
      </c>
      <c r="L78" s="2" t="s">
        <v>90</v>
      </c>
      <c r="M78" s="3">
        <v>326802.96000000002</v>
      </c>
      <c r="N78" s="3">
        <v>2887238.24</v>
      </c>
      <c r="O78" s="3">
        <v>590053.94999999995</v>
      </c>
      <c r="P78" s="3">
        <v>3804095.15</v>
      </c>
      <c r="S78" s="3">
        <f t="shared" si="5"/>
        <v>3924243.2334056767</v>
      </c>
    </row>
    <row r="79" spans="1:19" x14ac:dyDescent="0.25">
      <c r="A79" s="2" t="s">
        <v>52</v>
      </c>
      <c r="B79" s="3">
        <v>556925.55000000005</v>
      </c>
      <c r="C79" s="3">
        <v>88678.58</v>
      </c>
      <c r="D79" s="3">
        <v>645604.13</v>
      </c>
      <c r="F79" s="14">
        <f t="shared" si="6"/>
        <v>46413</v>
      </c>
      <c r="G79" s="16">
        <f>_xlfn.XLOOKUP(F79,FX!$A$12:$A$910,FX!$B$12:$B$910,"",-1)</f>
        <v>1.198</v>
      </c>
      <c r="H79" s="3">
        <f t="shared" si="4"/>
        <v>464879.42404006684</v>
      </c>
      <c r="I79" s="3">
        <f t="shared" si="4"/>
        <v>74022.186978297163</v>
      </c>
      <c r="J79" s="3">
        <f t="shared" si="4"/>
        <v>538901.61101836397</v>
      </c>
      <c r="L79" s="2" t="s">
        <v>91</v>
      </c>
      <c r="M79" s="3">
        <v>404137.45</v>
      </c>
      <c r="N79" s="3">
        <v>2927993.69</v>
      </c>
      <c r="O79" s="3">
        <v>635805.17000000004</v>
      </c>
      <c r="P79" s="3">
        <v>3967936.31</v>
      </c>
      <c r="S79" s="3">
        <f t="shared" si="5"/>
        <v>4102700.4710183637</v>
      </c>
    </row>
    <row r="80" spans="1:19" x14ac:dyDescent="0.25">
      <c r="A80" s="2" t="s">
        <v>53</v>
      </c>
      <c r="B80" s="3">
        <v>621973.71</v>
      </c>
      <c r="C80" s="3">
        <v>97252.11</v>
      </c>
      <c r="D80" s="3">
        <v>719225.82</v>
      </c>
      <c r="F80" s="14">
        <f t="shared" si="6"/>
        <v>46420</v>
      </c>
      <c r="G80" s="16">
        <f>_xlfn.XLOOKUP(F80,FX!$A$12:$A$910,FX!$B$12:$B$910,"",-1)</f>
        <v>1.198</v>
      </c>
      <c r="H80" s="3">
        <f t="shared" si="4"/>
        <v>519176.71953255427</v>
      </c>
      <c r="I80" s="3">
        <f t="shared" si="4"/>
        <v>81178.722871452424</v>
      </c>
      <c r="J80" s="3">
        <f t="shared" si="4"/>
        <v>600355.44240400661</v>
      </c>
      <c r="L80" s="2" t="s">
        <v>92</v>
      </c>
      <c r="M80" s="3">
        <v>279333.05</v>
      </c>
      <c r="N80" s="3">
        <v>2741316.33</v>
      </c>
      <c r="O80" s="3">
        <v>637047.92000000004</v>
      </c>
      <c r="P80" s="3">
        <v>3657697.3</v>
      </c>
      <c r="S80" s="3">
        <f t="shared" si="5"/>
        <v>3978719.6924040066</v>
      </c>
    </row>
    <row r="81" spans="1:19" x14ac:dyDescent="0.25">
      <c r="A81" s="2" t="s">
        <v>54</v>
      </c>
      <c r="B81" s="3">
        <v>618126.17000000004</v>
      </c>
      <c r="C81" s="3">
        <v>97119.01</v>
      </c>
      <c r="D81" s="3">
        <v>715245.18</v>
      </c>
      <c r="F81" s="14">
        <f t="shared" si="6"/>
        <v>46427</v>
      </c>
      <c r="G81" s="16">
        <f>_xlfn.XLOOKUP(F81,FX!$A$12:$A$910,FX!$B$12:$B$910,"",-1)</f>
        <v>1.198</v>
      </c>
      <c r="H81" s="3">
        <f t="shared" si="4"/>
        <v>515965.08347245416</v>
      </c>
      <c r="I81" s="3">
        <f t="shared" si="4"/>
        <v>81067.62103505843</v>
      </c>
      <c r="J81" s="3">
        <f t="shared" si="4"/>
        <v>597032.70450751262</v>
      </c>
      <c r="L81" s="2" t="s">
        <v>93</v>
      </c>
      <c r="M81" s="3">
        <v>173883.01</v>
      </c>
      <c r="N81" s="3">
        <v>2405793.75</v>
      </c>
      <c r="O81" s="3">
        <v>442013.1</v>
      </c>
      <c r="P81" s="3">
        <v>3021689.86</v>
      </c>
      <c r="S81" s="3">
        <f t="shared" si="5"/>
        <v>3444839.5545075126</v>
      </c>
    </row>
    <row r="82" spans="1:19" x14ac:dyDescent="0.25">
      <c r="A82" s="2" t="s">
        <v>55</v>
      </c>
      <c r="B82" s="3">
        <v>609390.03</v>
      </c>
      <c r="C82" s="3">
        <v>106911.73</v>
      </c>
      <c r="D82" s="3">
        <v>716301.76</v>
      </c>
      <c r="F82" s="14">
        <f t="shared" si="6"/>
        <v>46434</v>
      </c>
      <c r="G82" s="16">
        <f>_xlfn.XLOOKUP(F82,FX!$A$12:$A$910,FX!$B$12:$B$910,"",-1)</f>
        <v>1.198</v>
      </c>
      <c r="H82" s="3">
        <f t="shared" si="4"/>
        <v>508672.81302170287</v>
      </c>
      <c r="I82" s="3">
        <f t="shared" si="4"/>
        <v>89241.844741235385</v>
      </c>
      <c r="J82" s="3">
        <f t="shared" si="4"/>
        <v>597914.6577629383</v>
      </c>
      <c r="L82" s="2" t="s">
        <v>94</v>
      </c>
      <c r="M82" s="3">
        <v>374627.62</v>
      </c>
      <c r="N82" s="3">
        <v>2688750.05</v>
      </c>
      <c r="O82" s="3">
        <v>593557.79</v>
      </c>
      <c r="P82" s="3">
        <v>3656935.46</v>
      </c>
      <c r="S82" s="3">
        <f t="shared" si="5"/>
        <v>3880222.497762938</v>
      </c>
    </row>
    <row r="83" spans="1:19" x14ac:dyDescent="0.25">
      <c r="A83" s="2" t="s">
        <v>56</v>
      </c>
      <c r="B83" s="3">
        <v>609865.72</v>
      </c>
      <c r="C83" s="3">
        <v>104043.28</v>
      </c>
      <c r="D83" s="3">
        <v>713909</v>
      </c>
      <c r="F83" s="14">
        <f t="shared" si="6"/>
        <v>46441</v>
      </c>
      <c r="G83" s="16">
        <f>_xlfn.XLOOKUP(F83,FX!$A$12:$A$910,FX!$B$12:$B$910,"",-1)</f>
        <v>1.198</v>
      </c>
      <c r="H83" s="3">
        <f t="shared" si="4"/>
        <v>509069.8831385643</v>
      </c>
      <c r="I83" s="3">
        <f t="shared" si="4"/>
        <v>86847.479131886474</v>
      </c>
      <c r="J83" s="3">
        <f t="shared" si="4"/>
        <v>595917.3622704508</v>
      </c>
      <c r="L83" s="2" t="s">
        <v>95</v>
      </c>
      <c r="M83" s="3">
        <v>181084.57</v>
      </c>
      <c r="N83" s="3">
        <v>2463511.44</v>
      </c>
      <c r="O83" s="3">
        <v>494133.11</v>
      </c>
      <c r="P83" s="3">
        <v>3138729.12</v>
      </c>
      <c r="S83" s="3">
        <f t="shared" si="5"/>
        <v>3553561.9122704505</v>
      </c>
    </row>
    <row r="84" spans="1:19" x14ac:dyDescent="0.25">
      <c r="A84" s="2" t="s">
        <v>57</v>
      </c>
      <c r="B84" s="3">
        <v>462971.68</v>
      </c>
      <c r="C84" s="3">
        <v>112438.84</v>
      </c>
      <c r="D84" s="3">
        <v>575410.52</v>
      </c>
      <c r="F84" s="14">
        <f t="shared" si="6"/>
        <v>46448</v>
      </c>
      <c r="G84" s="16">
        <f>_xlfn.XLOOKUP(F84,FX!$A$12:$A$910,FX!$B$12:$B$910,"",-1)</f>
        <v>1.198</v>
      </c>
      <c r="H84" s="3">
        <f t="shared" si="4"/>
        <v>386453.82303839736</v>
      </c>
      <c r="I84" s="3">
        <f t="shared" si="4"/>
        <v>93855.459098497493</v>
      </c>
      <c r="J84" s="3">
        <f t="shared" si="4"/>
        <v>480309.28213689488</v>
      </c>
      <c r="L84" s="2" t="s">
        <v>96</v>
      </c>
      <c r="M84" s="3">
        <v>207440.94</v>
      </c>
      <c r="N84" s="3">
        <v>2749594.05</v>
      </c>
      <c r="O84" s="3">
        <v>470470.06</v>
      </c>
      <c r="P84" s="3">
        <v>3427505.05</v>
      </c>
      <c r="S84" s="3">
        <f t="shared" si="5"/>
        <v>3700373.3921368946</v>
      </c>
    </row>
    <row r="85" spans="1:19" x14ac:dyDescent="0.25">
      <c r="A85" s="2" t="s">
        <v>58</v>
      </c>
      <c r="B85" s="3">
        <v>661268.47999999998</v>
      </c>
      <c r="C85" s="3">
        <v>114374.08</v>
      </c>
      <c r="D85" s="3">
        <v>775642.56</v>
      </c>
      <c r="F85" s="14">
        <f t="shared" si="6"/>
        <v>46455</v>
      </c>
      <c r="G85" s="16">
        <f>_xlfn.XLOOKUP(F85,FX!$A$12:$A$910,FX!$B$12:$B$910,"",-1)</f>
        <v>1.198</v>
      </c>
      <c r="H85" s="3">
        <f t="shared" si="4"/>
        <v>551977.02838063438</v>
      </c>
      <c r="I85" s="3">
        <f t="shared" si="4"/>
        <v>95470.851419031722</v>
      </c>
      <c r="J85" s="3">
        <f t="shared" si="4"/>
        <v>647447.87979966623</v>
      </c>
      <c r="L85" s="2" t="s">
        <v>97</v>
      </c>
      <c r="M85" s="3">
        <v>218606.24</v>
      </c>
      <c r="N85" s="3">
        <v>2673165.23</v>
      </c>
      <c r="O85" s="3">
        <v>409291.44</v>
      </c>
      <c r="P85" s="3">
        <v>3301062.91</v>
      </c>
      <c r="S85" s="3">
        <f t="shared" si="5"/>
        <v>3729904.5497996663</v>
      </c>
    </row>
    <row r="86" spans="1:19" x14ac:dyDescent="0.25">
      <c r="A86" s="2" t="s">
        <v>59</v>
      </c>
      <c r="B86" s="3">
        <v>562506.71</v>
      </c>
      <c r="C86" s="3">
        <v>115613.62</v>
      </c>
      <c r="D86" s="3">
        <v>678120.33</v>
      </c>
      <c r="F86" s="14">
        <f t="shared" si="6"/>
        <v>46462</v>
      </c>
      <c r="G86" s="16">
        <f>_xlfn.XLOOKUP(F86,FX!$A$12:$A$910,FX!$B$12:$B$910,"",-1)</f>
        <v>1.198</v>
      </c>
      <c r="H86" s="3">
        <f t="shared" si="4"/>
        <v>469538.15525876457</v>
      </c>
      <c r="I86" s="3">
        <f t="shared" si="4"/>
        <v>96505.525876460772</v>
      </c>
      <c r="J86" s="3">
        <f t="shared" si="4"/>
        <v>566043.68113522534</v>
      </c>
      <c r="L86" s="2" t="s">
        <v>98</v>
      </c>
      <c r="M86" s="3">
        <v>285469.59000000003</v>
      </c>
      <c r="N86" s="3">
        <v>2688889.65</v>
      </c>
      <c r="O86" s="3">
        <v>499463.23</v>
      </c>
      <c r="P86" s="3">
        <v>3473822.47</v>
      </c>
      <c r="S86" s="3">
        <f t="shared" si="5"/>
        <v>3754396.5611352255</v>
      </c>
    </row>
    <row r="87" spans="1:19" x14ac:dyDescent="0.25">
      <c r="A87" s="2" t="s">
        <v>60</v>
      </c>
      <c r="B87" s="3">
        <v>564950.53</v>
      </c>
      <c r="C87" s="3">
        <v>149853.72</v>
      </c>
      <c r="D87" s="3">
        <v>714804.25</v>
      </c>
      <c r="F87" s="14">
        <f t="shared" si="6"/>
        <v>46469</v>
      </c>
      <c r="G87" s="16">
        <f>_xlfn.XLOOKUP(F87,FX!$A$12:$A$910,FX!$B$12:$B$910,"",-1)</f>
        <v>1.198</v>
      </c>
      <c r="H87" s="3">
        <f t="shared" si="4"/>
        <v>471578.07178631058</v>
      </c>
      <c r="I87" s="3">
        <f t="shared" si="4"/>
        <v>125086.57762938231</v>
      </c>
      <c r="J87" s="3">
        <f t="shared" si="4"/>
        <v>596664.6494156929</v>
      </c>
      <c r="L87" s="2" t="s">
        <v>99</v>
      </c>
      <c r="M87" s="3">
        <v>401386.26</v>
      </c>
      <c r="N87" s="3">
        <v>2687439.5</v>
      </c>
      <c r="O87" s="3">
        <v>637699.46</v>
      </c>
      <c r="P87" s="3">
        <v>3726525.22</v>
      </c>
      <c r="S87" s="3">
        <f t="shared" si="5"/>
        <v>3921803.6094156927</v>
      </c>
    </row>
    <row r="88" spans="1:19" x14ac:dyDescent="0.25">
      <c r="A88" s="2" t="s">
        <v>61</v>
      </c>
      <c r="B88" s="3">
        <v>453223.94</v>
      </c>
      <c r="C88" s="3">
        <v>114870.8</v>
      </c>
      <c r="D88" s="3">
        <v>568094.74</v>
      </c>
      <c r="F88" s="14">
        <f t="shared" si="6"/>
        <v>46476</v>
      </c>
      <c r="G88" s="16">
        <f>_xlfn.XLOOKUP(F88,FX!$A$12:$A$910,FX!$B$12:$B$910,"",-1)</f>
        <v>1.198</v>
      </c>
      <c r="H88" s="3">
        <f t="shared" si="4"/>
        <v>378317.14524207014</v>
      </c>
      <c r="I88" s="3">
        <f t="shared" si="4"/>
        <v>95885.47579298832</v>
      </c>
      <c r="J88" s="3">
        <f t="shared" si="4"/>
        <v>474202.62103505846</v>
      </c>
      <c r="L88" s="2" t="s">
        <v>100</v>
      </c>
      <c r="M88" s="3">
        <v>220881.88</v>
      </c>
      <c r="N88" s="3">
        <v>1837383.1</v>
      </c>
      <c r="O88" s="3">
        <v>347056.95</v>
      </c>
      <c r="P88" s="3">
        <v>2405321.9300000002</v>
      </c>
      <c r="S88" s="3">
        <f t="shared" si="5"/>
        <v>2658642.6710350588</v>
      </c>
    </row>
    <row r="89" spans="1:19" x14ac:dyDescent="0.25">
      <c r="A89" s="2" t="s">
        <v>62</v>
      </c>
      <c r="B89" s="3">
        <v>468698.07</v>
      </c>
      <c r="C89" s="3">
        <v>83357.34</v>
      </c>
      <c r="D89" s="3">
        <v>552055.41</v>
      </c>
      <c r="F89" s="14">
        <f t="shared" si="6"/>
        <v>46483</v>
      </c>
      <c r="G89" s="16">
        <f>_xlfn.XLOOKUP(F89,FX!$A$12:$A$910,FX!$B$12:$B$910,"",-1)</f>
        <v>1.198</v>
      </c>
      <c r="H89" s="3">
        <f t="shared" si="4"/>
        <v>391233.7813021703</v>
      </c>
      <c r="I89" s="3">
        <f t="shared" si="4"/>
        <v>69580.417362270455</v>
      </c>
      <c r="J89" s="3">
        <f t="shared" si="4"/>
        <v>460814.19866444077</v>
      </c>
      <c r="L89" s="2" t="s">
        <v>101</v>
      </c>
      <c r="M89" s="3">
        <v>234419.33</v>
      </c>
      <c r="N89" s="3">
        <v>2941442.47</v>
      </c>
      <c r="O89" s="3">
        <v>495728.39</v>
      </c>
      <c r="P89" s="3">
        <v>3671590.19</v>
      </c>
      <c r="S89" s="3">
        <f t="shared" si="5"/>
        <v>3897985.0586644411</v>
      </c>
    </row>
    <row r="90" spans="1:19" x14ac:dyDescent="0.25">
      <c r="A90" s="2" t="s">
        <v>63</v>
      </c>
      <c r="B90" s="3">
        <v>557392.17000000004</v>
      </c>
      <c r="C90" s="3">
        <v>88297.63</v>
      </c>
      <c r="D90" s="3">
        <v>645689.80000000005</v>
      </c>
      <c r="F90" s="14">
        <f t="shared" si="6"/>
        <v>46490</v>
      </c>
      <c r="G90" s="16">
        <f>_xlfn.XLOOKUP(F90,FX!$A$12:$A$910,FX!$B$12:$B$910,"",-1)</f>
        <v>1.198</v>
      </c>
      <c r="H90" s="3">
        <f t="shared" si="4"/>
        <v>465268.92320534232</v>
      </c>
      <c r="I90" s="3">
        <f t="shared" si="4"/>
        <v>73704.198664440744</v>
      </c>
      <c r="J90" s="3">
        <f t="shared" si="4"/>
        <v>538973.12186978303</v>
      </c>
      <c r="L90" s="2" t="s">
        <v>102</v>
      </c>
      <c r="M90" s="3">
        <v>280411.38</v>
      </c>
      <c r="N90" s="3">
        <v>2663338.67</v>
      </c>
      <c r="O90" s="3">
        <v>521741.31</v>
      </c>
      <c r="P90" s="3">
        <v>3465491.36</v>
      </c>
      <c r="S90" s="3">
        <f t="shared" si="5"/>
        <v>3724053.1018697829</v>
      </c>
    </row>
    <row r="91" spans="1:19" x14ac:dyDescent="0.25">
      <c r="A91" s="2" t="s">
        <v>64</v>
      </c>
      <c r="B91" s="3">
        <v>457165.96</v>
      </c>
      <c r="C91" s="3">
        <v>103038.66</v>
      </c>
      <c r="D91" s="3">
        <v>560204.62</v>
      </c>
      <c r="F91" s="14">
        <f t="shared" si="6"/>
        <v>46497</v>
      </c>
      <c r="G91" s="16">
        <f>_xlfn.XLOOKUP(F91,FX!$A$12:$A$910,FX!$B$12:$B$910,"",-1)</f>
        <v>1.198</v>
      </c>
      <c r="H91" s="3">
        <f t="shared" si="4"/>
        <v>381607.64607679471</v>
      </c>
      <c r="I91" s="3">
        <f t="shared" si="4"/>
        <v>86008.89816360602</v>
      </c>
      <c r="J91" s="3">
        <f t="shared" si="4"/>
        <v>467616.54424040066</v>
      </c>
      <c r="L91" s="2" t="s">
        <v>103</v>
      </c>
      <c r="M91" s="3">
        <v>237728.81</v>
      </c>
      <c r="N91" s="3">
        <v>1995695.66</v>
      </c>
      <c r="O91" s="3">
        <v>357824.09</v>
      </c>
      <c r="P91" s="3">
        <v>2591248.56</v>
      </c>
      <c r="S91" s="3">
        <f t="shared" si="5"/>
        <v>2821136.2942404002</v>
      </c>
    </row>
    <row r="92" spans="1:19" x14ac:dyDescent="0.25">
      <c r="A92" s="2" t="s">
        <v>65</v>
      </c>
      <c r="B92" s="3">
        <v>527763.96</v>
      </c>
      <c r="C92" s="3">
        <v>105387.11</v>
      </c>
      <c r="D92" s="3">
        <v>633151.06999999995</v>
      </c>
      <c r="F92" s="14">
        <f t="shared" si="6"/>
        <v>46504</v>
      </c>
      <c r="G92" s="16">
        <f>_xlfn.XLOOKUP(F92,FX!$A$12:$A$910,FX!$B$12:$B$910,"",-1)</f>
        <v>1.198</v>
      </c>
      <c r="H92" s="3">
        <f t="shared" si="4"/>
        <v>440537.5292153589</v>
      </c>
      <c r="I92" s="3">
        <f t="shared" si="4"/>
        <v>87969.207011686143</v>
      </c>
      <c r="J92" s="3">
        <f t="shared" si="4"/>
        <v>528506.73622704507</v>
      </c>
      <c r="L92" s="2" t="s">
        <v>104</v>
      </c>
      <c r="M92" s="3">
        <v>294926.2</v>
      </c>
      <c r="N92" s="3">
        <v>2578238.23</v>
      </c>
      <c r="O92" s="3">
        <v>465045.49</v>
      </c>
      <c r="P92" s="3">
        <v>3338209.92</v>
      </c>
      <c r="S92" s="3">
        <f t="shared" si="5"/>
        <v>3571790.4562270455</v>
      </c>
    </row>
    <row r="93" spans="1:19" x14ac:dyDescent="0.25">
      <c r="A93" s="2" t="s">
        <v>66</v>
      </c>
      <c r="B93" s="3">
        <v>543659.15</v>
      </c>
      <c r="C93" s="3">
        <v>75397.460000000006</v>
      </c>
      <c r="D93" s="3">
        <v>619056.61</v>
      </c>
      <c r="F93" s="14">
        <f t="shared" si="6"/>
        <v>46511</v>
      </c>
      <c r="G93" s="16">
        <f>_xlfn.XLOOKUP(F93,FX!$A$12:$A$910,FX!$B$12:$B$910,"",-1)</f>
        <v>1.198</v>
      </c>
      <c r="H93" s="3">
        <f t="shared" si="4"/>
        <v>453805.63439065113</v>
      </c>
      <c r="I93" s="3">
        <f t="shared" si="4"/>
        <v>62936.110183639408</v>
      </c>
      <c r="J93" s="3">
        <f t="shared" si="4"/>
        <v>516741.74457429047</v>
      </c>
      <c r="L93" s="2" t="s">
        <v>105</v>
      </c>
      <c r="M93" s="3">
        <v>431352.6</v>
      </c>
      <c r="N93" s="3">
        <v>2791466.06</v>
      </c>
      <c r="O93" s="3">
        <v>600085.87</v>
      </c>
      <c r="P93" s="3">
        <v>3822904.53</v>
      </c>
      <c r="S93" s="3">
        <f t="shared" si="5"/>
        <v>3908293.6745742904</v>
      </c>
    </row>
    <row r="94" spans="1:19" x14ac:dyDescent="0.25">
      <c r="A94" s="2" t="s">
        <v>67</v>
      </c>
      <c r="B94" s="3">
        <v>508439.59</v>
      </c>
      <c r="C94" s="3">
        <v>68009.3</v>
      </c>
      <c r="D94" s="3">
        <v>576448.89</v>
      </c>
      <c r="F94" s="14">
        <f t="shared" si="6"/>
        <v>46518</v>
      </c>
      <c r="G94" s="16">
        <f>_xlfn.XLOOKUP(F94,FX!$A$12:$A$910,FX!$B$12:$B$910,"",-1)</f>
        <v>1.198</v>
      </c>
      <c r="H94" s="3">
        <f t="shared" si="4"/>
        <v>424407.00333889818</v>
      </c>
      <c r="I94" s="3">
        <f t="shared" si="4"/>
        <v>56769.031719532562</v>
      </c>
      <c r="J94" s="3">
        <f t="shared" si="4"/>
        <v>481176.03505843075</v>
      </c>
      <c r="L94" s="2" t="s">
        <v>106</v>
      </c>
      <c r="M94" s="3">
        <v>218852.01</v>
      </c>
      <c r="N94" s="3">
        <v>2582244.7400000002</v>
      </c>
      <c r="O94" s="3">
        <v>467323.23</v>
      </c>
      <c r="P94" s="3">
        <v>3268419.98</v>
      </c>
      <c r="S94" s="3">
        <f t="shared" si="5"/>
        <v>3530744.0050584311</v>
      </c>
    </row>
    <row r="95" spans="1:19" x14ac:dyDescent="0.25">
      <c r="A95" s="2" t="s">
        <v>68</v>
      </c>
      <c r="B95" s="3">
        <v>510944.93</v>
      </c>
      <c r="C95" s="3">
        <v>132471.03</v>
      </c>
      <c r="D95" s="3">
        <v>643415.96</v>
      </c>
      <c r="F95" s="14">
        <f t="shared" si="6"/>
        <v>46525</v>
      </c>
      <c r="G95" s="16">
        <f>_xlfn.XLOOKUP(F95,FX!$A$12:$A$910,FX!$B$12:$B$910,"",-1)</f>
        <v>1.198</v>
      </c>
      <c r="H95" s="3">
        <f t="shared" si="4"/>
        <v>426498.27212020033</v>
      </c>
      <c r="I95" s="3">
        <f t="shared" si="4"/>
        <v>110576.81969949917</v>
      </c>
      <c r="J95" s="3">
        <f t="shared" si="4"/>
        <v>537075.0918196995</v>
      </c>
      <c r="L95" s="2" t="s">
        <v>107</v>
      </c>
      <c r="M95" s="3">
        <v>276893.49</v>
      </c>
      <c r="N95" s="3">
        <v>2863435.11</v>
      </c>
      <c r="O95" s="3">
        <v>554243.31999999995</v>
      </c>
      <c r="P95" s="3">
        <v>3694571.92</v>
      </c>
      <c r="S95" s="3">
        <f t="shared" si="5"/>
        <v>3954753.5218196991</v>
      </c>
    </row>
    <row r="96" spans="1:19" x14ac:dyDescent="0.25">
      <c r="A96" s="2" t="s">
        <v>69</v>
      </c>
      <c r="B96" s="3">
        <v>497413.71</v>
      </c>
      <c r="C96" s="3">
        <v>106414.87</v>
      </c>
      <c r="D96" s="3">
        <v>603828.57999999996</v>
      </c>
      <c r="F96" s="14">
        <f t="shared" si="6"/>
        <v>46532</v>
      </c>
      <c r="G96" s="16">
        <f>_xlfn.XLOOKUP(F96,FX!$A$12:$A$910,FX!$B$12:$B$910,"",-1)</f>
        <v>1.198</v>
      </c>
      <c r="H96" s="3">
        <f t="shared" si="4"/>
        <v>415203.43071786314</v>
      </c>
      <c r="I96" s="3">
        <f t="shared" si="4"/>
        <v>88827.103505843072</v>
      </c>
      <c r="J96" s="3">
        <f t="shared" si="4"/>
        <v>504030.53422370617</v>
      </c>
      <c r="L96" s="2" t="s">
        <v>108</v>
      </c>
      <c r="M96" s="3">
        <v>432419.97</v>
      </c>
      <c r="N96" s="3">
        <v>3222637.26</v>
      </c>
      <c r="O96" s="3">
        <v>591494.89</v>
      </c>
      <c r="P96" s="3">
        <v>4246552.12</v>
      </c>
      <c r="S96" s="3">
        <f t="shared" si="5"/>
        <v>4318162.6842237059</v>
      </c>
    </row>
    <row r="97" spans="1:19" x14ac:dyDescent="0.25">
      <c r="A97" s="2" t="s">
        <v>70</v>
      </c>
      <c r="B97" s="3">
        <v>505754.9</v>
      </c>
      <c r="C97" s="3">
        <v>124904.68</v>
      </c>
      <c r="D97" s="3">
        <v>630659.57999999996</v>
      </c>
      <c r="F97" s="14">
        <f t="shared" si="6"/>
        <v>46539</v>
      </c>
      <c r="G97" s="16">
        <f>_xlfn.XLOOKUP(F97,FX!$A$12:$A$910,FX!$B$12:$B$910,"",-1)</f>
        <v>1.198</v>
      </c>
      <c r="H97" s="3">
        <f t="shared" si="4"/>
        <v>422166.02671118535</v>
      </c>
      <c r="I97" s="3">
        <f t="shared" si="4"/>
        <v>104261.00166944908</v>
      </c>
      <c r="J97" s="3">
        <f t="shared" si="4"/>
        <v>526427.02838063438</v>
      </c>
      <c r="L97" s="2" t="s">
        <v>109</v>
      </c>
      <c r="M97" s="3">
        <v>296618.90999999997</v>
      </c>
      <c r="N97" s="3">
        <v>2852317.17</v>
      </c>
      <c r="O97" s="3">
        <v>500327.91</v>
      </c>
      <c r="P97" s="3">
        <v>3649263.99</v>
      </c>
      <c r="S97" s="3">
        <f t="shared" si="5"/>
        <v>3879072.1083806343</v>
      </c>
    </row>
    <row r="98" spans="1:19" x14ac:dyDescent="0.25">
      <c r="A98" s="2" t="s">
        <v>71</v>
      </c>
      <c r="B98" s="3">
        <v>520131.47</v>
      </c>
      <c r="C98" s="3">
        <v>122718.28</v>
      </c>
      <c r="D98" s="3">
        <v>642849.75</v>
      </c>
      <c r="F98" s="14">
        <f t="shared" si="6"/>
        <v>46546</v>
      </c>
      <c r="G98" s="16">
        <f>_xlfn.XLOOKUP(F98,FX!$A$12:$A$910,FX!$B$12:$B$910,"",-1)</f>
        <v>1.198</v>
      </c>
      <c r="H98" s="3">
        <f t="shared" si="4"/>
        <v>434166.50250417361</v>
      </c>
      <c r="I98" s="3">
        <f t="shared" si="4"/>
        <v>102435.95993322204</v>
      </c>
      <c r="J98" s="3">
        <f t="shared" si="4"/>
        <v>536602.4624373957</v>
      </c>
      <c r="L98" s="2" t="s">
        <v>110</v>
      </c>
      <c r="M98" s="3">
        <v>378513.35</v>
      </c>
      <c r="N98" s="3">
        <v>3104535.42</v>
      </c>
      <c r="O98" s="3">
        <v>622952.91</v>
      </c>
      <c r="P98" s="3">
        <v>4106001.68</v>
      </c>
      <c r="S98" s="3">
        <f t="shared" si="5"/>
        <v>4264090.792437396</v>
      </c>
    </row>
    <row r="99" spans="1:19" x14ac:dyDescent="0.25">
      <c r="A99" s="2" t="s">
        <v>72</v>
      </c>
      <c r="B99" s="3">
        <v>624959.49</v>
      </c>
      <c r="C99" s="3">
        <v>102143.56</v>
      </c>
      <c r="D99" s="3">
        <v>727103.05</v>
      </c>
      <c r="F99" s="14">
        <f t="shared" si="6"/>
        <v>46553</v>
      </c>
      <c r="G99" s="16">
        <f>_xlfn.XLOOKUP(F99,FX!$A$12:$A$910,FX!$B$12:$B$910,"",-1)</f>
        <v>1.198</v>
      </c>
      <c r="H99" s="3">
        <f t="shared" si="4"/>
        <v>521669.02337228716</v>
      </c>
      <c r="I99" s="3">
        <f t="shared" si="4"/>
        <v>85261.736227045083</v>
      </c>
      <c r="J99" s="3">
        <f t="shared" si="4"/>
        <v>606930.75959933223</v>
      </c>
      <c r="L99" s="2" t="s">
        <v>111</v>
      </c>
      <c r="M99" s="3">
        <v>284322.51</v>
      </c>
      <c r="N99" s="3">
        <v>2915939.94</v>
      </c>
      <c r="O99" s="3">
        <v>520343.32</v>
      </c>
      <c r="P99" s="3">
        <v>3720605.77</v>
      </c>
      <c r="S99" s="3">
        <f t="shared" si="5"/>
        <v>4043214.019599332</v>
      </c>
    </row>
    <row r="100" spans="1:19" x14ac:dyDescent="0.25">
      <c r="A100" s="2" t="s">
        <v>73</v>
      </c>
      <c r="B100" s="3">
        <v>656511.62</v>
      </c>
      <c r="C100" s="3">
        <v>115534.76</v>
      </c>
      <c r="D100" s="3">
        <v>772046.38</v>
      </c>
      <c r="F100" s="14">
        <f t="shared" si="6"/>
        <v>46560</v>
      </c>
      <c r="G100" s="16">
        <f>_xlfn.XLOOKUP(F100,FX!$A$12:$A$910,FX!$B$12:$B$910,"",-1)</f>
        <v>1.198</v>
      </c>
      <c r="H100" s="3">
        <f t="shared" si="4"/>
        <v>548006.36060100165</v>
      </c>
      <c r="I100" s="3">
        <f t="shared" si="4"/>
        <v>96439.699499165275</v>
      </c>
      <c r="J100" s="3">
        <f t="shared" si="4"/>
        <v>644446.06010016694</v>
      </c>
      <c r="L100" s="2" t="s">
        <v>112</v>
      </c>
      <c r="M100" s="3">
        <v>326280.71999999997</v>
      </c>
      <c r="N100" s="3">
        <v>3197505.87</v>
      </c>
      <c r="O100" s="3">
        <v>573017.71</v>
      </c>
      <c r="P100" s="3">
        <v>4096804.3</v>
      </c>
      <c r="S100" s="3">
        <f t="shared" si="5"/>
        <v>4414969.6401001671</v>
      </c>
    </row>
    <row r="101" spans="1:19" x14ac:dyDescent="0.25">
      <c r="A101" s="2" t="s">
        <v>74</v>
      </c>
      <c r="B101" s="3">
        <v>533073.05000000005</v>
      </c>
      <c r="C101" s="3">
        <v>86619.72</v>
      </c>
      <c r="D101" s="3">
        <v>619692.77</v>
      </c>
      <c r="F101" s="14">
        <f t="shared" si="6"/>
        <v>46567</v>
      </c>
      <c r="G101" s="16">
        <f>_xlfn.XLOOKUP(F101,FX!$A$12:$A$910,FX!$B$12:$B$910,"",-1)</f>
        <v>1.198</v>
      </c>
      <c r="H101" s="3">
        <f t="shared" si="4"/>
        <v>444969.15692821372</v>
      </c>
      <c r="I101" s="3">
        <f t="shared" si="4"/>
        <v>72303.606010016694</v>
      </c>
      <c r="J101" s="3">
        <f t="shared" si="4"/>
        <v>517272.76293823041</v>
      </c>
      <c r="L101" s="2" t="s">
        <v>113</v>
      </c>
      <c r="M101" s="3">
        <v>515501.66</v>
      </c>
      <c r="N101" s="3">
        <v>3206867.1</v>
      </c>
      <c r="O101" s="3">
        <v>736177.22</v>
      </c>
      <c r="P101" s="3">
        <v>4458545.9800000004</v>
      </c>
      <c r="S101" s="3">
        <f t="shared" si="5"/>
        <v>4460317.0829382306</v>
      </c>
    </row>
    <row r="102" spans="1:19" x14ac:dyDescent="0.25">
      <c r="A102" s="2" t="s">
        <v>75</v>
      </c>
      <c r="B102" s="3">
        <v>529448.06999999995</v>
      </c>
      <c r="C102" s="3">
        <v>107913.27</v>
      </c>
      <c r="D102" s="3">
        <v>637361.34</v>
      </c>
      <c r="F102" s="14">
        <f t="shared" si="6"/>
        <v>46574</v>
      </c>
      <c r="G102" s="16">
        <f>_xlfn.XLOOKUP(F102,FX!$A$12:$A$910,FX!$B$12:$B$910,"",-1)</f>
        <v>1.198</v>
      </c>
      <c r="H102" s="3">
        <f t="shared" si="4"/>
        <v>441943.29716193653</v>
      </c>
      <c r="I102" s="3">
        <f t="shared" si="4"/>
        <v>90077.85475792989</v>
      </c>
      <c r="J102" s="3">
        <f t="shared" si="4"/>
        <v>532021.15191986645</v>
      </c>
      <c r="L102" s="2" t="s">
        <v>114</v>
      </c>
      <c r="M102" s="3">
        <v>312576.32</v>
      </c>
      <c r="N102" s="3">
        <v>3008725.16</v>
      </c>
      <c r="O102" s="3">
        <v>665042.17000000004</v>
      </c>
      <c r="P102" s="3">
        <v>3986343.65</v>
      </c>
      <c r="S102" s="3">
        <f t="shared" si="5"/>
        <v>4205788.481919867</v>
      </c>
    </row>
    <row r="103" spans="1:19" x14ac:dyDescent="0.25">
      <c r="A103" s="2" t="s">
        <v>76</v>
      </c>
      <c r="B103" s="3">
        <v>498469.1</v>
      </c>
      <c r="C103" s="3">
        <v>65029.03</v>
      </c>
      <c r="D103" s="3">
        <v>563498.13</v>
      </c>
      <c r="F103" s="14">
        <f t="shared" si="6"/>
        <v>46581</v>
      </c>
      <c r="G103" s="16">
        <f>_xlfn.XLOOKUP(F103,FX!$A$12:$A$910,FX!$B$12:$B$910,"",-1)</f>
        <v>1.198</v>
      </c>
      <c r="H103" s="3">
        <f t="shared" si="4"/>
        <v>416084.39065108512</v>
      </c>
      <c r="I103" s="3">
        <f t="shared" si="4"/>
        <v>54281.327212020034</v>
      </c>
      <c r="J103" s="3">
        <f t="shared" si="4"/>
        <v>470365.71786310518</v>
      </c>
      <c r="L103" s="2" t="s">
        <v>115</v>
      </c>
      <c r="M103" s="3">
        <v>223166.96</v>
      </c>
      <c r="N103" s="3">
        <v>2438624.35</v>
      </c>
      <c r="O103" s="3">
        <v>477990.11</v>
      </c>
      <c r="P103" s="3">
        <v>3139781.42</v>
      </c>
      <c r="S103" s="3">
        <f t="shared" si="5"/>
        <v>3386980.1778631052</v>
      </c>
    </row>
    <row r="104" spans="1:19" x14ac:dyDescent="0.25">
      <c r="A104" s="2" t="s">
        <v>77</v>
      </c>
      <c r="B104" s="3">
        <v>447958.77</v>
      </c>
      <c r="C104" s="3">
        <v>91125.64</v>
      </c>
      <c r="D104" s="3">
        <v>539084.41</v>
      </c>
      <c r="F104" s="14">
        <f t="shared" si="6"/>
        <v>46588</v>
      </c>
      <c r="G104" s="16">
        <f>_xlfn.XLOOKUP(F104,FX!$A$12:$A$910,FX!$B$12:$B$910,"",-1)</f>
        <v>1.198</v>
      </c>
      <c r="H104" s="3">
        <f t="shared" si="4"/>
        <v>373922.17863105179</v>
      </c>
      <c r="I104" s="3">
        <f t="shared" si="4"/>
        <v>76064.808013355592</v>
      </c>
      <c r="J104" s="3">
        <f t="shared" si="4"/>
        <v>449986.98664440739</v>
      </c>
      <c r="L104" s="2" t="s">
        <v>116</v>
      </c>
      <c r="M104" s="3">
        <v>399702.15</v>
      </c>
      <c r="N104" s="3">
        <v>2437005.85</v>
      </c>
      <c r="O104" s="3">
        <v>629362.89</v>
      </c>
      <c r="P104" s="3">
        <v>3466070.89</v>
      </c>
      <c r="S104" s="3">
        <f t="shared" si="5"/>
        <v>3516355.7266444075</v>
      </c>
    </row>
    <row r="105" spans="1:19" x14ac:dyDescent="0.25">
      <c r="A105" s="2" t="s">
        <v>78</v>
      </c>
      <c r="B105" s="3">
        <v>520209.95</v>
      </c>
      <c r="C105" s="3">
        <v>118773.65</v>
      </c>
      <c r="D105" s="3">
        <v>638983.6</v>
      </c>
      <c r="F105" s="14">
        <f t="shared" si="6"/>
        <v>46595</v>
      </c>
      <c r="G105" s="16">
        <f>_xlfn.XLOOKUP(F105,FX!$A$12:$A$910,FX!$B$12:$B$910,"",-1)</f>
        <v>1.198</v>
      </c>
      <c r="H105" s="3">
        <f t="shared" si="4"/>
        <v>434232.01168614358</v>
      </c>
      <c r="I105" s="3">
        <f t="shared" si="4"/>
        <v>99143.280467445744</v>
      </c>
      <c r="J105" s="3">
        <f t="shared" si="4"/>
        <v>533375.29215358931</v>
      </c>
      <c r="L105" s="2" t="s">
        <v>117</v>
      </c>
      <c r="M105" s="3">
        <v>199588.06</v>
      </c>
      <c r="N105" s="3">
        <v>2297827.4700000002</v>
      </c>
      <c r="O105" s="3">
        <v>437520.51</v>
      </c>
      <c r="P105" s="3">
        <v>2934936.04</v>
      </c>
      <c r="S105" s="3">
        <f t="shared" si="5"/>
        <v>3268723.2721535899</v>
      </c>
    </row>
    <row r="106" spans="1:19" x14ac:dyDescent="0.25">
      <c r="A106" s="2" t="s">
        <v>79</v>
      </c>
      <c r="B106" s="3">
        <v>546003.31999999995</v>
      </c>
      <c r="C106" s="3">
        <v>103004.95</v>
      </c>
      <c r="D106" s="3">
        <v>649008.27</v>
      </c>
      <c r="F106" s="14">
        <f t="shared" si="6"/>
        <v>46602</v>
      </c>
      <c r="G106" s="16">
        <f>_xlfn.XLOOKUP(F106,FX!$A$12:$A$910,FX!$B$12:$B$910,"",-1)</f>
        <v>1.198</v>
      </c>
      <c r="H106" s="3">
        <f t="shared" si="4"/>
        <v>455762.37061769614</v>
      </c>
      <c r="I106" s="3">
        <f t="shared" si="4"/>
        <v>85980.759599332217</v>
      </c>
      <c r="J106" s="3">
        <f t="shared" si="4"/>
        <v>541743.13021702843</v>
      </c>
      <c r="L106" s="2" t="s">
        <v>118</v>
      </c>
      <c r="M106" s="3">
        <v>259775.4</v>
      </c>
      <c r="N106" s="3">
        <v>2417999.98</v>
      </c>
      <c r="O106" s="3">
        <v>516808.45</v>
      </c>
      <c r="P106" s="3">
        <v>3194583.83</v>
      </c>
      <c r="S106" s="3">
        <f t="shared" si="5"/>
        <v>3476551.5602170285</v>
      </c>
    </row>
    <row r="107" spans="1:19" x14ac:dyDescent="0.25">
      <c r="A107" s="2" t="s">
        <v>80</v>
      </c>
      <c r="B107" s="3">
        <v>553676.59</v>
      </c>
      <c r="C107" s="3">
        <v>107492.68</v>
      </c>
      <c r="D107" s="3">
        <v>661169.27</v>
      </c>
      <c r="F107" s="14">
        <f t="shared" si="6"/>
        <v>46609</v>
      </c>
      <c r="G107" s="16">
        <f>_xlfn.XLOOKUP(F107,FX!$A$12:$A$910,FX!$B$12:$B$910,"",-1)</f>
        <v>1.198</v>
      </c>
      <c r="H107" s="3">
        <f t="shared" si="4"/>
        <v>462167.43739565945</v>
      </c>
      <c r="I107" s="3">
        <f t="shared" si="4"/>
        <v>89726.777963272121</v>
      </c>
      <c r="J107" s="3">
        <f t="shared" si="4"/>
        <v>551894.21535893157</v>
      </c>
      <c r="L107" s="2" t="s">
        <v>119</v>
      </c>
      <c r="M107" s="3">
        <v>174129.04</v>
      </c>
      <c r="N107" s="3">
        <v>1574906.85</v>
      </c>
      <c r="O107" s="3">
        <v>347012.58</v>
      </c>
      <c r="P107" s="3">
        <v>2096048.47</v>
      </c>
      <c r="S107" s="3">
        <f t="shared" si="5"/>
        <v>2473813.6453589317</v>
      </c>
    </row>
    <row r="108" spans="1:19" x14ac:dyDescent="0.25">
      <c r="A108" s="2" t="s">
        <v>81</v>
      </c>
      <c r="B108" s="3">
        <v>571194.18999999994</v>
      </c>
      <c r="C108" s="3">
        <v>116873.41</v>
      </c>
      <c r="D108" s="3">
        <v>688067.6</v>
      </c>
      <c r="L108" s="2" t="s">
        <v>11</v>
      </c>
      <c r="M108" s="3">
        <v>25139672.25</v>
      </c>
      <c r="N108" s="3">
        <v>267902588.41</v>
      </c>
      <c r="O108" s="3">
        <v>57389866.82</v>
      </c>
      <c r="P108" s="3">
        <v>350432127.48000002</v>
      </c>
      <c r="S108" s="3">
        <f t="shared" si="5"/>
        <v>325292455.23000002</v>
      </c>
    </row>
    <row r="109" spans="1:19" x14ac:dyDescent="0.25">
      <c r="A109" s="2" t="s">
        <v>82</v>
      </c>
      <c r="B109" s="3">
        <v>776922.38</v>
      </c>
      <c r="C109" s="3">
        <v>206751.94</v>
      </c>
      <c r="D109" s="3">
        <v>983674.32</v>
      </c>
      <c r="S109" s="3">
        <f t="shared" si="5"/>
        <v>0</v>
      </c>
    </row>
    <row r="110" spans="1:19" x14ac:dyDescent="0.25">
      <c r="A110" s="2" t="s">
        <v>83</v>
      </c>
      <c r="B110" s="3">
        <v>672689.68</v>
      </c>
      <c r="C110" s="3">
        <v>223997.64</v>
      </c>
      <c r="D110" s="3">
        <v>896687.32</v>
      </c>
      <c r="S110" s="3">
        <f t="shared" si="5"/>
        <v>0</v>
      </c>
    </row>
    <row r="111" spans="1:19" x14ac:dyDescent="0.25">
      <c r="A111" s="2" t="s">
        <v>84</v>
      </c>
      <c r="B111" s="3">
        <v>1089424.57</v>
      </c>
      <c r="C111" s="3">
        <v>237022.85</v>
      </c>
      <c r="D111" s="3">
        <v>1326447.42</v>
      </c>
      <c r="S111" s="3">
        <f t="shared" si="5"/>
        <v>0</v>
      </c>
    </row>
    <row r="112" spans="1:19" x14ac:dyDescent="0.25">
      <c r="A112" s="2" t="s">
        <v>85</v>
      </c>
      <c r="B112" s="3">
        <v>862975.18</v>
      </c>
      <c r="C112" s="3">
        <v>167319.70000000001</v>
      </c>
      <c r="D112" s="3">
        <v>1030294.88</v>
      </c>
      <c r="S112" s="3">
        <f t="shared" si="5"/>
        <v>0</v>
      </c>
    </row>
    <row r="113" spans="1:19" x14ac:dyDescent="0.25">
      <c r="A113" s="2" t="s">
        <v>86</v>
      </c>
      <c r="B113" s="3">
        <v>468960.23</v>
      </c>
      <c r="C113" s="3">
        <v>92406.98</v>
      </c>
      <c r="D113" s="3">
        <v>561367.21</v>
      </c>
      <c r="S113" s="3">
        <f t="shared" si="5"/>
        <v>0</v>
      </c>
    </row>
    <row r="114" spans="1:19" x14ac:dyDescent="0.25">
      <c r="A114" s="2" t="s">
        <v>87</v>
      </c>
      <c r="B114" s="3">
        <v>400194.15</v>
      </c>
      <c r="C114" s="3">
        <v>60846.82</v>
      </c>
      <c r="D114" s="3">
        <v>461040.97</v>
      </c>
      <c r="F114">
        <v>46202</v>
      </c>
      <c r="S114" s="3">
        <f t="shared" si="5"/>
        <v>0</v>
      </c>
    </row>
    <row r="115" spans="1:19" x14ac:dyDescent="0.25">
      <c r="A115" s="2" t="s">
        <v>88</v>
      </c>
      <c r="B115" s="3">
        <v>665348.88</v>
      </c>
      <c r="C115" s="3">
        <v>109027.63</v>
      </c>
      <c r="D115" s="3">
        <v>774376.51</v>
      </c>
      <c r="F115">
        <v>46209</v>
      </c>
      <c r="S115" s="3">
        <f t="shared" si="5"/>
        <v>0</v>
      </c>
    </row>
    <row r="116" spans="1:19" x14ac:dyDescent="0.25">
      <c r="A116" s="2" t="s">
        <v>89</v>
      </c>
      <c r="B116" s="3">
        <v>559188.19999999995</v>
      </c>
      <c r="C116" s="3">
        <v>88084.55</v>
      </c>
      <c r="D116" s="3">
        <v>647272.75</v>
      </c>
      <c r="F116">
        <v>46216</v>
      </c>
      <c r="S116" s="3">
        <f t="shared" si="5"/>
        <v>0</v>
      </c>
    </row>
    <row r="117" spans="1:19" x14ac:dyDescent="0.25">
      <c r="A117" s="2" t="s">
        <v>90</v>
      </c>
      <c r="B117" s="3">
        <v>642606.02</v>
      </c>
      <c r="C117" s="3">
        <v>113653.18</v>
      </c>
      <c r="D117" s="3">
        <v>756259.2</v>
      </c>
      <c r="F117">
        <v>46223</v>
      </c>
      <c r="S117" s="3">
        <f t="shared" si="5"/>
        <v>0</v>
      </c>
    </row>
    <row r="118" spans="1:19" x14ac:dyDescent="0.25">
      <c r="A118" s="2" t="s">
        <v>91</v>
      </c>
      <c r="B118" s="3">
        <v>611465.46</v>
      </c>
      <c r="C118" s="3">
        <v>105923.22</v>
      </c>
      <c r="D118" s="3">
        <v>717388.68</v>
      </c>
      <c r="F118">
        <v>46230</v>
      </c>
      <c r="S118" s="3">
        <f t="shared" si="5"/>
        <v>0</v>
      </c>
    </row>
    <row r="119" spans="1:19" x14ac:dyDescent="0.25">
      <c r="A119" s="2" t="s">
        <v>92</v>
      </c>
      <c r="B119" s="3">
        <v>376454.41</v>
      </c>
      <c r="C119" s="3">
        <v>65304.66</v>
      </c>
      <c r="D119" s="3">
        <v>441759.07</v>
      </c>
      <c r="F119">
        <v>46237</v>
      </c>
      <c r="S119" s="3">
        <f t="shared" si="5"/>
        <v>0</v>
      </c>
    </row>
    <row r="120" spans="1:19" x14ac:dyDescent="0.25">
      <c r="A120" s="2" t="s">
        <v>93</v>
      </c>
      <c r="B120" s="3">
        <v>524485.76</v>
      </c>
      <c r="C120" s="3">
        <v>97601.43</v>
      </c>
      <c r="D120" s="3">
        <v>622087.18999999994</v>
      </c>
      <c r="F120">
        <v>46244</v>
      </c>
      <c r="S120" s="3">
        <f t="shared" si="5"/>
        <v>0</v>
      </c>
    </row>
    <row r="121" spans="1:19" x14ac:dyDescent="0.25">
      <c r="A121" s="2" t="s">
        <v>94</v>
      </c>
      <c r="B121" s="3">
        <v>533975.28</v>
      </c>
      <c r="C121" s="3">
        <v>105676.7</v>
      </c>
      <c r="D121" s="3">
        <v>639651.98</v>
      </c>
      <c r="S121" s="3">
        <f t="shared" si="5"/>
        <v>0</v>
      </c>
    </row>
    <row r="122" spans="1:19" x14ac:dyDescent="0.25">
      <c r="A122" s="2" t="s">
        <v>95</v>
      </c>
      <c r="B122" s="3">
        <v>495095.58</v>
      </c>
      <c r="C122" s="3">
        <v>87834.72</v>
      </c>
      <c r="D122" s="3">
        <v>582930.30000000005</v>
      </c>
      <c r="S122" s="3">
        <f t="shared" si="5"/>
        <v>0</v>
      </c>
    </row>
    <row r="123" spans="1:19" x14ac:dyDescent="0.25">
      <c r="A123" s="2" t="s">
        <v>96</v>
      </c>
      <c r="B123" s="3">
        <v>530780.88</v>
      </c>
      <c r="C123" s="3">
        <v>82713.89</v>
      </c>
      <c r="D123" s="3">
        <v>613494.77</v>
      </c>
      <c r="S123" s="3">
        <f t="shared" si="5"/>
        <v>0</v>
      </c>
    </row>
    <row r="124" spans="1:19" x14ac:dyDescent="0.25">
      <c r="A124" s="2" t="s">
        <v>97</v>
      </c>
      <c r="B124" s="3">
        <v>582481.52</v>
      </c>
      <c r="C124" s="3">
        <v>73907.520000000004</v>
      </c>
      <c r="D124" s="3">
        <v>656389.04</v>
      </c>
      <c r="S124" s="3">
        <f t="shared" si="5"/>
        <v>0</v>
      </c>
    </row>
    <row r="125" spans="1:19" x14ac:dyDescent="0.25">
      <c r="A125" s="2" t="s">
        <v>98</v>
      </c>
      <c r="B125" s="3">
        <v>571471.11</v>
      </c>
      <c r="C125" s="3">
        <v>115874.98</v>
      </c>
      <c r="D125" s="3">
        <v>687346.09</v>
      </c>
      <c r="S125" s="3">
        <f t="shared" si="5"/>
        <v>0</v>
      </c>
    </row>
    <row r="126" spans="1:19" x14ac:dyDescent="0.25">
      <c r="A126" s="2" t="s">
        <v>99</v>
      </c>
      <c r="B126" s="3">
        <v>454765</v>
      </c>
      <c r="C126" s="3">
        <v>86775.44</v>
      </c>
      <c r="D126" s="3">
        <v>541540.43999999994</v>
      </c>
      <c r="S126" s="3">
        <f t="shared" si="5"/>
        <v>0</v>
      </c>
    </row>
    <row r="127" spans="1:19" x14ac:dyDescent="0.25">
      <c r="A127" s="2" t="s">
        <v>100</v>
      </c>
      <c r="B127" s="3">
        <v>450218.61</v>
      </c>
      <c r="C127" s="3">
        <v>73595.22</v>
      </c>
      <c r="D127" s="3">
        <v>523813.83</v>
      </c>
      <c r="S127" s="3">
        <f t="shared" si="5"/>
        <v>0</v>
      </c>
    </row>
    <row r="128" spans="1:19" x14ac:dyDescent="0.25">
      <c r="A128" s="2" t="s">
        <v>101</v>
      </c>
      <c r="B128" s="3">
        <v>496917.08</v>
      </c>
      <c r="C128" s="3">
        <v>102596.22</v>
      </c>
      <c r="D128" s="3">
        <v>599513.30000000005</v>
      </c>
      <c r="S128" s="3">
        <f t="shared" si="5"/>
        <v>0</v>
      </c>
    </row>
    <row r="129" spans="1:19" x14ac:dyDescent="0.25">
      <c r="A129" s="2" t="s">
        <v>102</v>
      </c>
      <c r="B129" s="3">
        <v>469171.47</v>
      </c>
      <c r="C129" s="3">
        <v>83231.31</v>
      </c>
      <c r="D129" s="3">
        <v>552402.78</v>
      </c>
      <c r="S129" s="3">
        <f t="shared" si="5"/>
        <v>0</v>
      </c>
    </row>
    <row r="130" spans="1:19" x14ac:dyDescent="0.25">
      <c r="A130" s="2" t="s">
        <v>103</v>
      </c>
      <c r="B130" s="3">
        <v>627191.81999999995</v>
      </c>
      <c r="C130" s="3">
        <v>124205.56</v>
      </c>
      <c r="D130" s="3">
        <v>751397.38</v>
      </c>
      <c r="S130" s="3">
        <f t="shared" si="5"/>
        <v>0</v>
      </c>
    </row>
    <row r="131" spans="1:19" x14ac:dyDescent="0.25">
      <c r="A131" s="2" t="s">
        <v>104</v>
      </c>
      <c r="B131" s="3">
        <v>614164.92000000004</v>
      </c>
      <c r="C131" s="3">
        <v>105108.84</v>
      </c>
      <c r="D131" s="3">
        <v>719273.76</v>
      </c>
      <c r="S131" s="3">
        <f t="shared" si="5"/>
        <v>0</v>
      </c>
    </row>
    <row r="132" spans="1:19" x14ac:dyDescent="0.25">
      <c r="A132" s="2" t="s">
        <v>105</v>
      </c>
      <c r="B132" s="3">
        <v>529363.05000000005</v>
      </c>
      <c r="C132" s="3">
        <v>105299.06</v>
      </c>
      <c r="D132" s="3">
        <v>634662.11</v>
      </c>
      <c r="S132" s="3">
        <f t="shared" si="5"/>
        <v>0</v>
      </c>
    </row>
    <row r="133" spans="1:19" x14ac:dyDescent="0.25">
      <c r="A133" s="2" t="s">
        <v>106</v>
      </c>
      <c r="B133" s="3">
        <v>637603.98</v>
      </c>
      <c r="C133" s="3">
        <v>107235.86</v>
      </c>
      <c r="D133" s="3">
        <v>744839.84</v>
      </c>
      <c r="S133" s="3">
        <f t="shared" si="5"/>
        <v>0</v>
      </c>
    </row>
    <row r="134" spans="1:19" x14ac:dyDescent="0.25">
      <c r="A134" s="2" t="s">
        <v>107</v>
      </c>
      <c r="B134" s="3">
        <v>636242.46</v>
      </c>
      <c r="C134" s="3">
        <v>109684.64</v>
      </c>
      <c r="D134" s="3">
        <v>745927.1</v>
      </c>
      <c r="S134" s="3">
        <f t="shared" si="5"/>
        <v>0</v>
      </c>
    </row>
    <row r="135" spans="1:19" x14ac:dyDescent="0.25">
      <c r="A135" s="2" t="s">
        <v>108</v>
      </c>
      <c r="B135" s="3">
        <v>643318.87</v>
      </c>
      <c r="C135" s="3">
        <v>106021.28</v>
      </c>
      <c r="D135" s="3">
        <v>749340.15</v>
      </c>
      <c r="S135" s="3">
        <f t="shared" si="5"/>
        <v>0</v>
      </c>
    </row>
    <row r="136" spans="1:19" x14ac:dyDescent="0.25">
      <c r="A136" s="2" t="s">
        <v>109</v>
      </c>
      <c r="B136" s="3">
        <v>642018.98</v>
      </c>
      <c r="C136" s="3">
        <v>144676.1</v>
      </c>
      <c r="D136" s="3">
        <v>786695.08</v>
      </c>
      <c r="S136" s="3">
        <f t="shared" si="5"/>
        <v>0</v>
      </c>
    </row>
    <row r="137" spans="1:19" x14ac:dyDescent="0.25">
      <c r="A137" s="2" t="s">
        <v>110</v>
      </c>
      <c r="B137" s="3">
        <v>699444.34</v>
      </c>
      <c r="C137" s="3">
        <v>123797.17</v>
      </c>
      <c r="D137" s="3">
        <v>823241.51</v>
      </c>
      <c r="S137" s="3">
        <f t="shared" ref="S137:S170" si="7">J137+N137+O137</f>
        <v>0</v>
      </c>
    </row>
    <row r="138" spans="1:19" x14ac:dyDescent="0.25">
      <c r="A138" s="2" t="s">
        <v>111</v>
      </c>
      <c r="B138" s="3">
        <v>506944.3</v>
      </c>
      <c r="C138" s="3">
        <v>106247.58</v>
      </c>
      <c r="D138" s="3">
        <v>613191.88</v>
      </c>
      <c r="S138" s="3">
        <f t="shared" si="7"/>
        <v>0</v>
      </c>
    </row>
    <row r="139" spans="1:19" x14ac:dyDescent="0.25">
      <c r="A139" s="2" t="s">
        <v>112</v>
      </c>
      <c r="B139" s="3">
        <v>585163.73</v>
      </c>
      <c r="C139" s="3">
        <v>114782.45</v>
      </c>
      <c r="D139" s="3">
        <v>699946.18</v>
      </c>
      <c r="S139" s="3">
        <f t="shared" si="7"/>
        <v>0</v>
      </c>
    </row>
    <row r="140" spans="1:19" x14ac:dyDescent="0.25">
      <c r="A140" s="2" t="s">
        <v>113</v>
      </c>
      <c r="B140" s="3">
        <v>652614.23</v>
      </c>
      <c r="C140" s="3">
        <v>98968.5</v>
      </c>
      <c r="D140" s="3">
        <v>751582.73</v>
      </c>
      <c r="S140" s="3">
        <f t="shared" si="7"/>
        <v>0</v>
      </c>
    </row>
    <row r="141" spans="1:19" x14ac:dyDescent="0.25">
      <c r="A141" s="2" t="s">
        <v>114</v>
      </c>
      <c r="B141" s="3">
        <v>542968.19999999995</v>
      </c>
      <c r="C141" s="3">
        <v>111566.43</v>
      </c>
      <c r="D141" s="3">
        <v>654534.63</v>
      </c>
      <c r="S141" s="3">
        <f t="shared" si="7"/>
        <v>0</v>
      </c>
    </row>
    <row r="142" spans="1:19" x14ac:dyDescent="0.25">
      <c r="A142" s="2" t="s">
        <v>115</v>
      </c>
      <c r="B142" s="3">
        <v>674510.06</v>
      </c>
      <c r="C142" s="3">
        <v>126357.86</v>
      </c>
      <c r="D142" s="3">
        <v>800867.92</v>
      </c>
      <c r="S142" s="3">
        <f t="shared" si="7"/>
        <v>0</v>
      </c>
    </row>
    <row r="143" spans="1:19" x14ac:dyDescent="0.25">
      <c r="A143" s="2" t="s">
        <v>116</v>
      </c>
      <c r="B143" s="3">
        <v>608294.88</v>
      </c>
      <c r="C143" s="3">
        <v>110241.86</v>
      </c>
      <c r="D143" s="3">
        <v>718536.74</v>
      </c>
      <c r="S143" s="3">
        <f t="shared" si="7"/>
        <v>0</v>
      </c>
    </row>
    <row r="144" spans="1:19" x14ac:dyDescent="0.25">
      <c r="A144" s="2" t="s">
        <v>117</v>
      </c>
      <c r="B144" s="3">
        <v>573652.64</v>
      </c>
      <c r="C144" s="3">
        <v>99829.09</v>
      </c>
      <c r="D144" s="3">
        <v>673481.73</v>
      </c>
      <c r="S144" s="3">
        <f t="shared" si="7"/>
        <v>0</v>
      </c>
    </row>
    <row r="145" spans="1:19" x14ac:dyDescent="0.25">
      <c r="A145" s="2" t="s">
        <v>118</v>
      </c>
      <c r="B145" s="3">
        <v>445369.87</v>
      </c>
      <c r="C145" s="3">
        <v>102064.25</v>
      </c>
      <c r="D145" s="3">
        <v>547434.12</v>
      </c>
      <c r="S145" s="3">
        <f t="shared" si="7"/>
        <v>0</v>
      </c>
    </row>
    <row r="146" spans="1:19" x14ac:dyDescent="0.25">
      <c r="A146" s="2" t="s">
        <v>119</v>
      </c>
      <c r="B146" s="3">
        <v>595024.87</v>
      </c>
      <c r="C146" s="3">
        <v>114121.76</v>
      </c>
      <c r="D146" s="3">
        <v>709146.63</v>
      </c>
      <c r="S146" s="3">
        <f t="shared" si="7"/>
        <v>0</v>
      </c>
    </row>
    <row r="147" spans="1:19" x14ac:dyDescent="0.25">
      <c r="A147" s="2" t="s">
        <v>192</v>
      </c>
      <c r="B147" s="3">
        <v>590306.68999999994</v>
      </c>
      <c r="C147" s="3">
        <v>158802.51</v>
      </c>
      <c r="D147" s="3">
        <v>749109.2</v>
      </c>
      <c r="S147" s="3">
        <f t="shared" si="7"/>
        <v>0</v>
      </c>
    </row>
    <row r="148" spans="1:19" x14ac:dyDescent="0.25">
      <c r="A148" s="2" t="s">
        <v>193</v>
      </c>
      <c r="B148" s="3">
        <v>555398.05000000005</v>
      </c>
      <c r="C148" s="3">
        <v>92576.73</v>
      </c>
      <c r="D148" s="3">
        <v>647974.78</v>
      </c>
      <c r="S148" s="3">
        <f t="shared" si="7"/>
        <v>0</v>
      </c>
    </row>
    <row r="149" spans="1:19" x14ac:dyDescent="0.25">
      <c r="A149" s="2" t="s">
        <v>194</v>
      </c>
      <c r="B149" s="3">
        <v>10106.709999999999</v>
      </c>
      <c r="C149" s="3">
        <v>5409.78</v>
      </c>
      <c r="D149" s="3">
        <v>15516.49</v>
      </c>
      <c r="S149" s="3">
        <f t="shared" si="7"/>
        <v>0</v>
      </c>
    </row>
    <row r="150" spans="1:19" x14ac:dyDescent="0.25">
      <c r="A150" s="2" t="s">
        <v>11</v>
      </c>
      <c r="B150" s="3">
        <v>75178385.180000007</v>
      </c>
      <c r="C150" s="3">
        <v>15258187.470000001</v>
      </c>
      <c r="D150" s="3">
        <v>90436572.650000006</v>
      </c>
      <c r="S150" s="3">
        <f t="shared" si="7"/>
        <v>0</v>
      </c>
    </row>
    <row r="151" spans="1:19" x14ac:dyDescent="0.25">
      <c r="S151" s="3">
        <f t="shared" si="7"/>
        <v>0</v>
      </c>
    </row>
    <row r="152" spans="1:19" x14ac:dyDescent="0.25">
      <c r="S152" s="3">
        <f t="shared" si="7"/>
        <v>0</v>
      </c>
    </row>
    <row r="153" spans="1:19" x14ac:dyDescent="0.25">
      <c r="S153" s="3">
        <f t="shared" si="7"/>
        <v>0</v>
      </c>
    </row>
    <row r="154" spans="1:19" x14ac:dyDescent="0.25">
      <c r="S154" s="3">
        <f t="shared" si="7"/>
        <v>0</v>
      </c>
    </row>
    <row r="155" spans="1:19" x14ac:dyDescent="0.25">
      <c r="S155" s="3">
        <f t="shared" si="7"/>
        <v>0</v>
      </c>
    </row>
    <row r="156" spans="1:19" x14ac:dyDescent="0.25">
      <c r="S156" s="3">
        <f t="shared" si="7"/>
        <v>0</v>
      </c>
    </row>
    <row r="157" spans="1:19" x14ac:dyDescent="0.25">
      <c r="S157" s="3">
        <f t="shared" si="7"/>
        <v>0</v>
      </c>
    </row>
    <row r="158" spans="1:19" x14ac:dyDescent="0.25">
      <c r="S158" s="3">
        <f t="shared" si="7"/>
        <v>0</v>
      </c>
    </row>
    <row r="159" spans="1:19" x14ac:dyDescent="0.25">
      <c r="S159" s="3">
        <f t="shared" si="7"/>
        <v>0</v>
      </c>
    </row>
    <row r="160" spans="1:19" x14ac:dyDescent="0.25">
      <c r="S160" s="3">
        <f t="shared" si="7"/>
        <v>0</v>
      </c>
    </row>
    <row r="161" spans="19:19" x14ac:dyDescent="0.25">
      <c r="S161" s="3">
        <f t="shared" si="7"/>
        <v>0</v>
      </c>
    </row>
    <row r="162" spans="19:19" x14ac:dyDescent="0.25">
      <c r="S162" s="3">
        <f t="shared" si="7"/>
        <v>0</v>
      </c>
    </row>
    <row r="163" spans="19:19" x14ac:dyDescent="0.25">
      <c r="S163" s="3">
        <f t="shared" si="7"/>
        <v>0</v>
      </c>
    </row>
    <row r="164" spans="19:19" x14ac:dyDescent="0.25">
      <c r="S164" s="3">
        <f t="shared" si="7"/>
        <v>0</v>
      </c>
    </row>
    <row r="165" spans="19:19" x14ac:dyDescent="0.25">
      <c r="S165" s="3">
        <f t="shared" si="7"/>
        <v>0</v>
      </c>
    </row>
    <row r="166" spans="19:19" x14ac:dyDescent="0.25">
      <c r="S166" s="3">
        <f t="shared" si="7"/>
        <v>0</v>
      </c>
    </row>
    <row r="167" spans="19:19" x14ac:dyDescent="0.25">
      <c r="S167" s="3">
        <f t="shared" si="7"/>
        <v>0</v>
      </c>
    </row>
    <row r="168" spans="19:19" x14ac:dyDescent="0.25">
      <c r="S168" s="3">
        <f t="shared" si="7"/>
        <v>0</v>
      </c>
    </row>
    <row r="169" spans="19:19" x14ac:dyDescent="0.25">
      <c r="S169" s="3">
        <f t="shared" si="7"/>
        <v>0</v>
      </c>
    </row>
    <row r="170" spans="19:19" x14ac:dyDescent="0.25">
      <c r="S170" s="3">
        <f t="shared" si="7"/>
        <v>0</v>
      </c>
    </row>
  </sheetData>
  <mergeCells count="1">
    <mergeCell ref="F8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4A65-93C9-4192-9C9B-3698C2B3B17F}">
  <dimension ref="A1:AP216"/>
  <sheetViews>
    <sheetView zoomScale="44" zoomScaleNormal="70" workbookViewId="0">
      <selection activeCell="L1" sqref="L1:Q1048576"/>
    </sheetView>
  </sheetViews>
  <sheetFormatPr defaultRowHeight="15" outlineLevelCol="1" x14ac:dyDescent="0.25"/>
  <cols>
    <col min="1" max="4" width="15" customWidth="1"/>
    <col min="5" max="5" width="7.28515625" customWidth="1"/>
    <col min="6" max="6" width="13.42578125" bestFit="1" customWidth="1" outlineLevel="1"/>
    <col min="7" max="7" width="17.42578125" customWidth="1" outlineLevel="1"/>
    <col min="8" max="8" width="11.140625" bestFit="1" customWidth="1"/>
    <col min="9" max="9" width="10.140625" bestFit="1" customWidth="1"/>
    <col min="10" max="10" width="11.140625" bestFit="1" customWidth="1"/>
    <col min="11" max="11" width="13.7109375" customWidth="1"/>
    <col min="12" max="15" width="15" customWidth="1"/>
    <col min="16" max="16" width="20.140625" bestFit="1" customWidth="1"/>
    <col min="17" max="17" width="19.5703125" bestFit="1" customWidth="1"/>
    <col min="18" max="18" width="20.42578125" bestFit="1" customWidth="1"/>
    <col min="19" max="19" width="19.5703125" bestFit="1" customWidth="1"/>
    <col min="20" max="20" width="20.140625" bestFit="1" customWidth="1"/>
    <col min="21" max="21" width="20.42578125" bestFit="1" customWidth="1"/>
    <col min="22" max="22" width="18.85546875" bestFit="1" customWidth="1"/>
    <col min="23" max="23" width="17.5703125" bestFit="1" customWidth="1"/>
    <col min="24" max="33" width="10" bestFit="1" customWidth="1"/>
    <col min="34" max="34" width="11" bestFit="1" customWidth="1"/>
    <col min="35" max="42" width="10" bestFit="1" customWidth="1"/>
    <col min="43" max="43" width="12.28515625" bestFit="1" customWidth="1"/>
  </cols>
  <sheetData>
    <row r="1" spans="1:42" x14ac:dyDescent="0.25">
      <c r="A1" s="18" t="s">
        <v>0</v>
      </c>
      <c r="B1" t="s" vm="5">
        <v>121</v>
      </c>
      <c r="L1" s="18" t="s">
        <v>0</v>
      </c>
      <c r="M1" t="s" vm="5">
        <v>121</v>
      </c>
    </row>
    <row r="2" spans="1:42" x14ac:dyDescent="0.25">
      <c r="A2" s="18" t="s">
        <v>122</v>
      </c>
      <c r="B2" t="s" vm="6">
        <v>3</v>
      </c>
      <c r="L2" s="18" t="s">
        <v>122</v>
      </c>
      <c r="M2" t="s" vm="6">
        <v>3</v>
      </c>
    </row>
    <row r="3" spans="1:42" x14ac:dyDescent="0.25">
      <c r="A3" s="18" t="s">
        <v>6</v>
      </c>
      <c r="B3" t="s" vm="7">
        <v>7</v>
      </c>
      <c r="L3" s="18" t="s">
        <v>6</v>
      </c>
      <c r="M3" t="s" vm="7">
        <v>7</v>
      </c>
    </row>
    <row r="4" spans="1:42" x14ac:dyDescent="0.25">
      <c r="A4" s="18" t="s">
        <v>123</v>
      </c>
      <c r="B4" t="s" vm="8">
        <v>10</v>
      </c>
      <c r="L4" s="18" t="s">
        <v>123</v>
      </c>
      <c r="M4" t="s" vm="9">
        <v>13</v>
      </c>
    </row>
    <row r="5" spans="1:42" x14ac:dyDescent="0.25">
      <c r="A5" s="1"/>
      <c r="B5" s="1"/>
      <c r="C5" s="17"/>
      <c r="D5" s="17"/>
      <c r="K5" s="17"/>
      <c r="L5" s="1"/>
      <c r="M5" s="1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</row>
    <row r="6" spans="1:42" x14ac:dyDescent="0.25">
      <c r="A6" s="18" t="s">
        <v>124</v>
      </c>
      <c r="B6" s="18" t="s">
        <v>125</v>
      </c>
      <c r="F6" s="52" t="s">
        <v>12</v>
      </c>
      <c r="G6" s="52"/>
      <c r="H6" s="52"/>
      <c r="I6" s="52"/>
      <c r="J6" s="52"/>
      <c r="L6" s="18" t="s">
        <v>124</v>
      </c>
      <c r="M6" s="18" t="s">
        <v>125</v>
      </c>
    </row>
    <row r="7" spans="1:42" x14ac:dyDescent="0.25">
      <c r="A7" s="18" t="s">
        <v>126</v>
      </c>
      <c r="B7" t="s">
        <v>15</v>
      </c>
      <c r="C7" t="s">
        <v>16</v>
      </c>
      <c r="D7" t="s">
        <v>11</v>
      </c>
      <c r="F7" s="15" t="s">
        <v>17</v>
      </c>
      <c r="G7" s="15" t="s">
        <v>18</v>
      </c>
      <c r="H7" s="15" t="s">
        <v>19</v>
      </c>
      <c r="I7" s="15" t="s">
        <v>16</v>
      </c>
      <c r="J7" s="15" t="s">
        <v>20</v>
      </c>
      <c r="L7" s="18" t="s">
        <v>126</v>
      </c>
      <c r="M7" t="s">
        <v>21</v>
      </c>
      <c r="N7" t="s">
        <v>15</v>
      </c>
      <c r="O7" t="s">
        <v>16</v>
      </c>
      <c r="Q7" t="s">
        <v>11</v>
      </c>
    </row>
    <row r="8" spans="1:42" x14ac:dyDescent="0.25">
      <c r="A8" s="1" t="s">
        <v>127</v>
      </c>
      <c r="B8" s="3">
        <v>752661.47960000054</v>
      </c>
      <c r="C8" s="3">
        <v>135579.68680000005</v>
      </c>
      <c r="D8" s="3">
        <v>888241.16639999952</v>
      </c>
      <c r="F8" s="14">
        <v>45566</v>
      </c>
      <c r="G8" s="16">
        <f>_xlfn.XLOOKUP(F8,FX!$A$12:$A$910,FX!$B$12:$B$910,"",-1)</f>
        <v>1.0938000000000001</v>
      </c>
      <c r="H8" s="3">
        <f>B8/$G8</f>
        <v>688116.18175169174</v>
      </c>
      <c r="I8" s="3">
        <f>C8/$G8</f>
        <v>123952.90437008598</v>
      </c>
      <c r="J8" s="3">
        <f>H8+I8</f>
        <v>812069.08612177777</v>
      </c>
      <c r="L8" s="1" t="s">
        <v>127</v>
      </c>
      <c r="M8" s="3">
        <v>376905.35710000049</v>
      </c>
      <c r="N8" s="3">
        <v>6851992.2859999985</v>
      </c>
      <c r="O8" s="3">
        <v>2155136.5704999967</v>
      </c>
      <c r="P8" s="3">
        <v>0</v>
      </c>
      <c r="Q8" s="3">
        <v>9384034.2136000227</v>
      </c>
      <c r="S8" s="3">
        <f>J8+N8+O8</f>
        <v>9819197.9426217731</v>
      </c>
    </row>
    <row r="9" spans="1:42" x14ac:dyDescent="0.25">
      <c r="A9" s="1" t="s">
        <v>128</v>
      </c>
      <c r="B9" s="3">
        <v>715966.68660000071</v>
      </c>
      <c r="C9" s="3">
        <v>130560.10660000003</v>
      </c>
      <c r="D9" s="3">
        <v>846526.79319999972</v>
      </c>
      <c r="F9" s="14">
        <f>F8+7</f>
        <v>45573</v>
      </c>
      <c r="G9" s="16">
        <f>_xlfn.XLOOKUP(F9,FX!$A$12:$A$910,FX!$B$12:$B$910,"",-1)</f>
        <v>1.1001000000000001</v>
      </c>
      <c r="H9" s="3">
        <f t="shared" ref="H9:H59" si="0">B9/$G9</f>
        <v>650819.64057812991</v>
      </c>
      <c r="I9" s="3">
        <f t="shared" ref="I9:I59" si="1">C9/$G9</f>
        <v>118680.21688937371</v>
      </c>
      <c r="J9" s="3">
        <f t="shared" ref="J9:J59" si="2">H9+I9</f>
        <v>769499.85746750364</v>
      </c>
      <c r="L9" s="1" t="s">
        <v>128</v>
      </c>
      <c r="M9" s="3">
        <v>138197.54529999985</v>
      </c>
      <c r="N9" s="3">
        <v>3523042.4206999936</v>
      </c>
      <c r="O9" s="3">
        <v>487672.0327000001</v>
      </c>
      <c r="P9" s="3">
        <v>0</v>
      </c>
      <c r="Q9" s="3">
        <v>4148911.998699998</v>
      </c>
      <c r="S9" s="3">
        <f t="shared" ref="S9:S72" si="3">J9+N9+O9</f>
        <v>4780214.3108674977</v>
      </c>
    </row>
    <row r="10" spans="1:42" x14ac:dyDescent="0.25">
      <c r="A10" s="1" t="s">
        <v>129</v>
      </c>
      <c r="B10" s="3">
        <v>1275011.2078000016</v>
      </c>
      <c r="C10" s="3">
        <v>552402.54439999966</v>
      </c>
      <c r="D10" s="3">
        <v>1827413.7522000007</v>
      </c>
      <c r="F10" s="14">
        <f t="shared" ref="F10:F73" si="4">F9+7</f>
        <v>45580</v>
      </c>
      <c r="G10" s="16">
        <f>_xlfn.XLOOKUP(F10,FX!$A$12:$A$910,FX!$B$12:$B$910,"",-1)</f>
        <v>1.1031</v>
      </c>
      <c r="H10" s="3">
        <f t="shared" si="0"/>
        <v>1155843.7202429532</v>
      </c>
      <c r="I10" s="3">
        <f t="shared" si="1"/>
        <v>500772.86229716224</v>
      </c>
      <c r="J10" s="3">
        <f t="shared" si="2"/>
        <v>1656616.5825401153</v>
      </c>
      <c r="L10" s="1" t="s">
        <v>129</v>
      </c>
      <c r="M10" s="3">
        <v>141073.46409999992</v>
      </c>
      <c r="N10" s="3">
        <v>3877218.1761000026</v>
      </c>
      <c r="O10" s="3">
        <v>622969.50149999978</v>
      </c>
      <c r="P10" s="3">
        <v>0</v>
      </c>
      <c r="Q10" s="3">
        <v>4641261.1417000024</v>
      </c>
      <c r="S10" s="3">
        <f t="shared" si="3"/>
        <v>6156804.2601401173</v>
      </c>
    </row>
    <row r="11" spans="1:42" x14ac:dyDescent="0.25">
      <c r="A11" s="1" t="s">
        <v>130</v>
      </c>
      <c r="B11" s="3">
        <v>1066632.8756000001</v>
      </c>
      <c r="C11" s="3">
        <v>177754.2332000001</v>
      </c>
      <c r="D11" s="3">
        <v>1244387.1088000017</v>
      </c>
      <c r="F11" s="14">
        <f t="shared" si="4"/>
        <v>45587</v>
      </c>
      <c r="G11" s="16">
        <f>_xlfn.XLOOKUP(F11,FX!$A$12:$A$910,FX!$B$12:$B$910,"",-1)</f>
        <v>1.1040000000000001</v>
      </c>
      <c r="H11" s="3">
        <f t="shared" si="0"/>
        <v>966152.96702898561</v>
      </c>
      <c r="I11" s="3">
        <f t="shared" si="1"/>
        <v>161009.26920289863</v>
      </c>
      <c r="J11" s="3">
        <f t="shared" si="2"/>
        <v>1127162.2362318842</v>
      </c>
      <c r="L11" s="1" t="s">
        <v>130</v>
      </c>
      <c r="M11" s="3">
        <v>242571.17139999976</v>
      </c>
      <c r="N11" s="3">
        <v>5286957.8100000005</v>
      </c>
      <c r="O11" s="3">
        <v>843955.3330999976</v>
      </c>
      <c r="P11" s="3">
        <v>0</v>
      </c>
      <c r="Q11" s="3">
        <v>6373484.3145000059</v>
      </c>
      <c r="S11" s="3">
        <f t="shared" si="3"/>
        <v>7258075.3793318821</v>
      </c>
    </row>
    <row r="12" spans="1:42" x14ac:dyDescent="0.25">
      <c r="A12" s="1" t="s">
        <v>131</v>
      </c>
      <c r="B12" s="3">
        <v>1085377.2103999958</v>
      </c>
      <c r="C12" s="3">
        <v>143914.58090000003</v>
      </c>
      <c r="D12" s="3">
        <v>1229291.7912999962</v>
      </c>
      <c r="F12" s="14">
        <f t="shared" si="4"/>
        <v>45594</v>
      </c>
      <c r="G12" s="16">
        <f>_xlfn.XLOOKUP(F12,FX!$A$12:$A$910,FX!$B$12:$B$910,"",-1)</f>
        <v>1.0992999999999999</v>
      </c>
      <c r="H12" s="3">
        <f t="shared" si="0"/>
        <v>987334.85891021183</v>
      </c>
      <c r="I12" s="3">
        <f t="shared" si="1"/>
        <v>130914.74656599658</v>
      </c>
      <c r="J12" s="3">
        <f t="shared" si="2"/>
        <v>1118249.6054762085</v>
      </c>
      <c r="L12" s="1" t="s">
        <v>131</v>
      </c>
      <c r="M12" s="3">
        <v>268468.50800000003</v>
      </c>
      <c r="N12" s="3">
        <v>5772565.3386999881</v>
      </c>
      <c r="O12" s="3">
        <v>1136353.2589000047</v>
      </c>
      <c r="P12" s="3">
        <v>0</v>
      </c>
      <c r="Q12" s="3">
        <v>7177387.1055999948</v>
      </c>
      <c r="S12" s="3">
        <f t="shared" si="3"/>
        <v>8027168.2030762015</v>
      </c>
    </row>
    <row r="13" spans="1:42" x14ac:dyDescent="0.25">
      <c r="A13" s="1" t="s">
        <v>132</v>
      </c>
      <c r="B13" s="3">
        <v>1030115.2208000012</v>
      </c>
      <c r="C13" s="3">
        <v>233626.61720000012</v>
      </c>
      <c r="D13" s="3">
        <v>1263741.8380000014</v>
      </c>
      <c r="F13" s="14">
        <f t="shared" si="4"/>
        <v>45601</v>
      </c>
      <c r="G13" s="16">
        <f>_xlfn.XLOOKUP(F13,FX!$A$12:$A$910,FX!$B$12:$B$910,"",-1)</f>
        <v>1.103</v>
      </c>
      <c r="H13" s="3">
        <f t="shared" si="0"/>
        <v>933921.32438803371</v>
      </c>
      <c r="I13" s="3">
        <f t="shared" si="1"/>
        <v>211810.16971894843</v>
      </c>
      <c r="J13" s="3">
        <f t="shared" si="2"/>
        <v>1145731.4941069821</v>
      </c>
      <c r="L13" s="1" t="s">
        <v>132</v>
      </c>
      <c r="M13" s="3">
        <v>349721.10919999977</v>
      </c>
      <c r="N13" s="3">
        <v>5676214.1522999797</v>
      </c>
      <c r="O13" s="3">
        <v>1094373.2122999954</v>
      </c>
      <c r="P13" s="3">
        <v>0</v>
      </c>
      <c r="Q13" s="3">
        <v>7120308.4738000194</v>
      </c>
      <c r="S13" s="3">
        <f t="shared" si="3"/>
        <v>7916318.8587069567</v>
      </c>
    </row>
    <row r="14" spans="1:42" x14ac:dyDescent="0.25">
      <c r="A14" s="1" t="s">
        <v>133</v>
      </c>
      <c r="B14" s="3">
        <v>875565.89809999836</v>
      </c>
      <c r="C14" s="3">
        <v>220143.83900000015</v>
      </c>
      <c r="D14" s="3">
        <v>1095709.7370999993</v>
      </c>
      <c r="F14" s="14">
        <f t="shared" si="4"/>
        <v>45608</v>
      </c>
      <c r="G14" s="16">
        <f>_xlfn.XLOOKUP(F14,FX!$A$12:$A$910,FX!$B$12:$B$910,"",-1)</f>
        <v>1.1000000000000001</v>
      </c>
      <c r="H14" s="3">
        <f t="shared" si="0"/>
        <v>795968.99827272573</v>
      </c>
      <c r="I14" s="3">
        <f t="shared" si="1"/>
        <v>200130.76272727284</v>
      </c>
      <c r="J14" s="3">
        <f t="shared" si="2"/>
        <v>996099.76099999854</v>
      </c>
      <c r="L14" s="1" t="s">
        <v>133</v>
      </c>
      <c r="M14" s="3">
        <v>265584.27429999982</v>
      </c>
      <c r="N14" s="3">
        <v>4320967.4413999887</v>
      </c>
      <c r="O14" s="3">
        <v>869353.62589999766</v>
      </c>
      <c r="P14" s="3">
        <v>0</v>
      </c>
      <c r="Q14" s="3">
        <v>5455905.3415999869</v>
      </c>
      <c r="S14" s="3">
        <f t="shared" si="3"/>
        <v>6186420.8282999853</v>
      </c>
    </row>
    <row r="15" spans="1:42" x14ac:dyDescent="0.25">
      <c r="A15" s="1" t="s">
        <v>134</v>
      </c>
      <c r="B15" s="3">
        <v>2310550.125400004</v>
      </c>
      <c r="C15" s="3">
        <v>888582.85069999902</v>
      </c>
      <c r="D15" s="3">
        <v>3199132.9760999973</v>
      </c>
      <c r="F15" s="14">
        <f t="shared" si="4"/>
        <v>45615</v>
      </c>
      <c r="G15" s="16">
        <f>_xlfn.XLOOKUP(F15,FX!$A$12:$A$910,FX!$B$12:$B$910,"",-1)</f>
        <v>1.1054999999999999</v>
      </c>
      <c r="H15" s="3">
        <f t="shared" si="0"/>
        <v>2090049.8646766206</v>
      </c>
      <c r="I15" s="3">
        <f t="shared" si="1"/>
        <v>803783.67317955592</v>
      </c>
      <c r="J15" s="3">
        <f t="shared" si="2"/>
        <v>2893833.5378561765</v>
      </c>
      <c r="L15" s="1" t="s">
        <v>134</v>
      </c>
      <c r="M15" s="3">
        <v>370461.4651999987</v>
      </c>
      <c r="N15" s="3">
        <v>12389581.555499991</v>
      </c>
      <c r="O15" s="3">
        <v>3860922.3535000025</v>
      </c>
      <c r="P15" s="3">
        <v>0</v>
      </c>
      <c r="Q15" s="3">
        <v>16620965.374200027</v>
      </c>
      <c r="S15" s="3">
        <f t="shared" si="3"/>
        <v>19144337.446856171</v>
      </c>
    </row>
    <row r="16" spans="1:42" x14ac:dyDescent="0.25">
      <c r="A16" s="1" t="s">
        <v>135</v>
      </c>
      <c r="B16" s="3">
        <v>1189721.5120999976</v>
      </c>
      <c r="C16" s="3">
        <v>450742.45200000051</v>
      </c>
      <c r="D16" s="3">
        <v>1640463.9641000025</v>
      </c>
      <c r="F16" s="14">
        <f t="shared" si="4"/>
        <v>45622</v>
      </c>
      <c r="G16" s="16">
        <f>_xlfn.XLOOKUP(F16,FX!$A$12:$A$910,FX!$B$12:$B$910,"",-1)</f>
        <v>1.1115999999999999</v>
      </c>
      <c r="H16" s="3">
        <f t="shared" si="0"/>
        <v>1070278.4383771119</v>
      </c>
      <c r="I16" s="3">
        <f t="shared" si="1"/>
        <v>405489.79129183211</v>
      </c>
      <c r="J16" s="3">
        <f t="shared" si="2"/>
        <v>1475768.2296689441</v>
      </c>
      <c r="L16" s="1" t="s">
        <v>135</v>
      </c>
      <c r="M16" s="3">
        <v>303091.62859999959</v>
      </c>
      <c r="N16" s="3">
        <v>6005461.4446999952</v>
      </c>
      <c r="O16" s="3">
        <v>2231137.4294000114</v>
      </c>
      <c r="P16" s="3">
        <v>0</v>
      </c>
      <c r="Q16" s="3">
        <v>8539690.5026999936</v>
      </c>
      <c r="S16" s="3">
        <f t="shared" si="3"/>
        <v>9712367.1037689503</v>
      </c>
    </row>
    <row r="17" spans="1:19" x14ac:dyDescent="0.25">
      <c r="A17" s="1" t="s">
        <v>136</v>
      </c>
      <c r="B17" s="3">
        <v>487221.89300000056</v>
      </c>
      <c r="C17" s="3">
        <v>169174.06059999988</v>
      </c>
      <c r="D17" s="3">
        <v>656395.95360000082</v>
      </c>
      <c r="F17" s="14">
        <f t="shared" si="4"/>
        <v>45629</v>
      </c>
      <c r="G17" s="16">
        <f>_xlfn.XLOOKUP(F17,FX!$A$12:$A$910,FX!$B$12:$B$910,"",-1)</f>
        <v>1.1011</v>
      </c>
      <c r="H17" s="3">
        <f t="shared" si="0"/>
        <v>442486.5071292349</v>
      </c>
      <c r="I17" s="3">
        <f t="shared" si="1"/>
        <v>153640.95958586858</v>
      </c>
      <c r="J17" s="3">
        <f t="shared" si="2"/>
        <v>596127.46671510348</v>
      </c>
      <c r="L17" s="1" t="s">
        <v>136</v>
      </c>
      <c r="M17" s="3">
        <v>145182.65309999988</v>
      </c>
      <c r="N17" s="3">
        <v>3073912.9037999995</v>
      </c>
      <c r="O17" s="3">
        <v>601991.75540000142</v>
      </c>
      <c r="P17" s="3">
        <v>0</v>
      </c>
      <c r="Q17" s="3">
        <v>3821087.3122999864</v>
      </c>
      <c r="S17" s="3">
        <f t="shared" si="3"/>
        <v>4272032.1259151045</v>
      </c>
    </row>
    <row r="18" spans="1:19" x14ac:dyDescent="0.25">
      <c r="A18" s="1" t="s">
        <v>137</v>
      </c>
      <c r="B18" s="3">
        <v>632798.64819999947</v>
      </c>
      <c r="C18" s="3">
        <v>157528.3513999999</v>
      </c>
      <c r="D18" s="3">
        <v>790326.99959999882</v>
      </c>
      <c r="F18" s="14">
        <f t="shared" si="4"/>
        <v>45636</v>
      </c>
      <c r="G18" s="16">
        <f>_xlfn.XLOOKUP(F18,FX!$A$12:$A$910,FX!$B$12:$B$910,"",-1)</f>
        <v>1.0958000000000001</v>
      </c>
      <c r="H18" s="3">
        <f t="shared" si="0"/>
        <v>577476.40828618302</v>
      </c>
      <c r="I18" s="3">
        <f t="shared" si="1"/>
        <v>143756.48056214626</v>
      </c>
      <c r="J18" s="3">
        <f t="shared" si="2"/>
        <v>721232.88884832931</v>
      </c>
      <c r="L18" s="1" t="s">
        <v>137</v>
      </c>
      <c r="M18" s="3">
        <v>136993.79939999999</v>
      </c>
      <c r="N18" s="3">
        <v>3264059.7514999802</v>
      </c>
      <c r="O18" s="3">
        <v>586222.72440000146</v>
      </c>
      <c r="P18" s="3">
        <v>0</v>
      </c>
      <c r="Q18" s="3">
        <v>3987276.275299984</v>
      </c>
      <c r="S18" s="3">
        <f t="shared" si="3"/>
        <v>4571515.3647483112</v>
      </c>
    </row>
    <row r="19" spans="1:19" x14ac:dyDescent="0.25">
      <c r="A19" s="1" t="s">
        <v>138</v>
      </c>
      <c r="B19" s="3">
        <v>858551.77009999903</v>
      </c>
      <c r="C19" s="3">
        <v>165909.70909999989</v>
      </c>
      <c r="D19" s="3">
        <v>1024461.4791999984</v>
      </c>
      <c r="F19" s="14">
        <f t="shared" si="4"/>
        <v>45643</v>
      </c>
      <c r="G19" s="16">
        <f>_xlfn.XLOOKUP(F19,FX!$A$12:$A$910,FX!$B$12:$B$910,"",-1)</f>
        <v>1.1017999999999999</v>
      </c>
      <c r="H19" s="3">
        <f t="shared" si="0"/>
        <v>779226.51125431038</v>
      </c>
      <c r="I19" s="3">
        <f t="shared" si="1"/>
        <v>150580.60364857496</v>
      </c>
      <c r="J19" s="3">
        <f t="shared" si="2"/>
        <v>929807.1149028854</v>
      </c>
      <c r="L19" s="1" t="s">
        <v>138</v>
      </c>
      <c r="M19" s="3">
        <v>172183.66350000011</v>
      </c>
      <c r="N19" s="3">
        <v>4131597.4531000061</v>
      </c>
      <c r="O19" s="3">
        <v>883862.86110000079</v>
      </c>
      <c r="P19" s="3">
        <v>0</v>
      </c>
      <c r="Q19" s="3">
        <v>5187643.9776999978</v>
      </c>
      <c r="S19" s="3">
        <f t="shared" si="3"/>
        <v>5945267.4291028921</v>
      </c>
    </row>
    <row r="20" spans="1:19" x14ac:dyDescent="0.25">
      <c r="A20" s="1" t="s">
        <v>139</v>
      </c>
      <c r="B20" s="3">
        <v>1493259.9018000015</v>
      </c>
      <c r="C20" s="3">
        <v>408626.69330000022</v>
      </c>
      <c r="D20" s="3">
        <v>1901886.5950999986</v>
      </c>
      <c r="F20" s="14">
        <f t="shared" si="4"/>
        <v>45650</v>
      </c>
      <c r="G20" s="16">
        <f>_xlfn.XLOOKUP(F20,FX!$A$12:$A$910,FX!$B$12:$B$910,"",-1)</f>
        <v>1.1053999999999999</v>
      </c>
      <c r="H20" s="3">
        <f t="shared" si="0"/>
        <v>1350877.4215668552</v>
      </c>
      <c r="I20" s="3">
        <f t="shared" si="1"/>
        <v>369664.0974307945</v>
      </c>
      <c r="J20" s="3">
        <f t="shared" si="2"/>
        <v>1720541.5189976497</v>
      </c>
      <c r="L20" s="1" t="s">
        <v>139</v>
      </c>
      <c r="M20" s="3">
        <v>472899.15529999987</v>
      </c>
      <c r="N20" s="3">
        <v>9467931.6934999786</v>
      </c>
      <c r="O20" s="3">
        <v>2540040.1691999985</v>
      </c>
      <c r="P20" s="3">
        <v>0</v>
      </c>
      <c r="Q20" s="3">
        <v>12480871.01799994</v>
      </c>
      <c r="S20" s="3">
        <f t="shared" si="3"/>
        <v>13728513.381697629</v>
      </c>
    </row>
    <row r="21" spans="1:19" x14ac:dyDescent="0.25">
      <c r="A21" s="1" t="s">
        <v>140</v>
      </c>
      <c r="B21" s="3">
        <v>1063761.4624000001</v>
      </c>
      <c r="C21" s="3">
        <v>263678.31329999969</v>
      </c>
      <c r="D21" s="3">
        <v>1327439.775700005</v>
      </c>
      <c r="F21" s="14">
        <f t="shared" si="4"/>
        <v>45657</v>
      </c>
      <c r="G21" s="16">
        <f>_xlfn.XLOOKUP(F21,FX!$A$12:$A$910,FX!$B$12:$B$910,"",-1)</f>
        <v>1.1045</v>
      </c>
      <c r="H21" s="3">
        <f t="shared" si="0"/>
        <v>963115.85550022637</v>
      </c>
      <c r="I21" s="3">
        <f t="shared" si="1"/>
        <v>238730.93100950628</v>
      </c>
      <c r="J21" s="3">
        <f t="shared" si="2"/>
        <v>1201846.7865097327</v>
      </c>
      <c r="L21" s="1" t="s">
        <v>140</v>
      </c>
      <c r="M21" s="3">
        <v>239614.30160000009</v>
      </c>
      <c r="N21" s="3">
        <v>6514097.2448999947</v>
      </c>
      <c r="O21" s="3">
        <v>1270651.9957000015</v>
      </c>
      <c r="P21" s="3">
        <v>0</v>
      </c>
      <c r="Q21" s="3">
        <v>8024363.5421999861</v>
      </c>
      <c r="S21" s="3">
        <f t="shared" si="3"/>
        <v>8986596.0271097291</v>
      </c>
    </row>
    <row r="22" spans="1:19" x14ac:dyDescent="0.25">
      <c r="A22" s="1" t="s">
        <v>141</v>
      </c>
      <c r="B22" s="3">
        <v>1040928.667400001</v>
      </c>
      <c r="C22" s="3">
        <v>216775.91399999976</v>
      </c>
      <c r="D22" s="3">
        <v>1257704.5814000021</v>
      </c>
      <c r="F22" s="14">
        <f t="shared" si="4"/>
        <v>45664</v>
      </c>
      <c r="G22" s="16">
        <f>_xlfn.XLOOKUP(F22,FX!$A$12:$A$910,FX!$B$12:$B$910,"",-1)</f>
        <v>1.1060000000000001</v>
      </c>
      <c r="H22" s="3">
        <f t="shared" si="0"/>
        <v>941165.16039783077</v>
      </c>
      <c r="I22" s="3">
        <f t="shared" si="1"/>
        <v>195999.92224231441</v>
      </c>
      <c r="J22" s="3">
        <f t="shared" si="2"/>
        <v>1137165.0826401452</v>
      </c>
      <c r="L22" s="1" t="s">
        <v>141</v>
      </c>
      <c r="M22" s="3">
        <v>248546.66429999983</v>
      </c>
      <c r="N22" s="3">
        <v>5866689.5586000057</v>
      </c>
      <c r="O22" s="3">
        <v>1148658.4001000021</v>
      </c>
      <c r="P22" s="3">
        <v>0</v>
      </c>
      <c r="Q22" s="3">
        <v>7263894.6230000062</v>
      </c>
      <c r="S22" s="3">
        <f t="shared" si="3"/>
        <v>8152513.0413401527</v>
      </c>
    </row>
    <row r="23" spans="1:19" x14ac:dyDescent="0.25">
      <c r="A23" s="1" t="s">
        <v>142</v>
      </c>
      <c r="B23" s="3">
        <v>980816.92949999904</v>
      </c>
      <c r="C23" s="3">
        <v>210521.77319999982</v>
      </c>
      <c r="D23" s="3">
        <v>1191338.7026999984</v>
      </c>
      <c r="F23" s="14">
        <f t="shared" si="4"/>
        <v>45671</v>
      </c>
      <c r="G23" s="16">
        <f>_xlfn.XLOOKUP(F23,FX!$A$12:$A$910,FX!$B$12:$B$910,"",-1)</f>
        <v>1.1035999999999999</v>
      </c>
      <c r="H23" s="3">
        <f t="shared" si="0"/>
        <v>888743.14017759974</v>
      </c>
      <c r="I23" s="3">
        <f t="shared" si="1"/>
        <v>190759.12758245727</v>
      </c>
      <c r="J23" s="3">
        <f t="shared" si="2"/>
        <v>1079502.267760057</v>
      </c>
      <c r="L23" s="1" t="s">
        <v>142</v>
      </c>
      <c r="M23" s="3">
        <v>235754.62039999978</v>
      </c>
      <c r="N23" s="3">
        <v>5354660.9815000035</v>
      </c>
      <c r="O23" s="3">
        <v>909050.64529999939</v>
      </c>
      <c r="P23" s="3">
        <v>0</v>
      </c>
      <c r="Q23" s="3">
        <v>6499466.2472000215</v>
      </c>
      <c r="S23" s="3">
        <f t="shared" si="3"/>
        <v>7343213.8945600595</v>
      </c>
    </row>
    <row r="24" spans="1:19" x14ac:dyDescent="0.25">
      <c r="A24" s="1" t="s">
        <v>143</v>
      </c>
      <c r="B24" s="3">
        <v>1194113.655</v>
      </c>
      <c r="C24" s="3">
        <v>284803.00120000029</v>
      </c>
      <c r="D24" s="3">
        <v>1478916.6562000031</v>
      </c>
      <c r="F24" s="14">
        <f t="shared" si="4"/>
        <v>45678</v>
      </c>
      <c r="G24" s="16">
        <f>_xlfn.XLOOKUP(F24,FX!$A$12:$A$910,FX!$B$12:$B$910,"",-1)</f>
        <v>1.105</v>
      </c>
      <c r="H24" s="3">
        <f t="shared" si="0"/>
        <v>1080645.8416289594</v>
      </c>
      <c r="I24" s="3">
        <f t="shared" si="1"/>
        <v>257740.27257918578</v>
      </c>
      <c r="J24" s="3">
        <f t="shared" si="2"/>
        <v>1338386.1142081451</v>
      </c>
      <c r="L24" s="1" t="s">
        <v>143</v>
      </c>
      <c r="M24" s="3">
        <v>432990.32509999943</v>
      </c>
      <c r="N24" s="3">
        <v>8756099.5323000159</v>
      </c>
      <c r="O24" s="3">
        <v>1579864.6656999986</v>
      </c>
      <c r="P24" s="3">
        <v>0</v>
      </c>
      <c r="Q24" s="3">
        <v>10768954.523099907</v>
      </c>
      <c r="S24" s="3">
        <f t="shared" si="3"/>
        <v>11674350.312208159</v>
      </c>
    </row>
    <row r="25" spans="1:19" x14ac:dyDescent="0.25">
      <c r="A25" s="1" t="s">
        <v>144</v>
      </c>
      <c r="B25" s="3">
        <v>882330.55539999937</v>
      </c>
      <c r="C25" s="3">
        <v>169733.75889999967</v>
      </c>
      <c r="D25" s="3">
        <v>1052064.3142999997</v>
      </c>
      <c r="F25" s="14">
        <f t="shared" si="4"/>
        <v>45685</v>
      </c>
      <c r="G25" s="16">
        <f>_xlfn.XLOOKUP(F25,FX!$A$12:$A$910,FX!$B$12:$B$910,"",-1)</f>
        <v>1.105</v>
      </c>
      <c r="H25" s="3">
        <f t="shared" si="0"/>
        <v>798489.19040723925</v>
      </c>
      <c r="I25" s="3">
        <f t="shared" si="1"/>
        <v>153605.21167420785</v>
      </c>
      <c r="J25" s="3">
        <f t="shared" si="2"/>
        <v>952094.40208144707</v>
      </c>
      <c r="L25" s="1" t="s">
        <v>144</v>
      </c>
      <c r="M25" s="3">
        <v>306095.55309999996</v>
      </c>
      <c r="N25" s="3">
        <v>5733066.8522999818</v>
      </c>
      <c r="O25" s="3">
        <v>1243801.6810999981</v>
      </c>
      <c r="P25" s="3">
        <v>0</v>
      </c>
      <c r="Q25" s="3">
        <v>7282964.0865000132</v>
      </c>
      <c r="S25" s="3">
        <f t="shared" si="3"/>
        <v>7928962.9354814263</v>
      </c>
    </row>
    <row r="26" spans="1:19" x14ac:dyDescent="0.25">
      <c r="A26" s="1" t="s">
        <v>145</v>
      </c>
      <c r="B26" s="3">
        <v>604399.64480000001</v>
      </c>
      <c r="C26" s="3">
        <v>63461.238600000019</v>
      </c>
      <c r="D26" s="3">
        <v>667860.88340000028</v>
      </c>
      <c r="F26" s="14">
        <f t="shared" si="4"/>
        <v>45692</v>
      </c>
      <c r="G26" s="16">
        <f>_xlfn.XLOOKUP(F26,FX!$A$12:$A$910,FX!$B$12:$B$910,"",-1)</f>
        <v>1.1057999999999999</v>
      </c>
      <c r="H26" s="3">
        <f t="shared" si="0"/>
        <v>546572.29589437519</v>
      </c>
      <c r="I26" s="3">
        <f t="shared" si="1"/>
        <v>57389.436245252327</v>
      </c>
      <c r="J26" s="3">
        <f t="shared" si="2"/>
        <v>603961.73213962757</v>
      </c>
      <c r="L26" s="1" t="s">
        <v>145</v>
      </c>
      <c r="M26" s="3">
        <v>187854.15469999975</v>
      </c>
      <c r="N26" s="3">
        <v>3028157.1777999941</v>
      </c>
      <c r="O26" s="3">
        <v>449228.47160000051</v>
      </c>
      <c r="P26" s="3">
        <v>0</v>
      </c>
      <c r="Q26" s="3">
        <v>3665239.8041000096</v>
      </c>
      <c r="S26" s="3">
        <f t="shared" si="3"/>
        <v>4081347.3815396223</v>
      </c>
    </row>
    <row r="27" spans="1:19" x14ac:dyDescent="0.25">
      <c r="A27" s="1" t="s">
        <v>146</v>
      </c>
      <c r="B27" s="3">
        <v>990783.6139000007</v>
      </c>
      <c r="C27" s="3">
        <v>295415.24660000025</v>
      </c>
      <c r="D27" s="3">
        <v>1286198.8605000007</v>
      </c>
      <c r="F27" s="14">
        <f t="shared" si="4"/>
        <v>45699</v>
      </c>
      <c r="G27" s="16">
        <f>_xlfn.XLOOKUP(F27,FX!$A$12:$A$910,FX!$B$12:$B$910,"",-1)</f>
        <v>1.1117999999999999</v>
      </c>
      <c r="H27" s="3">
        <f t="shared" si="0"/>
        <v>891152.73781255691</v>
      </c>
      <c r="I27" s="3">
        <f t="shared" si="1"/>
        <v>265708.98237093026</v>
      </c>
      <c r="J27" s="3">
        <f t="shared" si="2"/>
        <v>1156861.7201834871</v>
      </c>
      <c r="L27" s="1" t="s">
        <v>146</v>
      </c>
      <c r="M27" s="3">
        <v>539772.72849999822</v>
      </c>
      <c r="N27" s="3">
        <v>5624638.6955999639</v>
      </c>
      <c r="O27" s="3">
        <v>1470143.3501000032</v>
      </c>
      <c r="P27" s="3">
        <v>0</v>
      </c>
      <c r="Q27" s="3">
        <v>7634554.7741999114</v>
      </c>
      <c r="S27" s="3">
        <f t="shared" si="3"/>
        <v>8251643.7658834541</v>
      </c>
    </row>
    <row r="28" spans="1:19" x14ac:dyDescent="0.25">
      <c r="A28" s="1" t="s">
        <v>147</v>
      </c>
      <c r="B28" s="3">
        <v>483308.42579999921</v>
      </c>
      <c r="C28" s="3">
        <v>79176.582700000072</v>
      </c>
      <c r="D28" s="3">
        <v>562485.00849999976</v>
      </c>
      <c r="F28" s="14">
        <f t="shared" si="4"/>
        <v>45706</v>
      </c>
      <c r="G28" s="16">
        <f>_xlfn.XLOOKUP(F28,FX!$A$12:$A$910,FX!$B$12:$B$910,"",-1)</f>
        <v>1.1132</v>
      </c>
      <c r="H28" s="3">
        <f t="shared" si="0"/>
        <v>434161.35986345599</v>
      </c>
      <c r="I28" s="3">
        <f t="shared" si="1"/>
        <v>71125.209037010485</v>
      </c>
      <c r="J28" s="3">
        <f t="shared" si="2"/>
        <v>505286.56890046649</v>
      </c>
      <c r="L28" s="1" t="s">
        <v>147</v>
      </c>
      <c r="M28" s="3">
        <v>176029.32740000001</v>
      </c>
      <c r="N28" s="3">
        <v>2784606.5171999927</v>
      </c>
      <c r="O28" s="3">
        <v>374787.26160000009</v>
      </c>
      <c r="P28" s="3">
        <v>0</v>
      </c>
      <c r="Q28" s="3">
        <v>3335423.1061999793</v>
      </c>
      <c r="S28" s="3">
        <f t="shared" si="3"/>
        <v>3664680.347700459</v>
      </c>
    </row>
    <row r="29" spans="1:19" x14ac:dyDescent="0.25">
      <c r="A29" s="1" t="s">
        <v>148</v>
      </c>
      <c r="B29" s="3">
        <v>606731.89150000014</v>
      </c>
      <c r="C29" s="3">
        <v>106330.68110000009</v>
      </c>
      <c r="D29" s="3">
        <v>713062.57260000019</v>
      </c>
      <c r="F29" s="14">
        <f t="shared" si="4"/>
        <v>45713</v>
      </c>
      <c r="G29" s="16">
        <f>_xlfn.XLOOKUP(F29,FX!$A$12:$A$910,FX!$B$12:$B$910,"",-1)</f>
        <v>1.1075999999999999</v>
      </c>
      <c r="H29" s="3">
        <f t="shared" si="0"/>
        <v>547789.71785843279</v>
      </c>
      <c r="I29" s="3">
        <f t="shared" si="1"/>
        <v>96000.976074395177</v>
      </c>
      <c r="J29" s="3">
        <f t="shared" si="2"/>
        <v>643790.69393282803</v>
      </c>
      <c r="L29" s="1" t="s">
        <v>148</v>
      </c>
      <c r="M29" s="3">
        <v>232186.74419999958</v>
      </c>
      <c r="N29" s="3">
        <v>3831827.8050999902</v>
      </c>
      <c r="O29" s="3">
        <v>450150.79319999932</v>
      </c>
      <c r="P29" s="3">
        <v>0</v>
      </c>
      <c r="Q29" s="3">
        <v>4514165.3424999835</v>
      </c>
      <c r="S29" s="3">
        <f t="shared" si="3"/>
        <v>4925769.292232817</v>
      </c>
    </row>
    <row r="30" spans="1:19" x14ac:dyDescent="0.25">
      <c r="A30" s="1" t="s">
        <v>149</v>
      </c>
      <c r="B30" s="3">
        <v>538246.10790000006</v>
      </c>
      <c r="C30" s="3">
        <v>55899.338699999978</v>
      </c>
      <c r="D30" s="3">
        <v>594145.44660000014</v>
      </c>
      <c r="F30" s="14">
        <f t="shared" si="4"/>
        <v>45720</v>
      </c>
      <c r="G30" s="16">
        <f>_xlfn.XLOOKUP(F30,FX!$A$12:$A$910,FX!$B$12:$B$910,"",-1)</f>
        <v>1.1051</v>
      </c>
      <c r="H30" s="3">
        <f t="shared" si="0"/>
        <v>487056.47262691165</v>
      </c>
      <c r="I30" s="3">
        <f t="shared" si="1"/>
        <v>50583.059180164673</v>
      </c>
      <c r="J30" s="3">
        <f t="shared" si="2"/>
        <v>537639.5318070763</v>
      </c>
      <c r="L30" s="1" t="s">
        <v>149</v>
      </c>
      <c r="M30" s="3">
        <v>151659.33610000019</v>
      </c>
      <c r="N30" s="3">
        <v>3063403.4844000023</v>
      </c>
      <c r="O30" s="3">
        <v>416725.24120000022</v>
      </c>
      <c r="P30" s="3">
        <v>0</v>
      </c>
      <c r="Q30" s="3">
        <v>3631788.0617000023</v>
      </c>
      <c r="S30" s="3">
        <f t="shared" si="3"/>
        <v>4017768.2574070785</v>
      </c>
    </row>
    <row r="31" spans="1:19" x14ac:dyDescent="0.25">
      <c r="A31" s="1" t="s">
        <v>150</v>
      </c>
      <c r="B31" s="3">
        <v>746213.21450000233</v>
      </c>
      <c r="C31" s="3">
        <v>81569.969899999996</v>
      </c>
      <c r="D31" s="3">
        <v>827783.18440000294</v>
      </c>
      <c r="F31" s="14">
        <f t="shared" si="4"/>
        <v>45727</v>
      </c>
      <c r="G31" s="16">
        <f>_xlfn.XLOOKUP(F31,FX!$A$12:$A$910,FX!$B$12:$B$910,"",-1)</f>
        <v>1.1022000000000001</v>
      </c>
      <c r="H31" s="3">
        <f t="shared" si="0"/>
        <v>677021.60633279104</v>
      </c>
      <c r="I31" s="3">
        <f t="shared" si="1"/>
        <v>74006.505080747593</v>
      </c>
      <c r="J31" s="3">
        <f t="shared" si="2"/>
        <v>751028.11141353869</v>
      </c>
      <c r="L31" s="1" t="s">
        <v>150</v>
      </c>
      <c r="M31" s="3">
        <v>170136.09930000003</v>
      </c>
      <c r="N31" s="3">
        <v>4409788.0632000081</v>
      </c>
      <c r="O31" s="3">
        <v>667906.65840000217</v>
      </c>
      <c r="P31" s="3">
        <v>0</v>
      </c>
      <c r="Q31" s="3">
        <v>5247830.8208999727</v>
      </c>
      <c r="S31" s="3">
        <f t="shared" si="3"/>
        <v>5828722.8330135485</v>
      </c>
    </row>
    <row r="32" spans="1:19" x14ac:dyDescent="0.25">
      <c r="A32" s="1" t="s">
        <v>151</v>
      </c>
      <c r="B32" s="3">
        <v>651518.91690000042</v>
      </c>
      <c r="C32" s="3">
        <v>165944.74450000006</v>
      </c>
      <c r="D32" s="3">
        <v>817463.6614000001</v>
      </c>
      <c r="F32" s="14">
        <f t="shared" si="4"/>
        <v>45734</v>
      </c>
      <c r="G32" s="16">
        <f>_xlfn.XLOOKUP(F32,FX!$A$12:$A$910,FX!$B$12:$B$910,"",-1)</f>
        <v>1.0954999999999999</v>
      </c>
      <c r="H32" s="3">
        <f t="shared" si="0"/>
        <v>594722.88169785531</v>
      </c>
      <c r="I32" s="3">
        <f t="shared" si="1"/>
        <v>151478.54358740308</v>
      </c>
      <c r="J32" s="3">
        <f t="shared" si="2"/>
        <v>746201.42528525833</v>
      </c>
      <c r="L32" s="1" t="s">
        <v>151</v>
      </c>
      <c r="M32" s="3">
        <v>186129.23619999969</v>
      </c>
      <c r="N32" s="3">
        <v>3466156.6770000081</v>
      </c>
      <c r="O32" s="3">
        <v>538709.36779999896</v>
      </c>
      <c r="P32" s="3">
        <v>0</v>
      </c>
      <c r="Q32" s="3">
        <v>4190995.2810000009</v>
      </c>
      <c r="S32" s="3">
        <f t="shared" si="3"/>
        <v>4751067.4700852651</v>
      </c>
    </row>
    <row r="33" spans="1:19" x14ac:dyDescent="0.25">
      <c r="A33" s="1" t="s">
        <v>152</v>
      </c>
      <c r="B33" s="3">
        <v>567968.30749999988</v>
      </c>
      <c r="C33" s="3">
        <v>174078.79690000002</v>
      </c>
      <c r="D33" s="3">
        <v>742047.10440000158</v>
      </c>
      <c r="F33" s="14">
        <f t="shared" si="4"/>
        <v>45741</v>
      </c>
      <c r="G33" s="16">
        <f>_xlfn.XLOOKUP(F33,FX!$A$12:$A$910,FX!$B$12:$B$910,"",-1)</f>
        <v>1.0985</v>
      </c>
      <c r="H33" s="3">
        <f t="shared" si="0"/>
        <v>517039.87938097393</v>
      </c>
      <c r="I33" s="3">
        <f t="shared" si="1"/>
        <v>158469.54656349568</v>
      </c>
      <c r="J33" s="3">
        <f t="shared" si="2"/>
        <v>675509.42594446964</v>
      </c>
      <c r="L33" s="1" t="s">
        <v>152</v>
      </c>
      <c r="M33" s="3">
        <v>175506.11700000011</v>
      </c>
      <c r="N33" s="3">
        <v>3078491.3299000119</v>
      </c>
      <c r="O33" s="3">
        <v>709650.51860000007</v>
      </c>
      <c r="P33" s="3">
        <v>0</v>
      </c>
      <c r="Q33" s="3">
        <v>3963647.9655000125</v>
      </c>
      <c r="S33" s="3">
        <f t="shared" si="3"/>
        <v>4463651.2744444814</v>
      </c>
    </row>
    <row r="34" spans="1:19" x14ac:dyDescent="0.25">
      <c r="A34" s="1" t="s">
        <v>153</v>
      </c>
      <c r="B34" s="3">
        <v>887121.43160000117</v>
      </c>
      <c r="C34" s="3">
        <v>181100.58019999988</v>
      </c>
      <c r="D34" s="3">
        <v>1068222.0118000011</v>
      </c>
      <c r="F34" s="14">
        <f t="shared" si="4"/>
        <v>45748</v>
      </c>
      <c r="G34" s="16">
        <f>_xlfn.XLOOKUP(F34,FX!$A$12:$A$910,FX!$B$12:$B$910,"",-1)</f>
        <v>1.1021000000000001</v>
      </c>
      <c r="H34" s="3">
        <f t="shared" si="0"/>
        <v>804937.33018782421</v>
      </c>
      <c r="I34" s="3">
        <f t="shared" si="1"/>
        <v>164323.18319571714</v>
      </c>
      <c r="J34" s="3">
        <f t="shared" si="2"/>
        <v>969260.51338354137</v>
      </c>
      <c r="L34" s="1" t="s">
        <v>153</v>
      </c>
      <c r="M34" s="3">
        <v>274765.31799999997</v>
      </c>
      <c r="N34" s="3">
        <v>4286026.017699983</v>
      </c>
      <c r="O34" s="3">
        <v>605343.90690000076</v>
      </c>
      <c r="P34" s="3">
        <v>0</v>
      </c>
      <c r="Q34" s="3">
        <v>5166135.2425999446</v>
      </c>
      <c r="S34" s="3">
        <f t="shared" si="3"/>
        <v>5860630.437983525</v>
      </c>
    </row>
    <row r="35" spans="1:19" x14ac:dyDescent="0.25">
      <c r="A35" s="1" t="s">
        <v>154</v>
      </c>
      <c r="B35" s="3">
        <v>593576.40089999884</v>
      </c>
      <c r="C35" s="3">
        <v>130426.62099999998</v>
      </c>
      <c r="D35" s="3">
        <v>724003.0219000004</v>
      </c>
      <c r="F35" s="14">
        <f t="shared" si="4"/>
        <v>45755</v>
      </c>
      <c r="G35" s="16">
        <f>_xlfn.XLOOKUP(F35,FX!$A$12:$A$910,FX!$B$12:$B$910,"",-1)</f>
        <v>1.0822000000000001</v>
      </c>
      <c r="H35" s="3">
        <f t="shared" si="0"/>
        <v>548490.48318240512</v>
      </c>
      <c r="I35" s="3">
        <f t="shared" si="1"/>
        <v>120519.88634263535</v>
      </c>
      <c r="J35" s="3">
        <f t="shared" si="2"/>
        <v>669010.3695250405</v>
      </c>
      <c r="L35" s="1" t="s">
        <v>154</v>
      </c>
      <c r="M35" s="3">
        <v>235413.90989999991</v>
      </c>
      <c r="N35" s="3">
        <v>3722821.6121000126</v>
      </c>
      <c r="O35" s="3">
        <v>641555.64420000033</v>
      </c>
      <c r="P35" s="3">
        <v>0</v>
      </c>
      <c r="Q35" s="3">
        <v>4599791.1662000231</v>
      </c>
      <c r="S35" s="3">
        <f t="shared" si="3"/>
        <v>5033387.6258250531</v>
      </c>
    </row>
    <row r="36" spans="1:19" x14ac:dyDescent="0.25">
      <c r="A36" s="1" t="s">
        <v>155</v>
      </c>
      <c r="B36" s="3">
        <v>814207.46189999965</v>
      </c>
      <c r="C36" s="3">
        <v>89076.063299999994</v>
      </c>
      <c r="D36" s="3">
        <v>903283.52519999922</v>
      </c>
      <c r="F36" s="14">
        <f t="shared" si="4"/>
        <v>45762</v>
      </c>
      <c r="G36" s="16">
        <f>_xlfn.XLOOKUP(F36,FX!$A$12:$A$910,FX!$B$12:$B$910,"",-1)</f>
        <v>1.0752999999999999</v>
      </c>
      <c r="H36" s="3">
        <f t="shared" si="0"/>
        <v>757190.98102854984</v>
      </c>
      <c r="I36" s="3">
        <f t="shared" si="1"/>
        <v>82838.336557239847</v>
      </c>
      <c r="J36" s="3">
        <f t="shared" si="2"/>
        <v>840029.31758578971</v>
      </c>
      <c r="L36" s="1" t="s">
        <v>155</v>
      </c>
      <c r="M36" s="3">
        <v>290838.79769999965</v>
      </c>
      <c r="N36" s="3">
        <v>4399442.887399991</v>
      </c>
      <c r="O36" s="3">
        <v>540104.20990000071</v>
      </c>
      <c r="P36" s="3">
        <v>0</v>
      </c>
      <c r="Q36" s="3">
        <v>5230385.8949999828</v>
      </c>
      <c r="S36" s="3">
        <f t="shared" si="3"/>
        <v>5779576.4148857817</v>
      </c>
    </row>
    <row r="37" spans="1:19" x14ac:dyDescent="0.25">
      <c r="A37" s="1" t="s">
        <v>156</v>
      </c>
      <c r="B37" s="3">
        <v>1016569.5639999985</v>
      </c>
      <c r="C37" s="3">
        <v>210727.60859999963</v>
      </c>
      <c r="D37" s="3">
        <v>1227297.172600003</v>
      </c>
      <c r="F37" s="14">
        <f t="shared" si="4"/>
        <v>45769</v>
      </c>
      <c r="G37" s="16">
        <f>_xlfn.XLOOKUP(F37,FX!$A$12:$A$910,FX!$B$12:$B$910,"",-1)</f>
        <v>1.0684</v>
      </c>
      <c r="H37" s="3">
        <f t="shared" si="0"/>
        <v>951487.7985773104</v>
      </c>
      <c r="I37" s="3">
        <f t="shared" si="1"/>
        <v>197236.62354923214</v>
      </c>
      <c r="J37" s="3">
        <f t="shared" si="2"/>
        <v>1148724.4221265425</v>
      </c>
      <c r="L37" s="1" t="s">
        <v>156</v>
      </c>
      <c r="M37" s="3">
        <v>333149.16139999975</v>
      </c>
      <c r="N37" s="3">
        <v>4339266.1290000202</v>
      </c>
      <c r="O37" s="3">
        <v>873560.86969999922</v>
      </c>
      <c r="P37" s="3">
        <v>0</v>
      </c>
      <c r="Q37" s="3">
        <v>5545976.1600999674</v>
      </c>
      <c r="S37" s="3">
        <f t="shared" si="3"/>
        <v>6361551.4208265617</v>
      </c>
    </row>
    <row r="38" spans="1:19" x14ac:dyDescent="0.25">
      <c r="A38" s="1" t="s">
        <v>157</v>
      </c>
      <c r="B38" s="3">
        <v>1020705.9958000005</v>
      </c>
      <c r="C38" s="3">
        <v>147822.10199999996</v>
      </c>
      <c r="D38" s="3">
        <v>1168528.0978000006</v>
      </c>
      <c r="F38" s="14">
        <f t="shared" si="4"/>
        <v>45776</v>
      </c>
      <c r="G38" s="16">
        <f>_xlfn.XLOOKUP(F38,FX!$A$12:$A$910,FX!$B$12:$B$910,"",-1)</f>
        <v>1.0769</v>
      </c>
      <c r="H38" s="3">
        <f t="shared" si="0"/>
        <v>947818.73507289495</v>
      </c>
      <c r="I38" s="3">
        <f t="shared" si="1"/>
        <v>137266.32184975388</v>
      </c>
      <c r="J38" s="3">
        <f t="shared" si="2"/>
        <v>1085085.0569226488</v>
      </c>
      <c r="L38" s="1" t="s">
        <v>157</v>
      </c>
      <c r="M38" s="3">
        <v>261632.53559999974</v>
      </c>
      <c r="N38" s="3">
        <v>5537169.5162999826</v>
      </c>
      <c r="O38" s="3">
        <v>806753.40460000001</v>
      </c>
      <c r="P38" s="3">
        <v>0</v>
      </c>
      <c r="Q38" s="3">
        <v>6605555.4564999631</v>
      </c>
      <c r="S38" s="3">
        <f t="shared" si="3"/>
        <v>7429007.9778226316</v>
      </c>
    </row>
    <row r="39" spans="1:19" x14ac:dyDescent="0.25">
      <c r="A39" s="1" t="s">
        <v>158</v>
      </c>
      <c r="B39" s="3">
        <v>597527.29869999969</v>
      </c>
      <c r="C39" s="3">
        <v>89152.045800000036</v>
      </c>
      <c r="D39" s="3">
        <v>686679.34449999908</v>
      </c>
      <c r="F39" s="14">
        <f t="shared" si="4"/>
        <v>45783</v>
      </c>
      <c r="G39" s="16">
        <f>_xlfn.XLOOKUP(F39,FX!$A$12:$A$910,FX!$B$12:$B$910,"",-1)</f>
        <v>1.0805</v>
      </c>
      <c r="H39" s="3">
        <f t="shared" si="0"/>
        <v>553009.99416936573</v>
      </c>
      <c r="I39" s="3">
        <f t="shared" si="1"/>
        <v>82509.991485423452</v>
      </c>
      <c r="J39" s="3">
        <f t="shared" si="2"/>
        <v>635519.98565478914</v>
      </c>
      <c r="L39" s="1" t="s">
        <v>158</v>
      </c>
      <c r="M39" s="3">
        <v>235949.89839999998</v>
      </c>
      <c r="N39" s="3">
        <v>3145647.0681999894</v>
      </c>
      <c r="O39" s="3">
        <v>426337.72410000011</v>
      </c>
      <c r="P39" s="3">
        <v>0</v>
      </c>
      <c r="Q39" s="3">
        <v>3807934.6906999974</v>
      </c>
      <c r="S39" s="3">
        <f t="shared" si="3"/>
        <v>4207504.7779547786</v>
      </c>
    </row>
    <row r="40" spans="1:19" x14ac:dyDescent="0.25">
      <c r="A40" s="1" t="s">
        <v>159</v>
      </c>
      <c r="B40" s="3">
        <v>937837.08179999993</v>
      </c>
      <c r="C40" s="3">
        <v>182491.99910000002</v>
      </c>
      <c r="D40" s="3">
        <v>1120329.0809000013</v>
      </c>
      <c r="F40" s="14">
        <f t="shared" si="4"/>
        <v>45790</v>
      </c>
      <c r="G40" s="16">
        <f>_xlfn.XLOOKUP(F40,FX!$A$12:$A$910,FX!$B$12:$B$910,"",-1)</f>
        <v>1.0885</v>
      </c>
      <c r="H40" s="3">
        <f t="shared" si="0"/>
        <v>861586.66219568206</v>
      </c>
      <c r="I40" s="3">
        <f t="shared" si="1"/>
        <v>167654.56968305007</v>
      </c>
      <c r="J40" s="3">
        <f t="shared" si="2"/>
        <v>1029241.2318787321</v>
      </c>
      <c r="L40" s="1" t="s">
        <v>159</v>
      </c>
      <c r="M40" s="3">
        <v>304883.72670000017</v>
      </c>
      <c r="N40" s="3">
        <v>4896887.6644999897</v>
      </c>
      <c r="O40" s="3">
        <v>947471.02139999869</v>
      </c>
      <c r="P40" s="3">
        <v>0</v>
      </c>
      <c r="Q40" s="3">
        <v>6149242.412600005</v>
      </c>
      <c r="S40" s="3">
        <f t="shared" si="3"/>
        <v>6873599.9177787211</v>
      </c>
    </row>
    <row r="41" spans="1:19" x14ac:dyDescent="0.25">
      <c r="A41" s="1" t="s">
        <v>160</v>
      </c>
      <c r="B41" s="3">
        <v>1450373.3297999986</v>
      </c>
      <c r="C41" s="3">
        <v>445102.03480000037</v>
      </c>
      <c r="D41" s="3">
        <v>1895475.364599999</v>
      </c>
      <c r="F41" s="14">
        <f t="shared" si="4"/>
        <v>45797</v>
      </c>
      <c r="G41" s="16">
        <f>_xlfn.XLOOKUP(F41,FX!$A$12:$A$910,FX!$B$12:$B$910,"",-1)</f>
        <v>1.0843</v>
      </c>
      <c r="H41" s="3">
        <f t="shared" si="0"/>
        <v>1337612.5885824943</v>
      </c>
      <c r="I41" s="3">
        <f t="shared" si="1"/>
        <v>410497.12699437456</v>
      </c>
      <c r="J41" s="3">
        <f t="shared" si="2"/>
        <v>1748109.715576869</v>
      </c>
      <c r="L41" s="1" t="s">
        <v>160</v>
      </c>
      <c r="M41" s="3">
        <v>603104.62800000049</v>
      </c>
      <c r="N41" s="3">
        <v>7462656.6203999696</v>
      </c>
      <c r="O41" s="3">
        <v>1991408.8390999977</v>
      </c>
      <c r="P41" s="3">
        <v>0</v>
      </c>
      <c r="Q41" s="3">
        <v>10057170.087499905</v>
      </c>
      <c r="S41" s="3">
        <f t="shared" si="3"/>
        <v>11202175.175076837</v>
      </c>
    </row>
    <row r="42" spans="1:19" x14ac:dyDescent="0.25">
      <c r="A42" s="1" t="s">
        <v>161</v>
      </c>
      <c r="B42" s="3">
        <v>1291296.8547000014</v>
      </c>
      <c r="C42" s="3">
        <v>321951.86689999991</v>
      </c>
      <c r="D42" s="3">
        <v>1613248.7215999996</v>
      </c>
      <c r="F42" s="14">
        <f t="shared" si="4"/>
        <v>45804</v>
      </c>
      <c r="G42" s="16">
        <f>_xlfn.XLOOKUP(F42,FX!$A$12:$A$910,FX!$B$12:$B$910,"",-1)</f>
        <v>1.0833999999999999</v>
      </c>
      <c r="H42" s="3">
        <f t="shared" si="0"/>
        <v>1191892.9801550687</v>
      </c>
      <c r="I42" s="3">
        <f t="shared" si="1"/>
        <v>297168.0514122207</v>
      </c>
      <c r="J42" s="3">
        <f t="shared" si="2"/>
        <v>1489061.0315672895</v>
      </c>
      <c r="L42" s="1" t="s">
        <v>161</v>
      </c>
      <c r="M42" s="3">
        <v>486831.19919999968</v>
      </c>
      <c r="N42" s="3">
        <v>6435460.9035999663</v>
      </c>
      <c r="O42" s="3">
        <v>1495992.490400004</v>
      </c>
      <c r="P42" s="3">
        <v>0</v>
      </c>
      <c r="Q42" s="3">
        <v>8418284.593199959</v>
      </c>
      <c r="S42" s="3">
        <f>J42+N42+O42</f>
        <v>9420514.42556726</v>
      </c>
    </row>
    <row r="43" spans="1:19" x14ac:dyDescent="0.25">
      <c r="A43" s="1" t="s">
        <v>162</v>
      </c>
      <c r="B43" s="3">
        <v>1309212.8650000016</v>
      </c>
      <c r="C43" s="3">
        <v>309768.2717000001</v>
      </c>
      <c r="D43" s="3">
        <v>1618981.1367000081</v>
      </c>
      <c r="F43" s="14">
        <f t="shared" si="4"/>
        <v>45811</v>
      </c>
      <c r="G43" s="16">
        <f>_xlfn.XLOOKUP(F43,FX!$A$12:$A$910,FX!$B$12:$B$910,"",-1)</f>
        <v>1.0757000000000001</v>
      </c>
      <c r="H43" s="3">
        <f t="shared" si="0"/>
        <v>1217079.9154039244</v>
      </c>
      <c r="I43" s="3">
        <f t="shared" si="1"/>
        <v>287969.0171051409</v>
      </c>
      <c r="J43" s="3">
        <f t="shared" si="2"/>
        <v>1505048.9325090654</v>
      </c>
      <c r="L43" s="1" t="s">
        <v>162</v>
      </c>
      <c r="M43" s="3">
        <v>407979.28170000098</v>
      </c>
      <c r="N43" s="3">
        <v>6182961.4966999637</v>
      </c>
      <c r="O43" s="3">
        <v>1120879.3270000014</v>
      </c>
      <c r="P43" s="3">
        <v>0</v>
      </c>
      <c r="Q43" s="3">
        <v>7711820.1053999793</v>
      </c>
      <c r="S43" s="3">
        <f t="shared" si="3"/>
        <v>8808889.7562090307</v>
      </c>
    </row>
    <row r="44" spans="1:19" x14ac:dyDescent="0.25">
      <c r="A44" s="1" t="s">
        <v>163</v>
      </c>
      <c r="B44" s="3">
        <v>1007982.8636</v>
      </c>
      <c r="C44" s="3">
        <v>245148.74900000024</v>
      </c>
      <c r="D44" s="3">
        <v>1253131.6125999994</v>
      </c>
      <c r="F44" s="14">
        <f t="shared" si="4"/>
        <v>45818</v>
      </c>
      <c r="G44" s="16">
        <f>_xlfn.XLOOKUP(F44,FX!$A$12:$A$910,FX!$B$12:$B$910,"",-1)</f>
        <v>1.0763</v>
      </c>
      <c r="H44" s="3">
        <f t="shared" si="0"/>
        <v>936525.93477654934</v>
      </c>
      <c r="I44" s="3">
        <f t="shared" si="1"/>
        <v>227769.9052308838</v>
      </c>
      <c r="J44" s="3">
        <f t="shared" si="2"/>
        <v>1164295.8400074332</v>
      </c>
      <c r="L44" s="1" t="s">
        <v>163</v>
      </c>
      <c r="M44" s="3">
        <v>389434.49910000066</v>
      </c>
      <c r="N44" s="3">
        <v>6934444.322699978</v>
      </c>
      <c r="O44" s="3">
        <v>1238711.7853000038</v>
      </c>
      <c r="P44" s="3">
        <v>0</v>
      </c>
      <c r="Q44" s="3">
        <v>8562590.6070999987</v>
      </c>
      <c r="S44" s="3">
        <f t="shared" si="3"/>
        <v>9337451.9480074141</v>
      </c>
    </row>
    <row r="45" spans="1:19" x14ac:dyDescent="0.25">
      <c r="A45" s="1" t="s">
        <v>164</v>
      </c>
      <c r="B45" s="3">
        <v>1182415.965700001</v>
      </c>
      <c r="C45" s="3">
        <v>205854.94899999999</v>
      </c>
      <c r="D45" s="3">
        <v>1388270.9147000029</v>
      </c>
      <c r="F45" s="14">
        <f t="shared" si="4"/>
        <v>45825</v>
      </c>
      <c r="G45" s="16">
        <f>_xlfn.XLOOKUP(F45,FX!$A$12:$A$910,FX!$B$12:$B$910,"",-1)</f>
        <v>1.0771999999999999</v>
      </c>
      <c r="H45" s="3">
        <f t="shared" si="0"/>
        <v>1097675.4230412189</v>
      </c>
      <c r="I45" s="3">
        <f t="shared" si="1"/>
        <v>191101.88358707761</v>
      </c>
      <c r="J45" s="3">
        <f t="shared" si="2"/>
        <v>1288777.3066282966</v>
      </c>
      <c r="L45" s="1" t="s">
        <v>164</v>
      </c>
      <c r="M45" s="3">
        <v>445573.06480000081</v>
      </c>
      <c r="N45" s="3">
        <v>7611533.864599972</v>
      </c>
      <c r="O45" s="3">
        <v>1469795.1285000015</v>
      </c>
      <c r="P45" s="3">
        <v>0</v>
      </c>
      <c r="Q45" s="3">
        <v>9526902.0579000562</v>
      </c>
      <c r="S45" s="3">
        <f t="shared" si="3"/>
        <v>10370106.299728271</v>
      </c>
    </row>
    <row r="46" spans="1:19" x14ac:dyDescent="0.25">
      <c r="A46" s="1" t="s">
        <v>165</v>
      </c>
      <c r="B46" s="3">
        <v>1776420.0003000016</v>
      </c>
      <c r="C46" s="3">
        <v>341205.28540000011</v>
      </c>
      <c r="D46" s="3">
        <v>2117625.2857000022</v>
      </c>
      <c r="F46" s="14">
        <f t="shared" si="4"/>
        <v>45832</v>
      </c>
      <c r="G46" s="16">
        <f>_xlfn.XLOOKUP(F46,FX!$A$12:$A$910,FX!$B$12:$B$910,"",-1)</f>
        <v>1.0805</v>
      </c>
      <c r="H46" s="3">
        <f t="shared" si="0"/>
        <v>1644072.1890791315</v>
      </c>
      <c r="I46" s="3">
        <f t="shared" si="1"/>
        <v>315784.62322998623</v>
      </c>
      <c r="J46" s="3">
        <f t="shared" si="2"/>
        <v>1959856.8123091178</v>
      </c>
      <c r="L46" s="1" t="s">
        <v>165</v>
      </c>
      <c r="M46" s="3">
        <v>879734.10010000039</v>
      </c>
      <c r="N46" s="3">
        <v>13298213.421499817</v>
      </c>
      <c r="O46" s="3">
        <v>2880357.2540999935</v>
      </c>
      <c r="P46" s="3">
        <v>0</v>
      </c>
      <c r="Q46" s="3">
        <v>17058304.775699854</v>
      </c>
      <c r="S46" s="3">
        <f t="shared" si="3"/>
        <v>18138427.48790893</v>
      </c>
    </row>
    <row r="47" spans="1:19" x14ac:dyDescent="0.25">
      <c r="A47" s="1" t="s">
        <v>166</v>
      </c>
      <c r="B47" s="3">
        <v>750986.92009999836</v>
      </c>
      <c r="C47" s="3">
        <v>182847.77010000017</v>
      </c>
      <c r="D47" s="3">
        <v>933834.6902000003</v>
      </c>
      <c r="F47" s="14">
        <f t="shared" si="4"/>
        <v>45839</v>
      </c>
      <c r="G47" s="16">
        <f>_xlfn.XLOOKUP(F47,FX!$A$12:$A$910,FX!$B$12:$B$910,"",-1)</f>
        <v>1.0787</v>
      </c>
      <c r="H47" s="3">
        <f t="shared" si="0"/>
        <v>696196.27338462812</v>
      </c>
      <c r="I47" s="3">
        <f t="shared" si="1"/>
        <v>169507.52767219816</v>
      </c>
      <c r="J47" s="3">
        <f t="shared" si="2"/>
        <v>865703.80105682625</v>
      </c>
      <c r="L47" s="1" t="s">
        <v>166</v>
      </c>
      <c r="M47" s="3">
        <v>480308.59220000089</v>
      </c>
      <c r="N47" s="3">
        <v>4374888.2872999925</v>
      </c>
      <c r="O47" s="3">
        <v>946826.03690000041</v>
      </c>
      <c r="P47" s="3">
        <v>0</v>
      </c>
      <c r="Q47" s="3">
        <v>5802022.9163999902</v>
      </c>
      <c r="S47" s="3">
        <f t="shared" si="3"/>
        <v>6187418.1252568197</v>
      </c>
    </row>
    <row r="48" spans="1:19" x14ac:dyDescent="0.25">
      <c r="A48" s="1" t="s">
        <v>167</v>
      </c>
      <c r="B48" s="3">
        <v>470456.50700000022</v>
      </c>
      <c r="C48" s="3">
        <v>60766.336099999971</v>
      </c>
      <c r="D48" s="3">
        <v>531222.84310000064</v>
      </c>
      <c r="F48" s="14">
        <f t="shared" si="4"/>
        <v>45846</v>
      </c>
      <c r="G48" s="16">
        <f>_xlfn.XLOOKUP(F48,FX!$A$12:$A$910,FX!$B$12:$B$910,"",-1)</f>
        <v>1.0869</v>
      </c>
      <c r="H48" s="3">
        <f t="shared" si="0"/>
        <v>432842.49424970121</v>
      </c>
      <c r="I48" s="3">
        <f t="shared" si="1"/>
        <v>55907.93642469406</v>
      </c>
      <c r="J48" s="3">
        <f t="shared" si="2"/>
        <v>488750.43067439529</v>
      </c>
      <c r="L48" s="1" t="s">
        <v>167</v>
      </c>
      <c r="M48" s="3">
        <v>411064.81879999995</v>
      </c>
      <c r="N48" s="3">
        <v>3212266.4442000017</v>
      </c>
      <c r="O48" s="3">
        <v>438706.33200000098</v>
      </c>
      <c r="P48" s="3">
        <v>0</v>
      </c>
      <c r="Q48" s="3">
        <v>4062037.5950000039</v>
      </c>
      <c r="S48" s="3">
        <f t="shared" si="3"/>
        <v>4139723.206874398</v>
      </c>
    </row>
    <row r="49" spans="1:19" x14ac:dyDescent="0.25">
      <c r="A49" s="1" t="s">
        <v>168</v>
      </c>
      <c r="B49" s="3">
        <v>855781.44010000187</v>
      </c>
      <c r="C49" s="3">
        <v>192878.45269999999</v>
      </c>
      <c r="D49" s="3">
        <v>1048659.8928000019</v>
      </c>
      <c r="F49" s="14">
        <f t="shared" si="4"/>
        <v>45853</v>
      </c>
      <c r="G49" s="16">
        <f>_xlfn.XLOOKUP(F49,FX!$A$12:$A$910,FX!$B$12:$B$910,"",-1)</f>
        <v>1.0955999999999999</v>
      </c>
      <c r="H49" s="3">
        <f t="shared" si="0"/>
        <v>781107.55759401422</v>
      </c>
      <c r="I49" s="3">
        <f t="shared" si="1"/>
        <v>176048.24087258126</v>
      </c>
      <c r="J49" s="3">
        <f t="shared" si="2"/>
        <v>957155.79846659547</v>
      </c>
      <c r="L49" s="1" t="s">
        <v>168</v>
      </c>
      <c r="M49" s="3">
        <v>797063.31049999711</v>
      </c>
      <c r="N49" s="3">
        <v>4937921.6666999739</v>
      </c>
      <c r="O49" s="3">
        <v>1076143.1926999991</v>
      </c>
      <c r="P49" s="3">
        <v>0</v>
      </c>
      <c r="Q49" s="3">
        <v>6811128.1698999414</v>
      </c>
      <c r="S49" s="3">
        <f t="shared" si="3"/>
        <v>6971220.6578665692</v>
      </c>
    </row>
    <row r="50" spans="1:19" x14ac:dyDescent="0.25">
      <c r="A50" s="1" t="s">
        <v>169</v>
      </c>
      <c r="B50" s="3">
        <v>767995.39449999912</v>
      </c>
      <c r="C50" s="3">
        <v>176201.77540000007</v>
      </c>
      <c r="D50" s="3">
        <v>944197.16990000091</v>
      </c>
      <c r="F50" s="14">
        <f t="shared" si="4"/>
        <v>45860</v>
      </c>
      <c r="G50" s="16">
        <f>_xlfn.XLOOKUP(F50,FX!$A$12:$A$910,FX!$B$12:$B$910,"",-1)</f>
        <v>1.0944</v>
      </c>
      <c r="H50" s="3">
        <f t="shared" si="0"/>
        <v>701750.17772295245</v>
      </c>
      <c r="I50" s="3">
        <f t="shared" si="1"/>
        <v>161003.08424707607</v>
      </c>
      <c r="J50" s="3">
        <f t="shared" si="2"/>
        <v>862753.26197002851</v>
      </c>
      <c r="L50" s="1" t="s">
        <v>169</v>
      </c>
      <c r="M50" s="3">
        <v>715551.98439999868</v>
      </c>
      <c r="N50" s="3">
        <v>4730578.7612999938</v>
      </c>
      <c r="O50" s="3">
        <v>986634.2926999979</v>
      </c>
      <c r="P50" s="3">
        <v>0</v>
      </c>
      <c r="Q50" s="3">
        <v>6432765.0383999757</v>
      </c>
      <c r="S50" s="3">
        <f t="shared" si="3"/>
        <v>6579966.3159700204</v>
      </c>
    </row>
    <row r="51" spans="1:19" x14ac:dyDescent="0.25">
      <c r="A51" s="1" t="s">
        <v>170</v>
      </c>
      <c r="B51" s="3">
        <v>818159.73530000076</v>
      </c>
      <c r="C51" s="3">
        <v>132713.51800000004</v>
      </c>
      <c r="D51" s="3">
        <v>950873.25330000126</v>
      </c>
      <c r="F51" s="14">
        <f t="shared" si="4"/>
        <v>45867</v>
      </c>
      <c r="G51" s="16">
        <f>_xlfn.XLOOKUP(F51,FX!$A$12:$A$910,FX!$B$12:$B$910,"",-1)</f>
        <v>1.093</v>
      </c>
      <c r="H51" s="3">
        <f t="shared" si="0"/>
        <v>748545.04602012876</v>
      </c>
      <c r="I51" s="3">
        <f t="shared" si="1"/>
        <v>121421.33394327543</v>
      </c>
      <c r="J51" s="3">
        <f t="shared" si="2"/>
        <v>869966.37996340415</v>
      </c>
      <c r="L51" s="1" t="s">
        <v>170</v>
      </c>
      <c r="M51" s="3">
        <v>535441.36739999976</v>
      </c>
      <c r="N51" s="3">
        <v>4662371.2223999919</v>
      </c>
      <c r="O51" s="3">
        <v>677002.16749999998</v>
      </c>
      <c r="P51" s="3">
        <v>0</v>
      </c>
      <c r="Q51" s="3">
        <v>5874814.7572999615</v>
      </c>
      <c r="S51" s="3">
        <f t="shared" si="3"/>
        <v>6209339.7698633969</v>
      </c>
    </row>
    <row r="52" spans="1:19" x14ac:dyDescent="0.25">
      <c r="A52" s="1" t="s">
        <v>171</v>
      </c>
      <c r="B52" s="3">
        <v>954674.36589999928</v>
      </c>
      <c r="C52" s="3">
        <v>80631.754300000059</v>
      </c>
      <c r="D52" s="3">
        <v>1035306.1201999984</v>
      </c>
      <c r="F52" s="14">
        <f t="shared" si="4"/>
        <v>45874</v>
      </c>
      <c r="G52" s="16">
        <f>_xlfn.XLOOKUP(F52,FX!$A$12:$A$910,FX!$B$12:$B$910,"",-1)</f>
        <v>1.0956999999999999</v>
      </c>
      <c r="H52" s="3">
        <f t="shared" si="0"/>
        <v>871291.74582458648</v>
      </c>
      <c r="I52" s="3">
        <f t="shared" si="1"/>
        <v>73589.261933010916</v>
      </c>
      <c r="J52" s="3">
        <f t="shared" si="2"/>
        <v>944881.00775759737</v>
      </c>
      <c r="L52" s="1" t="s">
        <v>171</v>
      </c>
      <c r="M52" s="3">
        <v>329496.46459999995</v>
      </c>
      <c r="N52" s="3">
        <v>5115734.4815999698</v>
      </c>
      <c r="O52" s="3">
        <v>860692.68139999954</v>
      </c>
      <c r="P52" s="3">
        <v>0</v>
      </c>
      <c r="Q52" s="3">
        <v>6305923.627599949</v>
      </c>
      <c r="S52" s="3">
        <f t="shared" si="3"/>
        <v>6921308.1707575666</v>
      </c>
    </row>
    <row r="53" spans="1:19" x14ac:dyDescent="0.25">
      <c r="A53" s="1" t="s">
        <v>172</v>
      </c>
      <c r="B53" s="3">
        <v>569701.6017</v>
      </c>
      <c r="C53" s="3">
        <v>98567.134899999975</v>
      </c>
      <c r="D53" s="3">
        <v>668268.7365999996</v>
      </c>
      <c r="F53" s="14">
        <f t="shared" si="4"/>
        <v>45881</v>
      </c>
      <c r="G53" s="16">
        <f>_xlfn.XLOOKUP(F53,FX!$A$12:$A$910,FX!$B$12:$B$910,"",-1)</f>
        <v>1.0958000000000001</v>
      </c>
      <c r="H53" s="3">
        <f t="shared" si="0"/>
        <v>519895.60293849237</v>
      </c>
      <c r="I53" s="3">
        <f t="shared" si="1"/>
        <v>89949.931465595873</v>
      </c>
      <c r="J53" s="3">
        <f t="shared" si="2"/>
        <v>609845.53440408828</v>
      </c>
      <c r="L53" s="1" t="s">
        <v>172</v>
      </c>
      <c r="M53" s="3">
        <v>351697.10159999976</v>
      </c>
      <c r="N53" s="3">
        <v>3387789.9011999983</v>
      </c>
      <c r="O53" s="3">
        <v>722741.70150000229</v>
      </c>
      <c r="P53" s="3">
        <v>0</v>
      </c>
      <c r="Q53" s="3">
        <v>4462228.7042999957</v>
      </c>
      <c r="S53" s="3">
        <f t="shared" si="3"/>
        <v>4720377.1371040884</v>
      </c>
    </row>
    <row r="54" spans="1:19" x14ac:dyDescent="0.25">
      <c r="A54" s="1" t="s">
        <v>173</v>
      </c>
      <c r="B54" s="3">
        <v>711139.65359999996</v>
      </c>
      <c r="C54" s="3">
        <v>118027.5131</v>
      </c>
      <c r="D54" s="3">
        <v>829167.16670000029</v>
      </c>
      <c r="F54" s="14">
        <f t="shared" si="4"/>
        <v>45888</v>
      </c>
      <c r="G54" s="16">
        <f>_xlfn.XLOOKUP(F54,FX!$A$12:$A$910,FX!$B$12:$B$910,"",-1)</f>
        <v>1.095</v>
      </c>
      <c r="H54" s="3">
        <f t="shared" si="0"/>
        <v>649442.60602739721</v>
      </c>
      <c r="I54" s="3">
        <f t="shared" si="1"/>
        <v>107787.68319634703</v>
      </c>
      <c r="J54" s="3">
        <f t="shared" si="2"/>
        <v>757230.2892237443</v>
      </c>
      <c r="L54" s="1" t="s">
        <v>173</v>
      </c>
      <c r="M54" s="3">
        <v>335148.3187999996</v>
      </c>
      <c r="N54" s="3">
        <v>3838227.4342999938</v>
      </c>
      <c r="O54" s="3">
        <v>630649.42829999991</v>
      </c>
      <c r="P54" s="3">
        <v>0</v>
      </c>
      <c r="Q54" s="3">
        <v>4804025.1814000132</v>
      </c>
      <c r="S54" s="3">
        <f t="shared" si="3"/>
        <v>5226107.1518237377</v>
      </c>
    </row>
    <row r="55" spans="1:19" x14ac:dyDescent="0.25">
      <c r="A55" s="1" t="s">
        <v>174</v>
      </c>
      <c r="B55" s="3">
        <v>861359.68500000087</v>
      </c>
      <c r="C55" s="3">
        <v>133513.57599999994</v>
      </c>
      <c r="D55" s="3">
        <v>994873.26100000134</v>
      </c>
      <c r="F55" s="14">
        <f t="shared" si="4"/>
        <v>45895</v>
      </c>
      <c r="G55" s="16">
        <f>_xlfn.XLOOKUP(F55,FX!$A$12:$A$910,FX!$B$12:$B$910,"",-1)</f>
        <v>1.1095999999999999</v>
      </c>
      <c r="H55" s="3">
        <f t="shared" si="0"/>
        <v>776279.45656092372</v>
      </c>
      <c r="I55" s="3">
        <f t="shared" si="1"/>
        <v>120325.86157173752</v>
      </c>
      <c r="J55" s="3">
        <f t="shared" si="2"/>
        <v>896605.31813266128</v>
      </c>
      <c r="L55" s="1" t="s">
        <v>174</v>
      </c>
      <c r="M55" s="3">
        <v>345281.98959999962</v>
      </c>
      <c r="N55" s="3">
        <v>4637102.9945999747</v>
      </c>
      <c r="O55" s="3">
        <v>691745.57900000038</v>
      </c>
      <c r="P55" s="3">
        <v>0</v>
      </c>
      <c r="Q55" s="3">
        <v>5674130.563199996</v>
      </c>
      <c r="S55" s="3">
        <f t="shared" si="3"/>
        <v>6225453.8917326368</v>
      </c>
    </row>
    <row r="56" spans="1:19" x14ac:dyDescent="0.25">
      <c r="A56" s="1" t="s">
        <v>175</v>
      </c>
      <c r="B56" s="3">
        <v>892343.23510000005</v>
      </c>
      <c r="C56" s="3">
        <v>147686.78569999995</v>
      </c>
      <c r="D56" s="3">
        <v>1040030.0208000005</v>
      </c>
      <c r="F56" s="14">
        <f t="shared" si="4"/>
        <v>45902</v>
      </c>
      <c r="G56" s="16">
        <f>_xlfn.XLOOKUP(F56,FX!$A$12:$A$910,FX!$B$12:$B$910,"",-1)</f>
        <v>1.1113</v>
      </c>
      <c r="H56" s="3">
        <f t="shared" si="0"/>
        <v>802972.40628093237</v>
      </c>
      <c r="I56" s="3">
        <f t="shared" si="1"/>
        <v>132895.51489246823</v>
      </c>
      <c r="J56" s="3">
        <f t="shared" si="2"/>
        <v>935867.92117340059</v>
      </c>
      <c r="L56" s="1" t="s">
        <v>175</v>
      </c>
      <c r="M56" s="3">
        <v>284390.62499999988</v>
      </c>
      <c r="N56" s="3">
        <v>4733535.1984999916</v>
      </c>
      <c r="O56" s="3">
        <v>848933.34120000468</v>
      </c>
      <c r="P56" s="3">
        <v>0</v>
      </c>
      <c r="Q56" s="3">
        <v>5866859.1647000024</v>
      </c>
      <c r="S56" s="3">
        <f t="shared" si="3"/>
        <v>6518336.4608733961</v>
      </c>
    </row>
    <row r="57" spans="1:19" x14ac:dyDescent="0.25">
      <c r="A57" s="1" t="s">
        <v>176</v>
      </c>
      <c r="B57" s="3">
        <v>812370.17169999972</v>
      </c>
      <c r="C57" s="3">
        <v>143856.69820000004</v>
      </c>
      <c r="D57" s="3">
        <v>956226.86990000203</v>
      </c>
      <c r="F57" s="14">
        <f t="shared" si="4"/>
        <v>45909</v>
      </c>
      <c r="G57" s="16">
        <f>_xlfn.XLOOKUP(F57,FX!$A$12:$A$910,FX!$B$12:$B$910,"",-1)</f>
        <v>1.1107</v>
      </c>
      <c r="H57" s="3">
        <f t="shared" si="0"/>
        <v>731403.7739263525</v>
      </c>
      <c r="I57" s="3">
        <f t="shared" si="1"/>
        <v>129518.95039164495</v>
      </c>
      <c r="J57" s="3">
        <f t="shared" si="2"/>
        <v>860922.72431799746</v>
      </c>
      <c r="L57" s="1" t="s">
        <v>176</v>
      </c>
      <c r="M57" s="3">
        <v>305195.25159999932</v>
      </c>
      <c r="N57" s="3">
        <v>4782166.0079000052</v>
      </c>
      <c r="O57" s="3">
        <v>843311.69150000112</v>
      </c>
      <c r="P57" s="3">
        <v>0</v>
      </c>
      <c r="Q57" s="3">
        <v>5930672.9510000199</v>
      </c>
      <c r="S57" s="3">
        <f t="shared" si="3"/>
        <v>6486400.4237180036</v>
      </c>
    </row>
    <row r="58" spans="1:19" x14ac:dyDescent="0.25">
      <c r="A58" s="1" t="s">
        <v>177</v>
      </c>
      <c r="B58" s="3">
        <v>575091.2094999986</v>
      </c>
      <c r="C58" s="3">
        <v>42540.96390000001</v>
      </c>
      <c r="D58" s="3">
        <v>617632.17339999881</v>
      </c>
      <c r="F58" s="14">
        <f t="shared" si="4"/>
        <v>45916</v>
      </c>
      <c r="G58" s="16">
        <f>_xlfn.XLOOKUP(F58,FX!$A$12:$A$910,FX!$B$12:$B$910,"",-1)</f>
        <v>1.1168</v>
      </c>
      <c r="H58" s="3">
        <f t="shared" si="0"/>
        <v>514945.56724570075</v>
      </c>
      <c r="I58" s="3">
        <f t="shared" si="1"/>
        <v>38091.837303008608</v>
      </c>
      <c r="J58" s="3">
        <f t="shared" si="2"/>
        <v>553037.4045487094</v>
      </c>
      <c r="L58" s="1" t="s">
        <v>177</v>
      </c>
      <c r="M58" s="3">
        <v>337827.4771999988</v>
      </c>
      <c r="N58" s="3">
        <v>4240874.9207999948</v>
      </c>
      <c r="O58" s="3">
        <v>637471.59290000168</v>
      </c>
      <c r="P58" s="3">
        <v>0</v>
      </c>
      <c r="Q58" s="3">
        <v>5216173.9908999857</v>
      </c>
      <c r="S58" s="3">
        <f t="shared" si="3"/>
        <v>5431383.9182487056</v>
      </c>
    </row>
    <row r="59" spans="1:19" x14ac:dyDescent="0.25">
      <c r="A59" s="1" t="s">
        <v>178</v>
      </c>
      <c r="B59" s="3">
        <v>627717.44060000021</v>
      </c>
      <c r="C59" s="3">
        <v>132290.89380000002</v>
      </c>
      <c r="D59" s="3">
        <v>760008.33440000052</v>
      </c>
      <c r="F59" s="14">
        <f t="shared" si="4"/>
        <v>45923</v>
      </c>
      <c r="G59" s="16">
        <f>_xlfn.XLOOKUP(F59,FX!$A$12:$A$910,FX!$B$12:$B$910,"",-1)</f>
        <v>1.1258999999999999</v>
      </c>
      <c r="H59" s="3">
        <f t="shared" si="0"/>
        <v>557525.03828048694</v>
      </c>
      <c r="I59" s="3">
        <f t="shared" si="1"/>
        <v>117497.90727418069</v>
      </c>
      <c r="J59" s="3">
        <f t="shared" si="2"/>
        <v>675022.94555466762</v>
      </c>
      <c r="L59" s="1" t="s">
        <v>178</v>
      </c>
      <c r="M59" s="3">
        <v>411074.66909999884</v>
      </c>
      <c r="N59" s="3">
        <v>3998323.627000005</v>
      </c>
      <c r="O59" s="3">
        <v>572565.53590000118</v>
      </c>
      <c r="P59" s="3">
        <v>0</v>
      </c>
      <c r="Q59" s="3">
        <v>4981963.8319999762</v>
      </c>
      <c r="S59" s="3">
        <f t="shared" si="3"/>
        <v>5245912.1084546736</v>
      </c>
    </row>
    <row r="60" spans="1:19" x14ac:dyDescent="0.25">
      <c r="A60" s="1" t="s">
        <v>22</v>
      </c>
      <c r="B60" s="3">
        <v>770748.49740000139</v>
      </c>
      <c r="C60" s="3">
        <v>106861.90700000004</v>
      </c>
      <c r="D60" s="3">
        <v>877610.40440000081</v>
      </c>
      <c r="F60" s="14">
        <f t="shared" si="4"/>
        <v>45930</v>
      </c>
      <c r="G60" s="16">
        <f>_xlfn.XLOOKUP(F60,FX!$A$12:$A$910,FX!$B$12:$B$910,"",-1)</f>
        <v>1.141</v>
      </c>
      <c r="H60" s="3">
        <f t="shared" ref="H60:H123" si="5">B60/$G60</f>
        <v>675502.62699386629</v>
      </c>
      <c r="I60" s="3">
        <f t="shared" ref="I60:I123" si="6">C60/$G60</f>
        <v>93656.360210341838</v>
      </c>
      <c r="J60" s="3">
        <f t="shared" ref="J60:J123" si="7">H60+I60</f>
        <v>769158.98720420816</v>
      </c>
      <c r="L60" s="1" t="s">
        <v>22</v>
      </c>
      <c r="M60" s="3">
        <v>431537.96329999925</v>
      </c>
      <c r="N60" s="3">
        <v>4388629.3198000137</v>
      </c>
      <c r="O60" s="3">
        <v>660083.60230000073</v>
      </c>
      <c r="P60" s="3"/>
      <c r="Q60" s="3">
        <v>5480250.885399987</v>
      </c>
      <c r="S60" s="3">
        <f t="shared" si="3"/>
        <v>5817871.9093042221</v>
      </c>
    </row>
    <row r="61" spans="1:19" x14ac:dyDescent="0.25">
      <c r="A61" s="1" t="s">
        <v>23</v>
      </c>
      <c r="B61" s="3">
        <v>822827.10039999988</v>
      </c>
      <c r="C61" s="3">
        <v>172356.47740000015</v>
      </c>
      <c r="D61" s="3">
        <v>995183.57779999985</v>
      </c>
      <c r="F61" s="14">
        <f t="shared" si="4"/>
        <v>45937</v>
      </c>
      <c r="G61" s="16">
        <f>_xlfn.XLOOKUP(F61,FX!$A$12:$A$910,FX!$B$12:$B$910,"",-1)</f>
        <v>1.1347</v>
      </c>
      <c r="H61" s="3">
        <f t="shared" si="5"/>
        <v>725149.46717193956</v>
      </c>
      <c r="I61" s="3">
        <f t="shared" si="6"/>
        <v>151896.07596721614</v>
      </c>
      <c r="J61" s="3">
        <f t="shared" si="7"/>
        <v>877045.54313915572</v>
      </c>
      <c r="L61" s="1" t="s">
        <v>23</v>
      </c>
      <c r="M61" s="3">
        <v>496870.92340000032</v>
      </c>
      <c r="N61" s="3">
        <v>4583915.0949999923</v>
      </c>
      <c r="O61" s="3">
        <v>864820.33190000069</v>
      </c>
      <c r="P61" s="3"/>
      <c r="Q61" s="3">
        <v>5945606.3503000038</v>
      </c>
      <c r="S61" s="3">
        <f t="shared" si="3"/>
        <v>6325780.9700391488</v>
      </c>
    </row>
    <row r="62" spans="1:19" x14ac:dyDescent="0.25">
      <c r="A62" s="1" t="s">
        <v>24</v>
      </c>
      <c r="B62" s="3">
        <v>762108.14519999933</v>
      </c>
      <c r="C62" s="3">
        <v>125729.36519999993</v>
      </c>
      <c r="D62" s="3">
        <v>887837.51039999956</v>
      </c>
      <c r="F62" s="14">
        <f t="shared" si="4"/>
        <v>45944</v>
      </c>
      <c r="G62" s="16">
        <f>_xlfn.XLOOKUP(F62,FX!$A$12:$A$910,FX!$B$12:$B$910,"",-1)</f>
        <v>1.1352</v>
      </c>
      <c r="H62" s="3">
        <f t="shared" si="5"/>
        <v>671342.62262156385</v>
      </c>
      <c r="I62" s="3">
        <f t="shared" si="6"/>
        <v>110755.25475687097</v>
      </c>
      <c r="J62" s="3">
        <f t="shared" si="7"/>
        <v>782097.87737843487</v>
      </c>
      <c r="L62" s="1" t="s">
        <v>24</v>
      </c>
      <c r="M62" s="3">
        <v>382413.24529999983</v>
      </c>
      <c r="N62" s="3">
        <v>3952360.5956999911</v>
      </c>
      <c r="O62" s="3">
        <v>734055.83549999993</v>
      </c>
      <c r="P62" s="3"/>
      <c r="Q62" s="3">
        <v>5068829.6764999973</v>
      </c>
      <c r="S62" s="3">
        <f t="shared" si="3"/>
        <v>5468514.308578426</v>
      </c>
    </row>
    <row r="63" spans="1:19" x14ac:dyDescent="0.25">
      <c r="A63" s="1" t="s">
        <v>25</v>
      </c>
      <c r="B63" s="3">
        <v>1217440.9343999976</v>
      </c>
      <c r="C63" s="3">
        <v>269387.45450000028</v>
      </c>
      <c r="D63" s="3">
        <v>1486828.3888999994</v>
      </c>
      <c r="F63" s="14">
        <f t="shared" si="4"/>
        <v>45951</v>
      </c>
      <c r="G63" s="16">
        <f>_xlfn.XLOOKUP(F63,FX!$A$12:$A$910,FX!$B$12:$B$910,"",-1)</f>
        <v>1.1351</v>
      </c>
      <c r="H63" s="3">
        <f t="shared" si="5"/>
        <v>1072540.6875165163</v>
      </c>
      <c r="I63" s="3">
        <f t="shared" si="6"/>
        <v>237324.8652101139</v>
      </c>
      <c r="J63" s="3">
        <f t="shared" si="7"/>
        <v>1309865.5527266301</v>
      </c>
      <c r="L63" s="1" t="s">
        <v>25</v>
      </c>
      <c r="M63" s="3">
        <v>695779.86379999714</v>
      </c>
      <c r="N63" s="3">
        <v>6951189.2021999937</v>
      </c>
      <c r="O63" s="3">
        <v>1422808.7283000017</v>
      </c>
      <c r="P63" s="3"/>
      <c r="Q63" s="3">
        <v>9069777.7943000533</v>
      </c>
      <c r="S63" s="3">
        <f t="shared" si="3"/>
        <v>9683863.4832266252</v>
      </c>
    </row>
    <row r="64" spans="1:19" x14ac:dyDescent="0.25">
      <c r="A64" s="1" t="s">
        <v>26</v>
      </c>
      <c r="B64" s="3">
        <v>1029038.1778999997</v>
      </c>
      <c r="C64" s="3">
        <v>241426.11100000006</v>
      </c>
      <c r="D64" s="3">
        <v>1270464.2889000019</v>
      </c>
      <c r="F64" s="14">
        <f t="shared" si="4"/>
        <v>45958</v>
      </c>
      <c r="G64" s="16">
        <f>_xlfn.XLOOKUP(F64,FX!$A$12:$A$910,FX!$B$12:$B$910,"",-1)</f>
        <v>1.1351</v>
      </c>
      <c r="H64" s="3">
        <f t="shared" si="5"/>
        <v>906561.69315478788</v>
      </c>
      <c r="I64" s="3">
        <f t="shared" si="6"/>
        <v>212691.4906175668</v>
      </c>
      <c r="J64" s="3">
        <f t="shared" si="7"/>
        <v>1119253.1837723546</v>
      </c>
      <c r="L64" s="1" t="s">
        <v>26</v>
      </c>
      <c r="M64" s="3">
        <v>533868.94640000036</v>
      </c>
      <c r="N64" s="3">
        <v>4886511.6234000204</v>
      </c>
      <c r="O64" s="3">
        <v>1208223.3998000012</v>
      </c>
      <c r="P64" s="3"/>
      <c r="Q64" s="3">
        <v>6628603.9696000041</v>
      </c>
      <c r="S64" s="3">
        <f t="shared" si="3"/>
        <v>7213988.2069723755</v>
      </c>
    </row>
    <row r="65" spans="1:19" x14ac:dyDescent="0.25">
      <c r="A65" s="1" t="s">
        <v>27</v>
      </c>
      <c r="B65" s="3">
        <v>759011.28050000151</v>
      </c>
      <c r="C65" s="3">
        <v>144294.47099999999</v>
      </c>
      <c r="D65" s="3">
        <v>903305.75150000153</v>
      </c>
      <c r="F65" s="14">
        <f t="shared" si="4"/>
        <v>45965</v>
      </c>
      <c r="G65" s="16">
        <f>_xlfn.XLOOKUP(F65,FX!$A$12:$A$910,FX!$B$12:$B$910,"",-1)</f>
        <v>1.1482000000000001</v>
      </c>
      <c r="H65" s="3">
        <f t="shared" si="5"/>
        <v>661044.48745863209</v>
      </c>
      <c r="I65" s="3">
        <f t="shared" si="6"/>
        <v>125670.1541543285</v>
      </c>
      <c r="J65" s="3">
        <f t="shared" si="7"/>
        <v>786714.64161296061</v>
      </c>
      <c r="L65" s="1" t="s">
        <v>27</v>
      </c>
      <c r="M65" s="3">
        <v>552401.85360000038</v>
      </c>
      <c r="N65" s="3">
        <v>4722660.4241000246</v>
      </c>
      <c r="O65" s="3">
        <v>929385.22630000161</v>
      </c>
      <c r="P65" s="3"/>
      <c r="Q65" s="3">
        <v>6204447.504000009</v>
      </c>
      <c r="S65" s="3">
        <f t="shared" si="3"/>
        <v>6438760.2920129877</v>
      </c>
    </row>
    <row r="66" spans="1:19" x14ac:dyDescent="0.25">
      <c r="A66" s="1" t="s">
        <v>28</v>
      </c>
      <c r="B66" s="3">
        <v>774112.63300000003</v>
      </c>
      <c r="C66" s="3">
        <v>168172.8714</v>
      </c>
      <c r="D66" s="3">
        <v>942285.50439999788</v>
      </c>
      <c r="F66" s="14">
        <f t="shared" si="4"/>
        <v>45972</v>
      </c>
      <c r="G66" s="16">
        <f>_xlfn.XLOOKUP(F66,FX!$A$12:$A$910,FX!$B$12:$B$910,"",-1)</f>
        <v>1.1569</v>
      </c>
      <c r="H66" s="3">
        <f t="shared" si="5"/>
        <v>669126.66003976145</v>
      </c>
      <c r="I66" s="3">
        <f t="shared" si="6"/>
        <v>145365.0889445933</v>
      </c>
      <c r="J66" s="3">
        <f t="shared" si="7"/>
        <v>814491.74898435478</v>
      </c>
      <c r="L66" s="1" t="s">
        <v>28</v>
      </c>
      <c r="M66" s="3">
        <v>698777.41999999888</v>
      </c>
      <c r="N66" s="3">
        <v>4453606.5604999829</v>
      </c>
      <c r="O66" s="3">
        <v>811783.19259999937</v>
      </c>
      <c r="P66" s="3"/>
      <c r="Q66" s="3">
        <v>5964167.1730999686</v>
      </c>
      <c r="S66" s="3">
        <f t="shared" si="3"/>
        <v>6079881.5020843372</v>
      </c>
    </row>
    <row r="67" spans="1:19" x14ac:dyDescent="0.25">
      <c r="A67" s="1" t="s">
        <v>29</v>
      </c>
      <c r="B67" s="3">
        <v>1145270.8686999995</v>
      </c>
      <c r="C67" s="3">
        <v>187443.50169999999</v>
      </c>
      <c r="D67" s="3">
        <v>1332714.370400002</v>
      </c>
      <c r="F67" s="14">
        <f t="shared" si="4"/>
        <v>45979</v>
      </c>
      <c r="G67" s="16">
        <f>_xlfn.XLOOKUP(F67,FX!$A$12:$A$910,FX!$B$12:$B$910,"",-1)</f>
        <v>1.1469</v>
      </c>
      <c r="H67" s="3">
        <f t="shared" si="5"/>
        <v>998579.5350074108</v>
      </c>
      <c r="I67" s="3">
        <f t="shared" si="6"/>
        <v>163434.91298282324</v>
      </c>
      <c r="J67" s="3">
        <f t="shared" si="7"/>
        <v>1162014.447990234</v>
      </c>
      <c r="L67" s="1" t="s">
        <v>29</v>
      </c>
      <c r="M67" s="3">
        <v>755703.22969999979</v>
      </c>
      <c r="N67" s="3">
        <v>4768905.352600011</v>
      </c>
      <c r="O67" s="3">
        <v>910188.72120000073</v>
      </c>
      <c r="P67" s="3"/>
      <c r="Q67" s="3">
        <v>6434797.3034999752</v>
      </c>
      <c r="S67" s="3">
        <f t="shared" si="3"/>
        <v>6841108.5217902455</v>
      </c>
    </row>
    <row r="68" spans="1:19" x14ac:dyDescent="0.25">
      <c r="A68" s="1" t="s">
        <v>30</v>
      </c>
      <c r="B68" s="3">
        <v>2582699.1374999965</v>
      </c>
      <c r="C68" s="3">
        <v>583520.27389999991</v>
      </c>
      <c r="D68" s="3">
        <v>3166219.411400002</v>
      </c>
      <c r="F68" s="14">
        <f t="shared" si="4"/>
        <v>45986</v>
      </c>
      <c r="G68" s="16">
        <f>_xlfn.XLOOKUP(F68,FX!$A$12:$A$910,FX!$B$12:$B$910,"",-1)</f>
        <v>1.1523000000000001</v>
      </c>
      <c r="H68" s="3">
        <f t="shared" si="5"/>
        <v>2241342.651653212</v>
      </c>
      <c r="I68" s="3">
        <f t="shared" si="6"/>
        <v>506396.14154300082</v>
      </c>
      <c r="J68" s="3">
        <f t="shared" si="7"/>
        <v>2747738.793196213</v>
      </c>
      <c r="L68" s="1" t="s">
        <v>30</v>
      </c>
      <c r="M68" s="3">
        <v>2178650.9423999982</v>
      </c>
      <c r="N68" s="3">
        <v>14899411.237099983</v>
      </c>
      <c r="O68" s="3">
        <v>4406228.1354999915</v>
      </c>
      <c r="P68" s="3"/>
      <c r="Q68" s="3">
        <v>21484290.314999979</v>
      </c>
      <c r="S68" s="3">
        <f t="shared" si="3"/>
        <v>22053378.165796187</v>
      </c>
    </row>
    <row r="69" spans="1:19" x14ac:dyDescent="0.25">
      <c r="A69" s="1" t="s">
        <v>31</v>
      </c>
      <c r="B69" s="3">
        <v>1403619.4847000057</v>
      </c>
      <c r="C69" s="3">
        <v>409370.19419999985</v>
      </c>
      <c r="D69" s="3">
        <v>1812989.6789000044</v>
      </c>
      <c r="F69" s="14">
        <f t="shared" si="4"/>
        <v>45993</v>
      </c>
      <c r="G69" s="16">
        <f>_xlfn.XLOOKUP(F69,FX!$A$12:$A$910,FX!$B$12:$B$910,"",-1)</f>
        <v>1.1440999999999999</v>
      </c>
      <c r="H69" s="3">
        <f t="shared" si="5"/>
        <v>1226832.8683681549</v>
      </c>
      <c r="I69" s="3">
        <f t="shared" si="6"/>
        <v>357809.80176557985</v>
      </c>
      <c r="J69" s="3">
        <f t="shared" si="7"/>
        <v>1584642.6701337346</v>
      </c>
      <c r="L69" s="1" t="s">
        <v>31</v>
      </c>
      <c r="M69" s="3">
        <v>1990049.4615999956</v>
      </c>
      <c r="N69" s="3">
        <v>7773847.3356000101</v>
      </c>
      <c r="O69" s="3">
        <v>2675191.4007000099</v>
      </c>
      <c r="P69" s="3"/>
      <c r="Q69" s="3">
        <v>12439088.197899982</v>
      </c>
      <c r="S69" s="3">
        <f t="shared" si="3"/>
        <v>12033681.406433756</v>
      </c>
    </row>
    <row r="70" spans="1:19" x14ac:dyDescent="0.25">
      <c r="A70" s="1" t="s">
        <v>32</v>
      </c>
      <c r="B70" s="3">
        <v>649380.36530000053</v>
      </c>
      <c r="C70" s="3">
        <v>188367.92709999997</v>
      </c>
      <c r="D70" s="3">
        <v>837748.29239999992</v>
      </c>
      <c r="F70" s="14">
        <f t="shared" si="4"/>
        <v>46000</v>
      </c>
      <c r="G70" s="16">
        <f>_xlfn.XLOOKUP(F70,FX!$A$12:$A$910,FX!$B$12:$B$910,"",-1)</f>
        <v>1.1479999999999999</v>
      </c>
      <c r="H70" s="3">
        <f t="shared" si="5"/>
        <v>565662.33911149879</v>
      </c>
      <c r="I70" s="3">
        <f t="shared" si="6"/>
        <v>164083.56019163763</v>
      </c>
      <c r="J70" s="3">
        <f t="shared" si="7"/>
        <v>729745.89930313639</v>
      </c>
      <c r="L70" s="1" t="s">
        <v>32</v>
      </c>
      <c r="M70" s="3">
        <v>567432.9165000004</v>
      </c>
      <c r="N70" s="3">
        <v>3704503.467200004</v>
      </c>
      <c r="O70" s="3">
        <v>921785.42549999896</v>
      </c>
      <c r="P70" s="3"/>
      <c r="Q70" s="3">
        <v>5193721.8091999944</v>
      </c>
      <c r="S70" s="3">
        <f t="shared" si="3"/>
        <v>5356034.7920031389</v>
      </c>
    </row>
    <row r="71" spans="1:19" x14ac:dyDescent="0.25">
      <c r="A71" s="1" t="s">
        <v>33</v>
      </c>
      <c r="B71" s="3">
        <v>680450.66299999901</v>
      </c>
      <c r="C71" s="3">
        <v>113963.64129999997</v>
      </c>
      <c r="D71" s="3">
        <v>794414.30429999996</v>
      </c>
      <c r="F71" s="14">
        <f t="shared" si="4"/>
        <v>46007</v>
      </c>
      <c r="G71" s="16">
        <f>_xlfn.XLOOKUP(F71,FX!$A$12:$A$910,FX!$B$12:$B$910,"",-1)</f>
        <v>1.1483000000000001</v>
      </c>
      <c r="H71" s="3">
        <f t="shared" si="5"/>
        <v>592572.20499869285</v>
      </c>
      <c r="I71" s="3">
        <f t="shared" si="6"/>
        <v>99245.529304188763</v>
      </c>
      <c r="J71" s="3">
        <f t="shared" si="7"/>
        <v>691817.73430288164</v>
      </c>
      <c r="L71" s="1" t="s">
        <v>33</v>
      </c>
      <c r="M71" s="3">
        <v>244618.06339999993</v>
      </c>
      <c r="N71" s="3">
        <v>3559268.9495000038</v>
      </c>
      <c r="O71" s="3">
        <v>618084.33349999855</v>
      </c>
      <c r="P71" s="3"/>
      <c r="Q71" s="3">
        <v>4421971.3464000141</v>
      </c>
      <c r="S71" s="3">
        <f t="shared" si="3"/>
        <v>4869171.0173028847</v>
      </c>
    </row>
    <row r="72" spans="1:19" x14ac:dyDescent="0.25">
      <c r="A72" s="1" t="s">
        <v>34</v>
      </c>
      <c r="B72" s="3">
        <v>1332535.4142999961</v>
      </c>
      <c r="C72" s="3">
        <v>280398.12620000029</v>
      </c>
      <c r="D72" s="3">
        <v>1612933.5404999964</v>
      </c>
      <c r="F72" s="14">
        <f t="shared" si="4"/>
        <v>46014</v>
      </c>
      <c r="G72" s="16">
        <f>_xlfn.XLOOKUP(F72,FX!$A$12:$A$910,FX!$B$12:$B$910,"",-1)</f>
        <v>1.1469</v>
      </c>
      <c r="H72" s="3">
        <f t="shared" si="5"/>
        <v>1161858.4133751818</v>
      </c>
      <c r="I72" s="3">
        <f t="shared" si="6"/>
        <v>244483.50004359602</v>
      </c>
      <c r="J72" s="3">
        <f t="shared" si="7"/>
        <v>1406341.9134187778</v>
      </c>
      <c r="L72" s="1" t="s">
        <v>34</v>
      </c>
      <c r="M72" s="3">
        <v>610319.26829999953</v>
      </c>
      <c r="N72" s="3">
        <v>7782049.624800046</v>
      </c>
      <c r="O72" s="3">
        <v>1602454.4590000007</v>
      </c>
      <c r="P72" s="3"/>
      <c r="Q72" s="3">
        <v>9994823.3521000706</v>
      </c>
      <c r="S72" s="3">
        <f t="shared" si="3"/>
        <v>10790845.997218825</v>
      </c>
    </row>
    <row r="73" spans="1:19" x14ac:dyDescent="0.25">
      <c r="A73" s="1" t="s">
        <v>35</v>
      </c>
      <c r="B73" s="3">
        <v>1142820.102900001</v>
      </c>
      <c r="C73" s="3">
        <v>252878.66259999998</v>
      </c>
      <c r="D73" s="3">
        <v>1395698.7654999949</v>
      </c>
      <c r="F73" s="14">
        <f t="shared" si="4"/>
        <v>46021</v>
      </c>
      <c r="G73" s="16">
        <f>_xlfn.XLOOKUP(F73,FX!$A$12:$A$910,FX!$B$12:$B$910,"",-1)</f>
        <v>1.1543000000000001</v>
      </c>
      <c r="H73" s="3">
        <f t="shared" si="5"/>
        <v>990054.66767738096</v>
      </c>
      <c r="I73" s="3">
        <f t="shared" si="6"/>
        <v>219075.33795373817</v>
      </c>
      <c r="J73" s="3">
        <f t="shared" si="7"/>
        <v>1209130.005631119</v>
      </c>
      <c r="L73" s="1" t="s">
        <v>35</v>
      </c>
      <c r="M73" s="3">
        <v>621422.59299999999</v>
      </c>
      <c r="N73" s="3">
        <v>6448326.3389000166</v>
      </c>
      <c r="O73" s="3">
        <v>1592940.437399999</v>
      </c>
      <c r="P73" s="3"/>
      <c r="Q73" s="3">
        <v>8662689.369300006</v>
      </c>
      <c r="S73" s="3">
        <f t="shared" ref="S73:S136" si="8">J73+N73+O73</f>
        <v>9250396.7819311339</v>
      </c>
    </row>
    <row r="74" spans="1:19" x14ac:dyDescent="0.25">
      <c r="A74" s="1" t="s">
        <v>36</v>
      </c>
      <c r="B74" s="3">
        <v>828569.28919999988</v>
      </c>
      <c r="C74" s="3">
        <v>166591.88870000001</v>
      </c>
      <c r="D74" s="3">
        <v>995161.17790000059</v>
      </c>
      <c r="F74" s="14">
        <f t="shared" ref="F74:F137" si="9">F73+7</f>
        <v>46028</v>
      </c>
      <c r="G74" s="16">
        <f>_xlfn.XLOOKUP(F74,FX!$A$12:$A$910,FX!$B$12:$B$910,"",-1)</f>
        <v>1.1598999999999999</v>
      </c>
      <c r="H74" s="3">
        <f t="shared" si="5"/>
        <v>714345.45150443993</v>
      </c>
      <c r="I74" s="3">
        <f t="shared" si="6"/>
        <v>143626.07871368222</v>
      </c>
      <c r="J74" s="3">
        <f t="shared" si="7"/>
        <v>857971.53021812218</v>
      </c>
      <c r="L74" s="1" t="s">
        <v>36</v>
      </c>
      <c r="M74" s="3">
        <v>470332.75400000007</v>
      </c>
      <c r="N74" s="3">
        <v>4949045.9050000031</v>
      </c>
      <c r="O74" s="3">
        <v>798431.68449999893</v>
      </c>
      <c r="P74" s="3"/>
      <c r="Q74" s="3">
        <v>6217810.343500006</v>
      </c>
      <c r="S74" s="3">
        <f t="shared" si="8"/>
        <v>6605449.1197181242</v>
      </c>
    </row>
    <row r="75" spans="1:19" x14ac:dyDescent="0.25">
      <c r="A75" s="1" t="s">
        <v>37</v>
      </c>
      <c r="B75" s="3">
        <v>871141.82650000125</v>
      </c>
      <c r="C75" s="3">
        <v>176050.02580000003</v>
      </c>
      <c r="D75" s="3">
        <v>1047191.8523000013</v>
      </c>
      <c r="F75" s="14">
        <f t="shared" si="9"/>
        <v>46035</v>
      </c>
      <c r="G75" s="16">
        <f>_xlfn.XLOOKUP(F75,FX!$A$12:$A$910,FX!$B$12:$B$910,"",-1)</f>
        <v>1.1613</v>
      </c>
      <c r="H75" s="3">
        <f t="shared" si="5"/>
        <v>750143.65495565417</v>
      </c>
      <c r="I75" s="3">
        <f t="shared" si="6"/>
        <v>151597.370016361</v>
      </c>
      <c r="J75" s="3">
        <f t="shared" si="7"/>
        <v>901741.02497201518</v>
      </c>
      <c r="L75" s="1" t="s">
        <v>37</v>
      </c>
      <c r="M75" s="3">
        <v>550595.64469999867</v>
      </c>
      <c r="N75" s="3">
        <v>4822503.3171000052</v>
      </c>
      <c r="O75" s="3">
        <v>850534.98049999797</v>
      </c>
      <c r="P75" s="3"/>
      <c r="Q75" s="3">
        <v>6223633.9422999723</v>
      </c>
      <c r="S75" s="3">
        <f t="shared" si="8"/>
        <v>6574779.322572018</v>
      </c>
    </row>
    <row r="76" spans="1:19" x14ac:dyDescent="0.25">
      <c r="A76" s="1" t="s">
        <v>38</v>
      </c>
      <c r="B76" s="3">
        <v>1169539.6884999995</v>
      </c>
      <c r="C76" s="3">
        <v>247792.65929999985</v>
      </c>
      <c r="D76" s="3">
        <v>1417332.347800009</v>
      </c>
      <c r="F76" s="14">
        <f t="shared" si="9"/>
        <v>46042</v>
      </c>
      <c r="G76" s="16">
        <f>_xlfn.XLOOKUP(F76,FX!$A$12:$A$910,FX!$B$12:$B$910,"",-1)</f>
        <v>1.1553</v>
      </c>
      <c r="H76" s="3">
        <f t="shared" si="5"/>
        <v>1012325.5331948407</v>
      </c>
      <c r="I76" s="3">
        <f t="shared" si="6"/>
        <v>214483.38898987265</v>
      </c>
      <c r="J76" s="3">
        <f t="shared" si="7"/>
        <v>1226808.9221847132</v>
      </c>
      <c r="L76" s="1" t="s">
        <v>38</v>
      </c>
      <c r="M76" s="3">
        <v>855303.22139999527</v>
      </c>
      <c r="N76" s="3">
        <v>7282002.9904000126</v>
      </c>
      <c r="O76" s="3">
        <v>1471626.3038000001</v>
      </c>
      <c r="P76" s="3"/>
      <c r="Q76" s="3">
        <v>9608932.5156000108</v>
      </c>
      <c r="S76" s="3">
        <f t="shared" si="8"/>
        <v>9980438.2163847256</v>
      </c>
    </row>
    <row r="77" spans="1:19" x14ac:dyDescent="0.25">
      <c r="A77" s="1" t="s">
        <v>39</v>
      </c>
      <c r="B77" s="3">
        <v>1183436.9572000003</v>
      </c>
      <c r="C77" s="3">
        <v>200458.61749999982</v>
      </c>
      <c r="D77" s="3">
        <v>1383895.5747000042</v>
      </c>
      <c r="F77" s="14">
        <f t="shared" si="9"/>
        <v>46049</v>
      </c>
      <c r="G77" s="16">
        <f>_xlfn.XLOOKUP(F77,FX!$A$12:$A$910,FX!$B$12:$B$910,"",-1)</f>
        <v>1.1588000000000001</v>
      </c>
      <c r="H77" s="3">
        <f t="shared" si="5"/>
        <v>1021260.7500862963</v>
      </c>
      <c r="I77" s="3">
        <f t="shared" si="6"/>
        <v>172988.10623058319</v>
      </c>
      <c r="J77" s="3">
        <f t="shared" si="7"/>
        <v>1194248.8563168796</v>
      </c>
      <c r="L77" s="1" t="s">
        <v>39</v>
      </c>
      <c r="M77" s="3">
        <v>752664.56709999545</v>
      </c>
      <c r="N77" s="3">
        <v>5954916.2880000323</v>
      </c>
      <c r="O77" s="3">
        <v>1333571.7800999987</v>
      </c>
      <c r="P77" s="3"/>
      <c r="Q77" s="3">
        <v>8041152.6352000516</v>
      </c>
      <c r="S77" s="3">
        <f t="shared" si="8"/>
        <v>8482736.9244169109</v>
      </c>
    </row>
    <row r="78" spans="1:19" x14ac:dyDescent="0.25">
      <c r="A78" s="1" t="s">
        <v>40</v>
      </c>
      <c r="B78" s="3">
        <v>914827.55600000115</v>
      </c>
      <c r="C78" s="3">
        <v>132973.08850000013</v>
      </c>
      <c r="D78" s="3">
        <v>1047800.6445000019</v>
      </c>
      <c r="F78" s="14">
        <f t="shared" si="9"/>
        <v>46056</v>
      </c>
      <c r="G78" s="16">
        <f>_xlfn.XLOOKUP(F78,FX!$A$12:$A$910,FX!$B$12:$B$910,"",-1)</f>
        <v>1.1616</v>
      </c>
      <c r="H78" s="3">
        <f t="shared" si="5"/>
        <v>787558.15771349962</v>
      </c>
      <c r="I78" s="3">
        <f t="shared" si="6"/>
        <v>114474.07756542711</v>
      </c>
      <c r="J78" s="3">
        <f t="shared" si="7"/>
        <v>902032.23527892679</v>
      </c>
      <c r="L78" s="1" t="s">
        <v>40</v>
      </c>
      <c r="M78" s="3">
        <v>404710.16109999962</v>
      </c>
      <c r="N78" s="3">
        <v>2978364.0958999912</v>
      </c>
      <c r="O78" s="3">
        <v>480059.37589999964</v>
      </c>
      <c r="P78" s="3"/>
      <c r="Q78" s="3">
        <v>3863133.632900001</v>
      </c>
      <c r="S78" s="3">
        <f t="shared" si="8"/>
        <v>4360455.7070789179</v>
      </c>
    </row>
    <row r="79" spans="1:19" x14ac:dyDescent="0.25">
      <c r="A79" s="1" t="s">
        <v>41</v>
      </c>
      <c r="B79" s="3">
        <v>615501.52059999958</v>
      </c>
      <c r="C79" s="3">
        <v>86691.517699999968</v>
      </c>
      <c r="D79" s="3">
        <v>702193.03829999967</v>
      </c>
      <c r="F79" s="14">
        <f t="shared" si="9"/>
        <v>46063</v>
      </c>
      <c r="G79" s="16">
        <f>_xlfn.XLOOKUP(F79,FX!$A$12:$A$910,FX!$B$12:$B$910,"",-1)</f>
        <v>1.1717</v>
      </c>
      <c r="H79" s="3">
        <f t="shared" si="5"/>
        <v>525306.41000256001</v>
      </c>
      <c r="I79" s="3">
        <f t="shared" si="6"/>
        <v>73987.810617052121</v>
      </c>
      <c r="J79" s="3">
        <f t="shared" si="7"/>
        <v>599294.22061961214</v>
      </c>
      <c r="L79" s="1" t="s">
        <v>41</v>
      </c>
      <c r="M79" s="3">
        <v>899050.88229999901</v>
      </c>
      <c r="N79" s="3">
        <v>4385384.6649000039</v>
      </c>
      <c r="O79" s="3">
        <v>821126.91860000254</v>
      </c>
      <c r="P79" s="3"/>
      <c r="Q79" s="3">
        <v>6105562.4657999799</v>
      </c>
      <c r="S79" s="3">
        <f t="shared" si="8"/>
        <v>5805805.8041196186</v>
      </c>
    </row>
    <row r="80" spans="1:19" x14ac:dyDescent="0.25">
      <c r="A80" s="1" t="s">
        <v>42</v>
      </c>
      <c r="B80" s="3">
        <v>602994.13570000057</v>
      </c>
      <c r="C80" s="3">
        <v>83728.299599999984</v>
      </c>
      <c r="D80" s="3">
        <v>686722.43530000024</v>
      </c>
      <c r="F80" s="14">
        <f t="shared" si="9"/>
        <v>46070</v>
      </c>
      <c r="G80" s="16">
        <f>_xlfn.XLOOKUP(F80,FX!$A$12:$A$910,FX!$B$12:$B$910,"",-1)</f>
        <v>1.1709000000000001</v>
      </c>
      <c r="H80" s="3">
        <f t="shared" si="5"/>
        <v>514983.46203774918</v>
      </c>
      <c r="I80" s="3">
        <f t="shared" si="6"/>
        <v>71507.643351268242</v>
      </c>
      <c r="J80" s="3">
        <f t="shared" si="7"/>
        <v>586491.10538901738</v>
      </c>
      <c r="L80" s="1" t="s">
        <v>42</v>
      </c>
      <c r="M80" s="3">
        <v>668551.50809999753</v>
      </c>
      <c r="N80" s="3">
        <v>3580081.9478999963</v>
      </c>
      <c r="O80" s="3">
        <v>759597.1805000006</v>
      </c>
      <c r="P80" s="3"/>
      <c r="Q80" s="3">
        <v>5008230.6365000037</v>
      </c>
      <c r="S80" s="3">
        <f t="shared" si="8"/>
        <v>4926170.2337890146</v>
      </c>
    </row>
    <row r="81" spans="1:19" x14ac:dyDescent="0.25">
      <c r="A81" s="1" t="s">
        <v>43</v>
      </c>
      <c r="B81" s="3">
        <v>816300.62230000051</v>
      </c>
      <c r="C81" s="3">
        <v>111061.06979999994</v>
      </c>
      <c r="D81" s="3">
        <v>927361.69210000022</v>
      </c>
      <c r="F81" s="14">
        <f t="shared" si="9"/>
        <v>46077</v>
      </c>
      <c r="G81" s="16">
        <f>_xlfn.XLOOKUP(F81,FX!$A$12:$A$910,FX!$B$12:$B$910,"",-1)</f>
        <v>1.1850000000000001</v>
      </c>
      <c r="H81" s="3">
        <f t="shared" si="5"/>
        <v>688861.28464135062</v>
      </c>
      <c r="I81" s="3">
        <f t="shared" si="6"/>
        <v>93722.421772151836</v>
      </c>
      <c r="J81" s="3">
        <f t="shared" si="7"/>
        <v>782583.70641350246</v>
      </c>
      <c r="L81" s="1" t="s">
        <v>43</v>
      </c>
      <c r="M81" s="3">
        <v>489178.38090000045</v>
      </c>
      <c r="N81" s="3">
        <v>3994062.2156000007</v>
      </c>
      <c r="O81" s="3">
        <v>543526.32240000134</v>
      </c>
      <c r="P81" s="3"/>
      <c r="Q81" s="3">
        <v>5026766.918899999</v>
      </c>
      <c r="S81" s="3">
        <f t="shared" si="8"/>
        <v>5320172.2444135044</v>
      </c>
    </row>
    <row r="82" spans="1:19" x14ac:dyDescent="0.25">
      <c r="A82" s="1" t="s">
        <v>44</v>
      </c>
      <c r="B82" s="3">
        <v>768959.20399999898</v>
      </c>
      <c r="C82" s="3">
        <v>151010.54749999999</v>
      </c>
      <c r="D82" s="3">
        <v>919969.75149999955</v>
      </c>
      <c r="F82" s="14">
        <f t="shared" si="9"/>
        <v>46084</v>
      </c>
      <c r="G82" s="16">
        <f>_xlfn.XLOOKUP(F82,FX!$A$12:$A$910,FX!$B$12:$B$910,"",-1)</f>
        <v>1.1966000000000001</v>
      </c>
      <c r="H82" s="3">
        <f t="shared" si="5"/>
        <v>642620.0935985283</v>
      </c>
      <c r="I82" s="3">
        <f t="shared" si="6"/>
        <v>126199.68870132038</v>
      </c>
      <c r="J82" s="3">
        <f t="shared" si="7"/>
        <v>768819.78229984874</v>
      </c>
      <c r="L82" s="1" t="s">
        <v>44</v>
      </c>
      <c r="M82" s="3">
        <v>307252.54570000031</v>
      </c>
      <c r="N82" s="3">
        <v>3690619.1917000059</v>
      </c>
      <c r="O82" s="3">
        <v>685279.78990000056</v>
      </c>
      <c r="P82" s="3"/>
      <c r="Q82" s="3">
        <v>4683151.5273000067</v>
      </c>
      <c r="S82" s="3">
        <f t="shared" si="8"/>
        <v>5144718.7638998544</v>
      </c>
    </row>
    <row r="83" spans="1:19" x14ac:dyDescent="0.25">
      <c r="A83" s="1" t="s">
        <v>45</v>
      </c>
      <c r="B83" s="3">
        <v>624000.68690000102</v>
      </c>
      <c r="C83" s="3">
        <v>83916.208500000037</v>
      </c>
      <c r="D83" s="3">
        <v>707916.89539999992</v>
      </c>
      <c r="F83" s="14">
        <f t="shared" si="9"/>
        <v>46091</v>
      </c>
      <c r="G83" s="16">
        <f>_xlfn.XLOOKUP(F83,FX!$A$12:$A$910,FX!$B$12:$B$910,"",-1)</f>
        <v>1.1949000000000001</v>
      </c>
      <c r="H83" s="3">
        <f t="shared" si="5"/>
        <v>522220.00744832284</v>
      </c>
      <c r="I83" s="3">
        <f t="shared" si="6"/>
        <v>70228.645493346747</v>
      </c>
      <c r="J83" s="3">
        <f t="shared" si="7"/>
        <v>592448.65294166957</v>
      </c>
      <c r="L83" s="1" t="s">
        <v>45</v>
      </c>
      <c r="M83" s="3">
        <v>293313.87150000094</v>
      </c>
      <c r="N83" s="3">
        <v>3442857.9817999965</v>
      </c>
      <c r="O83" s="3">
        <v>573036.5242000008</v>
      </c>
      <c r="P83" s="3"/>
      <c r="Q83" s="3">
        <v>4309208.3774999976</v>
      </c>
      <c r="S83" s="3">
        <f t="shared" si="8"/>
        <v>4608343.1589416666</v>
      </c>
    </row>
    <row r="84" spans="1:19" x14ac:dyDescent="0.25">
      <c r="A84" s="1" t="s">
        <v>46</v>
      </c>
      <c r="B84" s="3">
        <v>729891.51999999955</v>
      </c>
      <c r="C84" s="3">
        <v>328748.87099999998</v>
      </c>
      <c r="D84" s="3">
        <v>1058640.3909999994</v>
      </c>
      <c r="F84" s="14">
        <f t="shared" si="9"/>
        <v>46098</v>
      </c>
      <c r="G84" s="16">
        <f>_xlfn.XLOOKUP(F84,FX!$A$12:$A$910,FX!$B$12:$B$910,"",-1)</f>
        <v>1.2109000000000001</v>
      </c>
      <c r="H84" s="3">
        <f t="shared" si="5"/>
        <v>602767.79255099467</v>
      </c>
      <c r="I84" s="3">
        <f t="shared" si="6"/>
        <v>271491.34610620199</v>
      </c>
      <c r="J84" s="3">
        <f t="shared" si="7"/>
        <v>874259.13865719666</v>
      </c>
      <c r="L84" s="1" t="s">
        <v>46</v>
      </c>
      <c r="M84" s="3">
        <v>676618.60789999971</v>
      </c>
      <c r="N84" s="3">
        <v>3712361.6915000048</v>
      </c>
      <c r="O84" s="3">
        <v>1436200.4539999969</v>
      </c>
      <c r="P84" s="3"/>
      <c r="Q84" s="3">
        <v>5825180.7534000212</v>
      </c>
      <c r="S84" s="3">
        <f t="shared" si="8"/>
        <v>6022821.2841571989</v>
      </c>
    </row>
    <row r="85" spans="1:19" x14ac:dyDescent="0.25">
      <c r="A85" s="1" t="s">
        <v>47</v>
      </c>
      <c r="B85" s="3">
        <v>657442.1198000001</v>
      </c>
      <c r="C85" s="3">
        <v>120496.35969999996</v>
      </c>
      <c r="D85" s="3">
        <v>777938.47950000037</v>
      </c>
      <c r="F85" s="14">
        <f t="shared" si="9"/>
        <v>46105</v>
      </c>
      <c r="G85" s="16">
        <f>_xlfn.XLOOKUP(F85,FX!$A$12:$A$910,FX!$B$12:$B$910,"",-1)</f>
        <v>1.1949000000000001</v>
      </c>
      <c r="H85" s="3">
        <f t="shared" si="5"/>
        <v>550206.81211816892</v>
      </c>
      <c r="I85" s="3">
        <f t="shared" si="6"/>
        <v>100842.21248640049</v>
      </c>
      <c r="J85" s="3">
        <f t="shared" si="7"/>
        <v>651049.02460456942</v>
      </c>
      <c r="L85" s="1" t="s">
        <v>47</v>
      </c>
      <c r="M85" s="3">
        <v>295758.65660000034</v>
      </c>
      <c r="N85" s="3">
        <v>3883735.1319000074</v>
      </c>
      <c r="O85" s="3">
        <v>524468.88230000017</v>
      </c>
      <c r="P85" s="3"/>
      <c r="Q85" s="3">
        <v>4703962.6708000004</v>
      </c>
      <c r="S85" s="3">
        <f t="shared" si="8"/>
        <v>5059253.0388045777</v>
      </c>
    </row>
    <row r="86" spans="1:19" x14ac:dyDescent="0.25">
      <c r="A86" s="1" t="s">
        <v>48</v>
      </c>
      <c r="B86" s="3">
        <v>808388.28610000119</v>
      </c>
      <c r="C86" s="3">
        <v>89000.321099999928</v>
      </c>
      <c r="D86" s="3">
        <v>897388.60720000055</v>
      </c>
      <c r="F86" s="14">
        <f t="shared" si="9"/>
        <v>46112</v>
      </c>
      <c r="G86" s="16">
        <f>_xlfn.XLOOKUP(F86,FX!$A$12:$A$910,FX!$B$12:$B$910,"",-1)</f>
        <v>1.1992</v>
      </c>
      <c r="H86" s="3">
        <f t="shared" si="5"/>
        <v>674106.30928952736</v>
      </c>
      <c r="I86" s="3">
        <f t="shared" si="6"/>
        <v>74216.411857905201</v>
      </c>
      <c r="J86" s="3">
        <f t="shared" si="7"/>
        <v>748322.72114743257</v>
      </c>
      <c r="L86" s="1" t="s">
        <v>48</v>
      </c>
      <c r="M86" s="3">
        <v>323020.29690000036</v>
      </c>
      <c r="N86" s="3">
        <v>3805277.1298000077</v>
      </c>
      <c r="O86" s="3">
        <v>625630.81609999796</v>
      </c>
      <c r="P86" s="3"/>
      <c r="Q86" s="3">
        <v>4753928.2428000094</v>
      </c>
      <c r="S86" s="3">
        <f t="shared" si="8"/>
        <v>5179230.6670474382</v>
      </c>
    </row>
    <row r="87" spans="1:19" x14ac:dyDescent="0.25">
      <c r="A87" s="1" t="s">
        <v>49</v>
      </c>
      <c r="B87" s="3">
        <v>742448.08929999883</v>
      </c>
      <c r="C87" s="3">
        <v>94546.707600000009</v>
      </c>
      <c r="D87" s="3">
        <v>836994.79689999833</v>
      </c>
      <c r="F87" s="14">
        <f t="shared" si="9"/>
        <v>46119</v>
      </c>
      <c r="G87" s="16">
        <f>_xlfn.XLOOKUP(F87,FX!$A$12:$A$910,FX!$B$12:$B$910,"",-1)</f>
        <v>1.2129000000000001</v>
      </c>
      <c r="H87" s="3">
        <f t="shared" si="5"/>
        <v>612126.38247176085</v>
      </c>
      <c r="I87" s="3">
        <f t="shared" si="6"/>
        <v>77950.950284442253</v>
      </c>
      <c r="J87" s="3">
        <f t="shared" si="7"/>
        <v>690077.33275620313</v>
      </c>
      <c r="L87" s="1" t="s">
        <v>49</v>
      </c>
      <c r="M87" s="3">
        <v>451152.79670000012</v>
      </c>
      <c r="N87" s="3">
        <v>3485787.2009000131</v>
      </c>
      <c r="O87" s="3">
        <v>466862.17099999986</v>
      </c>
      <c r="P87" s="3"/>
      <c r="Q87" s="3">
        <v>4403802.1686000079</v>
      </c>
      <c r="S87" s="3">
        <f t="shared" si="8"/>
        <v>4642726.7046562163</v>
      </c>
    </row>
    <row r="88" spans="1:19" x14ac:dyDescent="0.25">
      <c r="A88" s="1" t="s">
        <v>50</v>
      </c>
      <c r="B88" s="3">
        <v>589336.17800000054</v>
      </c>
      <c r="C88" s="3">
        <v>130111.19640000013</v>
      </c>
      <c r="D88" s="3">
        <v>719447.37439999997</v>
      </c>
      <c r="F88" s="14">
        <f t="shared" si="9"/>
        <v>46126</v>
      </c>
      <c r="G88" s="16">
        <f>_xlfn.XLOOKUP(F88,FX!$A$12:$A$910,FX!$B$12:$B$910,"",-1)</f>
        <v>1.2061999999999999</v>
      </c>
      <c r="H88" s="3">
        <f t="shared" si="5"/>
        <v>488589.10462609894</v>
      </c>
      <c r="I88" s="3">
        <f t="shared" si="6"/>
        <v>107868.6755098658</v>
      </c>
      <c r="J88" s="3">
        <f t="shared" si="7"/>
        <v>596457.78013596474</v>
      </c>
      <c r="L88" s="1" t="s">
        <v>50</v>
      </c>
      <c r="M88" s="3">
        <v>520305.65999999957</v>
      </c>
      <c r="N88" s="3">
        <v>2720977.4599000094</v>
      </c>
      <c r="O88" s="3">
        <v>524329.01700000034</v>
      </c>
      <c r="P88" s="3"/>
      <c r="Q88" s="3">
        <v>3765612.1369000124</v>
      </c>
      <c r="S88" s="3">
        <f t="shared" si="8"/>
        <v>3841764.2570359749</v>
      </c>
    </row>
    <row r="89" spans="1:19" x14ac:dyDescent="0.25">
      <c r="A89" s="1" t="s">
        <v>51</v>
      </c>
      <c r="B89" s="3">
        <v>1322766.845200001</v>
      </c>
      <c r="C89" s="3">
        <v>149703.45530000015</v>
      </c>
      <c r="D89" s="3">
        <v>1472470.3005000018</v>
      </c>
      <c r="F89" s="14">
        <f t="shared" si="9"/>
        <v>46133</v>
      </c>
      <c r="G89" s="16">
        <f>_xlfn.XLOOKUP(F89,FX!$A$12:$A$910,FX!$B$12:$B$910,"",-1)</f>
        <v>1.2126999999999999</v>
      </c>
      <c r="H89" s="3">
        <f t="shared" si="5"/>
        <v>1090761.8085264296</v>
      </c>
      <c r="I89" s="3">
        <f t="shared" si="6"/>
        <v>123446.40496412976</v>
      </c>
      <c r="J89" s="3">
        <f t="shared" si="7"/>
        <v>1214208.2134905593</v>
      </c>
      <c r="L89" s="1" t="s">
        <v>51</v>
      </c>
      <c r="M89" s="3">
        <v>549603.81560000009</v>
      </c>
      <c r="N89" s="3">
        <v>4247562.4125000192</v>
      </c>
      <c r="O89" s="3">
        <v>716665.8679000003</v>
      </c>
      <c r="P89" s="3"/>
      <c r="Q89" s="3">
        <v>5513832.0960000139</v>
      </c>
      <c r="S89" s="3">
        <f t="shared" si="8"/>
        <v>6178436.4938905789</v>
      </c>
    </row>
    <row r="90" spans="1:19" x14ac:dyDescent="0.25">
      <c r="A90" s="1" t="s">
        <v>52</v>
      </c>
      <c r="B90" s="3">
        <v>623650.96209999989</v>
      </c>
      <c r="C90" s="3">
        <v>101464.11779999996</v>
      </c>
      <c r="D90" s="3">
        <v>725115.07989999978</v>
      </c>
      <c r="F90" s="14">
        <f t="shared" si="9"/>
        <v>46140</v>
      </c>
      <c r="G90" s="16">
        <f>_xlfn.XLOOKUP(F90,FX!$A$12:$A$910,FX!$B$12:$B$910,"",-1)</f>
        <v>1.2168000000000001</v>
      </c>
      <c r="H90" s="3">
        <f t="shared" si="5"/>
        <v>512533.66379026941</v>
      </c>
      <c r="I90" s="3">
        <f t="shared" si="6"/>
        <v>83386.027120315543</v>
      </c>
      <c r="J90" s="3">
        <f t="shared" si="7"/>
        <v>595919.69091058499</v>
      </c>
      <c r="L90" s="1" t="s">
        <v>52</v>
      </c>
      <c r="M90" s="3">
        <v>303510.79930000048</v>
      </c>
      <c r="N90" s="3">
        <v>2906916.5056999982</v>
      </c>
      <c r="O90" s="3">
        <v>452689.70159999991</v>
      </c>
      <c r="P90" s="3"/>
      <c r="Q90" s="3">
        <v>3663117.0066000079</v>
      </c>
      <c r="S90" s="3">
        <f t="shared" si="8"/>
        <v>3955525.8982105828</v>
      </c>
    </row>
    <row r="91" spans="1:19" x14ac:dyDescent="0.25">
      <c r="A91" s="1" t="s">
        <v>53</v>
      </c>
      <c r="B91" s="3">
        <v>1017140.7945999992</v>
      </c>
      <c r="C91" s="3">
        <v>183727.29760000008</v>
      </c>
      <c r="D91" s="3">
        <v>1200868.0921999984</v>
      </c>
      <c r="F91" s="14">
        <f t="shared" si="9"/>
        <v>46147</v>
      </c>
      <c r="G91" s="16">
        <f>_xlfn.XLOOKUP(F91,FX!$A$12:$A$910,FX!$B$12:$B$910,"",-1)</f>
        <v>1.2169000000000001</v>
      </c>
      <c r="H91" s="3">
        <f t="shared" si="5"/>
        <v>835845.83334702859</v>
      </c>
      <c r="I91" s="3">
        <f t="shared" si="6"/>
        <v>150979.78272660042</v>
      </c>
      <c r="J91" s="3">
        <f t="shared" si="7"/>
        <v>986825.616073629</v>
      </c>
      <c r="L91" s="1" t="s">
        <v>53</v>
      </c>
      <c r="M91" s="3">
        <v>1067020.318399997</v>
      </c>
      <c r="N91" s="3">
        <v>5358830.4803000148</v>
      </c>
      <c r="O91" s="3">
        <v>1162252.6997999996</v>
      </c>
      <c r="P91" s="3"/>
      <c r="Q91" s="3">
        <v>7588103.4985000035</v>
      </c>
      <c r="S91" s="3">
        <f t="shared" si="8"/>
        <v>7507908.7961736433</v>
      </c>
    </row>
    <row r="92" spans="1:19" x14ac:dyDescent="0.25">
      <c r="A92" s="1" t="s">
        <v>54</v>
      </c>
      <c r="B92" s="3">
        <v>965409.41850000084</v>
      </c>
      <c r="C92" s="3">
        <v>281684.47950000013</v>
      </c>
      <c r="D92" s="3">
        <v>1247093.8980000019</v>
      </c>
      <c r="F92" s="14">
        <f t="shared" si="9"/>
        <v>46154</v>
      </c>
      <c r="G92" s="16">
        <f>_xlfn.XLOOKUP(F92,FX!$A$12:$A$910,FX!$B$12:$B$910,"",-1)</f>
        <v>1.2141</v>
      </c>
      <c r="H92" s="3">
        <f t="shared" si="5"/>
        <v>795164.6639486046</v>
      </c>
      <c r="I92" s="3">
        <f t="shared" si="6"/>
        <v>232010.93773165319</v>
      </c>
      <c r="J92" s="3">
        <f t="shared" si="7"/>
        <v>1027175.6016802578</v>
      </c>
      <c r="L92" s="1" t="s">
        <v>54</v>
      </c>
      <c r="M92" s="3">
        <v>874443.46069999749</v>
      </c>
      <c r="N92" s="3">
        <v>5206534.4134999933</v>
      </c>
      <c r="O92" s="3">
        <v>1345399.9411999988</v>
      </c>
      <c r="P92" s="3"/>
      <c r="Q92" s="3">
        <v>7426377.8154000398</v>
      </c>
      <c r="S92" s="3">
        <f t="shared" si="8"/>
        <v>7579109.9563802499</v>
      </c>
    </row>
    <row r="93" spans="1:19" x14ac:dyDescent="0.25">
      <c r="A93" s="1" t="s">
        <v>55</v>
      </c>
      <c r="B93" s="3">
        <v>1243203.2600000021</v>
      </c>
      <c r="C93" s="3">
        <v>272703.24649999966</v>
      </c>
      <c r="D93" s="3">
        <v>1515906.5065000013</v>
      </c>
      <c r="F93" s="14">
        <f t="shared" si="9"/>
        <v>46161</v>
      </c>
      <c r="G93" s="16">
        <f>_xlfn.XLOOKUP(F93,FX!$A$12:$A$910,FX!$B$12:$B$910,"",-1)</f>
        <v>1.2179</v>
      </c>
      <c r="H93" s="3">
        <f t="shared" si="5"/>
        <v>1020776.1392560983</v>
      </c>
      <c r="I93" s="3">
        <f t="shared" si="6"/>
        <v>223912.67468593453</v>
      </c>
      <c r="J93" s="3">
        <f t="shared" si="7"/>
        <v>1244688.8139420329</v>
      </c>
      <c r="L93" s="1" t="s">
        <v>55</v>
      </c>
      <c r="M93" s="3">
        <v>929418.02990000008</v>
      </c>
      <c r="N93" s="3">
        <v>6569028.0715000136</v>
      </c>
      <c r="O93" s="3">
        <v>1587108.8033999989</v>
      </c>
      <c r="P93" s="3"/>
      <c r="Q93" s="3">
        <v>9085554.9047999643</v>
      </c>
      <c r="S93" s="3">
        <f t="shared" si="8"/>
        <v>9400825.6888420451</v>
      </c>
    </row>
    <row r="94" spans="1:19" x14ac:dyDescent="0.25">
      <c r="A94" s="1" t="s">
        <v>56</v>
      </c>
      <c r="B94" s="3">
        <v>1300453.4859000028</v>
      </c>
      <c r="C94" s="3">
        <v>263927.49609999981</v>
      </c>
      <c r="D94" s="3">
        <v>1564380.9820000026</v>
      </c>
      <c r="F94" s="14">
        <f t="shared" si="9"/>
        <v>46168</v>
      </c>
      <c r="G94" s="16">
        <f>_xlfn.XLOOKUP(F94,FX!$A$12:$A$910,FX!$B$12:$B$910,"",-1)</f>
        <v>1.2248000000000001</v>
      </c>
      <c r="H94" s="3">
        <f t="shared" si="5"/>
        <v>1061768.0322501655</v>
      </c>
      <c r="I94" s="3">
        <f t="shared" si="6"/>
        <v>215486.19864467651</v>
      </c>
      <c r="J94" s="3">
        <f t="shared" si="7"/>
        <v>1277254.230894842</v>
      </c>
      <c r="L94" s="1" t="s">
        <v>56</v>
      </c>
      <c r="M94" s="3">
        <v>676850.78540000087</v>
      </c>
      <c r="N94" s="3">
        <v>5181346.5826999871</v>
      </c>
      <c r="O94" s="3">
        <v>1006972.1646999976</v>
      </c>
      <c r="P94" s="3"/>
      <c r="Q94" s="3">
        <v>6865169.5328000626</v>
      </c>
      <c r="S94" s="3">
        <f t="shared" si="8"/>
        <v>7465572.978294827</v>
      </c>
    </row>
    <row r="95" spans="1:19" x14ac:dyDescent="0.25">
      <c r="A95" s="1" t="s">
        <v>57</v>
      </c>
      <c r="B95" s="3">
        <v>1265213.2808999994</v>
      </c>
      <c r="C95" s="3">
        <v>228121.81510000018</v>
      </c>
      <c r="D95" s="3">
        <v>1493335.0960000001</v>
      </c>
      <c r="F95" s="14">
        <f t="shared" si="9"/>
        <v>46175</v>
      </c>
      <c r="G95" s="16">
        <f>_xlfn.XLOOKUP(F95,FX!$A$12:$A$910,FX!$B$12:$B$910,"",-1)</f>
        <v>1.2071000000000001</v>
      </c>
      <c r="H95" s="3">
        <f t="shared" si="5"/>
        <v>1048142.8886587684</v>
      </c>
      <c r="I95" s="3">
        <f t="shared" si="6"/>
        <v>188983.36103056927</v>
      </c>
      <c r="J95" s="3">
        <f t="shared" si="7"/>
        <v>1237126.2496893376</v>
      </c>
      <c r="L95" s="1" t="s">
        <v>57</v>
      </c>
      <c r="M95" s="3">
        <v>739066.85459999926</v>
      </c>
      <c r="N95" s="3">
        <v>6122481.8837000299</v>
      </c>
      <c r="O95" s="3">
        <v>1183934.6098999968</v>
      </c>
      <c r="P95" s="3"/>
      <c r="Q95" s="3">
        <v>8045483.348200053</v>
      </c>
      <c r="S95" s="3">
        <f t="shared" si="8"/>
        <v>8543542.7432893645</v>
      </c>
    </row>
    <row r="96" spans="1:19" x14ac:dyDescent="0.25">
      <c r="A96" s="1" t="s">
        <v>58</v>
      </c>
      <c r="B96" s="3">
        <v>966088.35239999869</v>
      </c>
      <c r="C96" s="3">
        <v>186455.30100000018</v>
      </c>
      <c r="D96" s="3">
        <v>1152543.6533999986</v>
      </c>
      <c r="F96" s="14">
        <f t="shared" si="9"/>
        <v>46182</v>
      </c>
      <c r="G96" s="16">
        <f>_xlfn.XLOOKUP(F96,FX!$A$12:$A$910,FX!$B$12:$B$910,"",-1)</f>
        <v>1.2088000000000001</v>
      </c>
      <c r="H96" s="3">
        <f t="shared" si="5"/>
        <v>799212.733620118</v>
      </c>
      <c r="I96" s="3">
        <f t="shared" si="6"/>
        <v>154248.2635671742</v>
      </c>
      <c r="J96" s="3">
        <f t="shared" si="7"/>
        <v>953460.9971872922</v>
      </c>
      <c r="L96" s="1" t="s">
        <v>58</v>
      </c>
      <c r="M96" s="3">
        <v>797621.46970000002</v>
      </c>
      <c r="N96" s="3">
        <v>6653221.9826000137</v>
      </c>
      <c r="O96" s="3">
        <v>1237810.9241000018</v>
      </c>
      <c r="P96" s="3"/>
      <c r="Q96" s="3">
        <v>8688654.3763999939</v>
      </c>
      <c r="S96" s="3">
        <f t="shared" si="8"/>
        <v>8844493.9038873073</v>
      </c>
    </row>
    <row r="97" spans="1:19" x14ac:dyDescent="0.25">
      <c r="A97" s="1" t="s">
        <v>59</v>
      </c>
      <c r="B97" s="3">
        <v>1504739.5985000012</v>
      </c>
      <c r="C97" s="3">
        <v>314445.98530000058</v>
      </c>
      <c r="D97" s="3">
        <v>1819185.5838000043</v>
      </c>
      <c r="F97" s="14">
        <f t="shared" si="9"/>
        <v>46189</v>
      </c>
      <c r="G97" s="16">
        <f>_xlfn.XLOOKUP(F97,FX!$A$12:$A$910,FX!$B$12:$B$910,"",-1)</f>
        <v>1.2131000000000001</v>
      </c>
      <c r="H97" s="3">
        <f t="shared" si="5"/>
        <v>1240408.5388673656</v>
      </c>
      <c r="I97" s="3">
        <f t="shared" si="6"/>
        <v>259208.62690627365</v>
      </c>
      <c r="J97" s="3">
        <f t="shared" si="7"/>
        <v>1499617.1657736392</v>
      </c>
      <c r="L97" s="1" t="s">
        <v>59</v>
      </c>
      <c r="M97" s="3">
        <v>894202.92170000065</v>
      </c>
      <c r="N97" s="3">
        <v>7022166.9970000172</v>
      </c>
      <c r="O97" s="3">
        <v>1522591.2506000046</v>
      </c>
      <c r="P97" s="3"/>
      <c r="Q97" s="3">
        <v>9438961.169300003</v>
      </c>
      <c r="S97" s="3">
        <f t="shared" si="8"/>
        <v>10044375.41337366</v>
      </c>
    </row>
    <row r="98" spans="1:19" x14ac:dyDescent="0.25">
      <c r="A98" s="1" t="s">
        <v>60</v>
      </c>
      <c r="B98" s="3">
        <v>1681567.4932999983</v>
      </c>
      <c r="C98" s="3">
        <v>341733.0191000005</v>
      </c>
      <c r="D98" s="3">
        <v>2023300.5124000001</v>
      </c>
      <c r="F98" s="14">
        <f t="shared" si="9"/>
        <v>46196</v>
      </c>
      <c r="G98" s="16">
        <f>_xlfn.XLOOKUP(F98,FX!$A$12:$A$910,FX!$B$12:$B$910,"",-1)</f>
        <v>1.2230000000000001</v>
      </c>
      <c r="H98" s="3">
        <f t="shared" si="5"/>
        <v>1374952.9789860982</v>
      </c>
      <c r="I98" s="3">
        <f t="shared" si="6"/>
        <v>279421.92894521705</v>
      </c>
      <c r="J98" s="3">
        <f t="shared" si="7"/>
        <v>1654374.9079313152</v>
      </c>
      <c r="L98" s="1" t="s">
        <v>60</v>
      </c>
      <c r="M98" s="3">
        <v>1506038.7895000044</v>
      </c>
      <c r="N98" s="3">
        <v>11370434.570899971</v>
      </c>
      <c r="O98" s="3">
        <v>2537940.0107999956</v>
      </c>
      <c r="P98" s="3"/>
      <c r="Q98" s="3">
        <v>15414413.371199949</v>
      </c>
      <c r="S98" s="3">
        <f t="shared" si="8"/>
        <v>15562749.48963128</v>
      </c>
    </row>
    <row r="99" spans="1:19" x14ac:dyDescent="0.25">
      <c r="A99" s="1" t="s">
        <v>61</v>
      </c>
      <c r="B99" s="3">
        <v>932941.98929999943</v>
      </c>
      <c r="C99" s="3">
        <v>224852.1183</v>
      </c>
      <c r="D99" s="3">
        <v>1157794.1075999991</v>
      </c>
      <c r="F99" s="14">
        <f t="shared" si="9"/>
        <v>46203</v>
      </c>
      <c r="G99" s="16">
        <f>_xlfn.XLOOKUP(F99,FX!$A$12:$A$910,FX!$B$12:$B$910,"",-1)</f>
        <v>1.2165999999999999</v>
      </c>
      <c r="H99" s="3">
        <f t="shared" si="5"/>
        <v>766843.65387144464</v>
      </c>
      <c r="I99" s="3">
        <f t="shared" si="6"/>
        <v>184820.08737465067</v>
      </c>
      <c r="J99" s="3">
        <f t="shared" si="7"/>
        <v>951663.74124609528</v>
      </c>
      <c r="L99" s="1" t="s">
        <v>61</v>
      </c>
      <c r="M99" s="3">
        <v>914224.24679999973</v>
      </c>
      <c r="N99" s="3">
        <v>4676621.2881000107</v>
      </c>
      <c r="O99" s="3">
        <v>1625108.3403000003</v>
      </c>
      <c r="P99" s="3"/>
      <c r="Q99" s="3">
        <v>7215953.8752000527</v>
      </c>
      <c r="S99" s="3">
        <f t="shared" si="8"/>
        <v>7253393.3696461059</v>
      </c>
    </row>
    <row r="100" spans="1:19" x14ac:dyDescent="0.25">
      <c r="A100" s="1" t="s">
        <v>62</v>
      </c>
      <c r="B100" s="3">
        <v>559294.0731000005</v>
      </c>
      <c r="C100" s="3">
        <v>76586.805599999891</v>
      </c>
      <c r="D100" s="3">
        <v>635880.87870000012</v>
      </c>
      <c r="F100" s="14">
        <f t="shared" si="9"/>
        <v>46210</v>
      </c>
      <c r="G100" s="16">
        <f>_xlfn.XLOOKUP(F100,FX!$A$12:$A$910,FX!$B$12:$B$910,"",-1)</f>
        <v>1.2196</v>
      </c>
      <c r="H100" s="3">
        <f t="shared" si="5"/>
        <v>458588.12159724539</v>
      </c>
      <c r="I100" s="3">
        <f t="shared" si="6"/>
        <v>62796.659232535167</v>
      </c>
      <c r="J100" s="3">
        <f t="shared" si="7"/>
        <v>521384.78082978056</v>
      </c>
      <c r="L100" s="1" t="s">
        <v>62</v>
      </c>
      <c r="M100" s="3">
        <v>438420.89980000007</v>
      </c>
      <c r="N100" s="3">
        <v>2708098.1961999983</v>
      </c>
      <c r="O100" s="3">
        <v>417367.46480000019</v>
      </c>
      <c r="P100" s="3"/>
      <c r="Q100" s="3">
        <v>3563886.5607999926</v>
      </c>
      <c r="S100" s="3">
        <f t="shared" si="8"/>
        <v>3646850.4418297792</v>
      </c>
    </row>
    <row r="101" spans="1:19" x14ac:dyDescent="0.25">
      <c r="A101" s="1" t="s">
        <v>63</v>
      </c>
      <c r="B101" s="3">
        <v>904867.18489999801</v>
      </c>
      <c r="C101" s="3">
        <v>134653.08240000007</v>
      </c>
      <c r="D101" s="3">
        <v>1039520.2672999981</v>
      </c>
      <c r="F101" s="14">
        <f t="shared" si="9"/>
        <v>46217</v>
      </c>
      <c r="G101" s="16">
        <f>_xlfn.XLOOKUP(F101,FX!$A$12:$A$910,FX!$B$12:$B$910,"",-1)</f>
        <v>1.1967000000000001</v>
      </c>
      <c r="H101" s="3">
        <f t="shared" si="5"/>
        <v>756135.3596557182</v>
      </c>
      <c r="I101" s="3">
        <f t="shared" si="6"/>
        <v>112520.33291551772</v>
      </c>
      <c r="J101" s="3">
        <f t="shared" si="7"/>
        <v>868655.69257123594</v>
      </c>
      <c r="L101" s="1" t="s">
        <v>63</v>
      </c>
      <c r="M101" s="3">
        <v>1000660.8491000015</v>
      </c>
      <c r="N101" s="3">
        <v>4504473.2060000123</v>
      </c>
      <c r="O101" s="3">
        <v>888332.77020000014</v>
      </c>
      <c r="P101" s="3"/>
      <c r="Q101" s="3">
        <v>6393466.8252999829</v>
      </c>
      <c r="S101" s="3">
        <f t="shared" si="8"/>
        <v>6261461.6687712483</v>
      </c>
    </row>
    <row r="102" spans="1:19" x14ac:dyDescent="0.25">
      <c r="A102" s="1" t="s">
        <v>64</v>
      </c>
      <c r="B102" s="3">
        <v>795064.63499999954</v>
      </c>
      <c r="C102" s="3">
        <v>128925.79610000008</v>
      </c>
      <c r="D102" s="3">
        <v>923990.4310999997</v>
      </c>
      <c r="F102" s="14">
        <f t="shared" si="9"/>
        <v>46224</v>
      </c>
      <c r="G102" s="16">
        <f>_xlfn.XLOOKUP(F102,FX!$A$12:$A$910,FX!$B$12:$B$910,"",-1)</f>
        <v>1.1955</v>
      </c>
      <c r="H102" s="3">
        <f t="shared" si="5"/>
        <v>665047.79171894561</v>
      </c>
      <c r="I102" s="3">
        <f t="shared" si="6"/>
        <v>107842.57306566297</v>
      </c>
      <c r="J102" s="3">
        <f t="shared" si="7"/>
        <v>772890.3647846086</v>
      </c>
      <c r="L102" s="1" t="s">
        <v>64</v>
      </c>
      <c r="M102" s="3">
        <v>948408.01780000085</v>
      </c>
      <c r="N102" s="3">
        <v>4538330.0849000206</v>
      </c>
      <c r="O102" s="3">
        <v>920306.0999999987</v>
      </c>
      <c r="P102" s="3"/>
      <c r="Q102" s="3">
        <v>6407044.20269999</v>
      </c>
      <c r="S102" s="3">
        <f t="shared" si="8"/>
        <v>6231526.5496846279</v>
      </c>
    </row>
    <row r="103" spans="1:19" x14ac:dyDescent="0.25">
      <c r="A103" s="1" t="s">
        <v>65</v>
      </c>
      <c r="B103" s="3">
        <v>807990.01379999961</v>
      </c>
      <c r="C103" s="3">
        <v>138279.74689999991</v>
      </c>
      <c r="D103" s="3">
        <v>946269.76069999917</v>
      </c>
      <c r="F103" s="14">
        <f t="shared" si="9"/>
        <v>46231</v>
      </c>
      <c r="G103" s="16">
        <f>_xlfn.XLOOKUP(F103,FX!$A$12:$A$910,FX!$B$12:$B$910,"",-1)</f>
        <v>1.2082999999999999</v>
      </c>
      <c r="H103" s="3">
        <f t="shared" si="5"/>
        <v>668699.83762310655</v>
      </c>
      <c r="I103" s="3">
        <f t="shared" si="6"/>
        <v>114441.56823636507</v>
      </c>
      <c r="J103" s="3">
        <f t="shared" si="7"/>
        <v>783141.40585947165</v>
      </c>
      <c r="L103" s="1" t="s">
        <v>65</v>
      </c>
      <c r="M103" s="3">
        <v>614677.78980000108</v>
      </c>
      <c r="N103" s="3">
        <v>4313149.2062000027</v>
      </c>
      <c r="O103" s="3">
        <v>687757.71430000255</v>
      </c>
      <c r="P103" s="3"/>
      <c r="Q103" s="3">
        <v>5615584.7102999855</v>
      </c>
      <c r="S103" s="3">
        <f t="shared" si="8"/>
        <v>5784048.3263594769</v>
      </c>
    </row>
    <row r="104" spans="1:19" x14ac:dyDescent="0.25">
      <c r="A104" s="1" t="s">
        <v>66</v>
      </c>
      <c r="B104" s="3">
        <v>828951.85240000056</v>
      </c>
      <c r="C104" s="3">
        <v>120511.18010000006</v>
      </c>
      <c r="D104" s="3">
        <v>949463.03250000032</v>
      </c>
      <c r="F104" s="14">
        <f t="shared" si="9"/>
        <v>46238</v>
      </c>
      <c r="G104" s="16">
        <f>_xlfn.XLOOKUP(F104,FX!$A$12:$A$910,FX!$B$12:$B$910,"",-1)</f>
        <v>1.198</v>
      </c>
      <c r="H104" s="3">
        <f t="shared" si="5"/>
        <v>691946.45442404051</v>
      </c>
      <c r="I104" s="3">
        <f t="shared" si="6"/>
        <v>100593.63948247084</v>
      </c>
      <c r="J104" s="3">
        <f t="shared" si="7"/>
        <v>792540.09390651132</v>
      </c>
      <c r="L104" s="1" t="s">
        <v>66</v>
      </c>
      <c r="M104" s="3">
        <v>377712.07039999985</v>
      </c>
      <c r="N104" s="3">
        <v>4607218.3740000017</v>
      </c>
      <c r="O104" s="3">
        <v>663136.73410000186</v>
      </c>
      <c r="P104" s="3"/>
      <c r="Q104" s="3">
        <v>5648067.1784999929</v>
      </c>
      <c r="S104" s="3">
        <f t="shared" si="8"/>
        <v>6062895.2020065151</v>
      </c>
    </row>
    <row r="105" spans="1:19" x14ac:dyDescent="0.25">
      <c r="A105" s="1" t="s">
        <v>67</v>
      </c>
      <c r="B105" s="3">
        <v>640818.31159999943</v>
      </c>
      <c r="C105" s="3">
        <v>99037.478199999983</v>
      </c>
      <c r="D105" s="3">
        <v>739855.7897999991</v>
      </c>
      <c r="F105" s="14">
        <f t="shared" si="9"/>
        <v>46245</v>
      </c>
      <c r="G105" s="16">
        <f>_xlfn.XLOOKUP(F105,FX!$A$12:$A$910,FX!$B$12:$B$910,"",-1)</f>
        <v>1.198</v>
      </c>
      <c r="H105" s="3">
        <f t="shared" si="5"/>
        <v>534906.77095158549</v>
      </c>
      <c r="I105" s="3">
        <f t="shared" si="6"/>
        <v>82669.013522537556</v>
      </c>
      <c r="J105" s="3">
        <f t="shared" si="7"/>
        <v>617575.78447412304</v>
      </c>
      <c r="L105" s="1" t="s">
        <v>67</v>
      </c>
      <c r="M105" s="3">
        <v>448175.728100001</v>
      </c>
      <c r="N105" s="3">
        <v>3756233.6407999974</v>
      </c>
      <c r="O105" s="3">
        <v>700462.26499999897</v>
      </c>
      <c r="P105" s="3"/>
      <c r="Q105" s="3">
        <v>4904871.6338999942</v>
      </c>
      <c r="S105" s="3">
        <f t="shared" si="8"/>
        <v>5074271.6902741194</v>
      </c>
    </row>
    <row r="106" spans="1:19" x14ac:dyDescent="0.25">
      <c r="A106" s="1" t="s">
        <v>68</v>
      </c>
      <c r="B106" s="3">
        <v>799565.00020000013</v>
      </c>
      <c r="C106" s="3">
        <v>307436.11539999978</v>
      </c>
      <c r="D106" s="3">
        <v>1107001.1155999999</v>
      </c>
      <c r="F106" s="14">
        <f t="shared" si="9"/>
        <v>46252</v>
      </c>
      <c r="G106" s="16">
        <f>_xlfn.XLOOKUP(F106,FX!$A$12:$A$910,FX!$B$12:$B$910,"",-1)</f>
        <v>1.198</v>
      </c>
      <c r="H106" s="3">
        <f t="shared" si="5"/>
        <v>667416.52771285491</v>
      </c>
      <c r="I106" s="3">
        <f t="shared" si="6"/>
        <v>256624.47028380618</v>
      </c>
      <c r="J106" s="3">
        <f t="shared" si="7"/>
        <v>924040.99799666111</v>
      </c>
      <c r="L106" s="1" t="s">
        <v>68</v>
      </c>
      <c r="M106" s="3">
        <v>1177884.6413999994</v>
      </c>
      <c r="N106" s="3">
        <v>3839145.6033999836</v>
      </c>
      <c r="O106" s="3">
        <v>1693751.494400003</v>
      </c>
      <c r="P106" s="3"/>
      <c r="Q106" s="3">
        <v>6710781.739199996</v>
      </c>
      <c r="S106" s="3">
        <f t="shared" si="8"/>
        <v>6456938.0957966475</v>
      </c>
    </row>
    <row r="107" spans="1:19" x14ac:dyDescent="0.25">
      <c r="A107" s="1" t="s">
        <v>69</v>
      </c>
      <c r="B107" s="3">
        <v>527778.98660000053</v>
      </c>
      <c r="C107" s="3">
        <v>66868.325000000026</v>
      </c>
      <c r="D107" s="3">
        <v>594647.31160000036</v>
      </c>
      <c r="F107" s="14">
        <f t="shared" si="9"/>
        <v>46259</v>
      </c>
      <c r="G107" s="16">
        <f>_xlfn.XLOOKUP(F107,FX!$A$12:$A$910,FX!$B$12:$B$910,"",-1)</f>
        <v>1.198</v>
      </c>
      <c r="H107" s="3">
        <f t="shared" si="5"/>
        <v>440550.07228714571</v>
      </c>
      <c r="I107" s="3">
        <f t="shared" si="6"/>
        <v>55816.631886477488</v>
      </c>
      <c r="J107" s="3">
        <f t="shared" si="7"/>
        <v>496366.70417362318</v>
      </c>
      <c r="L107" s="1" t="s">
        <v>69</v>
      </c>
      <c r="M107" s="3">
        <v>304286.38260000007</v>
      </c>
      <c r="N107" s="3">
        <v>3054424.109199997</v>
      </c>
      <c r="O107" s="3">
        <v>446091.27110000089</v>
      </c>
      <c r="P107" s="3"/>
      <c r="Q107" s="3">
        <v>3804801.7629000032</v>
      </c>
      <c r="S107" s="3">
        <f t="shared" si="8"/>
        <v>3996882.0844736211</v>
      </c>
    </row>
    <row r="108" spans="1:19" x14ac:dyDescent="0.25">
      <c r="A108" s="1" t="s">
        <v>70</v>
      </c>
      <c r="B108" s="3">
        <v>1322758.5095999988</v>
      </c>
      <c r="C108" s="3">
        <v>366508.89719999977</v>
      </c>
      <c r="D108" s="3">
        <v>1689267.4068</v>
      </c>
      <c r="F108" s="14">
        <f t="shared" si="9"/>
        <v>46266</v>
      </c>
      <c r="G108" s="16">
        <f>_xlfn.XLOOKUP(F108,FX!$A$12:$A$910,FX!$B$12:$B$910,"",-1)</f>
        <v>1.198</v>
      </c>
      <c r="H108" s="3">
        <f t="shared" si="5"/>
        <v>1104138.9896494148</v>
      </c>
      <c r="I108" s="3">
        <f t="shared" si="6"/>
        <v>305933.9709515858</v>
      </c>
      <c r="J108" s="3">
        <f t="shared" si="7"/>
        <v>1410072.9606010006</v>
      </c>
      <c r="L108" s="1" t="s">
        <v>70</v>
      </c>
      <c r="M108" s="3">
        <v>1290266.1842000047</v>
      </c>
      <c r="N108" s="3">
        <v>6187030.1482999409</v>
      </c>
      <c r="O108" s="3">
        <v>2022596.5920000051</v>
      </c>
      <c r="P108" s="3"/>
      <c r="Q108" s="3">
        <v>9499892.9244998191</v>
      </c>
      <c r="S108" s="3">
        <f t="shared" si="8"/>
        <v>9619699.7009009477</v>
      </c>
    </row>
    <row r="109" spans="1:19" x14ac:dyDescent="0.25">
      <c r="A109" s="1" t="s">
        <v>71</v>
      </c>
      <c r="B109" s="3">
        <v>782476.580399998</v>
      </c>
      <c r="C109" s="3">
        <v>158609.61849999984</v>
      </c>
      <c r="D109" s="3">
        <v>941086.19889999833</v>
      </c>
      <c r="F109" s="14">
        <f t="shared" si="9"/>
        <v>46273</v>
      </c>
      <c r="G109" s="16">
        <f>_xlfn.XLOOKUP(F109,FX!$A$12:$A$910,FX!$B$12:$B$910,"",-1)</f>
        <v>1.198</v>
      </c>
      <c r="H109" s="3">
        <f t="shared" si="5"/>
        <v>653152.40434056602</v>
      </c>
      <c r="I109" s="3">
        <f t="shared" si="6"/>
        <v>132395.34098497481</v>
      </c>
      <c r="J109" s="3">
        <f t="shared" si="7"/>
        <v>785547.74532554089</v>
      </c>
      <c r="L109" s="1" t="s">
        <v>71</v>
      </c>
      <c r="M109" s="3">
        <v>662129.81129999796</v>
      </c>
      <c r="N109" s="3">
        <v>3987714.436900008</v>
      </c>
      <c r="O109" s="3">
        <v>934952.48180000053</v>
      </c>
      <c r="P109" s="3"/>
      <c r="Q109" s="3">
        <v>5584796.7299999995</v>
      </c>
      <c r="S109" s="3">
        <f t="shared" si="8"/>
        <v>5708214.6640255488</v>
      </c>
    </row>
    <row r="110" spans="1:19" x14ac:dyDescent="0.25">
      <c r="A110" s="1" t="s">
        <v>72</v>
      </c>
      <c r="B110" s="3">
        <v>763324.86629999778</v>
      </c>
      <c r="C110" s="3">
        <v>81964.285400000052</v>
      </c>
      <c r="D110" s="3">
        <v>845289.15169999737</v>
      </c>
      <c r="F110" s="14">
        <f t="shared" si="9"/>
        <v>46280</v>
      </c>
      <c r="G110" s="16">
        <f>_xlfn.XLOOKUP(F110,FX!$A$12:$A$910,FX!$B$12:$B$910,"",-1)</f>
        <v>1.198</v>
      </c>
      <c r="H110" s="3">
        <f t="shared" si="5"/>
        <v>637165.99858096649</v>
      </c>
      <c r="I110" s="3">
        <f t="shared" si="6"/>
        <v>68417.600500834771</v>
      </c>
      <c r="J110" s="3">
        <f t="shared" si="7"/>
        <v>705583.59908180125</v>
      </c>
      <c r="L110" s="1" t="s">
        <v>72</v>
      </c>
      <c r="M110" s="3">
        <v>452183.71919999935</v>
      </c>
      <c r="N110" s="3">
        <v>3224712.0412000059</v>
      </c>
      <c r="O110" s="3">
        <v>533444.77609999967</v>
      </c>
      <c r="P110" s="3"/>
      <c r="Q110" s="3">
        <v>4210340.5365000013</v>
      </c>
      <c r="S110" s="3">
        <f t="shared" si="8"/>
        <v>4463740.4163818071</v>
      </c>
    </row>
    <row r="111" spans="1:19" x14ac:dyDescent="0.25">
      <c r="A111" s="1" t="s">
        <v>73</v>
      </c>
      <c r="B111" s="3">
        <v>595329.11979999917</v>
      </c>
      <c r="C111" s="3">
        <v>107185.01880000009</v>
      </c>
      <c r="D111" s="3">
        <v>702514.13860000065</v>
      </c>
      <c r="F111" s="14">
        <f t="shared" si="9"/>
        <v>46287</v>
      </c>
      <c r="G111" s="16">
        <f>_xlfn.XLOOKUP(F111,FX!$A$12:$A$910,FX!$B$12:$B$910,"",-1)</f>
        <v>1.198</v>
      </c>
      <c r="H111" s="3">
        <f t="shared" si="5"/>
        <v>496935.82621034991</v>
      </c>
      <c r="I111" s="3">
        <f t="shared" si="6"/>
        <v>89469.96560934899</v>
      </c>
      <c r="J111" s="3">
        <f t="shared" si="7"/>
        <v>586405.79181969888</v>
      </c>
      <c r="L111" s="1" t="s">
        <v>73</v>
      </c>
      <c r="M111" s="3">
        <v>482691.81929999962</v>
      </c>
      <c r="N111" s="3">
        <v>3625364.1596999923</v>
      </c>
      <c r="O111" s="3">
        <v>544009.22560000094</v>
      </c>
      <c r="P111" s="3"/>
      <c r="Q111" s="3">
        <v>4652065.2045999942</v>
      </c>
      <c r="S111" s="3">
        <f t="shared" si="8"/>
        <v>4755779.1771196928</v>
      </c>
    </row>
    <row r="112" spans="1:19" x14ac:dyDescent="0.25">
      <c r="A112" s="1" t="s">
        <v>74</v>
      </c>
      <c r="B112" s="3">
        <v>774001.54000000015</v>
      </c>
      <c r="C112" s="3">
        <v>152603.98480000012</v>
      </c>
      <c r="D112" s="3">
        <v>926605.52480000036</v>
      </c>
      <c r="F112" s="14">
        <f t="shared" si="9"/>
        <v>46294</v>
      </c>
      <c r="G112" s="16">
        <f>_xlfn.XLOOKUP(F112,FX!$A$12:$A$910,FX!$B$12:$B$910,"",-1)</f>
        <v>1.198</v>
      </c>
      <c r="H112" s="3">
        <f t="shared" si="5"/>
        <v>646078.08013355604</v>
      </c>
      <c r="I112" s="3">
        <f t="shared" si="6"/>
        <v>127382.29115191997</v>
      </c>
      <c r="J112" s="3">
        <f t="shared" si="7"/>
        <v>773460.37128547602</v>
      </c>
      <c r="L112" s="1" t="s">
        <v>74</v>
      </c>
      <c r="M112" s="3">
        <v>579307.95770000026</v>
      </c>
      <c r="N112" s="3">
        <v>3840681.6392000117</v>
      </c>
      <c r="O112" s="3">
        <v>683906.73590000148</v>
      </c>
      <c r="P112" s="3"/>
      <c r="Q112" s="3">
        <v>5103896.3328000177</v>
      </c>
      <c r="S112" s="3">
        <f t="shared" si="8"/>
        <v>5298048.7463854896</v>
      </c>
    </row>
    <row r="113" spans="1:19" x14ac:dyDescent="0.25">
      <c r="A113" s="1" t="s">
        <v>75</v>
      </c>
      <c r="B113" s="3">
        <v>753465.84840000025</v>
      </c>
      <c r="C113" s="3">
        <v>113171.98180000002</v>
      </c>
      <c r="D113" s="3">
        <v>866637.83020000078</v>
      </c>
      <c r="F113" s="14">
        <f t="shared" si="9"/>
        <v>46301</v>
      </c>
      <c r="G113" s="16">
        <f>_xlfn.XLOOKUP(F113,FX!$A$12:$A$910,FX!$B$12:$B$910,"",-1)</f>
        <v>1.198</v>
      </c>
      <c r="H113" s="3">
        <f t="shared" si="5"/>
        <v>628936.43439065129</v>
      </c>
      <c r="I113" s="3">
        <f t="shared" si="6"/>
        <v>94467.430550918216</v>
      </c>
      <c r="J113" s="3">
        <f t="shared" si="7"/>
        <v>723403.86494156951</v>
      </c>
      <c r="L113" s="1" t="s">
        <v>75</v>
      </c>
      <c r="M113" s="3">
        <v>465655.00040000095</v>
      </c>
      <c r="N113" s="3">
        <v>3468895.5508999913</v>
      </c>
      <c r="O113" s="3">
        <v>631955.25399999996</v>
      </c>
      <c r="P113" s="3"/>
      <c r="Q113" s="3">
        <v>4566505.8052999927</v>
      </c>
      <c r="S113" s="3">
        <f t="shared" si="8"/>
        <v>4824254.6698415605</v>
      </c>
    </row>
    <row r="114" spans="1:19" x14ac:dyDescent="0.25">
      <c r="A114" s="1" t="s">
        <v>76</v>
      </c>
      <c r="B114" s="3">
        <v>966119.04449999938</v>
      </c>
      <c r="C114" s="3">
        <v>127104.86139999999</v>
      </c>
      <c r="D114" s="3">
        <v>1093223.9058999992</v>
      </c>
      <c r="F114" s="14">
        <f t="shared" si="9"/>
        <v>46308</v>
      </c>
      <c r="G114" s="16">
        <f>_xlfn.XLOOKUP(F114,FX!$A$12:$A$910,FX!$B$12:$B$910,"",-1)</f>
        <v>1.198</v>
      </c>
      <c r="H114" s="3">
        <f t="shared" si="5"/>
        <v>806443.27587646025</v>
      </c>
      <c r="I114" s="3">
        <f t="shared" si="6"/>
        <v>106097.54707846411</v>
      </c>
      <c r="J114" s="3">
        <f t="shared" si="7"/>
        <v>912540.82295492431</v>
      </c>
      <c r="L114" s="1" t="s">
        <v>76</v>
      </c>
      <c r="M114" s="3">
        <v>456844.35550000047</v>
      </c>
      <c r="N114" s="3">
        <v>4700267.8543999968</v>
      </c>
      <c r="O114" s="3">
        <v>783540.50319999992</v>
      </c>
      <c r="P114" s="3"/>
      <c r="Q114" s="3">
        <v>5940652.7130999882</v>
      </c>
      <c r="S114" s="3">
        <f t="shared" si="8"/>
        <v>6396349.1805549208</v>
      </c>
    </row>
    <row r="115" spans="1:19" x14ac:dyDescent="0.25">
      <c r="A115" s="1" t="s">
        <v>77</v>
      </c>
      <c r="B115" s="3">
        <v>1178959.204800002</v>
      </c>
      <c r="C115" s="3">
        <v>338298.38379999972</v>
      </c>
      <c r="D115" s="3">
        <v>1517257.5886000004</v>
      </c>
      <c r="F115" s="14">
        <f t="shared" si="9"/>
        <v>46315</v>
      </c>
      <c r="G115" s="16">
        <f>_xlfn.XLOOKUP(F115,FX!$A$12:$A$910,FX!$B$12:$B$910,"",-1)</f>
        <v>1.198</v>
      </c>
      <c r="H115" s="3">
        <f t="shared" si="5"/>
        <v>984106.18096828216</v>
      </c>
      <c r="I115" s="3">
        <f t="shared" si="6"/>
        <v>282385.96310517506</v>
      </c>
      <c r="J115" s="3">
        <f t="shared" si="7"/>
        <v>1266492.1440734572</v>
      </c>
      <c r="L115" s="1" t="s">
        <v>77</v>
      </c>
      <c r="M115" s="3">
        <v>1157559.0750000004</v>
      </c>
      <c r="N115" s="3">
        <v>5858986.8566999882</v>
      </c>
      <c r="O115" s="3">
        <v>1663646.3871999981</v>
      </c>
      <c r="P115" s="3"/>
      <c r="Q115" s="3">
        <v>8680192.318899978</v>
      </c>
      <c r="S115" s="3">
        <f t="shared" si="8"/>
        <v>8789125.3879734445</v>
      </c>
    </row>
    <row r="116" spans="1:19" x14ac:dyDescent="0.25">
      <c r="A116" s="1" t="s">
        <v>78</v>
      </c>
      <c r="B116" s="3">
        <v>1014497.5612999996</v>
      </c>
      <c r="C116" s="3">
        <v>178450.75740000009</v>
      </c>
      <c r="D116" s="3">
        <v>1192948.318699999</v>
      </c>
      <c r="F116" s="14">
        <f t="shared" si="9"/>
        <v>46322</v>
      </c>
      <c r="G116" s="16">
        <f>_xlfn.XLOOKUP(F116,FX!$A$12:$A$910,FX!$B$12:$B$910,"",-1)</f>
        <v>1.198</v>
      </c>
      <c r="H116" s="3">
        <f t="shared" si="5"/>
        <v>846826.01110183611</v>
      </c>
      <c r="I116" s="3">
        <f t="shared" si="6"/>
        <v>148957.22654424049</v>
      </c>
      <c r="J116" s="3">
        <f t="shared" si="7"/>
        <v>995783.2376460766</v>
      </c>
      <c r="L116" s="1" t="s">
        <v>78</v>
      </c>
      <c r="M116" s="3">
        <v>560424.37890000083</v>
      </c>
      <c r="N116" s="3">
        <v>3884930.5516999993</v>
      </c>
      <c r="O116" s="3">
        <v>811458.9728000008</v>
      </c>
      <c r="P116" s="3"/>
      <c r="Q116" s="3">
        <v>5256813.9034000216</v>
      </c>
      <c r="S116" s="3">
        <f t="shared" si="8"/>
        <v>5692172.7621460762</v>
      </c>
    </row>
    <row r="117" spans="1:19" x14ac:dyDescent="0.25">
      <c r="A117" s="1" t="s">
        <v>79</v>
      </c>
      <c r="B117" s="3">
        <v>766915.35049999948</v>
      </c>
      <c r="C117" s="3">
        <v>161828.46799999991</v>
      </c>
      <c r="D117" s="3">
        <v>928743.81849999959</v>
      </c>
      <c r="F117" s="14">
        <f t="shared" si="9"/>
        <v>46329</v>
      </c>
      <c r="G117" s="16">
        <f>_xlfn.XLOOKUP(F117,FX!$A$12:$A$910,FX!$B$12:$B$910,"",-1)</f>
        <v>1.198</v>
      </c>
      <c r="H117" s="3">
        <f t="shared" si="5"/>
        <v>640163.06385642698</v>
      </c>
      <c r="I117" s="3">
        <f t="shared" si="6"/>
        <v>135082.19365609341</v>
      </c>
      <c r="J117" s="3">
        <f t="shared" si="7"/>
        <v>775245.25751252042</v>
      </c>
      <c r="L117" s="1" t="s">
        <v>79</v>
      </c>
      <c r="M117" s="3">
        <v>653698.21880000003</v>
      </c>
      <c r="N117" s="3">
        <v>4711130.9912000084</v>
      </c>
      <c r="O117" s="3">
        <v>902261.49760000058</v>
      </c>
      <c r="P117" s="3"/>
      <c r="Q117" s="3">
        <v>6267090.7075999985</v>
      </c>
      <c r="S117" s="3">
        <f t="shared" si="8"/>
        <v>6388637.7463125288</v>
      </c>
    </row>
    <row r="118" spans="1:19" x14ac:dyDescent="0.25">
      <c r="A118" s="1" t="s">
        <v>80</v>
      </c>
      <c r="B118" s="3">
        <v>888521.67069999955</v>
      </c>
      <c r="C118" s="3">
        <v>169430.36630000002</v>
      </c>
      <c r="D118" s="3">
        <v>1057952.0369999991</v>
      </c>
      <c r="F118" s="14">
        <f t="shared" si="9"/>
        <v>46336</v>
      </c>
      <c r="G118" s="16">
        <f>_xlfn.XLOOKUP(F118,FX!$A$12:$A$910,FX!$B$12:$B$910,"",-1)</f>
        <v>1.198</v>
      </c>
      <c r="H118" s="3">
        <f t="shared" si="5"/>
        <v>741670.84365609311</v>
      </c>
      <c r="I118" s="3">
        <f t="shared" si="6"/>
        <v>141427.68472454092</v>
      </c>
      <c r="J118" s="3">
        <f t="shared" si="7"/>
        <v>883098.52838063403</v>
      </c>
      <c r="L118" s="1" t="s">
        <v>80</v>
      </c>
      <c r="M118" s="3">
        <v>903662.75409999746</v>
      </c>
      <c r="N118" s="3">
        <v>4668630.5328999944</v>
      </c>
      <c r="O118" s="3">
        <v>854768.02129999921</v>
      </c>
      <c r="P118" s="3"/>
      <c r="Q118" s="3">
        <v>6427061.3082999857</v>
      </c>
      <c r="S118" s="3">
        <f t="shared" si="8"/>
        <v>6406497.0825806279</v>
      </c>
    </row>
    <row r="119" spans="1:19" x14ac:dyDescent="0.25">
      <c r="A119" s="1" t="s">
        <v>81</v>
      </c>
      <c r="B119" s="3">
        <v>1093539.2269000001</v>
      </c>
      <c r="C119" s="3">
        <v>127261.95949999997</v>
      </c>
      <c r="D119" s="3">
        <v>1220801.1864000016</v>
      </c>
      <c r="F119" s="14">
        <f t="shared" si="9"/>
        <v>46343</v>
      </c>
      <c r="G119" s="16">
        <f>_xlfn.XLOOKUP(F119,FX!$A$12:$A$910,FX!$B$12:$B$910,"",-1)</f>
        <v>1.198</v>
      </c>
      <c r="H119" s="3">
        <f t="shared" si="5"/>
        <v>912804.02913188667</v>
      </c>
      <c r="I119" s="3">
        <f t="shared" si="6"/>
        <v>106228.68071786308</v>
      </c>
      <c r="J119" s="3">
        <f t="shared" si="7"/>
        <v>1019032.7098497497</v>
      </c>
      <c r="L119" s="1" t="s">
        <v>81</v>
      </c>
      <c r="M119" s="3">
        <v>942552.38179999928</v>
      </c>
      <c r="N119" s="3">
        <v>4959237.6591999726</v>
      </c>
      <c r="O119" s="3">
        <v>904686.60550000041</v>
      </c>
      <c r="P119" s="3"/>
      <c r="Q119" s="3">
        <v>6806476.6465000147</v>
      </c>
      <c r="S119" s="3">
        <f t="shared" si="8"/>
        <v>6882956.9745497229</v>
      </c>
    </row>
    <row r="120" spans="1:19" x14ac:dyDescent="0.25">
      <c r="A120" s="1" t="s">
        <v>82</v>
      </c>
      <c r="B120" s="3">
        <v>2520321.5912000095</v>
      </c>
      <c r="C120" s="3">
        <v>679301.00219999976</v>
      </c>
      <c r="D120" s="3">
        <v>3199622.5933999997</v>
      </c>
      <c r="F120" s="14">
        <f t="shared" si="9"/>
        <v>46350</v>
      </c>
      <c r="G120" s="16">
        <f>_xlfn.XLOOKUP(F120,FX!$A$12:$A$910,FX!$B$12:$B$910,"",-1)</f>
        <v>1.198</v>
      </c>
      <c r="H120" s="3">
        <f t="shared" si="5"/>
        <v>2103774.2831385722</v>
      </c>
      <c r="I120" s="3">
        <f t="shared" si="6"/>
        <v>567029.21719532541</v>
      </c>
      <c r="J120" s="3">
        <f t="shared" si="7"/>
        <v>2670803.5003338978</v>
      </c>
      <c r="L120" s="1" t="s">
        <v>82</v>
      </c>
      <c r="M120" s="3">
        <v>2559101.3727000044</v>
      </c>
      <c r="N120" s="3">
        <v>12075576.592299925</v>
      </c>
      <c r="O120" s="3">
        <v>3619227.9473999985</v>
      </c>
      <c r="P120" s="3"/>
      <c r="Q120" s="3">
        <v>18253905.912399821</v>
      </c>
      <c r="S120" s="3">
        <f t="shared" si="8"/>
        <v>18365608.040033821</v>
      </c>
    </row>
    <row r="121" spans="1:19" x14ac:dyDescent="0.25">
      <c r="A121" s="1" t="s">
        <v>83</v>
      </c>
      <c r="B121" s="3">
        <v>1457900.0871000059</v>
      </c>
      <c r="C121" s="3">
        <v>380564.11889999977</v>
      </c>
      <c r="D121" s="3">
        <v>1838464.2060000137</v>
      </c>
      <c r="F121" s="14">
        <f t="shared" si="9"/>
        <v>46357</v>
      </c>
      <c r="G121" s="16">
        <f>_xlfn.XLOOKUP(F121,FX!$A$12:$A$910,FX!$B$12:$B$910,"",-1)</f>
        <v>1.198</v>
      </c>
      <c r="H121" s="3">
        <f t="shared" si="5"/>
        <v>1216944.980884813</v>
      </c>
      <c r="I121" s="3">
        <f t="shared" si="6"/>
        <v>317666.20943238714</v>
      </c>
      <c r="J121" s="3">
        <f t="shared" si="7"/>
        <v>1534611.1903172</v>
      </c>
      <c r="L121" s="1" t="s">
        <v>83</v>
      </c>
      <c r="M121" s="3">
        <v>2246396.2978999927</v>
      </c>
      <c r="N121" s="3">
        <v>6603591.8239000011</v>
      </c>
      <c r="O121" s="3">
        <v>2453448.069600001</v>
      </c>
      <c r="P121" s="3"/>
      <c r="Q121" s="3">
        <v>11303436.19139996</v>
      </c>
      <c r="S121" s="3">
        <f t="shared" si="8"/>
        <v>10591651.083817203</v>
      </c>
    </row>
    <row r="122" spans="1:19" x14ac:dyDescent="0.25">
      <c r="A122" s="1" t="s">
        <v>84</v>
      </c>
      <c r="B122" s="3">
        <v>896926.3032000009</v>
      </c>
      <c r="C122" s="3">
        <v>190417.80109999984</v>
      </c>
      <c r="D122" s="3">
        <v>1087344.1043000033</v>
      </c>
      <c r="F122" s="14">
        <f t="shared" si="9"/>
        <v>46364</v>
      </c>
      <c r="G122" s="16">
        <f>_xlfn.XLOOKUP(F122,FX!$A$12:$A$910,FX!$B$12:$B$910,"",-1)</f>
        <v>1.198</v>
      </c>
      <c r="H122" s="3">
        <f t="shared" si="5"/>
        <v>748686.39666110266</v>
      </c>
      <c r="I122" s="3">
        <f t="shared" si="6"/>
        <v>158946.411602671</v>
      </c>
      <c r="J122" s="3">
        <f t="shared" si="7"/>
        <v>907632.80826377368</v>
      </c>
      <c r="L122" s="1" t="s">
        <v>84</v>
      </c>
      <c r="M122" s="3">
        <v>667361.75740000221</v>
      </c>
      <c r="N122" s="3">
        <v>3293029.3273999789</v>
      </c>
      <c r="O122" s="3">
        <v>1033195.9395000036</v>
      </c>
      <c r="P122" s="3"/>
      <c r="Q122" s="3">
        <v>4993587.0242999746</v>
      </c>
      <c r="S122" s="3">
        <f t="shared" si="8"/>
        <v>5233858.0751637556</v>
      </c>
    </row>
    <row r="123" spans="1:19" x14ac:dyDescent="0.25">
      <c r="A123" s="1" t="s">
        <v>85</v>
      </c>
      <c r="B123" s="3">
        <v>841601.43330000062</v>
      </c>
      <c r="C123" s="3">
        <v>154892.38890000011</v>
      </c>
      <c r="D123" s="3">
        <v>996493.82220000145</v>
      </c>
      <c r="F123" s="14">
        <f t="shared" si="9"/>
        <v>46371</v>
      </c>
      <c r="G123" s="16">
        <f>_xlfn.XLOOKUP(F123,FX!$A$12:$A$910,FX!$B$12:$B$910,"",-1)</f>
        <v>1.198</v>
      </c>
      <c r="H123" s="3">
        <f t="shared" si="5"/>
        <v>702505.37003338954</v>
      </c>
      <c r="I123" s="3">
        <f t="shared" si="6"/>
        <v>129292.47821368958</v>
      </c>
      <c r="J123" s="3">
        <f t="shared" si="7"/>
        <v>831797.84824707918</v>
      </c>
      <c r="L123" s="1" t="s">
        <v>85</v>
      </c>
      <c r="M123" s="3">
        <v>386130.48230000038</v>
      </c>
      <c r="N123" s="3">
        <v>3492645.4396999893</v>
      </c>
      <c r="O123" s="3">
        <v>569689.69040000089</v>
      </c>
      <c r="P123" s="3"/>
      <c r="Q123" s="3">
        <v>4448465.6123999963</v>
      </c>
      <c r="S123" s="3">
        <f t="shared" si="8"/>
        <v>4894132.9783470687</v>
      </c>
    </row>
    <row r="124" spans="1:19" x14ac:dyDescent="0.25">
      <c r="A124" s="1" t="s">
        <v>86</v>
      </c>
      <c r="B124" s="3">
        <v>1586224.5884000019</v>
      </c>
      <c r="C124" s="3">
        <v>277248.53110000025</v>
      </c>
      <c r="D124" s="3">
        <v>1863473.1195000014</v>
      </c>
      <c r="F124" s="14">
        <f t="shared" si="9"/>
        <v>46378</v>
      </c>
      <c r="G124" s="16">
        <f>_xlfn.XLOOKUP(F124,FX!$A$12:$A$910,FX!$B$12:$B$910,"",-1)</f>
        <v>1.198</v>
      </c>
      <c r="H124" s="3">
        <f t="shared" ref="H124:H170" si="10">B124/$G124</f>
        <v>1324060.5913188665</v>
      </c>
      <c r="I124" s="3">
        <f t="shared" ref="I124:I170" si="11">C124/$G124</f>
        <v>231426.15283806366</v>
      </c>
      <c r="J124" s="3">
        <f t="shared" ref="J124:J170" si="12">H124+I124</f>
        <v>1555486.7441569301</v>
      </c>
      <c r="L124" s="1" t="s">
        <v>86</v>
      </c>
      <c r="M124" s="3">
        <v>1125790.5033999982</v>
      </c>
      <c r="N124" s="3">
        <v>7418097.8671999974</v>
      </c>
      <c r="O124" s="3">
        <v>1678600.2059000048</v>
      </c>
      <c r="P124" s="3"/>
      <c r="Q124" s="3">
        <v>10222488.576499879</v>
      </c>
      <c r="S124" s="3">
        <f t="shared" si="8"/>
        <v>10652184.817256931</v>
      </c>
    </row>
    <row r="125" spans="1:19" x14ac:dyDescent="0.25">
      <c r="A125" s="1" t="s">
        <v>87</v>
      </c>
      <c r="B125" s="3">
        <v>1400337.8343999991</v>
      </c>
      <c r="C125" s="3">
        <v>236457.15289999984</v>
      </c>
      <c r="D125" s="3">
        <v>1636794.9872999999</v>
      </c>
      <c r="F125" s="14">
        <f t="shared" si="9"/>
        <v>46385</v>
      </c>
      <c r="G125" s="16">
        <f>_xlfn.XLOOKUP(F125,FX!$A$12:$A$910,FX!$B$12:$B$910,"",-1)</f>
        <v>1.198</v>
      </c>
      <c r="H125" s="3">
        <f t="shared" si="10"/>
        <v>1168896.3559265435</v>
      </c>
      <c r="I125" s="3">
        <f t="shared" si="11"/>
        <v>197376.58839732874</v>
      </c>
      <c r="J125" s="3">
        <f t="shared" si="12"/>
        <v>1366272.9443238722</v>
      </c>
      <c r="L125" s="1" t="s">
        <v>87</v>
      </c>
      <c r="M125" s="3">
        <v>894098.39349999896</v>
      </c>
      <c r="N125" s="3">
        <v>6027760.0365999872</v>
      </c>
      <c r="O125" s="3">
        <v>1148884.9475000026</v>
      </c>
      <c r="P125" s="3"/>
      <c r="Q125" s="3">
        <v>8070743.3775999788</v>
      </c>
      <c r="S125" s="3">
        <f t="shared" si="8"/>
        <v>8542917.9284238629</v>
      </c>
    </row>
    <row r="126" spans="1:19" x14ac:dyDescent="0.25">
      <c r="A126" s="1" t="s">
        <v>88</v>
      </c>
      <c r="B126" s="3">
        <v>966619.82370000042</v>
      </c>
      <c r="C126" s="3">
        <v>197085.46120000028</v>
      </c>
      <c r="D126" s="3">
        <v>1163705.2849000026</v>
      </c>
      <c r="F126" s="14">
        <f t="shared" si="9"/>
        <v>46392</v>
      </c>
      <c r="G126" s="16">
        <f>_xlfn.XLOOKUP(F126,FX!$A$12:$A$910,FX!$B$12:$B$910,"",-1)</f>
        <v>1.198</v>
      </c>
      <c r="H126" s="3">
        <f t="shared" si="10"/>
        <v>806861.2885642742</v>
      </c>
      <c r="I126" s="3">
        <f t="shared" si="11"/>
        <v>164512.07111853114</v>
      </c>
      <c r="J126" s="3">
        <f t="shared" si="12"/>
        <v>971373.35968280537</v>
      </c>
      <c r="L126" s="1" t="s">
        <v>88</v>
      </c>
      <c r="M126" s="3">
        <v>747710.11179999937</v>
      </c>
      <c r="N126" s="3">
        <v>4742366.7940999959</v>
      </c>
      <c r="O126" s="3">
        <v>919992.23469999991</v>
      </c>
      <c r="P126" s="3"/>
      <c r="Q126" s="3">
        <v>6410069.1405999623</v>
      </c>
      <c r="S126" s="3">
        <f t="shared" si="8"/>
        <v>6633732.3884828016</v>
      </c>
    </row>
    <row r="127" spans="1:19" x14ac:dyDescent="0.25">
      <c r="A127" s="1" t="s">
        <v>89</v>
      </c>
      <c r="B127" s="3">
        <v>1065617.6737000016</v>
      </c>
      <c r="C127" s="3">
        <v>191512.39149999988</v>
      </c>
      <c r="D127" s="3">
        <v>1257130.0651999998</v>
      </c>
      <c r="F127" s="14">
        <f t="shared" si="9"/>
        <v>46399</v>
      </c>
      <c r="G127" s="16">
        <f>_xlfn.XLOOKUP(F127,FX!$A$12:$A$910,FX!$B$12:$B$910,"",-1)</f>
        <v>1.198</v>
      </c>
      <c r="H127" s="3">
        <f t="shared" si="10"/>
        <v>889497.22345576098</v>
      </c>
      <c r="I127" s="3">
        <f t="shared" si="11"/>
        <v>159860.09307178622</v>
      </c>
      <c r="J127" s="3">
        <f t="shared" si="12"/>
        <v>1049357.3165275473</v>
      </c>
      <c r="L127" s="1" t="s">
        <v>89</v>
      </c>
      <c r="M127" s="3">
        <v>858684.34409999987</v>
      </c>
      <c r="N127" s="3">
        <v>4836499.9709000019</v>
      </c>
      <c r="O127" s="3">
        <v>928506.20680000039</v>
      </c>
      <c r="P127" s="3"/>
      <c r="Q127" s="3">
        <v>6623690.52179999</v>
      </c>
      <c r="S127" s="3">
        <f t="shared" si="8"/>
        <v>6814363.49422755</v>
      </c>
    </row>
    <row r="128" spans="1:19" x14ac:dyDescent="0.25">
      <c r="A128" s="1" t="s">
        <v>90</v>
      </c>
      <c r="B128" s="3">
        <v>1560596.8030999978</v>
      </c>
      <c r="C128" s="3">
        <v>258258.30080000014</v>
      </c>
      <c r="D128" s="3">
        <v>1818855.1038999981</v>
      </c>
      <c r="F128" s="14">
        <f t="shared" si="9"/>
        <v>46406</v>
      </c>
      <c r="G128" s="16">
        <f>_xlfn.XLOOKUP(F128,FX!$A$12:$A$910,FX!$B$12:$B$910,"",-1)</f>
        <v>1.198</v>
      </c>
      <c r="H128" s="3">
        <f t="shared" si="10"/>
        <v>1302668.4499999983</v>
      </c>
      <c r="I128" s="3">
        <f t="shared" si="11"/>
        <v>215574.54156928227</v>
      </c>
      <c r="J128" s="3">
        <f t="shared" si="12"/>
        <v>1518242.9915692806</v>
      </c>
      <c r="L128" s="1" t="s">
        <v>90</v>
      </c>
      <c r="M128" s="3">
        <v>1203459.3809000007</v>
      </c>
      <c r="N128" s="3">
        <v>7303638.7318999805</v>
      </c>
      <c r="O128" s="3">
        <v>1270264.7423000017</v>
      </c>
      <c r="P128" s="3"/>
      <c r="Q128" s="3">
        <v>9777362.8550998755</v>
      </c>
      <c r="S128" s="3">
        <f t="shared" si="8"/>
        <v>10092146.465769263</v>
      </c>
    </row>
    <row r="129" spans="1:19" x14ac:dyDescent="0.25">
      <c r="A129" t="s">
        <v>91</v>
      </c>
      <c r="B129" s="3">
        <v>1430656.0918000003</v>
      </c>
      <c r="C129" s="3">
        <v>214111.74740000005</v>
      </c>
      <c r="D129" s="3">
        <v>1644767.8392</v>
      </c>
      <c r="F129" s="14">
        <f t="shared" si="9"/>
        <v>46413</v>
      </c>
      <c r="G129" s="16">
        <f>_xlfn.XLOOKUP(F129,FX!$A$12:$A$910,FX!$B$12:$B$910,"",-1)</f>
        <v>1.198</v>
      </c>
      <c r="H129" s="3">
        <f t="shared" si="10"/>
        <v>1194203.7494156931</v>
      </c>
      <c r="I129" s="3">
        <f t="shared" si="11"/>
        <v>178724.33005008352</v>
      </c>
      <c r="J129" s="3">
        <f t="shared" si="12"/>
        <v>1372928.0794657767</v>
      </c>
      <c r="L129" t="s">
        <v>91</v>
      </c>
      <c r="M129" s="3">
        <v>1212613.5346999969</v>
      </c>
      <c r="N129" s="3">
        <v>6073361.4076999938</v>
      </c>
      <c r="O129" s="3">
        <v>1339527.0511999989</v>
      </c>
      <c r="P129" s="3"/>
      <c r="Q129" s="3">
        <v>8625501.9936000165</v>
      </c>
      <c r="S129" s="3">
        <f t="shared" si="8"/>
        <v>8785816.5383657701</v>
      </c>
    </row>
    <row r="130" spans="1:19" x14ac:dyDescent="0.25">
      <c r="A130" t="s">
        <v>92</v>
      </c>
      <c r="B130" s="3">
        <v>708512.45880000084</v>
      </c>
      <c r="C130" s="3">
        <v>146804.9163999999</v>
      </c>
      <c r="D130" s="3">
        <v>855317.37520000152</v>
      </c>
      <c r="F130" s="14">
        <f t="shared" si="9"/>
        <v>46420</v>
      </c>
      <c r="G130" s="16">
        <f>_xlfn.XLOOKUP(F130,FX!$A$12:$A$910,FX!$B$12:$B$910,"",-1)</f>
        <v>1.198</v>
      </c>
      <c r="H130" s="3">
        <f t="shared" si="10"/>
        <v>591412.73689482547</v>
      </c>
      <c r="I130" s="3">
        <f t="shared" si="11"/>
        <v>122541.66644407337</v>
      </c>
      <c r="J130" s="3">
        <f t="shared" si="12"/>
        <v>713954.4033388989</v>
      </c>
      <c r="L130" t="s">
        <v>92</v>
      </c>
      <c r="M130" s="3">
        <v>499406.00059999956</v>
      </c>
      <c r="N130" s="3">
        <v>3140248.3222999992</v>
      </c>
      <c r="O130" s="3">
        <v>595736.96379999828</v>
      </c>
      <c r="P130" s="3"/>
      <c r="Q130" s="3">
        <v>4235391.2867000047</v>
      </c>
      <c r="S130" s="3">
        <f t="shared" si="8"/>
        <v>4449939.6894388963</v>
      </c>
    </row>
    <row r="131" spans="1:19" x14ac:dyDescent="0.25">
      <c r="A131" t="s">
        <v>93</v>
      </c>
      <c r="B131" s="3">
        <v>594055.491600001</v>
      </c>
      <c r="C131" s="3">
        <v>149498.36460000003</v>
      </c>
      <c r="D131" s="3">
        <v>743553.85620000027</v>
      </c>
      <c r="F131" s="14">
        <f t="shared" si="9"/>
        <v>46427</v>
      </c>
      <c r="G131" s="16">
        <f>_xlfn.XLOOKUP(F131,FX!$A$12:$A$910,FX!$B$12:$B$910,"",-1)</f>
        <v>1.198</v>
      </c>
      <c r="H131" s="3">
        <f t="shared" si="10"/>
        <v>495872.69749582722</v>
      </c>
      <c r="I131" s="3">
        <f t="shared" si="11"/>
        <v>124789.95375626047</v>
      </c>
      <c r="J131" s="3">
        <f t="shared" si="12"/>
        <v>620662.65125208767</v>
      </c>
      <c r="L131" t="s">
        <v>93</v>
      </c>
      <c r="M131" s="3">
        <v>1082665.894699998</v>
      </c>
      <c r="N131" s="3">
        <v>3932626.4477999951</v>
      </c>
      <c r="O131" s="3">
        <v>751863.28160000045</v>
      </c>
      <c r="P131" s="3"/>
      <c r="Q131" s="3">
        <v>5767155.6240999531</v>
      </c>
      <c r="S131" s="3">
        <f t="shared" si="8"/>
        <v>5305152.3806520831</v>
      </c>
    </row>
    <row r="132" spans="1:19" x14ac:dyDescent="0.25">
      <c r="A132" t="s">
        <v>94</v>
      </c>
      <c r="B132" s="3">
        <v>688311.38730000122</v>
      </c>
      <c r="C132" s="3">
        <v>107752.41419999997</v>
      </c>
      <c r="D132" s="3">
        <v>796063.80150000064</v>
      </c>
      <c r="F132" s="14">
        <f t="shared" si="9"/>
        <v>46434</v>
      </c>
      <c r="G132" s="16">
        <f>_xlfn.XLOOKUP(F132,FX!$A$12:$A$910,FX!$B$12:$B$910,"",-1)</f>
        <v>1.198</v>
      </c>
      <c r="H132" s="3">
        <f t="shared" si="10"/>
        <v>574550.40676126978</v>
      </c>
      <c r="I132" s="3">
        <f t="shared" si="11"/>
        <v>89943.58447412352</v>
      </c>
      <c r="J132" s="3">
        <f t="shared" si="12"/>
        <v>664493.99123539333</v>
      </c>
      <c r="L132" t="s">
        <v>94</v>
      </c>
      <c r="M132" s="3">
        <v>884879.46809999924</v>
      </c>
      <c r="N132" s="3">
        <v>3452547.9793000091</v>
      </c>
      <c r="O132" s="3">
        <v>662980.91779999994</v>
      </c>
      <c r="P132" s="3"/>
      <c r="Q132" s="3">
        <v>5000408.365199999</v>
      </c>
      <c r="S132" s="3">
        <f t="shared" si="8"/>
        <v>4780022.8883354021</v>
      </c>
    </row>
    <row r="133" spans="1:19" x14ac:dyDescent="0.25">
      <c r="A133" t="s">
        <v>95</v>
      </c>
      <c r="B133" s="3">
        <v>661681.39489999972</v>
      </c>
      <c r="C133" s="3">
        <v>73613.361599999975</v>
      </c>
      <c r="D133" s="3">
        <v>735294.75649999978</v>
      </c>
      <c r="F133" s="14">
        <f t="shared" si="9"/>
        <v>46441</v>
      </c>
      <c r="G133" s="16">
        <f>_xlfn.XLOOKUP(F133,FX!$A$12:$A$910,FX!$B$12:$B$910,"",-1)</f>
        <v>1.198</v>
      </c>
      <c r="H133" s="3">
        <f t="shared" si="10"/>
        <v>552321.69858096808</v>
      </c>
      <c r="I133" s="3">
        <f t="shared" si="11"/>
        <v>61446.879465776277</v>
      </c>
      <c r="J133" s="3">
        <f t="shared" si="12"/>
        <v>613768.57804674434</v>
      </c>
      <c r="L133" t="s">
        <v>95</v>
      </c>
      <c r="M133" s="3">
        <v>587597.37149999978</v>
      </c>
      <c r="N133" s="3">
        <v>3877695.4717000048</v>
      </c>
      <c r="O133" s="3">
        <v>474097.00380000094</v>
      </c>
      <c r="P133" s="3"/>
      <c r="Q133" s="3">
        <v>4939389.8469999833</v>
      </c>
      <c r="S133" s="3">
        <f t="shared" si="8"/>
        <v>4965561.05354675</v>
      </c>
    </row>
    <row r="134" spans="1:19" x14ac:dyDescent="0.25">
      <c r="A134" t="s">
        <v>96</v>
      </c>
      <c r="B134" s="3">
        <v>730405.99120000028</v>
      </c>
      <c r="C134" s="3">
        <v>131060.96630000006</v>
      </c>
      <c r="D134" s="3">
        <v>861466.95750000002</v>
      </c>
      <c r="F134" s="14">
        <f t="shared" si="9"/>
        <v>46448</v>
      </c>
      <c r="G134" s="16">
        <f>_xlfn.XLOOKUP(F134,FX!$A$12:$A$910,FX!$B$12:$B$910,"",-1)</f>
        <v>1.198</v>
      </c>
      <c r="H134" s="3">
        <f t="shared" si="10"/>
        <v>609687.80567612709</v>
      </c>
      <c r="I134" s="3">
        <f t="shared" si="11"/>
        <v>109399.80492487484</v>
      </c>
      <c r="J134" s="3">
        <f t="shared" si="12"/>
        <v>719087.61060100188</v>
      </c>
      <c r="L134" t="s">
        <v>96</v>
      </c>
      <c r="M134" s="3">
        <v>559102.61889999884</v>
      </c>
      <c r="N134" s="3">
        <v>4122250.6138000046</v>
      </c>
      <c r="O134" s="3">
        <v>490917.03039999987</v>
      </c>
      <c r="P134" s="3"/>
      <c r="Q134" s="3">
        <v>5172270.2630999945</v>
      </c>
      <c r="S134" s="3">
        <f t="shared" si="8"/>
        <v>5332255.2548010061</v>
      </c>
    </row>
    <row r="135" spans="1:19" x14ac:dyDescent="0.25">
      <c r="A135" t="s">
        <v>97</v>
      </c>
      <c r="B135" s="3">
        <v>636232.9534999996</v>
      </c>
      <c r="C135" s="3">
        <v>62587.787799999998</v>
      </c>
      <c r="D135" s="3">
        <v>698820.74129999988</v>
      </c>
      <c r="F135" s="14">
        <f t="shared" si="9"/>
        <v>46455</v>
      </c>
      <c r="G135" s="16">
        <f>_xlfn.XLOOKUP(F135,FX!$A$12:$A$910,FX!$B$12:$B$910,"",-1)</f>
        <v>1.198</v>
      </c>
      <c r="H135" s="3">
        <f t="shared" si="10"/>
        <v>531079.2600166942</v>
      </c>
      <c r="I135" s="3">
        <f t="shared" si="11"/>
        <v>52243.56243739566</v>
      </c>
      <c r="J135" s="3">
        <f t="shared" si="12"/>
        <v>583322.82245408988</v>
      </c>
      <c r="L135" t="s">
        <v>97</v>
      </c>
      <c r="M135" s="3">
        <v>469109.30790000025</v>
      </c>
      <c r="N135" s="3">
        <v>3296678.0424999991</v>
      </c>
      <c r="O135" s="3">
        <v>498930.15390000015</v>
      </c>
      <c r="P135" s="3"/>
      <c r="Q135" s="3">
        <v>4264717.5043000001</v>
      </c>
      <c r="S135" s="3">
        <f t="shared" si="8"/>
        <v>4378931.0188540891</v>
      </c>
    </row>
    <row r="136" spans="1:19" x14ac:dyDescent="0.25">
      <c r="A136" t="s">
        <v>98</v>
      </c>
      <c r="B136" s="3">
        <v>765896.72110000008</v>
      </c>
      <c r="C136" s="3">
        <v>235423.30699999986</v>
      </c>
      <c r="D136" s="3">
        <v>1001320.0280999988</v>
      </c>
      <c r="F136" s="14">
        <f t="shared" si="9"/>
        <v>46462</v>
      </c>
      <c r="G136" s="16">
        <f>_xlfn.XLOOKUP(F136,FX!$A$12:$A$910,FX!$B$12:$B$910,"",-1)</f>
        <v>1.198</v>
      </c>
      <c r="H136" s="3">
        <f t="shared" si="10"/>
        <v>639312.78889816371</v>
      </c>
      <c r="I136" s="3">
        <f t="shared" si="11"/>
        <v>196513.61185308837</v>
      </c>
      <c r="J136" s="3">
        <f t="shared" si="12"/>
        <v>835826.40075125208</v>
      </c>
      <c r="L136" t="s">
        <v>98</v>
      </c>
      <c r="M136" s="3">
        <v>1560685.8064000071</v>
      </c>
      <c r="N136" s="3">
        <v>4050415.1564999907</v>
      </c>
      <c r="O136" s="3">
        <v>1305078.1565000005</v>
      </c>
      <c r="P136" s="3"/>
      <c r="Q136" s="3">
        <v>6916179.1193999406</v>
      </c>
      <c r="S136" s="3">
        <f t="shared" si="8"/>
        <v>6191319.7137512434</v>
      </c>
    </row>
    <row r="137" spans="1:19" x14ac:dyDescent="0.25">
      <c r="A137" t="s">
        <v>99</v>
      </c>
      <c r="B137" s="3">
        <v>765313.5928999983</v>
      </c>
      <c r="C137" s="3">
        <v>77752.434599999964</v>
      </c>
      <c r="D137" s="3">
        <v>843066.02749999752</v>
      </c>
      <c r="F137" s="14">
        <f t="shared" si="9"/>
        <v>46469</v>
      </c>
      <c r="G137" s="16">
        <f>_xlfn.XLOOKUP(F137,FX!$A$12:$A$910,FX!$B$12:$B$910,"",-1)</f>
        <v>1.198</v>
      </c>
      <c r="H137" s="3">
        <f t="shared" si="10"/>
        <v>638826.03747913043</v>
      </c>
      <c r="I137" s="3">
        <f t="shared" si="11"/>
        <v>64901.865275459073</v>
      </c>
      <c r="J137" s="3">
        <f t="shared" si="12"/>
        <v>703727.90275458945</v>
      </c>
      <c r="L137" t="s">
        <v>99</v>
      </c>
      <c r="M137" s="3">
        <v>557789.20299999975</v>
      </c>
      <c r="N137" s="3">
        <v>3202340.0216999953</v>
      </c>
      <c r="O137" s="3">
        <v>449673.67209999973</v>
      </c>
      <c r="P137" s="3"/>
      <c r="Q137" s="3">
        <v>4209802.8968000002</v>
      </c>
      <c r="S137" s="3">
        <f t="shared" ref="S137:S169" si="13">J137+N137+O137</f>
        <v>4355741.5965545848</v>
      </c>
    </row>
    <row r="138" spans="1:19" x14ac:dyDescent="0.25">
      <c r="A138" t="s">
        <v>100</v>
      </c>
      <c r="B138" s="3">
        <v>581843.32200000098</v>
      </c>
      <c r="C138" s="3">
        <v>141764.80489999976</v>
      </c>
      <c r="D138" s="3">
        <v>723608.12690000143</v>
      </c>
      <c r="F138" s="14">
        <f t="shared" ref="F138:F170" si="14">F137+7</f>
        <v>46476</v>
      </c>
      <c r="G138" s="16">
        <f>_xlfn.XLOOKUP(F138,FX!$A$12:$A$910,FX!$B$12:$B$910,"",-1)</f>
        <v>1.198</v>
      </c>
      <c r="H138" s="3">
        <f t="shared" si="10"/>
        <v>485678.89983305591</v>
      </c>
      <c r="I138" s="3">
        <f t="shared" si="11"/>
        <v>118334.56168614337</v>
      </c>
      <c r="J138" s="3">
        <f t="shared" si="12"/>
        <v>604013.46151919931</v>
      </c>
      <c r="L138" t="s">
        <v>100</v>
      </c>
      <c r="M138" s="3">
        <v>612668.82780000137</v>
      </c>
      <c r="N138" s="3">
        <v>2786347.2227000003</v>
      </c>
      <c r="O138" s="3">
        <v>543045.34820000012</v>
      </c>
      <c r="P138" s="3"/>
      <c r="Q138" s="3">
        <v>3942061.3986999989</v>
      </c>
      <c r="S138" s="3">
        <f t="shared" si="13"/>
        <v>3933406.0324192001</v>
      </c>
    </row>
    <row r="139" spans="1:19" x14ac:dyDescent="0.25">
      <c r="A139" t="s">
        <v>101</v>
      </c>
      <c r="B139" s="3">
        <v>1099834.777100001</v>
      </c>
      <c r="C139" s="3">
        <v>180935.13339999964</v>
      </c>
      <c r="D139" s="3">
        <v>1280769.9104999986</v>
      </c>
      <c r="F139" s="14">
        <f t="shared" si="14"/>
        <v>46483</v>
      </c>
      <c r="G139" s="16">
        <f>_xlfn.XLOOKUP(F139,FX!$A$12:$A$910,FX!$B$12:$B$910,"",-1)</f>
        <v>1.198</v>
      </c>
      <c r="H139" s="3">
        <f t="shared" si="10"/>
        <v>918059.07938230468</v>
      </c>
      <c r="I139" s="3">
        <f t="shared" si="11"/>
        <v>151030.99616026683</v>
      </c>
      <c r="J139" s="3">
        <f t="shared" si="12"/>
        <v>1069090.0755425715</v>
      </c>
      <c r="L139" t="s">
        <v>101</v>
      </c>
      <c r="M139" s="3">
        <v>725605.71769999934</v>
      </c>
      <c r="N139" s="3">
        <v>4800431.9459999902</v>
      </c>
      <c r="O139" s="3">
        <v>841683.87549999927</v>
      </c>
      <c r="P139" s="3"/>
      <c r="Q139" s="3">
        <v>6367721.5391999511</v>
      </c>
      <c r="S139" s="3">
        <f t="shared" si="13"/>
        <v>6711205.8970425613</v>
      </c>
    </row>
    <row r="140" spans="1:19" x14ac:dyDescent="0.25">
      <c r="A140" t="s">
        <v>102</v>
      </c>
      <c r="B140" s="3">
        <v>787365.49319999944</v>
      </c>
      <c r="C140" s="3">
        <v>98435.121000000028</v>
      </c>
      <c r="D140" s="3">
        <v>885800.61419999984</v>
      </c>
      <c r="F140" s="14">
        <f t="shared" si="14"/>
        <v>46490</v>
      </c>
      <c r="G140" s="16">
        <f>_xlfn.XLOOKUP(F140,FX!$A$12:$A$910,FX!$B$12:$B$910,"",-1)</f>
        <v>1.198</v>
      </c>
      <c r="H140" s="3">
        <f t="shared" si="10"/>
        <v>657233.29983305465</v>
      </c>
      <c r="I140" s="3">
        <f t="shared" si="11"/>
        <v>82166.211185308872</v>
      </c>
      <c r="J140" s="3">
        <f t="shared" si="12"/>
        <v>739399.51101836353</v>
      </c>
      <c r="L140" t="s">
        <v>102</v>
      </c>
      <c r="M140" s="3">
        <v>645783.41860000021</v>
      </c>
      <c r="N140" s="3">
        <v>3659504.6519999774</v>
      </c>
      <c r="O140" s="3">
        <v>653267.14660000114</v>
      </c>
      <c r="P140" s="3"/>
      <c r="Q140" s="3">
        <v>4958555.2171999756</v>
      </c>
      <c r="S140" s="3">
        <f t="shared" si="13"/>
        <v>5052171.3096183427</v>
      </c>
    </row>
    <row r="141" spans="1:19" x14ac:dyDescent="0.25">
      <c r="A141" t="s">
        <v>103</v>
      </c>
      <c r="B141" s="3">
        <v>655502.18899999978</v>
      </c>
      <c r="C141" s="3">
        <v>110641.9873000001</v>
      </c>
      <c r="D141" s="3">
        <v>766144.1763000004</v>
      </c>
      <c r="F141" s="14">
        <f t="shared" si="14"/>
        <v>46497</v>
      </c>
      <c r="G141" s="16">
        <f>_xlfn.XLOOKUP(F141,FX!$A$12:$A$910,FX!$B$12:$B$910,"",-1)</f>
        <v>1.198</v>
      </c>
      <c r="H141" s="3">
        <f t="shared" si="10"/>
        <v>547163.76377295482</v>
      </c>
      <c r="I141" s="3">
        <f t="shared" si="11"/>
        <v>92355.582053422448</v>
      </c>
      <c r="J141" s="3">
        <f t="shared" si="12"/>
        <v>639519.34582637728</v>
      </c>
      <c r="L141" t="s">
        <v>103</v>
      </c>
      <c r="M141" s="3">
        <v>619981.6721000009</v>
      </c>
      <c r="N141" s="3">
        <v>2786846.6117999847</v>
      </c>
      <c r="O141" s="3">
        <v>535128.3190999988</v>
      </c>
      <c r="P141" s="3"/>
      <c r="Q141" s="3">
        <v>3941956.6029999917</v>
      </c>
      <c r="S141" s="3">
        <f t="shared" si="13"/>
        <v>3961494.2767263604</v>
      </c>
    </row>
    <row r="142" spans="1:19" x14ac:dyDescent="0.25">
      <c r="A142" t="s">
        <v>104</v>
      </c>
      <c r="B142" s="3">
        <v>1338683.6380999982</v>
      </c>
      <c r="C142" s="3">
        <v>280071.71930000023</v>
      </c>
      <c r="D142" s="3">
        <v>1618755.3573999954</v>
      </c>
      <c r="F142" s="14">
        <f t="shared" si="14"/>
        <v>46504</v>
      </c>
      <c r="G142" s="16">
        <f>_xlfn.XLOOKUP(F142,FX!$A$12:$A$910,FX!$B$12:$B$910,"",-1)</f>
        <v>1.198</v>
      </c>
      <c r="H142" s="3">
        <f t="shared" si="10"/>
        <v>1117432.0852253742</v>
      </c>
      <c r="I142" s="3">
        <f t="shared" si="11"/>
        <v>233782.73731218718</v>
      </c>
      <c r="J142" s="3">
        <f t="shared" si="12"/>
        <v>1351214.8225375614</v>
      </c>
      <c r="L142" t="s">
        <v>104</v>
      </c>
      <c r="M142" s="3">
        <v>1600595.5227000087</v>
      </c>
      <c r="N142" s="3">
        <v>5618972.2146999622</v>
      </c>
      <c r="O142" s="3">
        <v>1254428.6563000039</v>
      </c>
      <c r="P142" s="3"/>
      <c r="Q142" s="3">
        <v>8473996.3936999273</v>
      </c>
      <c r="S142" s="3">
        <f t="shared" si="13"/>
        <v>8224615.6935375268</v>
      </c>
    </row>
    <row r="143" spans="1:19" x14ac:dyDescent="0.25">
      <c r="A143" t="s">
        <v>105</v>
      </c>
      <c r="B143" s="3">
        <v>677234.92310000025</v>
      </c>
      <c r="C143" s="3">
        <v>86380.504699999903</v>
      </c>
      <c r="D143" s="3">
        <v>763615.42780000076</v>
      </c>
      <c r="F143" s="14">
        <f t="shared" si="14"/>
        <v>46511</v>
      </c>
      <c r="G143" s="16">
        <f>_xlfn.XLOOKUP(F143,FX!$A$12:$A$910,FX!$B$12:$B$910,"",-1)</f>
        <v>1.198</v>
      </c>
      <c r="H143" s="3">
        <f t="shared" si="10"/>
        <v>565304.61026711203</v>
      </c>
      <c r="I143" s="3">
        <f t="shared" si="11"/>
        <v>72103.927128547497</v>
      </c>
      <c r="J143" s="3">
        <f t="shared" si="12"/>
        <v>637408.53739565948</v>
      </c>
      <c r="L143" t="s">
        <v>105</v>
      </c>
      <c r="M143" s="3">
        <v>706288.64660000033</v>
      </c>
      <c r="N143" s="3">
        <v>2813057.137299994</v>
      </c>
      <c r="O143" s="3">
        <v>443004.78239999962</v>
      </c>
      <c r="P143" s="3"/>
      <c r="Q143" s="3">
        <v>3962350.5662999963</v>
      </c>
      <c r="S143" s="3">
        <f t="shared" si="13"/>
        <v>3893470.4570956528</v>
      </c>
    </row>
    <row r="144" spans="1:19" x14ac:dyDescent="0.25">
      <c r="A144" t="s">
        <v>106</v>
      </c>
      <c r="B144" s="3">
        <v>915587.43840000208</v>
      </c>
      <c r="C144" s="3">
        <v>141253.6784</v>
      </c>
      <c r="D144" s="3">
        <v>1056841.1168000023</v>
      </c>
      <c r="F144" s="14">
        <f t="shared" si="14"/>
        <v>46518</v>
      </c>
      <c r="G144" s="16">
        <f>_xlfn.XLOOKUP(F144,FX!$A$12:$A$910,FX!$B$12:$B$910,"",-1)</f>
        <v>1.198</v>
      </c>
      <c r="H144" s="3">
        <f t="shared" si="10"/>
        <v>764263.30417362449</v>
      </c>
      <c r="I144" s="3">
        <f t="shared" si="11"/>
        <v>117907.91185308849</v>
      </c>
      <c r="J144" s="3">
        <f t="shared" si="12"/>
        <v>882171.21602671302</v>
      </c>
      <c r="L144" t="s">
        <v>106</v>
      </c>
      <c r="M144" s="3">
        <v>449136.59789999941</v>
      </c>
      <c r="N144" s="3">
        <v>4160312.0871999939</v>
      </c>
      <c r="O144" s="3">
        <v>662654.46410000068</v>
      </c>
      <c r="P144" s="3"/>
      <c r="Q144" s="3">
        <v>5272103.1491999719</v>
      </c>
      <c r="S144" s="3">
        <f t="shared" si="13"/>
        <v>5705137.767326707</v>
      </c>
    </row>
    <row r="145" spans="1:19" x14ac:dyDescent="0.25">
      <c r="A145" t="s">
        <v>107</v>
      </c>
      <c r="B145" s="3">
        <v>1201660.8276999986</v>
      </c>
      <c r="C145" s="3">
        <v>246002.52859999987</v>
      </c>
      <c r="D145" s="3">
        <v>1447663.3563000029</v>
      </c>
      <c r="F145" s="14">
        <f t="shared" si="14"/>
        <v>46525</v>
      </c>
      <c r="G145" s="16">
        <f>_xlfn.XLOOKUP(F145,FX!$A$12:$A$910,FX!$B$12:$B$910,"",-1)</f>
        <v>1.198</v>
      </c>
      <c r="H145" s="3">
        <f t="shared" si="10"/>
        <v>1003055.7827212008</v>
      </c>
      <c r="I145" s="3">
        <f t="shared" si="11"/>
        <v>205344.34774624364</v>
      </c>
      <c r="J145" s="3">
        <f t="shared" si="12"/>
        <v>1208400.1304674444</v>
      </c>
      <c r="L145" t="s">
        <v>107</v>
      </c>
      <c r="M145" s="3">
        <v>1145364.3841999972</v>
      </c>
      <c r="N145" s="3">
        <v>6689388.2079999922</v>
      </c>
      <c r="O145" s="3">
        <v>1282174.9780999995</v>
      </c>
      <c r="P145" s="3"/>
      <c r="Q145" s="3">
        <v>9116927.5703000147</v>
      </c>
      <c r="S145" s="3">
        <f t="shared" si="13"/>
        <v>9179963.3165674359</v>
      </c>
    </row>
    <row r="146" spans="1:19" x14ac:dyDescent="0.25">
      <c r="A146" t="s">
        <v>108</v>
      </c>
      <c r="B146" s="3">
        <v>1192633.5606000011</v>
      </c>
      <c r="C146" s="3">
        <v>170841.7534000001</v>
      </c>
      <c r="D146" s="3">
        <v>1363475.314000003</v>
      </c>
      <c r="F146" s="14">
        <f t="shared" si="14"/>
        <v>46532</v>
      </c>
      <c r="G146" s="16">
        <f>_xlfn.XLOOKUP(F146,FX!$A$12:$A$910,FX!$B$12:$B$910,"",-1)</f>
        <v>1.198</v>
      </c>
      <c r="H146" s="3">
        <f t="shared" si="10"/>
        <v>995520.50133556023</v>
      </c>
      <c r="I146" s="3">
        <f t="shared" si="11"/>
        <v>142605.8041736228</v>
      </c>
      <c r="J146" s="3">
        <f t="shared" si="12"/>
        <v>1138126.3055091831</v>
      </c>
      <c r="L146" t="s">
        <v>108</v>
      </c>
      <c r="M146" s="3">
        <v>896738.51849999954</v>
      </c>
      <c r="N146" s="3">
        <v>5413472.1937000025</v>
      </c>
      <c r="O146" s="3">
        <v>886214.76940000139</v>
      </c>
      <c r="P146" s="3"/>
      <c r="Q146" s="3">
        <v>7196425.481599994</v>
      </c>
      <c r="S146" s="3">
        <f t="shared" si="13"/>
        <v>7437813.2686091876</v>
      </c>
    </row>
    <row r="147" spans="1:19" x14ac:dyDescent="0.25">
      <c r="A147" t="s">
        <v>109</v>
      </c>
      <c r="B147" s="3">
        <v>1516450.6029999999</v>
      </c>
      <c r="C147" s="3">
        <v>273469.65699999983</v>
      </c>
      <c r="D147" s="3">
        <v>1789920.26</v>
      </c>
      <c r="F147" s="14">
        <f t="shared" si="14"/>
        <v>46539</v>
      </c>
      <c r="G147" s="16">
        <f>_xlfn.XLOOKUP(F147,FX!$A$12:$A$910,FX!$B$12:$B$910,"",-1)</f>
        <v>1.198</v>
      </c>
      <c r="H147" s="3">
        <f t="shared" si="10"/>
        <v>1265818.5333889816</v>
      </c>
      <c r="I147" s="3">
        <f t="shared" si="11"/>
        <v>228271.83388981622</v>
      </c>
      <c r="J147" s="3">
        <f t="shared" si="12"/>
        <v>1494090.3672787978</v>
      </c>
      <c r="L147" t="s">
        <v>109</v>
      </c>
      <c r="M147" s="3">
        <v>932129.56290000037</v>
      </c>
      <c r="N147" s="3">
        <v>6271384.3671999825</v>
      </c>
      <c r="O147" s="3">
        <v>1054865.3451000024</v>
      </c>
      <c r="P147" s="3"/>
      <c r="Q147" s="3">
        <v>8258379.2751999702</v>
      </c>
      <c r="S147" s="3">
        <f t="shared" si="13"/>
        <v>8820340.0795787834</v>
      </c>
    </row>
    <row r="148" spans="1:19" x14ac:dyDescent="0.25">
      <c r="A148" t="s">
        <v>110</v>
      </c>
      <c r="B148" s="3">
        <v>1229660.3417000012</v>
      </c>
      <c r="C148" s="3">
        <v>246447.60190000021</v>
      </c>
      <c r="D148" s="3">
        <v>1476107.9436000027</v>
      </c>
      <c r="F148" s="14">
        <f t="shared" si="14"/>
        <v>46546</v>
      </c>
      <c r="G148" s="16">
        <f>_xlfn.XLOOKUP(F148,FX!$A$12:$A$910,FX!$B$12:$B$910,"",-1)</f>
        <v>1.198</v>
      </c>
      <c r="H148" s="3">
        <f t="shared" si="10"/>
        <v>1026427.6641903182</v>
      </c>
      <c r="I148" s="3">
        <f t="shared" si="11"/>
        <v>205715.86135225394</v>
      </c>
      <c r="J148" s="3">
        <f t="shared" si="12"/>
        <v>1232143.5255425721</v>
      </c>
      <c r="L148" t="s">
        <v>110</v>
      </c>
      <c r="M148" s="3">
        <v>1025312.1705999988</v>
      </c>
      <c r="N148" s="3">
        <v>6777189.3236999623</v>
      </c>
      <c r="O148" s="3">
        <v>1277751.8358000058</v>
      </c>
      <c r="P148" s="3"/>
      <c r="Q148" s="3">
        <v>9080253.3300999086</v>
      </c>
      <c r="S148" s="3">
        <f t="shared" si="13"/>
        <v>9287084.6850425396</v>
      </c>
    </row>
    <row r="149" spans="1:19" x14ac:dyDescent="0.25">
      <c r="A149" t="s">
        <v>111</v>
      </c>
      <c r="B149" s="3">
        <v>1286758.9267000007</v>
      </c>
      <c r="C149" s="3">
        <v>249165.84359999985</v>
      </c>
      <c r="D149" s="3">
        <v>1535924.7703000002</v>
      </c>
      <c r="F149" s="14">
        <f t="shared" si="14"/>
        <v>46553</v>
      </c>
      <c r="G149" s="16">
        <f>_xlfn.XLOOKUP(F149,FX!$A$12:$A$910,FX!$B$12:$B$910,"",-1)</f>
        <v>1.198</v>
      </c>
      <c r="H149" s="3">
        <f t="shared" si="10"/>
        <v>1074089.2543405681</v>
      </c>
      <c r="I149" s="3">
        <f t="shared" si="11"/>
        <v>207984.84440734546</v>
      </c>
      <c r="J149" s="3">
        <f t="shared" si="12"/>
        <v>1282074.0987479135</v>
      </c>
      <c r="L149" t="s">
        <v>111</v>
      </c>
      <c r="M149" s="3">
        <v>834777.35750000062</v>
      </c>
      <c r="N149" s="3">
        <v>7372805.3019000012</v>
      </c>
      <c r="O149" s="3">
        <v>1111181.6849999984</v>
      </c>
      <c r="P149" s="3"/>
      <c r="Q149" s="3">
        <v>9318764.3444000334</v>
      </c>
      <c r="S149" s="3">
        <f t="shared" si="13"/>
        <v>9766061.0856479127</v>
      </c>
    </row>
    <row r="150" spans="1:19" x14ac:dyDescent="0.25">
      <c r="A150" t="s">
        <v>112</v>
      </c>
      <c r="B150" s="3">
        <v>1373417.9148000027</v>
      </c>
      <c r="C150" s="3">
        <v>271063.34570000006</v>
      </c>
      <c r="D150" s="3">
        <v>1644481.2605000015</v>
      </c>
      <c r="F150" s="14">
        <f t="shared" si="14"/>
        <v>46560</v>
      </c>
      <c r="G150" s="16">
        <f>_xlfn.XLOOKUP(F150,FX!$A$12:$A$910,FX!$B$12:$B$910,"",-1)</f>
        <v>1.198</v>
      </c>
      <c r="H150" s="3">
        <f t="shared" si="10"/>
        <v>1146425.6383973311</v>
      </c>
      <c r="I150" s="3">
        <f t="shared" si="11"/>
        <v>226263.22679465782</v>
      </c>
      <c r="J150" s="3">
        <f t="shared" si="12"/>
        <v>1372688.8651919889</v>
      </c>
      <c r="L150" t="s">
        <v>112</v>
      </c>
      <c r="M150" s="3">
        <v>1357184.5668000013</v>
      </c>
      <c r="N150" s="3">
        <v>8581746.6442000028</v>
      </c>
      <c r="O150" s="3">
        <v>1584192.5867000003</v>
      </c>
      <c r="P150" s="3"/>
      <c r="Q150" s="3">
        <v>11523123.797700023</v>
      </c>
      <c r="S150" s="3">
        <f t="shared" si="13"/>
        <v>11538628.096091991</v>
      </c>
    </row>
    <row r="151" spans="1:19" hidden="1" x14ac:dyDescent="0.25">
      <c r="A151" t="s">
        <v>179</v>
      </c>
      <c r="B151" s="3">
        <v>0</v>
      </c>
      <c r="C151" s="3">
        <v>0</v>
      </c>
      <c r="D151" s="3">
        <v>0</v>
      </c>
      <c r="F151" s="14"/>
      <c r="G151" s="16">
        <f>_xlfn.XLOOKUP(F151,FX!$A$12:$A$910,FX!$B$12:$B$910,"",-1)</f>
        <v>1.198</v>
      </c>
      <c r="H151" s="3">
        <f t="shared" si="10"/>
        <v>0</v>
      </c>
      <c r="I151" s="3">
        <f t="shared" si="11"/>
        <v>0</v>
      </c>
      <c r="J151" s="3">
        <f t="shared" si="12"/>
        <v>0</v>
      </c>
      <c r="L151" t="s">
        <v>179</v>
      </c>
      <c r="M151" s="3">
        <v>0</v>
      </c>
      <c r="N151" s="3">
        <v>0</v>
      </c>
      <c r="O151" s="3">
        <v>0</v>
      </c>
      <c r="P151" s="3"/>
      <c r="Q151" s="3">
        <v>0</v>
      </c>
      <c r="S151" s="3">
        <f t="shared" si="13"/>
        <v>0</v>
      </c>
    </row>
    <row r="152" spans="1:19" hidden="1" x14ac:dyDescent="0.25">
      <c r="A152" t="s">
        <v>180</v>
      </c>
      <c r="B152" s="3">
        <v>0</v>
      </c>
      <c r="C152" s="3">
        <v>0</v>
      </c>
      <c r="D152" s="3">
        <v>0</v>
      </c>
      <c r="F152" s="14"/>
      <c r="G152" s="16">
        <f>_xlfn.XLOOKUP(F152,FX!$A$12:$A$910,FX!$B$12:$B$910,"",-1)</f>
        <v>1.198</v>
      </c>
      <c r="H152" s="3">
        <f t="shared" si="10"/>
        <v>0</v>
      </c>
      <c r="I152" s="3">
        <f t="shared" si="11"/>
        <v>0</v>
      </c>
      <c r="J152" s="3">
        <f t="shared" si="12"/>
        <v>0</v>
      </c>
      <c r="L152" t="s">
        <v>180</v>
      </c>
      <c r="M152" s="3">
        <v>0</v>
      </c>
      <c r="N152" s="3">
        <v>0</v>
      </c>
      <c r="O152" s="3">
        <v>0</v>
      </c>
      <c r="P152" s="3"/>
      <c r="Q152" s="3">
        <v>0</v>
      </c>
      <c r="S152" s="3">
        <f t="shared" si="13"/>
        <v>0</v>
      </c>
    </row>
    <row r="153" spans="1:19" hidden="1" x14ac:dyDescent="0.25">
      <c r="A153" t="s">
        <v>181</v>
      </c>
      <c r="B153" s="3">
        <v>0</v>
      </c>
      <c r="C153" s="3">
        <v>0</v>
      </c>
      <c r="D153" s="3">
        <v>0</v>
      </c>
      <c r="F153" s="14"/>
      <c r="G153" s="16">
        <f>_xlfn.XLOOKUP(F153,FX!$A$12:$A$910,FX!$B$12:$B$910,"",-1)</f>
        <v>1.198</v>
      </c>
      <c r="H153" s="3">
        <f t="shared" si="10"/>
        <v>0</v>
      </c>
      <c r="I153" s="3">
        <f t="shared" si="11"/>
        <v>0</v>
      </c>
      <c r="J153" s="3">
        <f t="shared" si="12"/>
        <v>0</v>
      </c>
      <c r="L153" t="s">
        <v>181</v>
      </c>
      <c r="M153" s="3">
        <v>0</v>
      </c>
      <c r="N153" s="3">
        <v>0</v>
      </c>
      <c r="O153" s="3">
        <v>0</v>
      </c>
      <c r="P153" s="3"/>
      <c r="Q153" s="3">
        <v>0</v>
      </c>
      <c r="S153" s="3">
        <f t="shared" si="13"/>
        <v>0</v>
      </c>
    </row>
    <row r="154" spans="1:19" hidden="1" x14ac:dyDescent="0.25">
      <c r="A154" t="s">
        <v>182</v>
      </c>
      <c r="B154" s="3">
        <v>0</v>
      </c>
      <c r="C154" s="3">
        <v>0</v>
      </c>
      <c r="D154" s="3">
        <v>0</v>
      </c>
      <c r="F154" s="14"/>
      <c r="G154" s="16">
        <f>_xlfn.XLOOKUP(F154,FX!$A$12:$A$910,FX!$B$12:$B$910,"",-1)</f>
        <v>1.198</v>
      </c>
      <c r="H154" s="3">
        <f t="shared" si="10"/>
        <v>0</v>
      </c>
      <c r="I154" s="3">
        <f t="shared" si="11"/>
        <v>0</v>
      </c>
      <c r="J154" s="3">
        <f t="shared" si="12"/>
        <v>0</v>
      </c>
      <c r="L154" t="s">
        <v>182</v>
      </c>
      <c r="M154" s="3">
        <v>0</v>
      </c>
      <c r="N154" s="3">
        <v>0</v>
      </c>
      <c r="O154" s="3">
        <v>0</v>
      </c>
      <c r="P154" s="3"/>
      <c r="Q154" s="3">
        <v>0</v>
      </c>
      <c r="S154" s="3">
        <f t="shared" si="13"/>
        <v>0</v>
      </c>
    </row>
    <row r="155" spans="1:19" hidden="1" x14ac:dyDescent="0.25">
      <c r="A155" t="s">
        <v>183</v>
      </c>
      <c r="B155" s="3">
        <v>0</v>
      </c>
      <c r="C155" s="3">
        <v>0</v>
      </c>
      <c r="D155" s="3">
        <v>0</v>
      </c>
      <c r="F155" s="14"/>
      <c r="G155" s="16">
        <f>_xlfn.XLOOKUP(F155,FX!$A$12:$A$910,FX!$B$12:$B$910,"",-1)</f>
        <v>1.198</v>
      </c>
      <c r="H155" s="3">
        <f t="shared" si="10"/>
        <v>0</v>
      </c>
      <c r="I155" s="3">
        <f t="shared" si="11"/>
        <v>0</v>
      </c>
      <c r="J155" s="3">
        <f t="shared" si="12"/>
        <v>0</v>
      </c>
      <c r="L155" t="s">
        <v>183</v>
      </c>
      <c r="M155" s="3">
        <v>0</v>
      </c>
      <c r="N155" s="3">
        <v>0</v>
      </c>
      <c r="O155" s="3">
        <v>0</v>
      </c>
      <c r="P155" s="3"/>
      <c r="Q155" s="3">
        <v>0</v>
      </c>
      <c r="S155" s="3">
        <f t="shared" si="13"/>
        <v>0</v>
      </c>
    </row>
    <row r="156" spans="1:19" hidden="1" x14ac:dyDescent="0.25">
      <c r="A156" t="s">
        <v>184</v>
      </c>
      <c r="B156" s="3">
        <v>0</v>
      </c>
      <c r="C156" s="3">
        <v>0</v>
      </c>
      <c r="D156" s="3">
        <v>0</v>
      </c>
      <c r="F156" s="14"/>
      <c r="G156" s="16">
        <f>_xlfn.XLOOKUP(F156,FX!$A$12:$A$910,FX!$B$12:$B$910,"",-1)</f>
        <v>1.198</v>
      </c>
      <c r="H156" s="3">
        <f t="shared" si="10"/>
        <v>0</v>
      </c>
      <c r="I156" s="3">
        <f t="shared" si="11"/>
        <v>0</v>
      </c>
      <c r="J156" s="3">
        <f t="shared" si="12"/>
        <v>0</v>
      </c>
      <c r="L156" t="s">
        <v>184</v>
      </c>
      <c r="M156" s="3">
        <v>0</v>
      </c>
      <c r="N156" s="3">
        <v>0</v>
      </c>
      <c r="O156" s="3">
        <v>0</v>
      </c>
      <c r="P156" s="3"/>
      <c r="Q156" s="3">
        <v>0</v>
      </c>
      <c r="S156" s="3">
        <f t="shared" si="13"/>
        <v>0</v>
      </c>
    </row>
    <row r="157" spans="1:19" hidden="1" x14ac:dyDescent="0.25">
      <c r="A157" t="s">
        <v>185</v>
      </c>
      <c r="B157" s="3">
        <v>0</v>
      </c>
      <c r="C157" s="3">
        <v>0</v>
      </c>
      <c r="D157" s="3">
        <v>0</v>
      </c>
      <c r="F157" s="14"/>
      <c r="G157" s="16">
        <f>_xlfn.XLOOKUP(F157,FX!$A$12:$A$910,FX!$B$12:$B$910,"",-1)</f>
        <v>1.198</v>
      </c>
      <c r="H157" s="3">
        <f t="shared" si="10"/>
        <v>0</v>
      </c>
      <c r="I157" s="3">
        <f t="shared" si="11"/>
        <v>0</v>
      </c>
      <c r="J157" s="3">
        <f t="shared" si="12"/>
        <v>0</v>
      </c>
      <c r="L157" t="s">
        <v>185</v>
      </c>
      <c r="M157" s="3">
        <v>0</v>
      </c>
      <c r="N157" s="3">
        <v>0</v>
      </c>
      <c r="O157" s="3">
        <v>0</v>
      </c>
      <c r="P157" s="3"/>
      <c r="Q157" s="3">
        <v>0</v>
      </c>
      <c r="S157" s="3">
        <f t="shared" si="13"/>
        <v>0</v>
      </c>
    </row>
    <row r="158" spans="1:19" hidden="1" x14ac:dyDescent="0.25">
      <c r="A158" t="s">
        <v>186</v>
      </c>
      <c r="B158" s="3">
        <v>0</v>
      </c>
      <c r="C158" s="3">
        <v>0</v>
      </c>
      <c r="D158" s="3">
        <v>0</v>
      </c>
      <c r="F158" s="14"/>
      <c r="G158" s="16">
        <f>_xlfn.XLOOKUP(F158,FX!$A$12:$A$910,FX!$B$12:$B$910,"",-1)</f>
        <v>1.198</v>
      </c>
      <c r="H158" s="3">
        <f t="shared" si="10"/>
        <v>0</v>
      </c>
      <c r="I158" s="3">
        <f t="shared" si="11"/>
        <v>0</v>
      </c>
      <c r="J158" s="3">
        <f t="shared" si="12"/>
        <v>0</v>
      </c>
      <c r="L158" t="s">
        <v>186</v>
      </c>
      <c r="M158" s="3">
        <v>0</v>
      </c>
      <c r="N158" s="3">
        <v>0</v>
      </c>
      <c r="O158" s="3">
        <v>0</v>
      </c>
      <c r="P158" s="3"/>
      <c r="Q158" s="3">
        <v>0</v>
      </c>
      <c r="S158" s="3">
        <f t="shared" si="13"/>
        <v>0</v>
      </c>
    </row>
    <row r="159" spans="1:19" hidden="1" x14ac:dyDescent="0.25">
      <c r="A159" t="s">
        <v>187</v>
      </c>
      <c r="B159" s="3">
        <v>0</v>
      </c>
      <c r="C159" s="3">
        <v>0</v>
      </c>
      <c r="D159" s="3">
        <v>0</v>
      </c>
      <c r="F159" s="14"/>
      <c r="G159" s="16">
        <f>_xlfn.XLOOKUP(F159,FX!$A$12:$A$910,FX!$B$12:$B$910,"",-1)</f>
        <v>1.198</v>
      </c>
      <c r="H159" s="3">
        <f t="shared" si="10"/>
        <v>0</v>
      </c>
      <c r="I159" s="3">
        <f t="shared" si="11"/>
        <v>0</v>
      </c>
      <c r="J159" s="3">
        <f t="shared" si="12"/>
        <v>0</v>
      </c>
      <c r="L159" t="s">
        <v>187</v>
      </c>
      <c r="M159" s="3">
        <v>0</v>
      </c>
      <c r="N159" s="3">
        <v>0</v>
      </c>
      <c r="O159" s="3">
        <v>0</v>
      </c>
      <c r="P159" s="3"/>
      <c r="Q159" s="3">
        <v>0</v>
      </c>
      <c r="S159" s="3">
        <f t="shared" si="13"/>
        <v>0</v>
      </c>
    </row>
    <row r="160" spans="1:19" hidden="1" x14ac:dyDescent="0.25">
      <c r="A160" t="s">
        <v>188</v>
      </c>
      <c r="B160" s="3">
        <v>0</v>
      </c>
      <c r="C160" s="3">
        <v>0</v>
      </c>
      <c r="D160" s="3">
        <v>0</v>
      </c>
      <c r="F160" s="14"/>
      <c r="G160" s="16">
        <f>_xlfn.XLOOKUP(F160,FX!$A$12:$A$910,FX!$B$12:$B$910,"",-1)</f>
        <v>1.198</v>
      </c>
      <c r="H160" s="3">
        <f t="shared" si="10"/>
        <v>0</v>
      </c>
      <c r="I160" s="3">
        <f t="shared" si="11"/>
        <v>0</v>
      </c>
      <c r="J160" s="3">
        <f t="shared" si="12"/>
        <v>0</v>
      </c>
      <c r="L160" t="s">
        <v>188</v>
      </c>
      <c r="M160" s="3">
        <v>0</v>
      </c>
      <c r="N160" s="3">
        <v>0</v>
      </c>
      <c r="O160" s="3">
        <v>0</v>
      </c>
      <c r="P160" s="3"/>
      <c r="Q160" s="3">
        <v>0</v>
      </c>
      <c r="S160" s="3">
        <f t="shared" si="13"/>
        <v>0</v>
      </c>
    </row>
    <row r="161" spans="1:19" hidden="1" x14ac:dyDescent="0.25">
      <c r="A161" t="s">
        <v>189</v>
      </c>
      <c r="B161" s="3">
        <v>0</v>
      </c>
      <c r="C161" s="3">
        <v>0</v>
      </c>
      <c r="D161" s="3">
        <v>0</v>
      </c>
      <c r="F161" s="14"/>
      <c r="G161" s="16">
        <f>_xlfn.XLOOKUP(F161,FX!$A$12:$A$910,FX!$B$12:$B$910,"",-1)</f>
        <v>1.198</v>
      </c>
      <c r="H161" s="3">
        <f t="shared" si="10"/>
        <v>0</v>
      </c>
      <c r="I161" s="3">
        <f t="shared" si="11"/>
        <v>0</v>
      </c>
      <c r="J161" s="3">
        <f t="shared" si="12"/>
        <v>0</v>
      </c>
      <c r="L161" t="s">
        <v>189</v>
      </c>
      <c r="M161" s="3">
        <v>0</v>
      </c>
      <c r="N161" s="3">
        <v>0</v>
      </c>
      <c r="O161" s="3">
        <v>0</v>
      </c>
      <c r="P161" s="3"/>
      <c r="Q161" s="3">
        <v>0</v>
      </c>
      <c r="S161" s="3">
        <f t="shared" si="13"/>
        <v>0</v>
      </c>
    </row>
    <row r="162" spans="1:19" hidden="1" x14ac:dyDescent="0.25">
      <c r="A162" t="s">
        <v>190</v>
      </c>
      <c r="B162" s="3">
        <v>0</v>
      </c>
      <c r="C162" s="3">
        <v>0</v>
      </c>
      <c r="D162" s="3">
        <v>0</v>
      </c>
      <c r="F162" s="14"/>
      <c r="G162" s="16">
        <f>_xlfn.XLOOKUP(F162,FX!$A$12:$A$910,FX!$B$12:$B$910,"",-1)</f>
        <v>1.198</v>
      </c>
      <c r="H162" s="3">
        <f t="shared" si="10"/>
        <v>0</v>
      </c>
      <c r="I162" s="3">
        <f t="shared" si="11"/>
        <v>0</v>
      </c>
      <c r="J162" s="3">
        <f t="shared" si="12"/>
        <v>0</v>
      </c>
      <c r="L162" t="s">
        <v>190</v>
      </c>
      <c r="M162" s="3">
        <v>0</v>
      </c>
      <c r="N162" s="3">
        <v>0</v>
      </c>
      <c r="O162" s="3">
        <v>0</v>
      </c>
      <c r="P162" s="3"/>
      <c r="Q162" s="3">
        <v>0</v>
      </c>
      <c r="S162" s="3">
        <f t="shared" si="13"/>
        <v>0</v>
      </c>
    </row>
    <row r="163" spans="1:19" hidden="1" x14ac:dyDescent="0.25">
      <c r="A163" t="s">
        <v>191</v>
      </c>
      <c r="B163" s="3">
        <v>0</v>
      </c>
      <c r="C163" s="3">
        <v>0</v>
      </c>
      <c r="D163" s="3">
        <v>0</v>
      </c>
      <c r="F163" s="14"/>
      <c r="G163" s="16">
        <f>_xlfn.XLOOKUP(F163,FX!$A$12:$A$910,FX!$B$12:$B$910,"",-1)</f>
        <v>1.198</v>
      </c>
      <c r="H163" s="3">
        <f t="shared" si="10"/>
        <v>0</v>
      </c>
      <c r="I163" s="3">
        <f t="shared" si="11"/>
        <v>0</v>
      </c>
      <c r="J163" s="3">
        <f t="shared" si="12"/>
        <v>0</v>
      </c>
      <c r="L163" t="s">
        <v>191</v>
      </c>
      <c r="M163" s="3">
        <v>0</v>
      </c>
      <c r="N163" s="3">
        <v>0</v>
      </c>
      <c r="O163" s="3">
        <v>0</v>
      </c>
      <c r="P163" s="3"/>
      <c r="Q163" s="3">
        <v>0</v>
      </c>
      <c r="S163" s="3">
        <f t="shared" si="13"/>
        <v>0</v>
      </c>
    </row>
    <row r="164" spans="1:19" x14ac:dyDescent="0.25">
      <c r="A164" t="s">
        <v>113</v>
      </c>
      <c r="B164" s="3">
        <v>1257585.7155999981</v>
      </c>
      <c r="C164" s="3">
        <v>241294.69700000007</v>
      </c>
      <c r="D164" s="3">
        <v>1498880.4125999997</v>
      </c>
      <c r="F164" s="14">
        <v>46202</v>
      </c>
      <c r="G164" s="16">
        <f>_xlfn.XLOOKUP(F164,FX!$A$12:$A$910,FX!$B$12:$B$910,"",-1)</f>
        <v>1.2201</v>
      </c>
      <c r="H164" s="3">
        <f t="shared" si="10"/>
        <v>1030723.4780755661</v>
      </c>
      <c r="I164" s="3">
        <f t="shared" si="11"/>
        <v>197766.3281698222</v>
      </c>
      <c r="J164" s="3">
        <f t="shared" si="12"/>
        <v>1228489.8062453882</v>
      </c>
      <c r="L164" t="s">
        <v>113</v>
      </c>
      <c r="M164" s="3">
        <v>1574105.8237000017</v>
      </c>
      <c r="N164" s="3">
        <v>7600973.0117000174</v>
      </c>
      <c r="O164" s="3">
        <v>1875562.9764000031</v>
      </c>
      <c r="P164" s="3"/>
      <c r="Q164" s="3">
        <v>11050641.811800031</v>
      </c>
      <c r="S164" s="3">
        <f t="shared" si="13"/>
        <v>10705025.794345409</v>
      </c>
    </row>
    <row r="165" spans="1:19" x14ac:dyDescent="0.25">
      <c r="A165" t="s">
        <v>114</v>
      </c>
      <c r="B165" s="3">
        <v>639401.08560000081</v>
      </c>
      <c r="C165" s="3">
        <v>72868.963600000003</v>
      </c>
      <c r="D165" s="3">
        <v>712270.04920000106</v>
      </c>
      <c r="F165" s="14">
        <f t="shared" si="14"/>
        <v>46209</v>
      </c>
      <c r="G165" s="16">
        <f>_xlfn.XLOOKUP(F165,FX!$A$12:$A$910,FX!$B$12:$B$910,"",-1)</f>
        <v>1.2194</v>
      </c>
      <c r="H165" s="3">
        <f t="shared" si="10"/>
        <v>524357.13104805711</v>
      </c>
      <c r="I165" s="3">
        <f t="shared" si="11"/>
        <v>59758.047892406103</v>
      </c>
      <c r="J165" s="3">
        <f t="shared" si="12"/>
        <v>584115.17894046323</v>
      </c>
      <c r="L165" t="s">
        <v>114</v>
      </c>
      <c r="M165" s="3">
        <v>416030.62960000068</v>
      </c>
      <c r="N165" s="3">
        <v>2414126.5189</v>
      </c>
      <c r="O165" s="3">
        <v>284652.14989999979</v>
      </c>
      <c r="P165" s="3"/>
      <c r="Q165" s="3">
        <v>3114809.2984000002</v>
      </c>
      <c r="S165" s="3">
        <f t="shared" si="13"/>
        <v>3282893.847740463</v>
      </c>
    </row>
    <row r="166" spans="1:19" x14ac:dyDescent="0.25">
      <c r="A166" t="s">
        <v>115</v>
      </c>
      <c r="B166" s="3">
        <v>878824.12100000144</v>
      </c>
      <c r="C166" s="3">
        <v>160459.39109999983</v>
      </c>
      <c r="D166" s="3">
        <v>1039283.5121000005</v>
      </c>
      <c r="F166" s="14">
        <f t="shared" si="14"/>
        <v>46216</v>
      </c>
      <c r="G166" s="16">
        <f>_xlfn.XLOOKUP(F166,FX!$A$12:$A$910,FX!$B$12:$B$910,"",-1)</f>
        <v>1.2041999999999999</v>
      </c>
      <c r="H166" s="3">
        <f t="shared" si="10"/>
        <v>729799.13718651515</v>
      </c>
      <c r="I166" s="3">
        <f t="shared" si="11"/>
        <v>133249.78500249115</v>
      </c>
      <c r="J166" s="3">
        <f t="shared" si="12"/>
        <v>863048.92218900635</v>
      </c>
      <c r="L166" t="s">
        <v>115</v>
      </c>
      <c r="M166" s="3">
        <v>1617226.4406000029</v>
      </c>
      <c r="N166" s="3">
        <v>3960018.0135000008</v>
      </c>
      <c r="O166" s="3">
        <v>983733.03410000016</v>
      </c>
      <c r="P166" s="3"/>
      <c r="Q166" s="3">
        <v>6560977.4881999688</v>
      </c>
      <c r="S166" s="3">
        <f t="shared" si="13"/>
        <v>5806799.9697890067</v>
      </c>
    </row>
    <row r="167" spans="1:19" x14ac:dyDescent="0.25">
      <c r="A167" t="s">
        <v>116</v>
      </c>
      <c r="B167" s="3">
        <v>828091.01250000123</v>
      </c>
      <c r="C167" s="3">
        <v>151056.16239999983</v>
      </c>
      <c r="D167" s="3">
        <v>979147.17490000231</v>
      </c>
      <c r="F167" s="14">
        <f t="shared" si="14"/>
        <v>46223</v>
      </c>
      <c r="G167" s="16">
        <f>_xlfn.XLOOKUP(F167,FX!$A$12:$A$910,FX!$B$12:$B$910,"",-1)</f>
        <v>1.1946000000000001</v>
      </c>
      <c r="H167" s="3">
        <f t="shared" si="10"/>
        <v>693195.22225012654</v>
      </c>
      <c r="I167" s="3">
        <f t="shared" si="11"/>
        <v>126449.15653775306</v>
      </c>
      <c r="J167" s="3">
        <f t="shared" si="12"/>
        <v>819644.3787878796</v>
      </c>
      <c r="L167" t="s">
        <v>116</v>
      </c>
      <c r="M167" s="3">
        <v>1133676.3416000009</v>
      </c>
      <c r="N167" s="3">
        <v>3745459.3185000024</v>
      </c>
      <c r="O167" s="3">
        <v>867387.79079999879</v>
      </c>
      <c r="P167" s="3"/>
      <c r="Q167" s="3">
        <v>5746523.4508999642</v>
      </c>
      <c r="S167" s="3">
        <f t="shared" si="13"/>
        <v>5432491.4880878804</v>
      </c>
    </row>
    <row r="168" spans="1:19" x14ac:dyDescent="0.25">
      <c r="A168" t="s">
        <v>117</v>
      </c>
      <c r="B168" s="3">
        <v>745707.64899999904</v>
      </c>
      <c r="C168" s="3">
        <v>148069.46789999987</v>
      </c>
      <c r="D168" s="3">
        <v>893777.11689999874</v>
      </c>
      <c r="F168" s="14">
        <f t="shared" si="14"/>
        <v>46230</v>
      </c>
      <c r="G168" s="16">
        <f>_xlfn.XLOOKUP(F168,FX!$A$12:$A$910,FX!$B$12:$B$910,"",-1)</f>
        <v>1.2072000000000001</v>
      </c>
      <c r="H168" s="3">
        <f t="shared" si="10"/>
        <v>617716.74039098655</v>
      </c>
      <c r="I168" s="3">
        <f t="shared" si="11"/>
        <v>122655.29150099393</v>
      </c>
      <c r="J168" s="3">
        <f t="shared" si="12"/>
        <v>740372.03189198044</v>
      </c>
      <c r="L168" t="s">
        <v>117</v>
      </c>
      <c r="M168" s="3">
        <v>1036537.2923999984</v>
      </c>
      <c r="N168" s="3">
        <v>3882948.8084999919</v>
      </c>
      <c r="O168" s="3">
        <v>705368.75089999975</v>
      </c>
      <c r="P168" s="3"/>
      <c r="Q168" s="3">
        <v>5624854.8517999453</v>
      </c>
      <c r="S168" s="3">
        <f t="shared" si="13"/>
        <v>5328689.5912919715</v>
      </c>
    </row>
    <row r="169" spans="1:19" x14ac:dyDescent="0.25">
      <c r="A169" t="s">
        <v>118</v>
      </c>
      <c r="B169" s="3">
        <v>871866.92479999992</v>
      </c>
      <c r="C169" s="3">
        <v>184957.67979999993</v>
      </c>
      <c r="D169" s="3">
        <v>1056824.6046000011</v>
      </c>
      <c r="F169" s="14">
        <f t="shared" si="14"/>
        <v>46237</v>
      </c>
      <c r="G169" s="16">
        <f>_xlfn.XLOOKUP(F169,FX!$A$12:$A$910,FX!$B$12:$B$910,"",-1)</f>
        <v>1.198</v>
      </c>
      <c r="H169" s="3">
        <f t="shared" si="10"/>
        <v>727768.71853088483</v>
      </c>
      <c r="I169" s="3">
        <f t="shared" si="11"/>
        <v>154388.71435726204</v>
      </c>
      <c r="J169" s="3">
        <f t="shared" si="12"/>
        <v>882157.43288814684</v>
      </c>
      <c r="L169" t="s">
        <v>118</v>
      </c>
      <c r="M169" s="3">
        <v>782166.7299999994</v>
      </c>
      <c r="N169" s="3">
        <v>4139728.8028999921</v>
      </c>
      <c r="O169" s="3">
        <v>831940.1806999984</v>
      </c>
      <c r="P169" s="3"/>
      <c r="Q169" s="3">
        <v>5753835.7135999911</v>
      </c>
      <c r="S169" s="3">
        <f t="shared" si="13"/>
        <v>5853826.4164881371</v>
      </c>
    </row>
    <row r="170" spans="1:19" x14ac:dyDescent="0.25">
      <c r="A170" t="s">
        <v>119</v>
      </c>
      <c r="B170" s="3">
        <v>777758.56969999836</v>
      </c>
      <c r="C170" s="3">
        <v>214180.66739999995</v>
      </c>
      <c r="D170" s="3">
        <v>991939.23709999782</v>
      </c>
      <c r="F170" s="14">
        <f t="shared" si="14"/>
        <v>46244</v>
      </c>
      <c r="G170" s="16">
        <f>_xlfn.XLOOKUP(F170,FX!$A$12:$A$910,FX!$B$12:$B$910,"",-1)</f>
        <v>1.198</v>
      </c>
      <c r="H170" s="3">
        <f t="shared" si="10"/>
        <v>649214.16502504039</v>
      </c>
      <c r="I170" s="3">
        <f t="shared" si="11"/>
        <v>178781.85926544236</v>
      </c>
      <c r="J170" s="3">
        <f t="shared" si="12"/>
        <v>827996.02429048275</v>
      </c>
      <c r="L170" t="s">
        <v>119</v>
      </c>
      <c r="M170" s="3">
        <v>1399174.0269999988</v>
      </c>
      <c r="N170" s="3">
        <v>3922175.3760000025</v>
      </c>
      <c r="O170" s="3">
        <v>1114268.3917000017</v>
      </c>
      <c r="P170" s="3"/>
      <c r="Q170" s="3">
        <v>6435617.7947000097</v>
      </c>
    </row>
    <row r="171" spans="1:19" x14ac:dyDescent="0.25">
      <c r="A171" t="s">
        <v>192</v>
      </c>
      <c r="B171" s="3">
        <v>682262.49689999875</v>
      </c>
      <c r="C171" s="3">
        <v>99051.830900000044</v>
      </c>
      <c r="D171" s="3">
        <v>781314.32779999753</v>
      </c>
      <c r="F171" s="14"/>
      <c r="G171" s="16">
        <f>_xlfn.XLOOKUP(F171,FX!$A$12:$A$910,FX!$B$12:$B$910,"",-1)</f>
        <v>1.198</v>
      </c>
      <c r="H171" s="3">
        <f t="shared" ref="H171" si="15">B171/$G171</f>
        <v>569501.24949916429</v>
      </c>
      <c r="I171" s="3">
        <f t="shared" ref="I171" si="16">C171/$G171</f>
        <v>82680.994073455804</v>
      </c>
      <c r="J171" s="3">
        <f t="shared" ref="J171" si="17">H171+I171</f>
        <v>652182.24357262009</v>
      </c>
      <c r="L171" t="s">
        <v>192</v>
      </c>
      <c r="M171" s="3">
        <v>570955.74709999934</v>
      </c>
      <c r="N171" s="3">
        <v>3682382.3065999798</v>
      </c>
      <c r="O171" s="3">
        <v>649923.68129999924</v>
      </c>
      <c r="P171" s="3"/>
      <c r="Q171" s="3">
        <v>4903261.7349999845</v>
      </c>
    </row>
    <row r="172" spans="1:19" x14ac:dyDescent="0.25">
      <c r="A172" t="s">
        <v>193</v>
      </c>
      <c r="B172" s="3">
        <v>644758.89119999844</v>
      </c>
      <c r="C172" s="3">
        <v>121810.67180000003</v>
      </c>
      <c r="D172" s="3">
        <v>766569.56299999857</v>
      </c>
      <c r="F172" s="14"/>
      <c r="G172" s="16">
        <f>_xlfn.XLOOKUP(F172,FX!$A$12:$A$910,FX!$B$12:$B$910,"",-1)</f>
        <v>1.198</v>
      </c>
      <c r="H172" s="3">
        <f t="shared" ref="H172:J172" si="18">SUM(H120:H171)</f>
        <v>33199910.380069803</v>
      </c>
      <c r="I172" s="3">
        <f t="shared" si="18"/>
        <v>6281787.0446627308</v>
      </c>
      <c r="J172" s="3">
        <f t="shared" si="18"/>
        <v>39481697.424732536</v>
      </c>
      <c r="L172" t="s">
        <v>193</v>
      </c>
      <c r="M172" s="3">
        <v>376597.69059999991</v>
      </c>
      <c r="N172" s="3">
        <v>3500684.4001000007</v>
      </c>
      <c r="O172" s="3">
        <v>444559.84099999932</v>
      </c>
      <c r="P172" s="3"/>
      <c r="Q172" s="3">
        <v>4321841.9317000052</v>
      </c>
    </row>
    <row r="173" spans="1:19" x14ac:dyDescent="0.25">
      <c r="A173" t="s">
        <v>194</v>
      </c>
      <c r="B173" s="3">
        <v>0</v>
      </c>
      <c r="C173" s="3">
        <v>221.73910000000001</v>
      </c>
      <c r="D173" s="3">
        <v>221.73910000000001</v>
      </c>
      <c r="F173" s="14"/>
      <c r="G173" s="16">
        <f>_xlfn.XLOOKUP(F173,FX!$A$12:$A$910,FX!$B$12:$B$910,"",-1)</f>
        <v>1.198</v>
      </c>
      <c r="H173" s="3">
        <f t="shared" ref="H173" si="19">B173/$G173</f>
        <v>0</v>
      </c>
      <c r="I173" s="3">
        <f t="shared" ref="I173" si="20">C173/$G173</f>
        <v>185.09106844741237</v>
      </c>
      <c r="J173" s="3">
        <f t="shared" ref="J173" si="21">H173+I173</f>
        <v>185.09106844741237</v>
      </c>
      <c r="L173" t="s">
        <v>194</v>
      </c>
      <c r="M173" s="3">
        <v>2157.2727</v>
      </c>
      <c r="N173" s="3">
        <v>0</v>
      </c>
      <c r="O173" s="3">
        <v>1212.7273</v>
      </c>
      <c r="P173" s="3"/>
      <c r="Q173" s="3">
        <v>3370.0000000000005</v>
      </c>
    </row>
    <row r="174" spans="1:19" x14ac:dyDescent="0.25">
      <c r="A174" t="s">
        <v>195</v>
      </c>
      <c r="B174" s="3">
        <v>0</v>
      </c>
      <c r="C174" s="3">
        <v>0</v>
      </c>
      <c r="D174" s="3">
        <v>0</v>
      </c>
      <c r="F174" s="14"/>
      <c r="G174" s="16">
        <f>_xlfn.XLOOKUP(F174,FX!$A$12:$A$910,FX!$B$12:$B$910,"",-1)</f>
        <v>1.198</v>
      </c>
      <c r="H174" s="3">
        <f t="shared" ref="H174:J174" si="22">SUM(H122:H173)</f>
        <v>63079101.496116221</v>
      </c>
      <c r="I174" s="3">
        <f t="shared" si="22"/>
        <v>11679063.753766196</v>
      </c>
      <c r="J174" s="3">
        <f t="shared" si="22"/>
        <v>74758165.249882415</v>
      </c>
      <c r="L174" t="s">
        <v>195</v>
      </c>
      <c r="M174" s="3">
        <v>0</v>
      </c>
      <c r="N174" s="3">
        <v>0</v>
      </c>
      <c r="O174" s="3">
        <v>0</v>
      </c>
      <c r="P174" s="3"/>
      <c r="Q174" s="3">
        <v>0</v>
      </c>
    </row>
    <row r="175" spans="1:19" x14ac:dyDescent="0.25">
      <c r="A175" t="s">
        <v>196</v>
      </c>
      <c r="B175" s="3">
        <v>0</v>
      </c>
      <c r="C175" s="3">
        <v>0</v>
      </c>
      <c r="D175" s="3">
        <v>0</v>
      </c>
      <c r="F175" s="14"/>
      <c r="G175" s="16">
        <f>_xlfn.XLOOKUP(F175,FX!$A$12:$A$910,FX!$B$12:$B$910,"",-1)</f>
        <v>1.198</v>
      </c>
      <c r="H175" s="3">
        <f t="shared" ref="H175" si="23">B175/$G175</f>
        <v>0</v>
      </c>
      <c r="I175" s="3">
        <f t="shared" ref="I175" si="24">C175/$G175</f>
        <v>0</v>
      </c>
      <c r="J175" s="3">
        <f t="shared" ref="J175" si="25">H175+I175</f>
        <v>0</v>
      </c>
      <c r="L175" t="s">
        <v>196</v>
      </c>
      <c r="M175" s="3">
        <v>0</v>
      </c>
      <c r="N175" s="3">
        <v>0</v>
      </c>
      <c r="O175" s="3">
        <v>0</v>
      </c>
      <c r="P175" s="3"/>
      <c r="Q175" s="3">
        <v>0</v>
      </c>
    </row>
    <row r="176" spans="1:19" x14ac:dyDescent="0.25">
      <c r="A176" t="s">
        <v>197</v>
      </c>
      <c r="B176" s="3">
        <v>0</v>
      </c>
      <c r="C176" s="3">
        <v>0</v>
      </c>
      <c r="D176" s="3">
        <v>0</v>
      </c>
      <c r="F176" s="14"/>
      <c r="G176" s="16">
        <f>_xlfn.XLOOKUP(F176,FX!$A$12:$A$910,FX!$B$12:$B$910,"",-1)</f>
        <v>1.198</v>
      </c>
      <c r="H176" s="3">
        <f t="shared" ref="H176:J176" si="26">SUM(H124:H175)</f>
        <v>124707011.22553796</v>
      </c>
      <c r="I176" s="3">
        <f t="shared" si="26"/>
        <v>23069888.617716029</v>
      </c>
      <c r="J176" s="3">
        <f t="shared" si="26"/>
        <v>147776899.84325397</v>
      </c>
      <c r="L176" t="s">
        <v>197</v>
      </c>
      <c r="M176" s="3">
        <v>0</v>
      </c>
      <c r="N176" s="3">
        <v>0</v>
      </c>
      <c r="O176" s="3">
        <v>0</v>
      </c>
      <c r="P176" s="3"/>
      <c r="Q176" s="3">
        <v>0</v>
      </c>
    </row>
    <row r="177" spans="1:17" x14ac:dyDescent="0.25">
      <c r="A177" t="s">
        <v>198</v>
      </c>
      <c r="B177" s="3">
        <v>0</v>
      </c>
      <c r="C177" s="3">
        <v>0</v>
      </c>
      <c r="D177" s="3">
        <v>0</v>
      </c>
      <c r="F177" s="14"/>
      <c r="G177" s="16">
        <f>_xlfn.XLOOKUP(F177,FX!$A$12:$A$910,FX!$B$12:$B$910,"",-1)</f>
        <v>1.198</v>
      </c>
      <c r="H177" s="3">
        <f t="shared" ref="H177" si="27">B177/$G177</f>
        <v>0</v>
      </c>
      <c r="I177" s="3">
        <f t="shared" ref="I177" si="28">C177/$G177</f>
        <v>0</v>
      </c>
      <c r="J177" s="3">
        <f t="shared" ref="J177" si="29">H177+I177</f>
        <v>0</v>
      </c>
      <c r="L177" t="s">
        <v>198</v>
      </c>
      <c r="M177" s="3">
        <v>0</v>
      </c>
      <c r="N177" s="3">
        <v>0</v>
      </c>
      <c r="O177" s="3">
        <v>0</v>
      </c>
      <c r="P177" s="3"/>
      <c r="Q177" s="3">
        <v>0</v>
      </c>
    </row>
    <row r="178" spans="1:17" x14ac:dyDescent="0.25">
      <c r="A178" t="s">
        <v>199</v>
      </c>
      <c r="B178" s="3">
        <v>0</v>
      </c>
      <c r="C178" s="3">
        <v>0</v>
      </c>
      <c r="D178" s="3">
        <v>0</v>
      </c>
      <c r="F178" s="14"/>
      <c r="G178" s="16">
        <f>_xlfn.XLOOKUP(F178,FX!$A$12:$A$910,FX!$B$12:$B$910,"",-1)</f>
        <v>1.198</v>
      </c>
      <c r="H178" s="3">
        <f t="shared" ref="H178:J178" si="30">SUM(H126:H177)</f>
        <v>246921065.50383049</v>
      </c>
      <c r="I178" s="3">
        <f t="shared" si="30"/>
        <v>45710974.494196668</v>
      </c>
      <c r="J178" s="3">
        <f t="shared" si="30"/>
        <v>292632039.99802715</v>
      </c>
      <c r="L178" t="s">
        <v>199</v>
      </c>
      <c r="M178" s="3">
        <v>0</v>
      </c>
      <c r="N178" s="3">
        <v>0</v>
      </c>
      <c r="O178" s="3">
        <v>0</v>
      </c>
      <c r="P178" s="3"/>
      <c r="Q178" s="3">
        <v>0</v>
      </c>
    </row>
    <row r="179" spans="1:17" x14ac:dyDescent="0.25">
      <c r="A179" t="s">
        <v>200</v>
      </c>
      <c r="B179" s="3">
        <v>0</v>
      </c>
      <c r="C179" s="3">
        <v>0</v>
      </c>
      <c r="D179" s="3">
        <v>0</v>
      </c>
      <c r="F179" s="14"/>
      <c r="G179" s="16">
        <f>_xlfn.XLOOKUP(F179,FX!$A$12:$A$910,FX!$B$12:$B$910,"",-1)</f>
        <v>1.198</v>
      </c>
      <c r="H179" s="3">
        <f t="shared" ref="H179" si="31">B179/$G179</f>
        <v>0</v>
      </c>
      <c r="I179" s="3">
        <f t="shared" ref="I179" si="32">C179/$G179</f>
        <v>0</v>
      </c>
      <c r="J179" s="3">
        <f t="shared" ref="J179" si="33">H179+I179</f>
        <v>0</v>
      </c>
      <c r="L179" t="s">
        <v>200</v>
      </c>
      <c r="M179" s="3">
        <v>0</v>
      </c>
      <c r="N179" s="3">
        <v>0</v>
      </c>
      <c r="O179" s="3">
        <v>0</v>
      </c>
      <c r="P179" s="3"/>
      <c r="Q179" s="3">
        <v>0</v>
      </c>
    </row>
    <row r="180" spans="1:17" x14ac:dyDescent="0.25">
      <c r="A180" t="s">
        <v>201</v>
      </c>
      <c r="B180" s="3">
        <v>0</v>
      </c>
      <c r="C180" s="3">
        <v>0</v>
      </c>
      <c r="D180" s="3">
        <v>0</v>
      </c>
      <c r="F180" s="14"/>
      <c r="G180" s="16">
        <f>_xlfn.XLOOKUP(F180,FX!$A$12:$A$910,FX!$B$12:$B$910,"",-1)</f>
        <v>1.198</v>
      </c>
      <c r="H180" s="3">
        <f t="shared" ref="H180:J180" si="34">SUM(H128:H179)</f>
        <v>492145772.49564093</v>
      </c>
      <c r="I180" s="3">
        <f t="shared" si="34"/>
        <v>91097576.824203014</v>
      </c>
      <c r="J180" s="3">
        <f t="shared" si="34"/>
        <v>583243349.31984401</v>
      </c>
      <c r="L180" t="s">
        <v>201</v>
      </c>
      <c r="M180" s="3">
        <v>0</v>
      </c>
      <c r="N180" s="3">
        <v>0</v>
      </c>
      <c r="O180" s="3">
        <v>0</v>
      </c>
      <c r="P180" s="3"/>
      <c r="Q180" s="3">
        <v>0</v>
      </c>
    </row>
    <row r="181" spans="1:17" x14ac:dyDescent="0.25">
      <c r="A181" t="s">
        <v>202</v>
      </c>
      <c r="B181" s="3">
        <v>0</v>
      </c>
      <c r="C181" s="3">
        <v>0</v>
      </c>
      <c r="D181" s="3">
        <v>0</v>
      </c>
      <c r="F181" s="14"/>
      <c r="G181" s="16">
        <f>_xlfn.XLOOKUP(F181,FX!$A$12:$A$910,FX!$B$12:$B$910,"",-1)</f>
        <v>1.198</v>
      </c>
      <c r="H181" s="3">
        <f t="shared" ref="H181" si="35">B181/$G181</f>
        <v>0</v>
      </c>
      <c r="I181" s="3">
        <f t="shared" ref="I181" si="36">C181/$G181</f>
        <v>0</v>
      </c>
      <c r="J181" s="3">
        <f t="shared" ref="J181" si="37">H181+I181</f>
        <v>0</v>
      </c>
      <c r="L181" t="s">
        <v>202</v>
      </c>
      <c r="M181" s="3">
        <v>0</v>
      </c>
      <c r="N181" s="3">
        <v>0</v>
      </c>
      <c r="O181" s="3">
        <v>0</v>
      </c>
      <c r="P181" s="3"/>
      <c r="Q181" s="3">
        <v>0</v>
      </c>
    </row>
    <row r="182" spans="1:17" x14ac:dyDescent="0.25">
      <c r="A182" t="s">
        <v>203</v>
      </c>
      <c r="B182" s="3">
        <v>0</v>
      </c>
      <c r="C182" s="3">
        <v>0</v>
      </c>
      <c r="D182" s="3">
        <v>0</v>
      </c>
      <c r="F182" s="14"/>
      <c r="G182" s="16">
        <f>_xlfn.XLOOKUP(F182,FX!$A$12:$A$910,FX!$B$12:$B$910,"",-1)</f>
        <v>1.198</v>
      </c>
      <c r="H182" s="3">
        <f t="shared" ref="H182:J182" si="38">SUM(H130:H181)</f>
        <v>981794672.79186618</v>
      </c>
      <c r="I182" s="3">
        <f t="shared" si="38"/>
        <v>181800854.77678668</v>
      </c>
      <c r="J182" s="3">
        <f t="shared" si="38"/>
        <v>1163595527.5686529</v>
      </c>
      <c r="L182" t="s">
        <v>203</v>
      </c>
      <c r="M182" s="3">
        <v>0</v>
      </c>
      <c r="N182" s="3">
        <v>0</v>
      </c>
      <c r="O182" s="3">
        <v>0</v>
      </c>
      <c r="P182" s="3"/>
      <c r="Q182" s="3">
        <v>0</v>
      </c>
    </row>
    <row r="183" spans="1:17" x14ac:dyDescent="0.25">
      <c r="A183" t="s">
        <v>204</v>
      </c>
      <c r="B183" s="3">
        <v>0</v>
      </c>
      <c r="C183" s="3">
        <v>0</v>
      </c>
      <c r="D183" s="3">
        <v>0</v>
      </c>
      <c r="F183" s="14"/>
      <c r="G183" s="16">
        <f>_xlfn.XLOOKUP(F183,FX!$A$12:$A$910,FX!$B$12:$B$910,"",-1)</f>
        <v>1.198</v>
      </c>
      <c r="H183" s="3">
        <f t="shared" ref="H183" si="39">B183/$G183</f>
        <v>0</v>
      </c>
      <c r="I183" s="3">
        <f t="shared" ref="I183" si="40">C183/$G183</f>
        <v>0</v>
      </c>
      <c r="J183" s="3">
        <f t="shared" ref="J183" si="41">H183+I183</f>
        <v>0</v>
      </c>
      <c r="L183" t="s">
        <v>204</v>
      </c>
      <c r="M183" s="3">
        <v>0</v>
      </c>
      <c r="N183" s="3">
        <v>0</v>
      </c>
      <c r="O183" s="3">
        <v>0</v>
      </c>
      <c r="P183" s="3"/>
      <c r="Q183" s="3">
        <v>0</v>
      </c>
    </row>
    <row r="184" spans="1:17" x14ac:dyDescent="0.25">
      <c r="A184" t="s">
        <v>205</v>
      </c>
      <c r="B184" s="3">
        <v>0</v>
      </c>
      <c r="C184" s="3">
        <v>0</v>
      </c>
      <c r="D184" s="3">
        <v>0</v>
      </c>
      <c r="F184" s="14"/>
      <c r="G184" s="16">
        <f>_xlfn.XLOOKUP(F184,FX!$A$12:$A$910,FX!$B$12:$B$910,"",-1)</f>
        <v>1.198</v>
      </c>
      <c r="H184" s="3">
        <f t="shared" ref="H184:J184" si="42">SUM(H132:H183)</f>
        <v>1962502060.1493416</v>
      </c>
      <c r="I184" s="3">
        <f t="shared" si="42"/>
        <v>363354377.93337303</v>
      </c>
      <c r="J184" s="3">
        <f t="shared" si="42"/>
        <v>2325856438.082715</v>
      </c>
      <c r="L184" t="s">
        <v>205</v>
      </c>
      <c r="M184" s="3">
        <v>0</v>
      </c>
      <c r="N184" s="3">
        <v>0</v>
      </c>
      <c r="O184" s="3">
        <v>0</v>
      </c>
      <c r="P184" s="3"/>
      <c r="Q184" s="3">
        <v>0</v>
      </c>
    </row>
    <row r="185" spans="1:17" x14ac:dyDescent="0.25">
      <c r="A185" t="s">
        <v>206</v>
      </c>
      <c r="B185" s="3">
        <v>0</v>
      </c>
      <c r="C185" s="3">
        <v>0</v>
      </c>
      <c r="D185" s="3">
        <v>0</v>
      </c>
      <c r="F185" s="14"/>
      <c r="G185" s="16">
        <f>_xlfn.XLOOKUP(F185,FX!$A$12:$A$910,FX!$B$12:$B$910,"",-1)</f>
        <v>1.198</v>
      </c>
      <c r="H185" s="3">
        <f t="shared" ref="H185" si="43">B185/$G185</f>
        <v>0</v>
      </c>
      <c r="I185" s="3">
        <f t="shared" ref="I185" si="44">C185/$G185</f>
        <v>0</v>
      </c>
      <c r="J185" s="3">
        <f t="shared" ref="J185" si="45">H185+I185</f>
        <v>0</v>
      </c>
      <c r="L185" t="s">
        <v>206</v>
      </c>
      <c r="M185" s="3">
        <v>0</v>
      </c>
      <c r="N185" s="3">
        <v>0</v>
      </c>
      <c r="O185" s="3">
        <v>0</v>
      </c>
      <c r="P185" s="3"/>
      <c r="Q185" s="3">
        <v>0</v>
      </c>
    </row>
    <row r="186" spans="1:17" x14ac:dyDescent="0.25">
      <c r="A186" t="s">
        <v>207</v>
      </c>
      <c r="B186" s="3">
        <v>0</v>
      </c>
      <c r="C186" s="3">
        <v>0</v>
      </c>
      <c r="D186" s="3">
        <v>0</v>
      </c>
      <c r="F186" s="14"/>
      <c r="G186" s="16">
        <f>_xlfn.XLOOKUP(F186,FX!$A$12:$A$910,FX!$B$12:$B$910,"",-1)</f>
        <v>1.198</v>
      </c>
      <c r="H186" s="3">
        <f t="shared" ref="H186:J186" si="46">SUM(H134:H185)</f>
        <v>3923877248.1933413</v>
      </c>
      <c r="I186" s="3">
        <f t="shared" si="46"/>
        <v>726557365.40280616</v>
      </c>
      <c r="J186" s="3">
        <f t="shared" si="46"/>
        <v>4650434613.5961475</v>
      </c>
      <c r="L186" t="s">
        <v>207</v>
      </c>
      <c r="M186" s="3">
        <v>0</v>
      </c>
      <c r="N186" s="3">
        <v>0</v>
      </c>
      <c r="O186" s="3">
        <v>0</v>
      </c>
      <c r="P186" s="3"/>
      <c r="Q186" s="3">
        <v>0</v>
      </c>
    </row>
    <row r="187" spans="1:17" x14ac:dyDescent="0.25">
      <c r="A187" t="s">
        <v>208</v>
      </c>
      <c r="B187" s="3">
        <v>0</v>
      </c>
      <c r="C187" s="3">
        <v>0</v>
      </c>
      <c r="D187" s="3">
        <v>0</v>
      </c>
      <c r="F187" s="14"/>
      <c r="G187" s="16">
        <f>_xlfn.XLOOKUP(F187,FX!$A$12:$A$910,FX!$B$12:$B$910,"",-1)</f>
        <v>1.198</v>
      </c>
      <c r="H187" s="3">
        <f t="shared" ref="H187" si="47">B187/$G187</f>
        <v>0</v>
      </c>
      <c r="I187" s="3">
        <f t="shared" ref="I187" si="48">C187/$G187</f>
        <v>0</v>
      </c>
      <c r="J187" s="3">
        <f t="shared" ref="J187" si="49">H187+I187</f>
        <v>0</v>
      </c>
      <c r="L187" t="s">
        <v>208</v>
      </c>
      <c r="M187" s="3">
        <v>0</v>
      </c>
      <c r="N187" s="3">
        <v>0</v>
      </c>
      <c r="O187" s="3">
        <v>0</v>
      </c>
      <c r="P187" s="3"/>
      <c r="Q187" s="3">
        <v>0</v>
      </c>
    </row>
    <row r="188" spans="1:17" x14ac:dyDescent="0.25">
      <c r="A188" t="s">
        <v>209</v>
      </c>
      <c r="B188" s="3">
        <v>0</v>
      </c>
      <c r="C188" s="3">
        <v>0</v>
      </c>
      <c r="D188" s="3">
        <v>0</v>
      </c>
      <c r="F188" s="14"/>
      <c r="G188" s="16">
        <f>_xlfn.XLOOKUP(F188,FX!$A$12:$A$910,FX!$B$12:$B$910,"",-1)</f>
        <v>1.198</v>
      </c>
      <c r="H188" s="3">
        <f t="shared" ref="H188:J188" si="50">SUM(H136:H187)</f>
        <v>7846613729.3209896</v>
      </c>
      <c r="I188" s="3">
        <f t="shared" si="50"/>
        <v>1452953087.4382501</v>
      </c>
      <c r="J188" s="3">
        <f t="shared" si="50"/>
        <v>9299566816.7592392</v>
      </c>
      <c r="L188" t="s">
        <v>209</v>
      </c>
      <c r="M188" s="3">
        <v>0</v>
      </c>
      <c r="N188" s="3">
        <v>0</v>
      </c>
      <c r="O188" s="3">
        <v>0</v>
      </c>
      <c r="P188" s="3"/>
      <c r="Q188" s="3">
        <v>0</v>
      </c>
    </row>
    <row r="189" spans="1:17" x14ac:dyDescent="0.25">
      <c r="A189" t="s">
        <v>210</v>
      </c>
      <c r="B189" s="3">
        <v>0</v>
      </c>
      <c r="C189" s="3">
        <v>0</v>
      </c>
      <c r="D189" s="3">
        <v>0</v>
      </c>
      <c r="F189" s="14"/>
      <c r="G189" s="16">
        <f>_xlfn.XLOOKUP(F189,FX!$A$12:$A$910,FX!$B$12:$B$910,"",-1)</f>
        <v>1.198</v>
      </c>
      <c r="H189" s="3">
        <f t="shared" ref="H189" si="51">B189/$G189</f>
        <v>0</v>
      </c>
      <c r="I189" s="3">
        <f t="shared" ref="I189" si="52">C189/$G189</f>
        <v>0</v>
      </c>
      <c r="J189" s="3">
        <f t="shared" ref="J189" si="53">H189+I189</f>
        <v>0</v>
      </c>
      <c r="L189" t="s">
        <v>210</v>
      </c>
      <c r="M189" s="3">
        <v>0</v>
      </c>
      <c r="N189" s="3">
        <v>0</v>
      </c>
      <c r="O189" s="3">
        <v>0</v>
      </c>
      <c r="P189" s="3"/>
      <c r="Q189" s="3">
        <v>0</v>
      </c>
    </row>
    <row r="190" spans="1:17" x14ac:dyDescent="0.25">
      <c r="A190" t="s">
        <v>211</v>
      </c>
      <c r="B190" s="3">
        <v>0</v>
      </c>
      <c r="C190" s="3">
        <v>0</v>
      </c>
      <c r="D190" s="3">
        <v>0</v>
      </c>
      <c r="L190" t="s">
        <v>211</v>
      </c>
      <c r="M190" s="3">
        <v>0</v>
      </c>
      <c r="N190" s="3">
        <v>0</v>
      </c>
      <c r="O190" s="3">
        <v>0</v>
      </c>
      <c r="P190" s="3"/>
      <c r="Q190" s="3">
        <v>0</v>
      </c>
    </row>
    <row r="191" spans="1:17" x14ac:dyDescent="0.25">
      <c r="A191" t="s">
        <v>212</v>
      </c>
      <c r="B191" s="3">
        <v>0</v>
      </c>
      <c r="C191" s="3">
        <v>0</v>
      </c>
      <c r="D191" s="3">
        <v>0</v>
      </c>
      <c r="L191" t="s">
        <v>212</v>
      </c>
      <c r="M191" s="3">
        <v>0</v>
      </c>
      <c r="N191" s="3">
        <v>0</v>
      </c>
      <c r="O191" s="3">
        <v>0</v>
      </c>
      <c r="P191" s="3"/>
      <c r="Q191" s="3">
        <v>0</v>
      </c>
    </row>
    <row r="192" spans="1:17" x14ac:dyDescent="0.25">
      <c r="A192" t="s">
        <v>213</v>
      </c>
      <c r="B192" s="3">
        <v>0</v>
      </c>
      <c r="C192" s="3">
        <v>0</v>
      </c>
      <c r="D192" s="3">
        <v>0</v>
      </c>
      <c r="L192" t="s">
        <v>213</v>
      </c>
      <c r="M192" s="3">
        <v>0</v>
      </c>
      <c r="N192" s="3">
        <v>0</v>
      </c>
      <c r="O192" s="3">
        <v>0</v>
      </c>
      <c r="P192" s="3"/>
      <c r="Q192" s="3">
        <v>0</v>
      </c>
    </row>
    <row r="193" spans="1:17" x14ac:dyDescent="0.25">
      <c r="A193" t="s">
        <v>214</v>
      </c>
      <c r="B193" s="3">
        <v>0</v>
      </c>
      <c r="C193" s="3">
        <v>0</v>
      </c>
      <c r="D193" s="3">
        <v>0</v>
      </c>
      <c r="L193" t="s">
        <v>214</v>
      </c>
      <c r="M193" s="3">
        <v>0</v>
      </c>
      <c r="N193" s="3">
        <v>0</v>
      </c>
      <c r="O193" s="3">
        <v>0</v>
      </c>
      <c r="P193" s="3"/>
      <c r="Q193" s="3">
        <v>0</v>
      </c>
    </row>
    <row r="194" spans="1:17" x14ac:dyDescent="0.25">
      <c r="A194" t="s">
        <v>215</v>
      </c>
      <c r="B194" s="3">
        <v>0</v>
      </c>
      <c r="C194" s="3">
        <v>0</v>
      </c>
      <c r="D194" s="3">
        <v>0</v>
      </c>
      <c r="L194" t="s">
        <v>215</v>
      </c>
      <c r="M194" s="3">
        <v>0</v>
      </c>
      <c r="N194" s="3">
        <v>0</v>
      </c>
      <c r="O194" s="3">
        <v>0</v>
      </c>
      <c r="P194" s="3"/>
      <c r="Q194" s="3">
        <v>0</v>
      </c>
    </row>
    <row r="195" spans="1:17" x14ac:dyDescent="0.25">
      <c r="A195" t="s">
        <v>216</v>
      </c>
      <c r="B195" s="3">
        <v>0</v>
      </c>
      <c r="C195" s="3">
        <v>0</v>
      </c>
      <c r="D195" s="3">
        <v>0</v>
      </c>
      <c r="L195" t="s">
        <v>216</v>
      </c>
      <c r="M195" s="3">
        <v>0</v>
      </c>
      <c r="N195" s="3">
        <v>0</v>
      </c>
      <c r="O195" s="3">
        <v>0</v>
      </c>
      <c r="P195" s="3"/>
      <c r="Q195" s="3">
        <v>0</v>
      </c>
    </row>
    <row r="196" spans="1:17" x14ac:dyDescent="0.25">
      <c r="A196" t="s">
        <v>217</v>
      </c>
      <c r="B196" s="3">
        <v>0</v>
      </c>
      <c r="C196" s="3">
        <v>0</v>
      </c>
      <c r="D196" s="3">
        <v>0</v>
      </c>
      <c r="L196" t="s">
        <v>217</v>
      </c>
      <c r="M196" s="3">
        <v>0</v>
      </c>
      <c r="N196" s="3">
        <v>0</v>
      </c>
      <c r="O196" s="3">
        <v>0</v>
      </c>
      <c r="P196" s="3"/>
      <c r="Q196" s="3">
        <v>0</v>
      </c>
    </row>
    <row r="197" spans="1:17" x14ac:dyDescent="0.25">
      <c r="A197" t="s">
        <v>218</v>
      </c>
      <c r="B197" s="3">
        <v>0</v>
      </c>
      <c r="C197" s="3">
        <v>0</v>
      </c>
      <c r="D197" s="3">
        <v>0</v>
      </c>
      <c r="L197" t="s">
        <v>218</v>
      </c>
      <c r="M197" s="3">
        <v>0</v>
      </c>
      <c r="N197" s="3">
        <v>0</v>
      </c>
      <c r="O197" s="3">
        <v>0</v>
      </c>
      <c r="P197" s="3"/>
      <c r="Q197" s="3">
        <v>0</v>
      </c>
    </row>
    <row r="198" spans="1:17" x14ac:dyDescent="0.25">
      <c r="A198" t="s">
        <v>219</v>
      </c>
      <c r="B198" s="3">
        <v>0</v>
      </c>
      <c r="C198" s="3">
        <v>0</v>
      </c>
      <c r="D198" s="3">
        <v>0</v>
      </c>
      <c r="L198" t="s">
        <v>219</v>
      </c>
      <c r="M198" s="3">
        <v>0</v>
      </c>
      <c r="N198" s="3">
        <v>0</v>
      </c>
      <c r="O198" s="3">
        <v>0</v>
      </c>
      <c r="P198" s="3"/>
      <c r="Q198" s="3">
        <v>0</v>
      </c>
    </row>
    <row r="199" spans="1:17" x14ac:dyDescent="0.25">
      <c r="A199" t="s">
        <v>220</v>
      </c>
      <c r="B199" s="3">
        <v>0</v>
      </c>
      <c r="C199" s="3">
        <v>0</v>
      </c>
      <c r="D199" s="3">
        <v>0</v>
      </c>
      <c r="L199" t="s">
        <v>220</v>
      </c>
      <c r="M199" s="3">
        <v>0</v>
      </c>
      <c r="N199" s="3">
        <v>0</v>
      </c>
      <c r="O199" s="3">
        <v>0</v>
      </c>
      <c r="P199" s="3"/>
      <c r="Q199" s="3">
        <v>0</v>
      </c>
    </row>
    <row r="200" spans="1:17" x14ac:dyDescent="0.25">
      <c r="A200" t="s">
        <v>221</v>
      </c>
      <c r="B200" s="3">
        <v>0</v>
      </c>
      <c r="C200" s="3">
        <v>0</v>
      </c>
      <c r="D200" s="3">
        <v>0</v>
      </c>
      <c r="L200" t="s">
        <v>221</v>
      </c>
      <c r="M200" s="3">
        <v>0</v>
      </c>
      <c r="N200" s="3">
        <v>0</v>
      </c>
      <c r="O200" s="3">
        <v>0</v>
      </c>
      <c r="P200" s="3"/>
      <c r="Q200" s="3">
        <v>0</v>
      </c>
    </row>
    <row r="201" spans="1:17" x14ac:dyDescent="0.25">
      <c r="A201" t="s">
        <v>222</v>
      </c>
      <c r="B201" s="3">
        <v>0</v>
      </c>
      <c r="C201" s="3">
        <v>0</v>
      </c>
      <c r="D201" s="3">
        <v>0</v>
      </c>
      <c r="L201" t="s">
        <v>222</v>
      </c>
      <c r="M201" s="3">
        <v>0</v>
      </c>
      <c r="N201" s="3">
        <v>0</v>
      </c>
      <c r="O201" s="3">
        <v>0</v>
      </c>
      <c r="P201" s="3"/>
      <c r="Q201" s="3">
        <v>0</v>
      </c>
    </row>
    <row r="202" spans="1:17" x14ac:dyDescent="0.25">
      <c r="A202" t="s">
        <v>223</v>
      </c>
      <c r="B202" s="3">
        <v>0</v>
      </c>
      <c r="C202" s="3">
        <v>0</v>
      </c>
      <c r="D202" s="3">
        <v>0</v>
      </c>
      <c r="L202" t="s">
        <v>223</v>
      </c>
      <c r="M202" s="3">
        <v>0</v>
      </c>
      <c r="N202" s="3">
        <v>0</v>
      </c>
      <c r="O202" s="3">
        <v>0</v>
      </c>
      <c r="P202" s="3"/>
      <c r="Q202" s="3">
        <v>0</v>
      </c>
    </row>
    <row r="203" spans="1:17" x14ac:dyDescent="0.25">
      <c r="A203" t="s">
        <v>224</v>
      </c>
      <c r="B203" s="3">
        <v>0</v>
      </c>
      <c r="C203" s="3">
        <v>0</v>
      </c>
      <c r="D203" s="3">
        <v>0</v>
      </c>
      <c r="L203" t="s">
        <v>224</v>
      </c>
      <c r="M203" s="3">
        <v>0</v>
      </c>
      <c r="N203" s="3">
        <v>0</v>
      </c>
      <c r="O203" s="3">
        <v>0</v>
      </c>
      <c r="P203" s="3"/>
      <c r="Q203" s="3">
        <v>0</v>
      </c>
    </row>
    <row r="204" spans="1:17" x14ac:dyDescent="0.25">
      <c r="A204" t="s">
        <v>225</v>
      </c>
      <c r="B204" s="3">
        <v>0</v>
      </c>
      <c r="C204" s="3">
        <v>0</v>
      </c>
      <c r="D204" s="3">
        <v>0</v>
      </c>
      <c r="L204" t="s">
        <v>225</v>
      </c>
      <c r="M204" s="3">
        <v>0</v>
      </c>
      <c r="N204" s="3">
        <v>0</v>
      </c>
      <c r="O204" s="3">
        <v>0</v>
      </c>
      <c r="P204" s="3"/>
      <c r="Q204" s="3">
        <v>0</v>
      </c>
    </row>
    <row r="205" spans="1:17" x14ac:dyDescent="0.25">
      <c r="A205" t="s">
        <v>226</v>
      </c>
      <c r="B205" s="3">
        <v>0</v>
      </c>
      <c r="C205" s="3">
        <v>0</v>
      </c>
      <c r="D205" s="3">
        <v>0</v>
      </c>
      <c r="L205" t="s">
        <v>226</v>
      </c>
      <c r="M205" s="3">
        <v>0</v>
      </c>
      <c r="N205" s="3">
        <v>0</v>
      </c>
      <c r="O205" s="3">
        <v>0</v>
      </c>
      <c r="P205" s="3"/>
      <c r="Q205" s="3">
        <v>0</v>
      </c>
    </row>
    <row r="206" spans="1:17" x14ac:dyDescent="0.25">
      <c r="A206" t="s">
        <v>227</v>
      </c>
      <c r="B206" s="3">
        <v>0</v>
      </c>
      <c r="C206" s="3">
        <v>0</v>
      </c>
      <c r="D206" s="3">
        <v>0</v>
      </c>
      <c r="L206" t="s">
        <v>227</v>
      </c>
      <c r="M206" s="3">
        <v>0</v>
      </c>
      <c r="N206" s="3">
        <v>0</v>
      </c>
      <c r="O206" s="3">
        <v>0</v>
      </c>
      <c r="P206" s="3"/>
      <c r="Q206" s="3">
        <v>0</v>
      </c>
    </row>
    <row r="207" spans="1:17" x14ac:dyDescent="0.25">
      <c r="A207" t="s">
        <v>228</v>
      </c>
      <c r="B207" s="3">
        <v>0</v>
      </c>
      <c r="C207" s="3">
        <v>0</v>
      </c>
      <c r="D207" s="3">
        <v>0</v>
      </c>
      <c r="L207" t="s">
        <v>228</v>
      </c>
      <c r="M207" s="3">
        <v>0</v>
      </c>
      <c r="N207" s="3">
        <v>0</v>
      </c>
      <c r="O207" s="3">
        <v>0</v>
      </c>
      <c r="P207" s="3"/>
      <c r="Q207" s="3">
        <v>0</v>
      </c>
    </row>
    <row r="208" spans="1:17" x14ac:dyDescent="0.25">
      <c r="A208" t="s">
        <v>229</v>
      </c>
      <c r="B208" s="3">
        <v>0</v>
      </c>
      <c r="C208" s="3">
        <v>0</v>
      </c>
      <c r="D208" s="3">
        <v>0</v>
      </c>
      <c r="L208" t="s">
        <v>229</v>
      </c>
      <c r="M208" s="3">
        <v>0</v>
      </c>
      <c r="N208" s="3">
        <v>0</v>
      </c>
      <c r="O208" s="3">
        <v>0</v>
      </c>
      <c r="P208" s="3"/>
      <c r="Q208" s="3">
        <v>0</v>
      </c>
    </row>
    <row r="209" spans="1:17" x14ac:dyDescent="0.25">
      <c r="A209" t="s">
        <v>230</v>
      </c>
      <c r="B209" s="3">
        <v>0</v>
      </c>
      <c r="C209" s="3">
        <v>0</v>
      </c>
      <c r="D209" s="3">
        <v>0</v>
      </c>
      <c r="L209" t="s">
        <v>230</v>
      </c>
      <c r="M209" s="3">
        <v>0</v>
      </c>
      <c r="N209" s="3">
        <v>0</v>
      </c>
      <c r="O209" s="3">
        <v>0</v>
      </c>
      <c r="P209" s="3"/>
      <c r="Q209" s="3">
        <v>0</v>
      </c>
    </row>
    <row r="210" spans="1:17" x14ac:dyDescent="0.25">
      <c r="A210" t="s">
        <v>231</v>
      </c>
      <c r="B210" s="3">
        <v>0</v>
      </c>
      <c r="C210" s="3">
        <v>0</v>
      </c>
      <c r="D210" s="3">
        <v>0</v>
      </c>
      <c r="L210" t="s">
        <v>231</v>
      </c>
      <c r="M210" s="3">
        <v>0</v>
      </c>
      <c r="N210" s="3">
        <v>0</v>
      </c>
      <c r="O210" s="3">
        <v>0</v>
      </c>
      <c r="P210" s="3"/>
      <c r="Q210" s="3">
        <v>0</v>
      </c>
    </row>
    <row r="211" spans="1:17" x14ac:dyDescent="0.25">
      <c r="A211" t="s">
        <v>232</v>
      </c>
      <c r="B211" s="3">
        <v>0</v>
      </c>
      <c r="C211" s="3">
        <v>0</v>
      </c>
      <c r="D211" s="3">
        <v>0</v>
      </c>
      <c r="L211" t="s">
        <v>232</v>
      </c>
      <c r="M211" s="3">
        <v>0</v>
      </c>
      <c r="N211" s="3">
        <v>0</v>
      </c>
      <c r="O211" s="3">
        <v>0</v>
      </c>
      <c r="P211" s="3"/>
      <c r="Q211" s="3">
        <v>0</v>
      </c>
    </row>
    <row r="212" spans="1:17" x14ac:dyDescent="0.25">
      <c r="A212" t="s">
        <v>233</v>
      </c>
      <c r="B212" s="3">
        <v>0</v>
      </c>
      <c r="C212" s="3">
        <v>0</v>
      </c>
      <c r="D212" s="3">
        <v>0</v>
      </c>
      <c r="L212" t="s">
        <v>233</v>
      </c>
      <c r="M212" s="3">
        <v>0</v>
      </c>
      <c r="N212" s="3">
        <v>0</v>
      </c>
      <c r="O212" s="3">
        <v>0</v>
      </c>
      <c r="P212" s="3"/>
      <c r="Q212" s="3">
        <v>0</v>
      </c>
    </row>
    <row r="213" spans="1:17" x14ac:dyDescent="0.25">
      <c r="A213" t="s">
        <v>234</v>
      </c>
      <c r="B213" s="3">
        <v>0</v>
      </c>
      <c r="C213" s="3">
        <v>0</v>
      </c>
      <c r="D213" s="3">
        <v>0</v>
      </c>
      <c r="L213" t="s">
        <v>234</v>
      </c>
      <c r="M213" s="3">
        <v>0</v>
      </c>
      <c r="N213" s="3">
        <v>0</v>
      </c>
      <c r="O213" s="3">
        <v>0</v>
      </c>
      <c r="P213" s="3"/>
      <c r="Q213" s="3">
        <v>0</v>
      </c>
    </row>
    <row r="214" spans="1:17" x14ac:dyDescent="0.25">
      <c r="A214" t="s">
        <v>235</v>
      </c>
      <c r="B214" s="3">
        <v>0</v>
      </c>
      <c r="C214" s="3">
        <v>0</v>
      </c>
      <c r="D214" s="3">
        <v>0</v>
      </c>
      <c r="L214" t="s">
        <v>235</v>
      </c>
      <c r="M214" s="3">
        <v>0</v>
      </c>
      <c r="N214" s="3">
        <v>0</v>
      </c>
      <c r="O214" s="3">
        <v>0</v>
      </c>
      <c r="P214" s="3"/>
      <c r="Q214" s="3">
        <v>0</v>
      </c>
    </row>
    <row r="215" spans="1:17" x14ac:dyDescent="0.25">
      <c r="A215" t="s">
        <v>236</v>
      </c>
      <c r="B215" s="3">
        <v>0</v>
      </c>
      <c r="C215" s="3">
        <v>0</v>
      </c>
      <c r="D215" s="3">
        <v>0</v>
      </c>
      <c r="L215" t="s">
        <v>236</v>
      </c>
      <c r="M215" s="3">
        <v>0</v>
      </c>
      <c r="N215" s="3">
        <v>0</v>
      </c>
      <c r="O215" s="3">
        <v>0</v>
      </c>
      <c r="P215" s="3"/>
      <c r="Q215" s="3">
        <v>0</v>
      </c>
    </row>
    <row r="216" spans="1:17" x14ac:dyDescent="0.25">
      <c r="A216" t="s">
        <v>11</v>
      </c>
      <c r="B216" s="3">
        <v>144719937.48560005</v>
      </c>
      <c r="C216" s="3">
        <v>29349957.639900006</v>
      </c>
      <c r="D216" s="3">
        <v>174069895.12550005</v>
      </c>
      <c r="L216" t="s">
        <v>11</v>
      </c>
      <c r="M216" s="3">
        <v>97904077.675199956</v>
      </c>
      <c r="N216" s="3">
        <v>760895785.70419896</v>
      </c>
      <c r="O216" s="3">
        <v>157513055.20010006</v>
      </c>
      <c r="P216" s="3">
        <v>0</v>
      </c>
      <c r="Q216" s="3">
        <v>1016312918.5794983</v>
      </c>
    </row>
  </sheetData>
  <mergeCells count="1">
    <mergeCell ref="F6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8B03-23DE-41E2-8AA4-29822D3418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06F6-7445-4798-99E5-B998F3A5B42F}">
  <dimension ref="A2:F13"/>
  <sheetViews>
    <sheetView tabSelected="1" workbookViewId="0">
      <selection activeCell="H19" sqref="H19"/>
    </sheetView>
  </sheetViews>
  <sheetFormatPr defaultRowHeight="15" x14ac:dyDescent="0.25"/>
  <cols>
    <col min="1" max="4" width="15" customWidth="1"/>
    <col min="5" max="5" width="20.140625" bestFit="1" customWidth="1"/>
    <col min="6" max="6" width="19.5703125" bestFit="1" customWidth="1"/>
  </cols>
  <sheetData>
    <row r="2" spans="1:6" x14ac:dyDescent="0.25">
      <c r="A2" s="18" t="s">
        <v>0</v>
      </c>
      <c r="B2" t="s" vm="5">
        <v>121</v>
      </c>
    </row>
    <row r="3" spans="1:6" x14ac:dyDescent="0.25">
      <c r="A3" s="18" t="s">
        <v>126</v>
      </c>
      <c r="B3" t="s" vm="16">
        <v>7</v>
      </c>
    </row>
    <row r="4" spans="1:6" x14ac:dyDescent="0.25">
      <c r="A4" s="18" t="s">
        <v>122</v>
      </c>
      <c r="B4" t="s" vm="6">
        <v>3</v>
      </c>
    </row>
    <row r="5" spans="1:6" x14ac:dyDescent="0.25">
      <c r="A5" s="18" t="s">
        <v>6</v>
      </c>
      <c r="B5" t="s" vm="17">
        <v>309</v>
      </c>
      <c r="C5" s="17"/>
      <c r="D5" s="17"/>
      <c r="E5" s="17"/>
      <c r="F5" s="17"/>
    </row>
    <row r="7" spans="1:6" x14ac:dyDescent="0.25">
      <c r="B7" s="18" t="s">
        <v>123</v>
      </c>
      <c r="C7" s="18" t="s">
        <v>306</v>
      </c>
    </row>
    <row r="8" spans="1:6" x14ac:dyDescent="0.25">
      <c r="B8" t="s">
        <v>13</v>
      </c>
      <c r="D8" t="s">
        <v>10</v>
      </c>
    </row>
    <row r="9" spans="1:6" x14ac:dyDescent="0.25">
      <c r="A9" s="18" t="s">
        <v>125</v>
      </c>
      <c r="B9" t="s">
        <v>307</v>
      </c>
      <c r="C9" t="s">
        <v>308</v>
      </c>
      <c r="D9" t="s">
        <v>307</v>
      </c>
      <c r="E9" t="s">
        <v>308</v>
      </c>
    </row>
    <row r="10" spans="1:6" x14ac:dyDescent="0.25">
      <c r="A10" t="s">
        <v>21</v>
      </c>
      <c r="B10" s="51">
        <v>339.0435380316689</v>
      </c>
      <c r="C10" s="3">
        <v>510.00027064650766</v>
      </c>
    </row>
    <row r="11" spans="1:6" x14ac:dyDescent="0.25">
      <c r="A11" t="s">
        <v>15</v>
      </c>
      <c r="B11" s="51">
        <v>715.509400129396</v>
      </c>
      <c r="C11" s="3">
        <v>1731.772038409485</v>
      </c>
      <c r="D11" s="51">
        <v>727.87475210636831</v>
      </c>
      <c r="E11" s="3">
        <v>1693.2141976872865</v>
      </c>
    </row>
    <row r="12" spans="1:6" x14ac:dyDescent="0.25">
      <c r="A12" t="s">
        <v>16</v>
      </c>
      <c r="B12" s="51">
        <v>702.19853763332162</v>
      </c>
      <c r="C12" s="3">
        <v>1273.5617228282758</v>
      </c>
      <c r="D12" s="51">
        <v>750.16010700061076</v>
      </c>
      <c r="E12" s="3">
        <v>1304.1759719201357</v>
      </c>
    </row>
    <row r="13" spans="1:6" x14ac:dyDescent="0.25">
      <c r="A13" t="s">
        <v>11</v>
      </c>
      <c r="B13" s="51">
        <v>629.33767752137635</v>
      </c>
      <c r="C13" s="3">
        <v>1305.6200921182742</v>
      </c>
      <c r="D13" s="51">
        <v>730.81687330075147</v>
      </c>
      <c r="E13" s="3">
        <v>1627.4266194066302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075B-D268-4A32-8402-75AA4A1E1EB4}">
  <dimension ref="A1:N216"/>
  <sheetViews>
    <sheetView workbookViewId="0">
      <selection activeCell="I1" sqref="I1:N1048576"/>
    </sheetView>
  </sheetViews>
  <sheetFormatPr defaultRowHeight="15" x14ac:dyDescent="0.25"/>
  <cols>
    <col min="1" max="4" width="15" customWidth="1"/>
    <col min="5" max="5" width="20.140625" bestFit="1" customWidth="1"/>
    <col min="6" max="6" width="19.5703125" bestFit="1" customWidth="1"/>
    <col min="9" max="12" width="15" customWidth="1"/>
    <col min="13" max="13" width="20.140625" bestFit="1" customWidth="1"/>
    <col min="14" max="14" width="19.5703125" bestFit="1" customWidth="1"/>
  </cols>
  <sheetData>
    <row r="1" spans="1:14" x14ac:dyDescent="0.25">
      <c r="A1" s="18" t="s">
        <v>0</v>
      </c>
      <c r="B1" t="s" vm="5">
        <v>121</v>
      </c>
      <c r="I1" s="18" t="s">
        <v>0</v>
      </c>
      <c r="J1" t="s" vm="5">
        <v>121</v>
      </c>
    </row>
    <row r="2" spans="1:14" x14ac:dyDescent="0.25">
      <c r="A2" s="18" t="s">
        <v>122</v>
      </c>
      <c r="B2" t="s" vm="6">
        <v>3</v>
      </c>
      <c r="I2" s="18" t="s">
        <v>122</v>
      </c>
      <c r="J2" t="s" vm="6">
        <v>3</v>
      </c>
    </row>
    <row r="3" spans="1:14" x14ac:dyDescent="0.25">
      <c r="A3" s="18" t="s">
        <v>6</v>
      </c>
      <c r="B3" t="s" vm="7">
        <v>7</v>
      </c>
      <c r="I3" s="18" t="s">
        <v>6</v>
      </c>
      <c r="J3" t="s" vm="7">
        <v>7</v>
      </c>
    </row>
    <row r="4" spans="1:14" x14ac:dyDescent="0.25">
      <c r="A4" s="18" t="s">
        <v>123</v>
      </c>
      <c r="B4" t="s" vm="9">
        <v>13</v>
      </c>
      <c r="I4" s="18" t="s">
        <v>123</v>
      </c>
      <c r="J4" t="s" vm="9">
        <v>13</v>
      </c>
    </row>
    <row r="5" spans="1:14" x14ac:dyDescent="0.25">
      <c r="A5" s="1"/>
      <c r="B5" s="1"/>
      <c r="C5" s="17"/>
      <c r="D5" s="17"/>
      <c r="E5" s="17"/>
      <c r="F5" s="17"/>
      <c r="I5" s="1"/>
      <c r="J5" s="1"/>
      <c r="K5" s="17"/>
      <c r="L5" s="17"/>
      <c r="M5" s="17"/>
      <c r="N5" s="17"/>
    </row>
    <row r="6" spans="1:14" x14ac:dyDescent="0.25">
      <c r="A6" s="18" t="s">
        <v>124</v>
      </c>
      <c r="B6" s="18" t="s">
        <v>125</v>
      </c>
      <c r="I6" s="18" t="s">
        <v>124</v>
      </c>
      <c r="J6" s="18" t="s">
        <v>125</v>
      </c>
    </row>
    <row r="7" spans="1:14" x14ac:dyDescent="0.25">
      <c r="A7" s="18" t="s">
        <v>126</v>
      </c>
      <c r="B7" t="s">
        <v>21</v>
      </c>
      <c r="C7" t="s">
        <v>15</v>
      </c>
      <c r="D7" t="s">
        <v>16</v>
      </c>
      <c r="F7" t="s">
        <v>11</v>
      </c>
      <c r="I7" s="18" t="s">
        <v>126</v>
      </c>
      <c r="J7" t="s">
        <v>21</v>
      </c>
      <c r="K7" t="s">
        <v>15</v>
      </c>
      <c r="L7" t="s">
        <v>16</v>
      </c>
      <c r="N7" t="s">
        <v>11</v>
      </c>
    </row>
    <row r="8" spans="1:14" x14ac:dyDescent="0.25">
      <c r="A8" s="1" t="s">
        <v>127</v>
      </c>
      <c r="B8" s="3">
        <v>376905.35710000049</v>
      </c>
      <c r="C8" s="3">
        <v>6851992.2859999985</v>
      </c>
      <c r="D8" s="3">
        <v>2155136.5704999967</v>
      </c>
      <c r="E8" s="3">
        <v>0</v>
      </c>
      <c r="F8" s="3">
        <v>9384034.2136000227</v>
      </c>
      <c r="I8" s="1" t="s">
        <v>127</v>
      </c>
      <c r="J8" s="3">
        <v>376905.35710000049</v>
      </c>
      <c r="K8" s="3">
        <v>6851992.2859999985</v>
      </c>
      <c r="L8" s="3">
        <v>2155136.5704999967</v>
      </c>
      <c r="M8" s="3">
        <v>0</v>
      </c>
      <c r="N8" s="3">
        <v>9384034.2136000227</v>
      </c>
    </row>
    <row r="9" spans="1:14" x14ac:dyDescent="0.25">
      <c r="A9" s="1" t="s">
        <v>128</v>
      </c>
      <c r="B9" s="3">
        <v>138197.54529999985</v>
      </c>
      <c r="C9" s="3">
        <v>3523042.4206999936</v>
      </c>
      <c r="D9" s="3">
        <v>487672.0327000001</v>
      </c>
      <c r="E9" s="3">
        <v>0</v>
      </c>
      <c r="F9" s="3">
        <v>4148911.998699998</v>
      </c>
      <c r="I9" s="1" t="s">
        <v>128</v>
      </c>
      <c r="J9" s="3">
        <v>138197.54529999985</v>
      </c>
      <c r="K9" s="3">
        <v>3523042.4206999936</v>
      </c>
      <c r="L9" s="3">
        <v>487672.0327000001</v>
      </c>
      <c r="M9" s="3">
        <v>0</v>
      </c>
      <c r="N9" s="3">
        <v>4148911.998699998</v>
      </c>
    </row>
    <row r="10" spans="1:14" x14ac:dyDescent="0.25">
      <c r="A10" s="1" t="s">
        <v>129</v>
      </c>
      <c r="B10" s="3">
        <v>141073.46409999992</v>
      </c>
      <c r="C10" s="3">
        <v>3877218.1761000026</v>
      </c>
      <c r="D10" s="3">
        <v>622969.50149999978</v>
      </c>
      <c r="E10" s="3">
        <v>0</v>
      </c>
      <c r="F10" s="3">
        <v>4641261.1417000024</v>
      </c>
      <c r="I10" s="1" t="s">
        <v>129</v>
      </c>
      <c r="J10" s="3">
        <v>141073.46409999992</v>
      </c>
      <c r="K10" s="3">
        <v>3877218.1761000026</v>
      </c>
      <c r="L10" s="3">
        <v>622969.50149999978</v>
      </c>
      <c r="M10" s="3">
        <v>0</v>
      </c>
      <c r="N10" s="3">
        <v>4641261.1417000024</v>
      </c>
    </row>
    <row r="11" spans="1:14" x14ac:dyDescent="0.25">
      <c r="A11" s="1" t="s">
        <v>130</v>
      </c>
      <c r="B11" s="3">
        <v>242571.17139999976</v>
      </c>
      <c r="C11" s="3">
        <v>5286957.8100000005</v>
      </c>
      <c r="D11" s="3">
        <v>843955.3330999976</v>
      </c>
      <c r="E11" s="3">
        <v>0</v>
      </c>
      <c r="F11" s="3">
        <v>6373484.3145000059</v>
      </c>
      <c r="I11" s="1" t="s">
        <v>130</v>
      </c>
      <c r="J11" s="3">
        <v>242571.17139999976</v>
      </c>
      <c r="K11" s="3">
        <v>5286957.8100000005</v>
      </c>
      <c r="L11" s="3">
        <v>843955.3330999976</v>
      </c>
      <c r="M11" s="3">
        <v>0</v>
      </c>
      <c r="N11" s="3">
        <v>6373484.3145000059</v>
      </c>
    </row>
    <row r="12" spans="1:14" x14ac:dyDescent="0.25">
      <c r="A12" s="1" t="s">
        <v>131</v>
      </c>
      <c r="B12" s="3">
        <v>268468.50800000003</v>
      </c>
      <c r="C12" s="3">
        <v>5772565.3386999881</v>
      </c>
      <c r="D12" s="3">
        <v>1136353.2589000047</v>
      </c>
      <c r="E12" s="3">
        <v>0</v>
      </c>
      <c r="F12" s="3">
        <v>7177387.1055999948</v>
      </c>
      <c r="I12" s="1" t="s">
        <v>131</v>
      </c>
      <c r="J12" s="3">
        <v>268468.50800000003</v>
      </c>
      <c r="K12" s="3">
        <v>5772565.3386999881</v>
      </c>
      <c r="L12" s="3">
        <v>1136353.2589000047</v>
      </c>
      <c r="M12" s="3">
        <v>0</v>
      </c>
      <c r="N12" s="3">
        <v>7177387.1055999948</v>
      </c>
    </row>
    <row r="13" spans="1:14" x14ac:dyDescent="0.25">
      <c r="A13" s="1" t="s">
        <v>132</v>
      </c>
      <c r="B13" s="3">
        <v>349721.10919999977</v>
      </c>
      <c r="C13" s="3">
        <v>5676214.1522999797</v>
      </c>
      <c r="D13" s="3">
        <v>1094373.2122999954</v>
      </c>
      <c r="E13" s="3">
        <v>0</v>
      </c>
      <c r="F13" s="3">
        <v>7120308.4738000194</v>
      </c>
      <c r="I13" s="1" t="s">
        <v>132</v>
      </c>
      <c r="J13" s="3">
        <v>349721.10919999977</v>
      </c>
      <c r="K13" s="3">
        <v>5676214.1522999797</v>
      </c>
      <c r="L13" s="3">
        <v>1094373.2122999954</v>
      </c>
      <c r="M13" s="3">
        <v>0</v>
      </c>
      <c r="N13" s="3">
        <v>7120308.4738000194</v>
      </c>
    </row>
    <row r="14" spans="1:14" x14ac:dyDescent="0.25">
      <c r="A14" s="1" t="s">
        <v>133</v>
      </c>
      <c r="B14" s="3">
        <v>265584.27429999982</v>
      </c>
      <c r="C14" s="3">
        <v>4320967.4413999887</v>
      </c>
      <c r="D14" s="3">
        <v>869353.62589999766</v>
      </c>
      <c r="E14" s="3">
        <v>0</v>
      </c>
      <c r="F14" s="3">
        <v>5455905.3415999869</v>
      </c>
      <c r="I14" s="1" t="s">
        <v>133</v>
      </c>
      <c r="J14" s="3">
        <v>265584.27429999982</v>
      </c>
      <c r="K14" s="3">
        <v>4320967.4413999887</v>
      </c>
      <c r="L14" s="3">
        <v>869353.62589999766</v>
      </c>
      <c r="M14" s="3">
        <v>0</v>
      </c>
      <c r="N14" s="3">
        <v>5455905.3415999869</v>
      </c>
    </row>
    <row r="15" spans="1:14" x14ac:dyDescent="0.25">
      <c r="A15" s="1" t="s">
        <v>134</v>
      </c>
      <c r="B15" s="3">
        <v>370461.4651999987</v>
      </c>
      <c r="C15" s="3">
        <v>12389581.555499991</v>
      </c>
      <c r="D15" s="3">
        <v>3860922.3535000025</v>
      </c>
      <c r="E15" s="3">
        <v>0</v>
      </c>
      <c r="F15" s="3">
        <v>16620965.374200027</v>
      </c>
      <c r="I15" s="1" t="s">
        <v>134</v>
      </c>
      <c r="J15" s="3">
        <v>370461.4651999987</v>
      </c>
      <c r="K15" s="3">
        <v>12389581.555499991</v>
      </c>
      <c r="L15" s="3">
        <v>3860922.3535000025</v>
      </c>
      <c r="M15" s="3">
        <v>0</v>
      </c>
      <c r="N15" s="3">
        <v>16620965.374200027</v>
      </c>
    </row>
    <row r="16" spans="1:14" x14ac:dyDescent="0.25">
      <c r="A16" s="1" t="s">
        <v>135</v>
      </c>
      <c r="B16" s="3">
        <v>303091.62859999959</v>
      </c>
      <c r="C16" s="3">
        <v>6005461.4446999952</v>
      </c>
      <c r="D16" s="3">
        <v>2231137.4294000114</v>
      </c>
      <c r="E16" s="3">
        <v>0</v>
      </c>
      <c r="F16" s="3">
        <v>8539690.5026999936</v>
      </c>
      <c r="I16" s="1" t="s">
        <v>135</v>
      </c>
      <c r="J16" s="3">
        <v>303091.62859999959</v>
      </c>
      <c r="K16" s="3">
        <v>6005461.4446999952</v>
      </c>
      <c r="L16" s="3">
        <v>2231137.4294000114</v>
      </c>
      <c r="M16" s="3">
        <v>0</v>
      </c>
      <c r="N16" s="3">
        <v>8539690.5026999936</v>
      </c>
    </row>
    <row r="17" spans="1:14" x14ac:dyDescent="0.25">
      <c r="A17" s="1" t="s">
        <v>136</v>
      </c>
      <c r="B17" s="3">
        <v>145182.65309999988</v>
      </c>
      <c r="C17" s="3">
        <v>3073912.9037999995</v>
      </c>
      <c r="D17" s="3">
        <v>601991.75540000142</v>
      </c>
      <c r="E17" s="3">
        <v>0</v>
      </c>
      <c r="F17" s="3">
        <v>3821087.3122999864</v>
      </c>
      <c r="I17" s="1" t="s">
        <v>136</v>
      </c>
      <c r="J17" s="3">
        <v>145182.65309999988</v>
      </c>
      <c r="K17" s="3">
        <v>3073912.9037999995</v>
      </c>
      <c r="L17" s="3">
        <v>601991.75540000142</v>
      </c>
      <c r="M17" s="3">
        <v>0</v>
      </c>
      <c r="N17" s="3">
        <v>3821087.3122999864</v>
      </c>
    </row>
    <row r="18" spans="1:14" x14ac:dyDescent="0.25">
      <c r="A18" s="1" t="s">
        <v>137</v>
      </c>
      <c r="B18" s="3">
        <v>136993.79939999999</v>
      </c>
      <c r="C18" s="3">
        <v>3264059.7514999802</v>
      </c>
      <c r="D18" s="3">
        <v>586222.72440000146</v>
      </c>
      <c r="E18" s="3">
        <v>0</v>
      </c>
      <c r="F18" s="3">
        <v>3987276.275299984</v>
      </c>
      <c r="I18" s="1" t="s">
        <v>137</v>
      </c>
      <c r="J18" s="3">
        <v>136993.79939999999</v>
      </c>
      <c r="K18" s="3">
        <v>3264059.7514999802</v>
      </c>
      <c r="L18" s="3">
        <v>586222.72440000146</v>
      </c>
      <c r="M18" s="3">
        <v>0</v>
      </c>
      <c r="N18" s="3">
        <v>3987276.275299984</v>
      </c>
    </row>
    <row r="19" spans="1:14" x14ac:dyDescent="0.25">
      <c r="A19" s="1" t="s">
        <v>138</v>
      </c>
      <c r="B19" s="3">
        <v>172183.66350000011</v>
      </c>
      <c r="C19" s="3">
        <v>4131597.4531000061</v>
      </c>
      <c r="D19" s="3">
        <v>883862.86110000079</v>
      </c>
      <c r="E19" s="3">
        <v>0</v>
      </c>
      <c r="F19" s="3">
        <v>5187643.9776999978</v>
      </c>
      <c r="I19" s="1" t="s">
        <v>138</v>
      </c>
      <c r="J19" s="3">
        <v>172183.66350000011</v>
      </c>
      <c r="K19" s="3">
        <v>4131597.4531000061</v>
      </c>
      <c r="L19" s="3">
        <v>883862.86110000079</v>
      </c>
      <c r="M19" s="3">
        <v>0</v>
      </c>
      <c r="N19" s="3">
        <v>5187643.9776999978</v>
      </c>
    </row>
    <row r="20" spans="1:14" x14ac:dyDescent="0.25">
      <c r="A20" s="1" t="s">
        <v>139</v>
      </c>
      <c r="B20" s="3">
        <v>472899.15529999987</v>
      </c>
      <c r="C20" s="3">
        <v>9467931.6934999786</v>
      </c>
      <c r="D20" s="3">
        <v>2540040.1691999985</v>
      </c>
      <c r="E20" s="3">
        <v>0</v>
      </c>
      <c r="F20" s="3">
        <v>12480871.01799994</v>
      </c>
      <c r="I20" s="1" t="s">
        <v>139</v>
      </c>
      <c r="J20" s="3">
        <v>472899.15529999987</v>
      </c>
      <c r="K20" s="3">
        <v>9467931.6934999786</v>
      </c>
      <c r="L20" s="3">
        <v>2540040.1691999985</v>
      </c>
      <c r="M20" s="3">
        <v>0</v>
      </c>
      <c r="N20" s="3">
        <v>12480871.01799994</v>
      </c>
    </row>
    <row r="21" spans="1:14" x14ac:dyDescent="0.25">
      <c r="A21" s="1" t="s">
        <v>140</v>
      </c>
      <c r="B21" s="3">
        <v>239614.30160000009</v>
      </c>
      <c r="C21" s="3">
        <v>6514097.2448999947</v>
      </c>
      <c r="D21" s="3">
        <v>1270651.9957000015</v>
      </c>
      <c r="E21" s="3">
        <v>0</v>
      </c>
      <c r="F21" s="3">
        <v>8024363.5421999861</v>
      </c>
      <c r="I21" s="1" t="s">
        <v>140</v>
      </c>
      <c r="J21" s="3">
        <v>239614.30160000009</v>
      </c>
      <c r="K21" s="3">
        <v>6514097.2448999947</v>
      </c>
      <c r="L21" s="3">
        <v>1270651.9957000015</v>
      </c>
      <c r="M21" s="3">
        <v>0</v>
      </c>
      <c r="N21" s="3">
        <v>8024363.5421999861</v>
      </c>
    </row>
    <row r="22" spans="1:14" x14ac:dyDescent="0.25">
      <c r="A22" s="1" t="s">
        <v>141</v>
      </c>
      <c r="B22" s="3">
        <v>248546.66429999983</v>
      </c>
      <c r="C22" s="3">
        <v>5866689.5586000057</v>
      </c>
      <c r="D22" s="3">
        <v>1148658.4001000021</v>
      </c>
      <c r="E22" s="3">
        <v>0</v>
      </c>
      <c r="F22" s="3">
        <v>7263894.6230000062</v>
      </c>
      <c r="I22" s="1" t="s">
        <v>141</v>
      </c>
      <c r="J22" s="3">
        <v>248546.66429999983</v>
      </c>
      <c r="K22" s="3">
        <v>5866689.5586000057</v>
      </c>
      <c r="L22" s="3">
        <v>1148658.4001000021</v>
      </c>
      <c r="M22" s="3">
        <v>0</v>
      </c>
      <c r="N22" s="3">
        <v>7263894.6230000062</v>
      </c>
    </row>
    <row r="23" spans="1:14" x14ac:dyDescent="0.25">
      <c r="A23" s="1" t="s">
        <v>142</v>
      </c>
      <c r="B23" s="3">
        <v>235754.62039999978</v>
      </c>
      <c r="C23" s="3">
        <v>5354660.9815000035</v>
      </c>
      <c r="D23" s="3">
        <v>909050.64529999939</v>
      </c>
      <c r="E23" s="3">
        <v>0</v>
      </c>
      <c r="F23" s="3">
        <v>6499466.2472000215</v>
      </c>
      <c r="I23" s="1" t="s">
        <v>142</v>
      </c>
      <c r="J23" s="3">
        <v>235754.62039999978</v>
      </c>
      <c r="K23" s="3">
        <v>5354660.9815000035</v>
      </c>
      <c r="L23" s="3">
        <v>909050.64529999939</v>
      </c>
      <c r="M23" s="3">
        <v>0</v>
      </c>
      <c r="N23" s="3">
        <v>6499466.2472000215</v>
      </c>
    </row>
    <row r="24" spans="1:14" x14ac:dyDescent="0.25">
      <c r="A24" s="1" t="s">
        <v>143</v>
      </c>
      <c r="B24" s="3">
        <v>432990.32509999943</v>
      </c>
      <c r="C24" s="3">
        <v>8756099.5323000159</v>
      </c>
      <c r="D24" s="3">
        <v>1579864.6656999986</v>
      </c>
      <c r="E24" s="3">
        <v>0</v>
      </c>
      <c r="F24" s="3">
        <v>10768954.523099907</v>
      </c>
      <c r="I24" s="1" t="s">
        <v>143</v>
      </c>
      <c r="J24" s="3">
        <v>432990.32509999943</v>
      </c>
      <c r="K24" s="3">
        <v>8756099.5323000159</v>
      </c>
      <c r="L24" s="3">
        <v>1579864.6656999986</v>
      </c>
      <c r="M24" s="3">
        <v>0</v>
      </c>
      <c r="N24" s="3">
        <v>10768954.523099907</v>
      </c>
    </row>
    <row r="25" spans="1:14" x14ac:dyDescent="0.25">
      <c r="A25" s="1" t="s">
        <v>144</v>
      </c>
      <c r="B25" s="3">
        <v>306095.55309999996</v>
      </c>
      <c r="C25" s="3">
        <v>5733066.8522999818</v>
      </c>
      <c r="D25" s="3">
        <v>1243801.6810999981</v>
      </c>
      <c r="E25" s="3">
        <v>0</v>
      </c>
      <c r="F25" s="3">
        <v>7282964.0865000132</v>
      </c>
      <c r="I25" s="1" t="s">
        <v>144</v>
      </c>
      <c r="J25" s="3">
        <v>306095.55309999996</v>
      </c>
      <c r="K25" s="3">
        <v>5733066.8522999818</v>
      </c>
      <c r="L25" s="3">
        <v>1243801.6810999981</v>
      </c>
      <c r="M25" s="3">
        <v>0</v>
      </c>
      <c r="N25" s="3">
        <v>7282964.0865000132</v>
      </c>
    </row>
    <row r="26" spans="1:14" x14ac:dyDescent="0.25">
      <c r="A26" s="1" t="s">
        <v>145</v>
      </c>
      <c r="B26" s="3">
        <v>187854.15469999975</v>
      </c>
      <c r="C26" s="3">
        <v>3028157.1777999941</v>
      </c>
      <c r="D26" s="3">
        <v>449228.47160000051</v>
      </c>
      <c r="E26" s="3">
        <v>0</v>
      </c>
      <c r="F26" s="3">
        <v>3665239.8041000096</v>
      </c>
      <c r="I26" s="1" t="s">
        <v>145</v>
      </c>
      <c r="J26" s="3">
        <v>187854.15469999975</v>
      </c>
      <c r="K26" s="3">
        <v>3028157.1777999941</v>
      </c>
      <c r="L26" s="3">
        <v>449228.47160000051</v>
      </c>
      <c r="M26" s="3">
        <v>0</v>
      </c>
      <c r="N26" s="3">
        <v>3665239.8041000096</v>
      </c>
    </row>
    <row r="27" spans="1:14" x14ac:dyDescent="0.25">
      <c r="A27" s="1" t="s">
        <v>146</v>
      </c>
      <c r="B27" s="3">
        <v>539772.72849999822</v>
      </c>
      <c r="C27" s="3">
        <v>5624638.6955999639</v>
      </c>
      <c r="D27" s="3">
        <v>1470143.3501000032</v>
      </c>
      <c r="E27" s="3">
        <v>0</v>
      </c>
      <c r="F27" s="3">
        <v>7634554.7741999114</v>
      </c>
      <c r="I27" s="1" t="s">
        <v>146</v>
      </c>
      <c r="J27" s="3">
        <v>539772.72849999822</v>
      </c>
      <c r="K27" s="3">
        <v>5624638.6955999639</v>
      </c>
      <c r="L27" s="3">
        <v>1470143.3501000032</v>
      </c>
      <c r="M27" s="3">
        <v>0</v>
      </c>
      <c r="N27" s="3">
        <v>7634554.7741999114</v>
      </c>
    </row>
    <row r="28" spans="1:14" x14ac:dyDescent="0.25">
      <c r="A28" s="1" t="s">
        <v>147</v>
      </c>
      <c r="B28" s="3">
        <v>176029.32740000001</v>
      </c>
      <c r="C28" s="3">
        <v>2784606.5171999927</v>
      </c>
      <c r="D28" s="3">
        <v>374787.26160000009</v>
      </c>
      <c r="E28" s="3">
        <v>0</v>
      </c>
      <c r="F28" s="3">
        <v>3335423.1061999793</v>
      </c>
      <c r="I28" s="1" t="s">
        <v>147</v>
      </c>
      <c r="J28" s="3">
        <v>176029.32740000001</v>
      </c>
      <c r="K28" s="3">
        <v>2784606.5171999927</v>
      </c>
      <c r="L28" s="3">
        <v>374787.26160000009</v>
      </c>
      <c r="M28" s="3">
        <v>0</v>
      </c>
      <c r="N28" s="3">
        <v>3335423.1061999793</v>
      </c>
    </row>
    <row r="29" spans="1:14" x14ac:dyDescent="0.25">
      <c r="A29" s="1" t="s">
        <v>148</v>
      </c>
      <c r="B29" s="3">
        <v>232186.74419999958</v>
      </c>
      <c r="C29" s="3">
        <v>3831827.8050999902</v>
      </c>
      <c r="D29" s="3">
        <v>450150.79319999932</v>
      </c>
      <c r="E29" s="3">
        <v>0</v>
      </c>
      <c r="F29" s="3">
        <v>4514165.3424999835</v>
      </c>
      <c r="I29" s="1" t="s">
        <v>148</v>
      </c>
      <c r="J29" s="3">
        <v>232186.74419999958</v>
      </c>
      <c r="K29" s="3">
        <v>3831827.8050999902</v>
      </c>
      <c r="L29" s="3">
        <v>450150.79319999932</v>
      </c>
      <c r="M29" s="3">
        <v>0</v>
      </c>
      <c r="N29" s="3">
        <v>4514165.3424999835</v>
      </c>
    </row>
    <row r="30" spans="1:14" x14ac:dyDescent="0.25">
      <c r="A30" s="1" t="s">
        <v>149</v>
      </c>
      <c r="B30" s="3">
        <v>151659.33610000019</v>
      </c>
      <c r="C30" s="3">
        <v>3063403.4844000023</v>
      </c>
      <c r="D30" s="3">
        <v>416725.24120000022</v>
      </c>
      <c r="E30" s="3">
        <v>0</v>
      </c>
      <c r="F30" s="3">
        <v>3631788.0617000023</v>
      </c>
      <c r="I30" s="1" t="s">
        <v>149</v>
      </c>
      <c r="J30" s="3">
        <v>151659.33610000019</v>
      </c>
      <c r="K30" s="3">
        <v>3063403.4844000023</v>
      </c>
      <c r="L30" s="3">
        <v>416725.24120000022</v>
      </c>
      <c r="M30" s="3">
        <v>0</v>
      </c>
      <c r="N30" s="3">
        <v>3631788.0617000023</v>
      </c>
    </row>
    <row r="31" spans="1:14" x14ac:dyDescent="0.25">
      <c r="A31" s="1" t="s">
        <v>150</v>
      </c>
      <c r="B31" s="3">
        <v>170136.09930000003</v>
      </c>
      <c r="C31" s="3">
        <v>4409788.0632000081</v>
      </c>
      <c r="D31" s="3">
        <v>667906.65840000217</v>
      </c>
      <c r="E31" s="3">
        <v>0</v>
      </c>
      <c r="F31" s="3">
        <v>5247830.8208999727</v>
      </c>
      <c r="I31" s="1" t="s">
        <v>150</v>
      </c>
      <c r="J31" s="3">
        <v>170136.09930000003</v>
      </c>
      <c r="K31" s="3">
        <v>4409788.0632000081</v>
      </c>
      <c r="L31" s="3">
        <v>667906.65840000217</v>
      </c>
      <c r="M31" s="3">
        <v>0</v>
      </c>
      <c r="N31" s="3">
        <v>5247830.8208999727</v>
      </c>
    </row>
    <row r="32" spans="1:14" x14ac:dyDescent="0.25">
      <c r="A32" s="1" t="s">
        <v>151</v>
      </c>
      <c r="B32" s="3">
        <v>186129.23619999969</v>
      </c>
      <c r="C32" s="3">
        <v>3466156.6770000081</v>
      </c>
      <c r="D32" s="3">
        <v>538709.36779999896</v>
      </c>
      <c r="E32" s="3">
        <v>0</v>
      </c>
      <c r="F32" s="3">
        <v>4190995.2810000009</v>
      </c>
      <c r="I32" s="1" t="s">
        <v>151</v>
      </c>
      <c r="J32" s="3">
        <v>186129.23619999969</v>
      </c>
      <c r="K32" s="3">
        <v>3466156.6770000081</v>
      </c>
      <c r="L32" s="3">
        <v>538709.36779999896</v>
      </c>
      <c r="M32" s="3">
        <v>0</v>
      </c>
      <c r="N32" s="3">
        <v>4190995.2810000009</v>
      </c>
    </row>
    <row r="33" spans="1:14" x14ac:dyDescent="0.25">
      <c r="A33" s="1" t="s">
        <v>152</v>
      </c>
      <c r="B33" s="3">
        <v>175506.11700000011</v>
      </c>
      <c r="C33" s="3">
        <v>3078491.3299000119</v>
      </c>
      <c r="D33" s="3">
        <v>709650.51860000007</v>
      </c>
      <c r="E33" s="3">
        <v>0</v>
      </c>
      <c r="F33" s="3">
        <v>3963647.9655000125</v>
      </c>
      <c r="I33" s="1" t="s">
        <v>152</v>
      </c>
      <c r="J33" s="3">
        <v>175506.11700000011</v>
      </c>
      <c r="K33" s="3">
        <v>3078491.3299000119</v>
      </c>
      <c r="L33" s="3">
        <v>709650.51860000007</v>
      </c>
      <c r="M33" s="3">
        <v>0</v>
      </c>
      <c r="N33" s="3">
        <v>3963647.9655000125</v>
      </c>
    </row>
    <row r="34" spans="1:14" x14ac:dyDescent="0.25">
      <c r="A34" s="1" t="s">
        <v>153</v>
      </c>
      <c r="B34" s="3">
        <v>274765.31799999997</v>
      </c>
      <c r="C34" s="3">
        <v>4286026.017699983</v>
      </c>
      <c r="D34" s="3">
        <v>605343.90690000076</v>
      </c>
      <c r="E34" s="3">
        <v>0</v>
      </c>
      <c r="F34" s="3">
        <v>5166135.2425999446</v>
      </c>
      <c r="I34" s="1" t="s">
        <v>153</v>
      </c>
      <c r="J34" s="3">
        <v>274765.31799999997</v>
      </c>
      <c r="K34" s="3">
        <v>4286026.017699983</v>
      </c>
      <c r="L34" s="3">
        <v>605343.90690000076</v>
      </c>
      <c r="M34" s="3">
        <v>0</v>
      </c>
      <c r="N34" s="3">
        <v>5166135.2425999446</v>
      </c>
    </row>
    <row r="35" spans="1:14" x14ac:dyDescent="0.25">
      <c r="A35" s="1" t="s">
        <v>154</v>
      </c>
      <c r="B35" s="3">
        <v>235413.90989999991</v>
      </c>
      <c r="C35" s="3">
        <v>3722821.6121000126</v>
      </c>
      <c r="D35" s="3">
        <v>641555.64420000033</v>
      </c>
      <c r="E35" s="3">
        <v>0</v>
      </c>
      <c r="F35" s="3">
        <v>4599791.1662000231</v>
      </c>
      <c r="I35" s="1" t="s">
        <v>154</v>
      </c>
      <c r="J35" s="3">
        <v>235413.90989999991</v>
      </c>
      <c r="K35" s="3">
        <v>3722821.6121000126</v>
      </c>
      <c r="L35" s="3">
        <v>641555.64420000033</v>
      </c>
      <c r="M35" s="3">
        <v>0</v>
      </c>
      <c r="N35" s="3">
        <v>4599791.1662000231</v>
      </c>
    </row>
    <row r="36" spans="1:14" x14ac:dyDescent="0.25">
      <c r="A36" s="1" t="s">
        <v>155</v>
      </c>
      <c r="B36" s="3">
        <v>290838.79769999965</v>
      </c>
      <c r="C36" s="3">
        <v>4399442.887399991</v>
      </c>
      <c r="D36" s="3">
        <v>540104.20990000071</v>
      </c>
      <c r="E36" s="3">
        <v>0</v>
      </c>
      <c r="F36" s="3">
        <v>5230385.8949999828</v>
      </c>
      <c r="I36" s="1" t="s">
        <v>155</v>
      </c>
      <c r="J36" s="3">
        <v>290838.79769999965</v>
      </c>
      <c r="K36" s="3">
        <v>4399442.887399991</v>
      </c>
      <c r="L36" s="3">
        <v>540104.20990000071</v>
      </c>
      <c r="M36" s="3">
        <v>0</v>
      </c>
      <c r="N36" s="3">
        <v>5230385.8949999828</v>
      </c>
    </row>
    <row r="37" spans="1:14" x14ac:dyDescent="0.25">
      <c r="A37" s="1" t="s">
        <v>156</v>
      </c>
      <c r="B37" s="3">
        <v>333149.16139999975</v>
      </c>
      <c r="C37" s="3">
        <v>4339266.1290000202</v>
      </c>
      <c r="D37" s="3">
        <v>873560.86969999922</v>
      </c>
      <c r="E37" s="3">
        <v>0</v>
      </c>
      <c r="F37" s="3">
        <v>5545976.1600999674</v>
      </c>
      <c r="I37" s="1" t="s">
        <v>156</v>
      </c>
      <c r="J37" s="3">
        <v>333149.16139999975</v>
      </c>
      <c r="K37" s="3">
        <v>4339266.1290000202</v>
      </c>
      <c r="L37" s="3">
        <v>873560.86969999922</v>
      </c>
      <c r="M37" s="3">
        <v>0</v>
      </c>
      <c r="N37" s="3">
        <v>5545976.1600999674</v>
      </c>
    </row>
    <row r="38" spans="1:14" x14ac:dyDescent="0.25">
      <c r="A38" s="1" t="s">
        <v>157</v>
      </c>
      <c r="B38" s="3">
        <v>261632.53559999974</v>
      </c>
      <c r="C38" s="3">
        <v>5537169.5162999826</v>
      </c>
      <c r="D38" s="3">
        <v>806753.40460000001</v>
      </c>
      <c r="E38" s="3">
        <v>0</v>
      </c>
      <c r="F38" s="3">
        <v>6605555.4564999631</v>
      </c>
      <c r="I38" s="1" t="s">
        <v>157</v>
      </c>
      <c r="J38" s="3">
        <v>261632.53559999974</v>
      </c>
      <c r="K38" s="3">
        <v>5537169.5162999826</v>
      </c>
      <c r="L38" s="3">
        <v>806753.40460000001</v>
      </c>
      <c r="M38" s="3">
        <v>0</v>
      </c>
      <c r="N38" s="3">
        <v>6605555.4564999631</v>
      </c>
    </row>
    <row r="39" spans="1:14" x14ac:dyDescent="0.25">
      <c r="A39" s="1" t="s">
        <v>158</v>
      </c>
      <c r="B39" s="3">
        <v>235949.89839999998</v>
      </c>
      <c r="C39" s="3">
        <v>3145647.0681999894</v>
      </c>
      <c r="D39" s="3">
        <v>426337.72410000011</v>
      </c>
      <c r="E39" s="3">
        <v>0</v>
      </c>
      <c r="F39" s="3">
        <v>3807934.6906999974</v>
      </c>
      <c r="I39" s="1" t="s">
        <v>158</v>
      </c>
      <c r="J39" s="3">
        <v>235949.89839999998</v>
      </c>
      <c r="K39" s="3">
        <v>3145647.0681999894</v>
      </c>
      <c r="L39" s="3">
        <v>426337.72410000011</v>
      </c>
      <c r="M39" s="3">
        <v>0</v>
      </c>
      <c r="N39" s="3">
        <v>3807934.6906999974</v>
      </c>
    </row>
    <row r="40" spans="1:14" x14ac:dyDescent="0.25">
      <c r="A40" s="1" t="s">
        <v>159</v>
      </c>
      <c r="B40" s="3">
        <v>304883.72670000017</v>
      </c>
      <c r="C40" s="3">
        <v>4896887.6644999897</v>
      </c>
      <c r="D40" s="3">
        <v>947471.02139999869</v>
      </c>
      <c r="E40" s="3">
        <v>0</v>
      </c>
      <c r="F40" s="3">
        <v>6149242.412600005</v>
      </c>
      <c r="I40" s="1" t="s">
        <v>159</v>
      </c>
      <c r="J40" s="3">
        <v>304883.72670000017</v>
      </c>
      <c r="K40" s="3">
        <v>4896887.6644999897</v>
      </c>
      <c r="L40" s="3">
        <v>947471.02139999869</v>
      </c>
      <c r="M40" s="3">
        <v>0</v>
      </c>
      <c r="N40" s="3">
        <v>6149242.412600005</v>
      </c>
    </row>
    <row r="41" spans="1:14" x14ac:dyDescent="0.25">
      <c r="A41" s="1" t="s">
        <v>160</v>
      </c>
      <c r="B41" s="3">
        <v>603104.62800000049</v>
      </c>
      <c r="C41" s="3">
        <v>7462656.6203999696</v>
      </c>
      <c r="D41" s="3">
        <v>1991408.8390999977</v>
      </c>
      <c r="E41" s="3">
        <v>0</v>
      </c>
      <c r="F41" s="3">
        <v>10057170.087499905</v>
      </c>
      <c r="I41" s="1" t="s">
        <v>160</v>
      </c>
      <c r="J41" s="3">
        <v>603104.62800000049</v>
      </c>
      <c r="K41" s="3">
        <v>7462656.6203999696</v>
      </c>
      <c r="L41" s="3">
        <v>1991408.8390999977</v>
      </c>
      <c r="M41" s="3">
        <v>0</v>
      </c>
      <c r="N41" s="3">
        <v>10057170.087499905</v>
      </c>
    </row>
    <row r="42" spans="1:14" x14ac:dyDescent="0.25">
      <c r="A42" s="1" t="s">
        <v>161</v>
      </c>
      <c r="B42" s="3">
        <v>486831.19919999968</v>
      </c>
      <c r="C42" s="3">
        <v>6435460.9035999663</v>
      </c>
      <c r="D42" s="3">
        <v>1495992.490400004</v>
      </c>
      <c r="E42" s="3">
        <v>0</v>
      </c>
      <c r="F42" s="3">
        <v>8418284.593199959</v>
      </c>
      <c r="I42" s="1" t="s">
        <v>161</v>
      </c>
      <c r="J42" s="3">
        <v>486831.19919999968</v>
      </c>
      <c r="K42" s="3">
        <v>6435460.9035999663</v>
      </c>
      <c r="L42" s="3">
        <v>1495992.490400004</v>
      </c>
      <c r="M42" s="3">
        <v>0</v>
      </c>
      <c r="N42" s="3">
        <v>8418284.593199959</v>
      </c>
    </row>
    <row r="43" spans="1:14" x14ac:dyDescent="0.25">
      <c r="A43" s="1" t="s">
        <v>162</v>
      </c>
      <c r="B43" s="3">
        <v>407979.28170000098</v>
      </c>
      <c r="C43" s="3">
        <v>6182961.4966999637</v>
      </c>
      <c r="D43" s="3">
        <v>1120879.3270000014</v>
      </c>
      <c r="E43" s="3">
        <v>0</v>
      </c>
      <c r="F43" s="3">
        <v>7711820.1053999793</v>
      </c>
      <c r="I43" s="1" t="s">
        <v>162</v>
      </c>
      <c r="J43" s="3">
        <v>407979.28170000098</v>
      </c>
      <c r="K43" s="3">
        <v>6182961.4966999637</v>
      </c>
      <c r="L43" s="3">
        <v>1120879.3270000014</v>
      </c>
      <c r="M43" s="3">
        <v>0</v>
      </c>
      <c r="N43" s="3">
        <v>7711820.1053999793</v>
      </c>
    </row>
    <row r="44" spans="1:14" x14ac:dyDescent="0.25">
      <c r="A44" s="1" t="s">
        <v>163</v>
      </c>
      <c r="B44" s="3">
        <v>389434.49910000066</v>
      </c>
      <c r="C44" s="3">
        <v>6934444.322699978</v>
      </c>
      <c r="D44" s="3">
        <v>1238711.7853000038</v>
      </c>
      <c r="E44" s="3">
        <v>0</v>
      </c>
      <c r="F44" s="3">
        <v>8562590.6070999987</v>
      </c>
      <c r="I44" s="1" t="s">
        <v>163</v>
      </c>
      <c r="J44" s="3">
        <v>389434.49910000066</v>
      </c>
      <c r="K44" s="3">
        <v>6934444.322699978</v>
      </c>
      <c r="L44" s="3">
        <v>1238711.7853000038</v>
      </c>
      <c r="M44" s="3">
        <v>0</v>
      </c>
      <c r="N44" s="3">
        <v>8562590.6070999987</v>
      </c>
    </row>
    <row r="45" spans="1:14" x14ac:dyDescent="0.25">
      <c r="A45" s="1" t="s">
        <v>164</v>
      </c>
      <c r="B45" s="3">
        <v>445573.06480000081</v>
      </c>
      <c r="C45" s="3">
        <v>7611533.864599972</v>
      </c>
      <c r="D45" s="3">
        <v>1469795.1285000015</v>
      </c>
      <c r="E45" s="3">
        <v>0</v>
      </c>
      <c r="F45" s="3">
        <v>9526902.0579000562</v>
      </c>
      <c r="I45" s="1" t="s">
        <v>164</v>
      </c>
      <c r="J45" s="3">
        <v>445573.06480000081</v>
      </c>
      <c r="K45" s="3">
        <v>7611533.864599972</v>
      </c>
      <c r="L45" s="3">
        <v>1469795.1285000015</v>
      </c>
      <c r="M45" s="3">
        <v>0</v>
      </c>
      <c r="N45" s="3">
        <v>9526902.0579000562</v>
      </c>
    </row>
    <row r="46" spans="1:14" x14ac:dyDescent="0.25">
      <c r="A46" s="1" t="s">
        <v>165</v>
      </c>
      <c r="B46" s="3">
        <v>879734.10010000039</v>
      </c>
      <c r="C46" s="3">
        <v>13298213.421499817</v>
      </c>
      <c r="D46" s="3">
        <v>2880357.2540999935</v>
      </c>
      <c r="E46" s="3">
        <v>0</v>
      </c>
      <c r="F46" s="3">
        <v>17058304.775699854</v>
      </c>
      <c r="I46" s="1" t="s">
        <v>165</v>
      </c>
      <c r="J46" s="3">
        <v>879734.10010000039</v>
      </c>
      <c r="K46" s="3">
        <v>13298213.421499817</v>
      </c>
      <c r="L46" s="3">
        <v>2880357.2540999935</v>
      </c>
      <c r="M46" s="3">
        <v>0</v>
      </c>
      <c r="N46" s="3">
        <v>17058304.775699854</v>
      </c>
    </row>
    <row r="47" spans="1:14" x14ac:dyDescent="0.25">
      <c r="A47" s="1" t="s">
        <v>166</v>
      </c>
      <c r="B47" s="3">
        <v>480308.59220000089</v>
      </c>
      <c r="C47" s="3">
        <v>4374888.2872999925</v>
      </c>
      <c r="D47" s="3">
        <v>946826.03690000041</v>
      </c>
      <c r="E47" s="3">
        <v>0</v>
      </c>
      <c r="F47" s="3">
        <v>5802022.9163999902</v>
      </c>
      <c r="I47" s="1" t="s">
        <v>166</v>
      </c>
      <c r="J47" s="3">
        <v>480308.59220000089</v>
      </c>
      <c r="K47" s="3">
        <v>4374888.2872999925</v>
      </c>
      <c r="L47" s="3">
        <v>946826.03690000041</v>
      </c>
      <c r="M47" s="3">
        <v>0</v>
      </c>
      <c r="N47" s="3">
        <v>5802022.9163999902</v>
      </c>
    </row>
    <row r="48" spans="1:14" x14ac:dyDescent="0.25">
      <c r="A48" s="1" t="s">
        <v>167</v>
      </c>
      <c r="B48" s="3">
        <v>411064.81879999995</v>
      </c>
      <c r="C48" s="3">
        <v>3212266.4442000017</v>
      </c>
      <c r="D48" s="3">
        <v>438706.33200000098</v>
      </c>
      <c r="E48" s="3">
        <v>0</v>
      </c>
      <c r="F48" s="3">
        <v>4062037.5950000039</v>
      </c>
      <c r="I48" s="1" t="s">
        <v>167</v>
      </c>
      <c r="J48" s="3">
        <v>411064.81879999995</v>
      </c>
      <c r="K48" s="3">
        <v>3212266.4442000017</v>
      </c>
      <c r="L48" s="3">
        <v>438706.33200000098</v>
      </c>
      <c r="M48" s="3">
        <v>0</v>
      </c>
      <c r="N48" s="3">
        <v>4062037.5950000039</v>
      </c>
    </row>
    <row r="49" spans="1:14" x14ac:dyDescent="0.25">
      <c r="A49" s="1" t="s">
        <v>168</v>
      </c>
      <c r="B49" s="3">
        <v>797063.31049999711</v>
      </c>
      <c r="C49" s="3">
        <v>4937921.6666999739</v>
      </c>
      <c r="D49" s="3">
        <v>1076143.1926999991</v>
      </c>
      <c r="E49" s="3">
        <v>0</v>
      </c>
      <c r="F49" s="3">
        <v>6811128.1698999414</v>
      </c>
      <c r="I49" s="1" t="s">
        <v>168</v>
      </c>
      <c r="J49" s="3">
        <v>797063.31049999711</v>
      </c>
      <c r="K49" s="3">
        <v>4937921.6666999739</v>
      </c>
      <c r="L49" s="3">
        <v>1076143.1926999991</v>
      </c>
      <c r="M49" s="3">
        <v>0</v>
      </c>
      <c r="N49" s="3">
        <v>6811128.1698999414</v>
      </c>
    </row>
    <row r="50" spans="1:14" x14ac:dyDescent="0.25">
      <c r="A50" s="1" t="s">
        <v>169</v>
      </c>
      <c r="B50" s="3">
        <v>715551.98439999868</v>
      </c>
      <c r="C50" s="3">
        <v>4730578.7612999938</v>
      </c>
      <c r="D50" s="3">
        <v>986634.2926999979</v>
      </c>
      <c r="E50" s="3">
        <v>0</v>
      </c>
      <c r="F50" s="3">
        <v>6432765.0383999757</v>
      </c>
      <c r="I50" s="1" t="s">
        <v>169</v>
      </c>
      <c r="J50" s="3">
        <v>715551.98439999868</v>
      </c>
      <c r="K50" s="3">
        <v>4730578.7612999938</v>
      </c>
      <c r="L50" s="3">
        <v>986634.2926999979</v>
      </c>
      <c r="M50" s="3">
        <v>0</v>
      </c>
      <c r="N50" s="3">
        <v>6432765.0383999757</v>
      </c>
    </row>
    <row r="51" spans="1:14" x14ac:dyDescent="0.25">
      <c r="A51" s="1" t="s">
        <v>170</v>
      </c>
      <c r="B51" s="3">
        <v>535441.36739999976</v>
      </c>
      <c r="C51" s="3">
        <v>4662371.2223999919</v>
      </c>
      <c r="D51" s="3">
        <v>677002.16749999998</v>
      </c>
      <c r="E51" s="3">
        <v>0</v>
      </c>
      <c r="F51" s="3">
        <v>5874814.7572999615</v>
      </c>
      <c r="I51" s="1" t="s">
        <v>170</v>
      </c>
      <c r="J51" s="3">
        <v>535441.36739999976</v>
      </c>
      <c r="K51" s="3">
        <v>4662371.2223999919</v>
      </c>
      <c r="L51" s="3">
        <v>677002.16749999998</v>
      </c>
      <c r="M51" s="3">
        <v>0</v>
      </c>
      <c r="N51" s="3">
        <v>5874814.7572999615</v>
      </c>
    </row>
    <row r="52" spans="1:14" x14ac:dyDescent="0.25">
      <c r="A52" s="1" t="s">
        <v>171</v>
      </c>
      <c r="B52" s="3">
        <v>329496.46459999995</v>
      </c>
      <c r="C52" s="3">
        <v>5115734.4815999698</v>
      </c>
      <c r="D52" s="3">
        <v>860692.68139999954</v>
      </c>
      <c r="E52" s="3">
        <v>0</v>
      </c>
      <c r="F52" s="3">
        <v>6305923.627599949</v>
      </c>
      <c r="I52" s="1" t="s">
        <v>171</v>
      </c>
      <c r="J52" s="3">
        <v>329496.46459999995</v>
      </c>
      <c r="K52" s="3">
        <v>5115734.4815999698</v>
      </c>
      <c r="L52" s="3">
        <v>860692.68139999954</v>
      </c>
      <c r="M52" s="3">
        <v>0</v>
      </c>
      <c r="N52" s="3">
        <v>6305923.627599949</v>
      </c>
    </row>
    <row r="53" spans="1:14" x14ac:dyDescent="0.25">
      <c r="A53" s="1" t="s">
        <v>172</v>
      </c>
      <c r="B53" s="3">
        <v>351697.10159999976</v>
      </c>
      <c r="C53" s="3">
        <v>3387789.9011999983</v>
      </c>
      <c r="D53" s="3">
        <v>722741.70150000229</v>
      </c>
      <c r="E53" s="3">
        <v>0</v>
      </c>
      <c r="F53" s="3">
        <v>4462228.7042999957</v>
      </c>
      <c r="I53" s="1" t="s">
        <v>172</v>
      </c>
      <c r="J53" s="3">
        <v>351697.10159999976</v>
      </c>
      <c r="K53" s="3">
        <v>3387789.9011999983</v>
      </c>
      <c r="L53" s="3">
        <v>722741.70150000229</v>
      </c>
      <c r="M53" s="3">
        <v>0</v>
      </c>
      <c r="N53" s="3">
        <v>4462228.7042999957</v>
      </c>
    </row>
    <row r="54" spans="1:14" x14ac:dyDescent="0.25">
      <c r="A54" s="1" t="s">
        <v>173</v>
      </c>
      <c r="B54" s="3">
        <v>335148.3187999996</v>
      </c>
      <c r="C54" s="3">
        <v>3838227.4342999938</v>
      </c>
      <c r="D54" s="3">
        <v>630649.42829999991</v>
      </c>
      <c r="E54" s="3">
        <v>0</v>
      </c>
      <c r="F54" s="3">
        <v>4804025.1814000132</v>
      </c>
      <c r="I54" s="1" t="s">
        <v>173</v>
      </c>
      <c r="J54" s="3">
        <v>335148.3187999996</v>
      </c>
      <c r="K54" s="3">
        <v>3838227.4342999938</v>
      </c>
      <c r="L54" s="3">
        <v>630649.42829999991</v>
      </c>
      <c r="M54" s="3">
        <v>0</v>
      </c>
      <c r="N54" s="3">
        <v>4804025.1814000132</v>
      </c>
    </row>
    <row r="55" spans="1:14" x14ac:dyDescent="0.25">
      <c r="A55" s="1" t="s">
        <v>174</v>
      </c>
      <c r="B55" s="3">
        <v>345281.98959999962</v>
      </c>
      <c r="C55" s="3">
        <v>4637102.9945999747</v>
      </c>
      <c r="D55" s="3">
        <v>691745.57900000038</v>
      </c>
      <c r="E55" s="3">
        <v>0</v>
      </c>
      <c r="F55" s="3">
        <v>5674130.563199996</v>
      </c>
      <c r="I55" s="1" t="s">
        <v>174</v>
      </c>
      <c r="J55" s="3">
        <v>345281.98959999962</v>
      </c>
      <c r="K55" s="3">
        <v>4637102.9945999747</v>
      </c>
      <c r="L55" s="3">
        <v>691745.57900000038</v>
      </c>
      <c r="M55" s="3">
        <v>0</v>
      </c>
      <c r="N55" s="3">
        <v>5674130.563199996</v>
      </c>
    </row>
    <row r="56" spans="1:14" x14ac:dyDescent="0.25">
      <c r="A56" s="1" t="s">
        <v>175</v>
      </c>
      <c r="B56" s="3">
        <v>284390.62499999988</v>
      </c>
      <c r="C56" s="3">
        <v>4733535.1984999916</v>
      </c>
      <c r="D56" s="3">
        <v>848933.34120000468</v>
      </c>
      <c r="E56" s="3">
        <v>0</v>
      </c>
      <c r="F56" s="3">
        <v>5866859.1647000024</v>
      </c>
      <c r="I56" s="1" t="s">
        <v>175</v>
      </c>
      <c r="J56" s="3">
        <v>284390.62499999988</v>
      </c>
      <c r="K56" s="3">
        <v>4733535.1984999916</v>
      </c>
      <c r="L56" s="3">
        <v>848933.34120000468</v>
      </c>
      <c r="M56" s="3">
        <v>0</v>
      </c>
      <c r="N56" s="3">
        <v>5866859.1647000024</v>
      </c>
    </row>
    <row r="57" spans="1:14" x14ac:dyDescent="0.25">
      <c r="A57" s="1" t="s">
        <v>176</v>
      </c>
      <c r="B57" s="3">
        <v>305195.25159999932</v>
      </c>
      <c r="C57" s="3">
        <v>4782166.0079000052</v>
      </c>
      <c r="D57" s="3">
        <v>843311.69150000112</v>
      </c>
      <c r="E57" s="3">
        <v>0</v>
      </c>
      <c r="F57" s="3">
        <v>5930672.9510000199</v>
      </c>
      <c r="I57" s="1" t="s">
        <v>176</v>
      </c>
      <c r="J57" s="3">
        <v>305195.25159999932</v>
      </c>
      <c r="K57" s="3">
        <v>4782166.0079000052</v>
      </c>
      <c r="L57" s="3">
        <v>843311.69150000112</v>
      </c>
      <c r="M57" s="3">
        <v>0</v>
      </c>
      <c r="N57" s="3">
        <v>5930672.9510000199</v>
      </c>
    </row>
    <row r="58" spans="1:14" x14ac:dyDescent="0.25">
      <c r="A58" s="1" t="s">
        <v>177</v>
      </c>
      <c r="B58" s="3">
        <v>337827.4771999988</v>
      </c>
      <c r="C58" s="3">
        <v>4240874.9207999948</v>
      </c>
      <c r="D58" s="3">
        <v>637471.59290000168</v>
      </c>
      <c r="E58" s="3">
        <v>0</v>
      </c>
      <c r="F58" s="3">
        <v>5216173.9908999857</v>
      </c>
      <c r="I58" s="1" t="s">
        <v>177</v>
      </c>
      <c r="J58" s="3">
        <v>337827.4771999988</v>
      </c>
      <c r="K58" s="3">
        <v>4240874.9207999948</v>
      </c>
      <c r="L58" s="3">
        <v>637471.59290000168</v>
      </c>
      <c r="M58" s="3">
        <v>0</v>
      </c>
      <c r="N58" s="3">
        <v>5216173.9908999857</v>
      </c>
    </row>
    <row r="59" spans="1:14" x14ac:dyDescent="0.25">
      <c r="A59" s="1" t="s">
        <v>178</v>
      </c>
      <c r="B59" s="3">
        <v>411074.66909999884</v>
      </c>
      <c r="C59" s="3">
        <v>3998323.627000005</v>
      </c>
      <c r="D59" s="3">
        <v>572565.53590000118</v>
      </c>
      <c r="E59" s="3">
        <v>0</v>
      </c>
      <c r="F59" s="3">
        <v>4981963.8319999762</v>
      </c>
      <c r="I59" s="1" t="s">
        <v>178</v>
      </c>
      <c r="J59" s="3">
        <v>411074.66909999884</v>
      </c>
      <c r="K59" s="3">
        <v>3998323.627000005</v>
      </c>
      <c r="L59" s="3">
        <v>572565.53590000118</v>
      </c>
      <c r="M59" s="3">
        <v>0</v>
      </c>
      <c r="N59" s="3">
        <v>4981963.8319999762</v>
      </c>
    </row>
    <row r="60" spans="1:14" x14ac:dyDescent="0.25">
      <c r="A60" s="1" t="s">
        <v>22</v>
      </c>
      <c r="B60" s="3">
        <v>431537.96329999925</v>
      </c>
      <c r="C60" s="3">
        <v>4388629.3198000137</v>
      </c>
      <c r="D60" s="3">
        <v>660083.60230000073</v>
      </c>
      <c r="E60" s="3"/>
      <c r="F60" s="3">
        <v>5480250.885399987</v>
      </c>
      <c r="I60" s="1" t="s">
        <v>22</v>
      </c>
      <c r="J60" s="3">
        <v>431537.96329999925</v>
      </c>
      <c r="K60" s="3">
        <v>4388629.3198000137</v>
      </c>
      <c r="L60" s="3">
        <v>660083.60230000073</v>
      </c>
      <c r="M60" s="3"/>
      <c r="N60" s="3">
        <v>5480250.885399987</v>
      </c>
    </row>
    <row r="61" spans="1:14" x14ac:dyDescent="0.25">
      <c r="A61" s="1" t="s">
        <v>23</v>
      </c>
      <c r="B61" s="3">
        <v>496870.92340000032</v>
      </c>
      <c r="C61" s="3">
        <v>4583915.0949999923</v>
      </c>
      <c r="D61" s="3">
        <v>864820.33190000069</v>
      </c>
      <c r="E61" s="3"/>
      <c r="F61" s="3">
        <v>5945606.3503000038</v>
      </c>
      <c r="I61" s="1" t="s">
        <v>23</v>
      </c>
      <c r="J61" s="3">
        <v>496870.92340000032</v>
      </c>
      <c r="K61" s="3">
        <v>4583915.0949999923</v>
      </c>
      <c r="L61" s="3">
        <v>864820.33190000069</v>
      </c>
      <c r="M61" s="3"/>
      <c r="N61" s="3">
        <v>5945606.3503000038</v>
      </c>
    </row>
    <row r="62" spans="1:14" x14ac:dyDescent="0.25">
      <c r="A62" s="1" t="s">
        <v>24</v>
      </c>
      <c r="B62" s="3">
        <v>382413.24529999983</v>
      </c>
      <c r="C62" s="3">
        <v>3952360.5956999911</v>
      </c>
      <c r="D62" s="3">
        <v>734055.83549999993</v>
      </c>
      <c r="E62" s="3"/>
      <c r="F62" s="3">
        <v>5068829.6764999973</v>
      </c>
      <c r="I62" s="1" t="s">
        <v>24</v>
      </c>
      <c r="J62" s="3">
        <v>382413.24529999983</v>
      </c>
      <c r="K62" s="3">
        <v>3952360.5956999911</v>
      </c>
      <c r="L62" s="3">
        <v>734055.83549999993</v>
      </c>
      <c r="M62" s="3"/>
      <c r="N62" s="3">
        <v>5068829.6764999973</v>
      </c>
    </row>
    <row r="63" spans="1:14" x14ac:dyDescent="0.25">
      <c r="A63" s="1" t="s">
        <v>25</v>
      </c>
      <c r="B63" s="3">
        <v>695779.86379999714</v>
      </c>
      <c r="C63" s="3">
        <v>6951189.2021999937</v>
      </c>
      <c r="D63" s="3">
        <v>1422808.7283000017</v>
      </c>
      <c r="E63" s="3"/>
      <c r="F63" s="3">
        <v>9069777.7943000533</v>
      </c>
      <c r="I63" s="1" t="s">
        <v>25</v>
      </c>
      <c r="J63" s="3">
        <v>695779.86379999714</v>
      </c>
      <c r="K63" s="3">
        <v>6951189.2021999937</v>
      </c>
      <c r="L63" s="3">
        <v>1422808.7283000017</v>
      </c>
      <c r="M63" s="3"/>
      <c r="N63" s="3">
        <v>9069777.7943000533</v>
      </c>
    </row>
    <row r="64" spans="1:14" x14ac:dyDescent="0.25">
      <c r="A64" s="1" t="s">
        <v>26</v>
      </c>
      <c r="B64" s="3">
        <v>533868.94640000036</v>
      </c>
      <c r="C64" s="3">
        <v>4886511.6234000204</v>
      </c>
      <c r="D64" s="3">
        <v>1208223.3998000012</v>
      </c>
      <c r="E64" s="3"/>
      <c r="F64" s="3">
        <v>6628603.9696000041</v>
      </c>
      <c r="I64" s="1" t="s">
        <v>26</v>
      </c>
      <c r="J64" s="3">
        <v>533868.94640000036</v>
      </c>
      <c r="K64" s="3">
        <v>4886511.6234000204</v>
      </c>
      <c r="L64" s="3">
        <v>1208223.3998000012</v>
      </c>
      <c r="M64" s="3"/>
      <c r="N64" s="3">
        <v>6628603.9696000041</v>
      </c>
    </row>
    <row r="65" spans="1:14" x14ac:dyDescent="0.25">
      <c r="A65" s="1" t="s">
        <v>27</v>
      </c>
      <c r="B65" s="3">
        <v>552401.85360000038</v>
      </c>
      <c r="C65" s="3">
        <v>4722660.4241000246</v>
      </c>
      <c r="D65" s="3">
        <v>929385.22630000161</v>
      </c>
      <c r="E65" s="3"/>
      <c r="F65" s="3">
        <v>6204447.504000009</v>
      </c>
      <c r="I65" s="1" t="s">
        <v>27</v>
      </c>
      <c r="J65" s="3">
        <v>552401.85360000038</v>
      </c>
      <c r="K65" s="3">
        <v>4722660.4241000246</v>
      </c>
      <c r="L65" s="3">
        <v>929385.22630000161</v>
      </c>
      <c r="M65" s="3"/>
      <c r="N65" s="3">
        <v>6204447.504000009</v>
      </c>
    </row>
    <row r="66" spans="1:14" x14ac:dyDescent="0.25">
      <c r="A66" s="1" t="s">
        <v>28</v>
      </c>
      <c r="B66" s="3">
        <v>698777.41999999888</v>
      </c>
      <c r="C66" s="3">
        <v>4453606.5604999829</v>
      </c>
      <c r="D66" s="3">
        <v>811783.19259999937</v>
      </c>
      <c r="E66" s="3"/>
      <c r="F66" s="3">
        <v>5964167.1730999686</v>
      </c>
      <c r="I66" s="1" t="s">
        <v>28</v>
      </c>
      <c r="J66" s="3">
        <v>698777.41999999888</v>
      </c>
      <c r="K66" s="3">
        <v>4453606.5604999829</v>
      </c>
      <c r="L66" s="3">
        <v>811783.19259999937</v>
      </c>
      <c r="M66" s="3"/>
      <c r="N66" s="3">
        <v>5964167.1730999686</v>
      </c>
    </row>
    <row r="67" spans="1:14" x14ac:dyDescent="0.25">
      <c r="A67" s="1" t="s">
        <v>29</v>
      </c>
      <c r="B67" s="3">
        <v>755703.22969999979</v>
      </c>
      <c r="C67" s="3">
        <v>4768905.352600011</v>
      </c>
      <c r="D67" s="3">
        <v>910188.72120000073</v>
      </c>
      <c r="E67" s="3"/>
      <c r="F67" s="3">
        <v>6434797.3034999752</v>
      </c>
      <c r="I67" s="1" t="s">
        <v>29</v>
      </c>
      <c r="J67" s="3">
        <v>755703.22969999979</v>
      </c>
      <c r="K67" s="3">
        <v>4768905.352600011</v>
      </c>
      <c r="L67" s="3">
        <v>910188.72120000073</v>
      </c>
      <c r="M67" s="3"/>
      <c r="N67" s="3">
        <v>6434797.3034999752</v>
      </c>
    </row>
    <row r="68" spans="1:14" x14ac:dyDescent="0.25">
      <c r="A68" s="1" t="s">
        <v>30</v>
      </c>
      <c r="B68" s="3">
        <v>2178650.9423999982</v>
      </c>
      <c r="C68" s="3">
        <v>14899411.237099983</v>
      </c>
      <c r="D68" s="3">
        <v>4406228.1354999915</v>
      </c>
      <c r="E68" s="3"/>
      <c r="F68" s="3">
        <v>21484290.314999979</v>
      </c>
      <c r="I68" s="1" t="s">
        <v>30</v>
      </c>
      <c r="J68" s="3">
        <v>2178650.9423999982</v>
      </c>
      <c r="K68" s="3">
        <v>14899411.237099983</v>
      </c>
      <c r="L68" s="3">
        <v>4406228.1354999915</v>
      </c>
      <c r="M68" s="3"/>
      <c r="N68" s="3">
        <v>21484290.314999979</v>
      </c>
    </row>
    <row r="69" spans="1:14" x14ac:dyDescent="0.25">
      <c r="A69" s="1" t="s">
        <v>31</v>
      </c>
      <c r="B69" s="3">
        <v>1990049.4615999956</v>
      </c>
      <c r="C69" s="3">
        <v>7773847.3356000101</v>
      </c>
      <c r="D69" s="3">
        <v>2675191.4007000099</v>
      </c>
      <c r="E69" s="3"/>
      <c r="F69" s="3">
        <v>12439088.197899982</v>
      </c>
      <c r="I69" s="1" t="s">
        <v>31</v>
      </c>
      <c r="J69" s="3">
        <v>1990049.4615999956</v>
      </c>
      <c r="K69" s="3">
        <v>7773847.3356000101</v>
      </c>
      <c r="L69" s="3">
        <v>2675191.4007000099</v>
      </c>
      <c r="M69" s="3"/>
      <c r="N69" s="3">
        <v>12439088.197899982</v>
      </c>
    </row>
    <row r="70" spans="1:14" x14ac:dyDescent="0.25">
      <c r="A70" s="1" t="s">
        <v>32</v>
      </c>
      <c r="B70" s="3">
        <v>567432.9165000004</v>
      </c>
      <c r="C70" s="3">
        <v>3704503.467200004</v>
      </c>
      <c r="D70" s="3">
        <v>921785.42549999896</v>
      </c>
      <c r="E70" s="3"/>
      <c r="F70" s="3">
        <v>5193721.8091999944</v>
      </c>
      <c r="I70" s="1" t="s">
        <v>32</v>
      </c>
      <c r="J70" s="3">
        <v>567432.9165000004</v>
      </c>
      <c r="K70" s="3">
        <v>3704503.467200004</v>
      </c>
      <c r="L70" s="3">
        <v>921785.42549999896</v>
      </c>
      <c r="M70" s="3"/>
      <c r="N70" s="3">
        <v>5193721.8091999944</v>
      </c>
    </row>
    <row r="71" spans="1:14" x14ac:dyDescent="0.25">
      <c r="A71" s="1" t="s">
        <v>33</v>
      </c>
      <c r="B71" s="3">
        <v>244618.06339999993</v>
      </c>
      <c r="C71" s="3">
        <v>3559268.9495000038</v>
      </c>
      <c r="D71" s="3">
        <v>618084.33349999855</v>
      </c>
      <c r="E71" s="3"/>
      <c r="F71" s="3">
        <v>4421971.3464000141</v>
      </c>
      <c r="I71" s="1" t="s">
        <v>33</v>
      </c>
      <c r="J71" s="3">
        <v>244618.06339999993</v>
      </c>
      <c r="K71" s="3">
        <v>3559268.9495000038</v>
      </c>
      <c r="L71" s="3">
        <v>618084.33349999855</v>
      </c>
      <c r="M71" s="3"/>
      <c r="N71" s="3">
        <v>4421971.3464000141</v>
      </c>
    </row>
    <row r="72" spans="1:14" x14ac:dyDescent="0.25">
      <c r="A72" s="1" t="s">
        <v>34</v>
      </c>
      <c r="B72" s="3">
        <v>610319.26829999953</v>
      </c>
      <c r="C72" s="3">
        <v>7782049.624800046</v>
      </c>
      <c r="D72" s="3">
        <v>1602454.4590000007</v>
      </c>
      <c r="E72" s="3"/>
      <c r="F72" s="3">
        <v>9994823.3521000706</v>
      </c>
      <c r="I72" s="1" t="s">
        <v>34</v>
      </c>
      <c r="J72" s="3">
        <v>610319.26829999953</v>
      </c>
      <c r="K72" s="3">
        <v>7782049.624800046</v>
      </c>
      <c r="L72" s="3">
        <v>1602454.4590000007</v>
      </c>
      <c r="M72" s="3"/>
      <c r="N72" s="3">
        <v>9994823.3521000706</v>
      </c>
    </row>
    <row r="73" spans="1:14" x14ac:dyDescent="0.25">
      <c r="A73" s="1" t="s">
        <v>35</v>
      </c>
      <c r="B73" s="3">
        <v>621422.59299999999</v>
      </c>
      <c r="C73" s="3">
        <v>6448326.3389000166</v>
      </c>
      <c r="D73" s="3">
        <v>1592940.437399999</v>
      </c>
      <c r="E73" s="3"/>
      <c r="F73" s="3">
        <v>8662689.369300006</v>
      </c>
      <c r="I73" s="1" t="s">
        <v>35</v>
      </c>
      <c r="J73" s="3">
        <v>621422.59299999999</v>
      </c>
      <c r="K73" s="3">
        <v>6448326.3389000166</v>
      </c>
      <c r="L73" s="3">
        <v>1592940.437399999</v>
      </c>
      <c r="M73" s="3"/>
      <c r="N73" s="3">
        <v>8662689.369300006</v>
      </c>
    </row>
    <row r="74" spans="1:14" x14ac:dyDescent="0.25">
      <c r="A74" s="1" t="s">
        <v>36</v>
      </c>
      <c r="B74" s="3">
        <v>470332.75400000007</v>
      </c>
      <c r="C74" s="3">
        <v>4949045.9050000031</v>
      </c>
      <c r="D74" s="3">
        <v>798431.68449999893</v>
      </c>
      <c r="E74" s="3"/>
      <c r="F74" s="3">
        <v>6217810.343500006</v>
      </c>
      <c r="I74" s="1" t="s">
        <v>36</v>
      </c>
      <c r="J74" s="3">
        <v>470332.75400000007</v>
      </c>
      <c r="K74" s="3">
        <v>4949045.9050000031</v>
      </c>
      <c r="L74" s="3">
        <v>798431.68449999893</v>
      </c>
      <c r="M74" s="3"/>
      <c r="N74" s="3">
        <v>6217810.343500006</v>
      </c>
    </row>
    <row r="75" spans="1:14" x14ac:dyDescent="0.25">
      <c r="A75" s="1" t="s">
        <v>37</v>
      </c>
      <c r="B75" s="3">
        <v>550595.64469999867</v>
      </c>
      <c r="C75" s="3">
        <v>4822503.3171000052</v>
      </c>
      <c r="D75" s="3">
        <v>850534.98049999797</v>
      </c>
      <c r="E75" s="3"/>
      <c r="F75" s="3">
        <v>6223633.9422999723</v>
      </c>
      <c r="I75" s="1" t="s">
        <v>37</v>
      </c>
      <c r="J75" s="3">
        <v>550595.64469999867</v>
      </c>
      <c r="K75" s="3">
        <v>4822503.3171000052</v>
      </c>
      <c r="L75" s="3">
        <v>850534.98049999797</v>
      </c>
      <c r="M75" s="3"/>
      <c r="N75" s="3">
        <v>6223633.9422999723</v>
      </c>
    </row>
    <row r="76" spans="1:14" x14ac:dyDescent="0.25">
      <c r="A76" s="1" t="s">
        <v>38</v>
      </c>
      <c r="B76" s="3">
        <v>855303.22139999527</v>
      </c>
      <c r="C76" s="3">
        <v>7282002.9904000126</v>
      </c>
      <c r="D76" s="3">
        <v>1471626.3038000001</v>
      </c>
      <c r="E76" s="3"/>
      <c r="F76" s="3">
        <v>9608932.5156000108</v>
      </c>
      <c r="I76" s="1" t="s">
        <v>38</v>
      </c>
      <c r="J76" s="3">
        <v>855303.22139999527</v>
      </c>
      <c r="K76" s="3">
        <v>7282002.9904000126</v>
      </c>
      <c r="L76" s="3">
        <v>1471626.3038000001</v>
      </c>
      <c r="M76" s="3"/>
      <c r="N76" s="3">
        <v>9608932.5156000108</v>
      </c>
    </row>
    <row r="77" spans="1:14" x14ac:dyDescent="0.25">
      <c r="A77" s="1" t="s">
        <v>39</v>
      </c>
      <c r="B77" s="3">
        <v>752664.56709999545</v>
      </c>
      <c r="C77" s="3">
        <v>5954916.2880000323</v>
      </c>
      <c r="D77" s="3">
        <v>1333571.7800999987</v>
      </c>
      <c r="E77" s="3"/>
      <c r="F77" s="3">
        <v>8041152.6352000516</v>
      </c>
      <c r="I77" s="1" t="s">
        <v>39</v>
      </c>
      <c r="J77" s="3">
        <v>752664.56709999545</v>
      </c>
      <c r="K77" s="3">
        <v>5954916.2880000323</v>
      </c>
      <c r="L77" s="3">
        <v>1333571.7800999987</v>
      </c>
      <c r="M77" s="3"/>
      <c r="N77" s="3">
        <v>8041152.6352000516</v>
      </c>
    </row>
    <row r="78" spans="1:14" x14ac:dyDescent="0.25">
      <c r="A78" s="1" t="s">
        <v>40</v>
      </c>
      <c r="B78" s="3">
        <v>404710.16109999962</v>
      </c>
      <c r="C78" s="3">
        <v>2978364.0958999912</v>
      </c>
      <c r="D78" s="3">
        <v>480059.37589999964</v>
      </c>
      <c r="E78" s="3"/>
      <c r="F78" s="3">
        <v>3863133.632900001</v>
      </c>
      <c r="I78" s="1" t="s">
        <v>40</v>
      </c>
      <c r="J78" s="3">
        <v>404710.16109999962</v>
      </c>
      <c r="K78" s="3">
        <v>2978364.0958999912</v>
      </c>
      <c r="L78" s="3">
        <v>480059.37589999964</v>
      </c>
      <c r="M78" s="3"/>
      <c r="N78" s="3">
        <v>3863133.632900001</v>
      </c>
    </row>
    <row r="79" spans="1:14" x14ac:dyDescent="0.25">
      <c r="A79" s="1" t="s">
        <v>41</v>
      </c>
      <c r="B79" s="3">
        <v>899050.88229999901</v>
      </c>
      <c r="C79" s="3">
        <v>4385384.6649000039</v>
      </c>
      <c r="D79" s="3">
        <v>821126.91860000254</v>
      </c>
      <c r="E79" s="3"/>
      <c r="F79" s="3">
        <v>6105562.4657999799</v>
      </c>
      <c r="I79" s="1" t="s">
        <v>41</v>
      </c>
      <c r="J79" s="3">
        <v>899050.88229999901</v>
      </c>
      <c r="K79" s="3">
        <v>4385384.6649000039</v>
      </c>
      <c r="L79" s="3">
        <v>821126.91860000254</v>
      </c>
      <c r="M79" s="3"/>
      <c r="N79" s="3">
        <v>6105562.4657999799</v>
      </c>
    </row>
    <row r="80" spans="1:14" x14ac:dyDescent="0.25">
      <c r="A80" s="1" t="s">
        <v>42</v>
      </c>
      <c r="B80" s="3">
        <v>668551.50809999753</v>
      </c>
      <c r="C80" s="3">
        <v>3580081.9478999963</v>
      </c>
      <c r="D80" s="3">
        <v>759597.1805000006</v>
      </c>
      <c r="E80" s="3"/>
      <c r="F80" s="3">
        <v>5008230.6365000037</v>
      </c>
      <c r="I80" s="1" t="s">
        <v>42</v>
      </c>
      <c r="J80" s="3">
        <v>668551.50809999753</v>
      </c>
      <c r="K80" s="3">
        <v>3580081.9478999963</v>
      </c>
      <c r="L80" s="3">
        <v>759597.1805000006</v>
      </c>
      <c r="M80" s="3"/>
      <c r="N80" s="3">
        <v>5008230.6365000037</v>
      </c>
    </row>
    <row r="81" spans="1:14" x14ac:dyDescent="0.25">
      <c r="A81" s="1" t="s">
        <v>43</v>
      </c>
      <c r="B81" s="3">
        <v>489178.38090000045</v>
      </c>
      <c r="C81" s="3">
        <v>3994062.2156000007</v>
      </c>
      <c r="D81" s="3">
        <v>543526.32240000134</v>
      </c>
      <c r="E81" s="3"/>
      <c r="F81" s="3">
        <v>5026766.918899999</v>
      </c>
      <c r="I81" s="1" t="s">
        <v>43</v>
      </c>
      <c r="J81" s="3">
        <v>489178.38090000045</v>
      </c>
      <c r="K81" s="3">
        <v>3994062.2156000007</v>
      </c>
      <c r="L81" s="3">
        <v>543526.32240000134</v>
      </c>
      <c r="M81" s="3"/>
      <c r="N81" s="3">
        <v>5026766.918899999</v>
      </c>
    </row>
    <row r="82" spans="1:14" x14ac:dyDescent="0.25">
      <c r="A82" s="1" t="s">
        <v>44</v>
      </c>
      <c r="B82" s="3">
        <v>307252.54570000031</v>
      </c>
      <c r="C82" s="3">
        <v>3690619.1917000059</v>
      </c>
      <c r="D82" s="3">
        <v>685279.78990000056</v>
      </c>
      <c r="E82" s="3"/>
      <c r="F82" s="3">
        <v>4683151.5273000067</v>
      </c>
      <c r="I82" s="1" t="s">
        <v>44</v>
      </c>
      <c r="J82" s="3">
        <v>307252.54570000031</v>
      </c>
      <c r="K82" s="3">
        <v>3690619.1917000059</v>
      </c>
      <c r="L82" s="3">
        <v>685279.78990000056</v>
      </c>
      <c r="M82" s="3"/>
      <c r="N82" s="3">
        <v>4683151.5273000067</v>
      </c>
    </row>
    <row r="83" spans="1:14" x14ac:dyDescent="0.25">
      <c r="A83" s="1" t="s">
        <v>45</v>
      </c>
      <c r="B83" s="3">
        <v>293313.87150000094</v>
      </c>
      <c r="C83" s="3">
        <v>3442857.9817999965</v>
      </c>
      <c r="D83" s="3">
        <v>573036.5242000008</v>
      </c>
      <c r="E83" s="3"/>
      <c r="F83" s="3">
        <v>4309208.3774999976</v>
      </c>
      <c r="I83" s="1" t="s">
        <v>45</v>
      </c>
      <c r="J83" s="3">
        <v>293313.87150000094</v>
      </c>
      <c r="K83" s="3">
        <v>3442857.9817999965</v>
      </c>
      <c r="L83" s="3">
        <v>573036.5242000008</v>
      </c>
      <c r="M83" s="3"/>
      <c r="N83" s="3">
        <v>4309208.3774999976</v>
      </c>
    </row>
    <row r="84" spans="1:14" x14ac:dyDescent="0.25">
      <c r="A84" s="1" t="s">
        <v>46</v>
      </c>
      <c r="B84" s="3">
        <v>676618.60789999971</v>
      </c>
      <c r="C84" s="3">
        <v>3712361.6915000048</v>
      </c>
      <c r="D84" s="3">
        <v>1436200.4539999969</v>
      </c>
      <c r="E84" s="3"/>
      <c r="F84" s="3">
        <v>5825180.7534000212</v>
      </c>
      <c r="I84" s="1" t="s">
        <v>46</v>
      </c>
      <c r="J84" s="3">
        <v>676618.60789999971</v>
      </c>
      <c r="K84" s="3">
        <v>3712361.6915000048</v>
      </c>
      <c r="L84" s="3">
        <v>1436200.4539999969</v>
      </c>
      <c r="M84" s="3"/>
      <c r="N84" s="3">
        <v>5825180.7534000212</v>
      </c>
    </row>
    <row r="85" spans="1:14" x14ac:dyDescent="0.25">
      <c r="A85" s="1" t="s">
        <v>47</v>
      </c>
      <c r="B85" s="3">
        <v>295758.65660000034</v>
      </c>
      <c r="C85" s="3">
        <v>3883735.1319000074</v>
      </c>
      <c r="D85" s="3">
        <v>524468.88230000017</v>
      </c>
      <c r="E85" s="3"/>
      <c r="F85" s="3">
        <v>4703962.6708000004</v>
      </c>
      <c r="I85" s="1" t="s">
        <v>47</v>
      </c>
      <c r="J85" s="3">
        <v>295758.65660000034</v>
      </c>
      <c r="K85" s="3">
        <v>3883735.1319000074</v>
      </c>
      <c r="L85" s="3">
        <v>524468.88230000017</v>
      </c>
      <c r="M85" s="3"/>
      <c r="N85" s="3">
        <v>4703962.6708000004</v>
      </c>
    </row>
    <row r="86" spans="1:14" x14ac:dyDescent="0.25">
      <c r="A86" s="1" t="s">
        <v>48</v>
      </c>
      <c r="B86" s="3">
        <v>323020.29690000036</v>
      </c>
      <c r="C86" s="3">
        <v>3805277.1298000077</v>
      </c>
      <c r="D86" s="3">
        <v>625630.81609999796</v>
      </c>
      <c r="E86" s="3"/>
      <c r="F86" s="3">
        <v>4753928.2428000094</v>
      </c>
      <c r="I86" s="1" t="s">
        <v>48</v>
      </c>
      <c r="J86" s="3">
        <v>323020.29690000036</v>
      </c>
      <c r="K86" s="3">
        <v>3805277.1298000077</v>
      </c>
      <c r="L86" s="3">
        <v>625630.81609999796</v>
      </c>
      <c r="M86" s="3"/>
      <c r="N86" s="3">
        <v>4753928.2428000094</v>
      </c>
    </row>
    <row r="87" spans="1:14" x14ac:dyDescent="0.25">
      <c r="A87" s="1" t="s">
        <v>49</v>
      </c>
      <c r="B87" s="3">
        <v>451152.79670000012</v>
      </c>
      <c r="C87" s="3">
        <v>3485787.2009000131</v>
      </c>
      <c r="D87" s="3">
        <v>466862.17099999986</v>
      </c>
      <c r="E87" s="3"/>
      <c r="F87" s="3">
        <v>4403802.1686000079</v>
      </c>
      <c r="I87" s="1" t="s">
        <v>49</v>
      </c>
      <c r="J87" s="3">
        <v>451152.79670000012</v>
      </c>
      <c r="K87" s="3">
        <v>3485787.2009000131</v>
      </c>
      <c r="L87" s="3">
        <v>466862.17099999986</v>
      </c>
      <c r="M87" s="3"/>
      <c r="N87" s="3">
        <v>4403802.1686000079</v>
      </c>
    </row>
    <row r="88" spans="1:14" x14ac:dyDescent="0.25">
      <c r="A88" s="1" t="s">
        <v>50</v>
      </c>
      <c r="B88" s="3">
        <v>520305.65999999957</v>
      </c>
      <c r="C88" s="3">
        <v>2720977.4599000094</v>
      </c>
      <c r="D88" s="3">
        <v>524329.01700000034</v>
      </c>
      <c r="E88" s="3"/>
      <c r="F88" s="3">
        <v>3765612.1369000124</v>
      </c>
      <c r="I88" s="1" t="s">
        <v>50</v>
      </c>
      <c r="J88" s="3">
        <v>520305.65999999957</v>
      </c>
      <c r="K88" s="3">
        <v>2720977.4599000094</v>
      </c>
      <c r="L88" s="3">
        <v>524329.01700000034</v>
      </c>
      <c r="M88" s="3"/>
      <c r="N88" s="3">
        <v>3765612.1369000124</v>
      </c>
    </row>
    <row r="89" spans="1:14" x14ac:dyDescent="0.25">
      <c r="A89" s="1" t="s">
        <v>51</v>
      </c>
      <c r="B89" s="3">
        <v>549603.81560000009</v>
      </c>
      <c r="C89" s="3">
        <v>4247562.4125000192</v>
      </c>
      <c r="D89" s="3">
        <v>716665.8679000003</v>
      </c>
      <c r="E89" s="3"/>
      <c r="F89" s="3">
        <v>5513832.0960000139</v>
      </c>
      <c r="I89" s="1" t="s">
        <v>51</v>
      </c>
      <c r="J89" s="3">
        <v>549603.81560000009</v>
      </c>
      <c r="K89" s="3">
        <v>4247562.4125000192</v>
      </c>
      <c r="L89" s="3">
        <v>716665.8679000003</v>
      </c>
      <c r="M89" s="3"/>
      <c r="N89" s="3">
        <v>5513832.0960000139</v>
      </c>
    </row>
    <row r="90" spans="1:14" x14ac:dyDescent="0.25">
      <c r="A90" s="1" t="s">
        <v>52</v>
      </c>
      <c r="B90" s="3">
        <v>303510.79930000048</v>
      </c>
      <c r="C90" s="3">
        <v>2906916.5056999982</v>
      </c>
      <c r="D90" s="3">
        <v>452689.70159999991</v>
      </c>
      <c r="E90" s="3"/>
      <c r="F90" s="3">
        <v>3663117.0066000079</v>
      </c>
      <c r="I90" s="1" t="s">
        <v>52</v>
      </c>
      <c r="J90" s="3">
        <v>303510.79930000048</v>
      </c>
      <c r="K90" s="3">
        <v>2906916.5056999982</v>
      </c>
      <c r="L90" s="3">
        <v>452689.70159999991</v>
      </c>
      <c r="M90" s="3"/>
      <c r="N90" s="3">
        <v>3663117.0066000079</v>
      </c>
    </row>
    <row r="91" spans="1:14" x14ac:dyDescent="0.25">
      <c r="A91" s="1" t="s">
        <v>53</v>
      </c>
      <c r="B91" s="3">
        <v>1067020.318399997</v>
      </c>
      <c r="C91" s="3">
        <v>5358830.4803000148</v>
      </c>
      <c r="D91" s="3">
        <v>1162252.6997999996</v>
      </c>
      <c r="E91" s="3"/>
      <c r="F91" s="3">
        <v>7588103.4985000035</v>
      </c>
      <c r="I91" s="1" t="s">
        <v>53</v>
      </c>
      <c r="J91" s="3">
        <v>1067020.318399997</v>
      </c>
      <c r="K91" s="3">
        <v>5358830.4803000148</v>
      </c>
      <c r="L91" s="3">
        <v>1162252.6997999996</v>
      </c>
      <c r="M91" s="3"/>
      <c r="N91" s="3">
        <v>7588103.4985000035</v>
      </c>
    </row>
    <row r="92" spans="1:14" x14ac:dyDescent="0.25">
      <c r="A92" s="1" t="s">
        <v>54</v>
      </c>
      <c r="B92" s="3">
        <v>874443.46069999749</v>
      </c>
      <c r="C92" s="3">
        <v>5206534.4134999933</v>
      </c>
      <c r="D92" s="3">
        <v>1345399.9411999988</v>
      </c>
      <c r="E92" s="3"/>
      <c r="F92" s="3">
        <v>7426377.8154000398</v>
      </c>
      <c r="I92" s="1" t="s">
        <v>54</v>
      </c>
      <c r="J92" s="3">
        <v>874443.46069999749</v>
      </c>
      <c r="K92" s="3">
        <v>5206534.4134999933</v>
      </c>
      <c r="L92" s="3">
        <v>1345399.9411999988</v>
      </c>
      <c r="M92" s="3"/>
      <c r="N92" s="3">
        <v>7426377.8154000398</v>
      </c>
    </row>
    <row r="93" spans="1:14" x14ac:dyDescent="0.25">
      <c r="A93" s="1" t="s">
        <v>55</v>
      </c>
      <c r="B93" s="3">
        <v>929418.02990000008</v>
      </c>
      <c r="C93" s="3">
        <v>6569028.0715000136</v>
      </c>
      <c r="D93" s="3">
        <v>1587108.8033999989</v>
      </c>
      <c r="E93" s="3"/>
      <c r="F93" s="3">
        <v>9085554.9047999643</v>
      </c>
      <c r="I93" s="1" t="s">
        <v>55</v>
      </c>
      <c r="J93" s="3">
        <v>929418.02990000008</v>
      </c>
      <c r="K93" s="3">
        <v>6569028.0715000136</v>
      </c>
      <c r="L93" s="3">
        <v>1587108.8033999989</v>
      </c>
      <c r="M93" s="3"/>
      <c r="N93" s="3">
        <v>9085554.9047999643</v>
      </c>
    </row>
    <row r="94" spans="1:14" x14ac:dyDescent="0.25">
      <c r="A94" s="1" t="s">
        <v>56</v>
      </c>
      <c r="B94" s="3">
        <v>676850.78540000087</v>
      </c>
      <c r="C94" s="3">
        <v>5181346.5826999871</v>
      </c>
      <c r="D94" s="3">
        <v>1006972.1646999976</v>
      </c>
      <c r="E94" s="3"/>
      <c r="F94" s="3">
        <v>6865169.5328000626</v>
      </c>
      <c r="I94" s="1" t="s">
        <v>56</v>
      </c>
      <c r="J94" s="3">
        <v>676850.78540000087</v>
      </c>
      <c r="K94" s="3">
        <v>5181346.5826999871</v>
      </c>
      <c r="L94" s="3">
        <v>1006972.1646999976</v>
      </c>
      <c r="M94" s="3"/>
      <c r="N94" s="3">
        <v>6865169.5328000626</v>
      </c>
    </row>
    <row r="95" spans="1:14" x14ac:dyDescent="0.25">
      <c r="A95" s="1" t="s">
        <v>57</v>
      </c>
      <c r="B95" s="3">
        <v>739066.85459999926</v>
      </c>
      <c r="C95" s="3">
        <v>6122481.8837000299</v>
      </c>
      <c r="D95" s="3">
        <v>1183934.6098999968</v>
      </c>
      <c r="E95" s="3"/>
      <c r="F95" s="3">
        <v>8045483.348200053</v>
      </c>
      <c r="I95" s="1" t="s">
        <v>57</v>
      </c>
      <c r="J95" s="3">
        <v>739066.85459999926</v>
      </c>
      <c r="K95" s="3">
        <v>6122481.8837000299</v>
      </c>
      <c r="L95" s="3">
        <v>1183934.6098999968</v>
      </c>
      <c r="M95" s="3"/>
      <c r="N95" s="3">
        <v>8045483.348200053</v>
      </c>
    </row>
    <row r="96" spans="1:14" x14ac:dyDescent="0.25">
      <c r="A96" s="1" t="s">
        <v>58</v>
      </c>
      <c r="B96" s="3">
        <v>797621.46970000002</v>
      </c>
      <c r="C96" s="3">
        <v>6653221.9826000137</v>
      </c>
      <c r="D96" s="3">
        <v>1237810.9241000018</v>
      </c>
      <c r="E96" s="3"/>
      <c r="F96" s="3">
        <v>8688654.3763999939</v>
      </c>
      <c r="I96" s="1" t="s">
        <v>58</v>
      </c>
      <c r="J96" s="3">
        <v>797621.46970000002</v>
      </c>
      <c r="K96" s="3">
        <v>6653221.9826000137</v>
      </c>
      <c r="L96" s="3">
        <v>1237810.9241000018</v>
      </c>
      <c r="M96" s="3"/>
      <c r="N96" s="3">
        <v>8688654.3763999939</v>
      </c>
    </row>
    <row r="97" spans="1:14" x14ac:dyDescent="0.25">
      <c r="A97" s="1" t="s">
        <v>59</v>
      </c>
      <c r="B97" s="3">
        <v>894202.92170000065</v>
      </c>
      <c r="C97" s="3">
        <v>7022166.9970000172</v>
      </c>
      <c r="D97" s="3">
        <v>1522591.2506000046</v>
      </c>
      <c r="E97" s="3"/>
      <c r="F97" s="3">
        <v>9438961.169300003</v>
      </c>
      <c r="I97" s="1" t="s">
        <v>59</v>
      </c>
      <c r="J97" s="3">
        <v>894202.92170000065</v>
      </c>
      <c r="K97" s="3">
        <v>7022166.9970000172</v>
      </c>
      <c r="L97" s="3">
        <v>1522591.2506000046</v>
      </c>
      <c r="M97" s="3"/>
      <c r="N97" s="3">
        <v>9438961.169300003</v>
      </c>
    </row>
    <row r="98" spans="1:14" x14ac:dyDescent="0.25">
      <c r="A98" s="1" t="s">
        <v>60</v>
      </c>
      <c r="B98" s="3">
        <v>1506038.7895000044</v>
      </c>
      <c r="C98" s="3">
        <v>11370434.570899971</v>
      </c>
      <c r="D98" s="3">
        <v>2537940.0107999956</v>
      </c>
      <c r="E98" s="3"/>
      <c r="F98" s="3">
        <v>15414413.371199949</v>
      </c>
      <c r="I98" s="1" t="s">
        <v>60</v>
      </c>
      <c r="J98" s="3">
        <v>1506038.7895000044</v>
      </c>
      <c r="K98" s="3">
        <v>11370434.570899971</v>
      </c>
      <c r="L98" s="3">
        <v>2537940.0107999956</v>
      </c>
      <c r="M98" s="3"/>
      <c r="N98" s="3">
        <v>15414413.371199949</v>
      </c>
    </row>
    <row r="99" spans="1:14" x14ac:dyDescent="0.25">
      <c r="A99" s="1" t="s">
        <v>61</v>
      </c>
      <c r="B99" s="3">
        <v>914224.24679999973</v>
      </c>
      <c r="C99" s="3">
        <v>4676621.2881000107</v>
      </c>
      <c r="D99" s="3">
        <v>1625108.3403000003</v>
      </c>
      <c r="E99" s="3"/>
      <c r="F99" s="3">
        <v>7215953.8752000527</v>
      </c>
      <c r="I99" s="1" t="s">
        <v>61</v>
      </c>
      <c r="J99" s="3">
        <v>914224.24679999973</v>
      </c>
      <c r="K99" s="3">
        <v>4676621.2881000107</v>
      </c>
      <c r="L99" s="3">
        <v>1625108.3403000003</v>
      </c>
      <c r="M99" s="3"/>
      <c r="N99" s="3">
        <v>7215953.8752000527</v>
      </c>
    </row>
    <row r="100" spans="1:14" x14ac:dyDescent="0.25">
      <c r="A100" s="1" t="s">
        <v>62</v>
      </c>
      <c r="B100" s="3">
        <v>438420.89980000007</v>
      </c>
      <c r="C100" s="3">
        <v>2708098.1961999983</v>
      </c>
      <c r="D100" s="3">
        <v>417367.46480000019</v>
      </c>
      <c r="E100" s="3"/>
      <c r="F100" s="3">
        <v>3563886.5607999926</v>
      </c>
      <c r="I100" s="1" t="s">
        <v>62</v>
      </c>
      <c r="J100" s="3">
        <v>438420.89980000007</v>
      </c>
      <c r="K100" s="3">
        <v>2708098.1961999983</v>
      </c>
      <c r="L100" s="3">
        <v>417367.46480000019</v>
      </c>
      <c r="M100" s="3"/>
      <c r="N100" s="3">
        <v>3563886.5607999926</v>
      </c>
    </row>
    <row r="101" spans="1:14" x14ac:dyDescent="0.25">
      <c r="A101" s="1" t="s">
        <v>63</v>
      </c>
      <c r="B101" s="3">
        <v>1000660.8491000015</v>
      </c>
      <c r="C101" s="3">
        <v>4504473.2060000123</v>
      </c>
      <c r="D101" s="3">
        <v>888332.77020000014</v>
      </c>
      <c r="E101" s="3"/>
      <c r="F101" s="3">
        <v>6393466.8252999829</v>
      </c>
      <c r="I101" s="1" t="s">
        <v>63</v>
      </c>
      <c r="J101" s="3">
        <v>1000660.8491000015</v>
      </c>
      <c r="K101" s="3">
        <v>4504473.2060000123</v>
      </c>
      <c r="L101" s="3">
        <v>888332.77020000014</v>
      </c>
      <c r="M101" s="3"/>
      <c r="N101" s="3">
        <v>6393466.8252999829</v>
      </c>
    </row>
    <row r="102" spans="1:14" x14ac:dyDescent="0.25">
      <c r="A102" s="1" t="s">
        <v>64</v>
      </c>
      <c r="B102" s="3">
        <v>948408.01780000085</v>
      </c>
      <c r="C102" s="3">
        <v>4538330.0849000206</v>
      </c>
      <c r="D102" s="3">
        <v>920306.0999999987</v>
      </c>
      <c r="E102" s="3"/>
      <c r="F102" s="3">
        <v>6407044.20269999</v>
      </c>
      <c r="I102" s="1" t="s">
        <v>64</v>
      </c>
      <c r="J102" s="3">
        <v>948408.01780000085</v>
      </c>
      <c r="K102" s="3">
        <v>4538330.0849000206</v>
      </c>
      <c r="L102" s="3">
        <v>920306.0999999987</v>
      </c>
      <c r="M102" s="3"/>
      <c r="N102" s="3">
        <v>6407044.20269999</v>
      </c>
    </row>
    <row r="103" spans="1:14" x14ac:dyDescent="0.25">
      <c r="A103" s="1" t="s">
        <v>65</v>
      </c>
      <c r="B103" s="3">
        <v>614677.78980000108</v>
      </c>
      <c r="C103" s="3">
        <v>4313149.2062000027</v>
      </c>
      <c r="D103" s="3">
        <v>687757.71430000255</v>
      </c>
      <c r="E103" s="3"/>
      <c r="F103" s="3">
        <v>5615584.7102999855</v>
      </c>
      <c r="I103" s="1" t="s">
        <v>65</v>
      </c>
      <c r="J103" s="3">
        <v>614677.78980000108</v>
      </c>
      <c r="K103" s="3">
        <v>4313149.2062000027</v>
      </c>
      <c r="L103" s="3">
        <v>687757.71430000255</v>
      </c>
      <c r="M103" s="3"/>
      <c r="N103" s="3">
        <v>5615584.7102999855</v>
      </c>
    </row>
    <row r="104" spans="1:14" x14ac:dyDescent="0.25">
      <c r="A104" s="1" t="s">
        <v>66</v>
      </c>
      <c r="B104" s="3">
        <v>377712.07039999985</v>
      </c>
      <c r="C104" s="3">
        <v>4607218.3740000017</v>
      </c>
      <c r="D104" s="3">
        <v>663136.73410000186</v>
      </c>
      <c r="E104" s="3"/>
      <c r="F104" s="3">
        <v>5648067.1784999929</v>
      </c>
      <c r="I104" s="1" t="s">
        <v>66</v>
      </c>
      <c r="J104" s="3">
        <v>377712.07039999985</v>
      </c>
      <c r="K104" s="3">
        <v>4607218.3740000017</v>
      </c>
      <c r="L104" s="3">
        <v>663136.73410000186</v>
      </c>
      <c r="M104" s="3"/>
      <c r="N104" s="3">
        <v>5648067.1784999929</v>
      </c>
    </row>
    <row r="105" spans="1:14" x14ac:dyDescent="0.25">
      <c r="A105" s="1" t="s">
        <v>67</v>
      </c>
      <c r="B105" s="3">
        <v>448175.728100001</v>
      </c>
      <c r="C105" s="3">
        <v>3756233.6407999974</v>
      </c>
      <c r="D105" s="3">
        <v>700462.26499999897</v>
      </c>
      <c r="E105" s="3"/>
      <c r="F105" s="3">
        <v>4904871.6338999942</v>
      </c>
      <c r="I105" s="1" t="s">
        <v>67</v>
      </c>
      <c r="J105" s="3">
        <v>448175.728100001</v>
      </c>
      <c r="K105" s="3">
        <v>3756233.6407999974</v>
      </c>
      <c r="L105" s="3">
        <v>700462.26499999897</v>
      </c>
      <c r="M105" s="3"/>
      <c r="N105" s="3">
        <v>4904871.6338999942</v>
      </c>
    </row>
    <row r="106" spans="1:14" x14ac:dyDescent="0.25">
      <c r="A106" s="1" t="s">
        <v>68</v>
      </c>
      <c r="B106" s="3">
        <v>1177884.6413999994</v>
      </c>
      <c r="C106" s="3">
        <v>3839145.6033999836</v>
      </c>
      <c r="D106" s="3">
        <v>1693751.494400003</v>
      </c>
      <c r="E106" s="3"/>
      <c r="F106" s="3">
        <v>6710781.739199996</v>
      </c>
      <c r="I106" s="1" t="s">
        <v>68</v>
      </c>
      <c r="J106" s="3">
        <v>1177884.6413999994</v>
      </c>
      <c r="K106" s="3">
        <v>3839145.6033999836</v>
      </c>
      <c r="L106" s="3">
        <v>1693751.494400003</v>
      </c>
      <c r="M106" s="3"/>
      <c r="N106" s="3">
        <v>6710781.739199996</v>
      </c>
    </row>
    <row r="107" spans="1:14" x14ac:dyDescent="0.25">
      <c r="A107" s="1" t="s">
        <v>69</v>
      </c>
      <c r="B107" s="3">
        <v>304286.38260000007</v>
      </c>
      <c r="C107" s="3">
        <v>3054424.109199997</v>
      </c>
      <c r="D107" s="3">
        <v>446091.27110000089</v>
      </c>
      <c r="E107" s="3"/>
      <c r="F107" s="3">
        <v>3804801.7629000032</v>
      </c>
      <c r="I107" s="1" t="s">
        <v>69</v>
      </c>
      <c r="J107" s="3">
        <v>304286.38260000007</v>
      </c>
      <c r="K107" s="3">
        <v>3054424.109199997</v>
      </c>
      <c r="L107" s="3">
        <v>446091.27110000089</v>
      </c>
      <c r="M107" s="3"/>
      <c r="N107" s="3">
        <v>3804801.7629000032</v>
      </c>
    </row>
    <row r="108" spans="1:14" x14ac:dyDescent="0.25">
      <c r="A108" s="1" t="s">
        <v>70</v>
      </c>
      <c r="B108" s="3">
        <v>1290266.1842000047</v>
      </c>
      <c r="C108" s="3">
        <v>6187030.1482999409</v>
      </c>
      <c r="D108" s="3">
        <v>2022596.5920000051</v>
      </c>
      <c r="E108" s="3"/>
      <c r="F108" s="3">
        <v>9499892.9244998191</v>
      </c>
      <c r="I108" s="1" t="s">
        <v>70</v>
      </c>
      <c r="J108" s="3">
        <v>1290266.1842000047</v>
      </c>
      <c r="K108" s="3">
        <v>6187030.1482999409</v>
      </c>
      <c r="L108" s="3">
        <v>2022596.5920000051</v>
      </c>
      <c r="M108" s="3"/>
      <c r="N108" s="3">
        <v>9499892.9244998191</v>
      </c>
    </row>
    <row r="109" spans="1:14" x14ac:dyDescent="0.25">
      <c r="A109" s="1" t="s">
        <v>71</v>
      </c>
      <c r="B109" s="3">
        <v>662129.81129999796</v>
      </c>
      <c r="C109" s="3">
        <v>3987714.436900008</v>
      </c>
      <c r="D109" s="3">
        <v>934952.48180000053</v>
      </c>
      <c r="E109" s="3"/>
      <c r="F109" s="3">
        <v>5584796.7299999995</v>
      </c>
      <c r="I109" s="1" t="s">
        <v>71</v>
      </c>
      <c r="J109" s="3">
        <v>662129.81129999796</v>
      </c>
      <c r="K109" s="3">
        <v>3987714.436900008</v>
      </c>
      <c r="L109" s="3">
        <v>934952.48180000053</v>
      </c>
      <c r="M109" s="3"/>
      <c r="N109" s="3">
        <v>5584796.7299999995</v>
      </c>
    </row>
    <row r="110" spans="1:14" x14ac:dyDescent="0.25">
      <c r="A110" s="1" t="s">
        <v>72</v>
      </c>
      <c r="B110" s="3">
        <v>452183.71919999935</v>
      </c>
      <c r="C110" s="3">
        <v>3224712.0412000059</v>
      </c>
      <c r="D110" s="3">
        <v>533444.77609999967</v>
      </c>
      <c r="E110" s="3"/>
      <c r="F110" s="3">
        <v>4210340.5365000013</v>
      </c>
      <c r="I110" s="1" t="s">
        <v>72</v>
      </c>
      <c r="J110" s="3">
        <v>452183.71919999935</v>
      </c>
      <c r="K110" s="3">
        <v>3224712.0412000059</v>
      </c>
      <c r="L110" s="3">
        <v>533444.77609999967</v>
      </c>
      <c r="M110" s="3"/>
      <c r="N110" s="3">
        <v>4210340.5365000013</v>
      </c>
    </row>
    <row r="111" spans="1:14" x14ac:dyDescent="0.25">
      <c r="A111" s="1" t="s">
        <v>73</v>
      </c>
      <c r="B111" s="3">
        <v>482691.81929999962</v>
      </c>
      <c r="C111" s="3">
        <v>3625364.1596999923</v>
      </c>
      <c r="D111" s="3">
        <v>544009.22560000094</v>
      </c>
      <c r="E111" s="3"/>
      <c r="F111" s="3">
        <v>4652065.2045999942</v>
      </c>
      <c r="I111" s="1" t="s">
        <v>73</v>
      </c>
      <c r="J111" s="3">
        <v>482691.81929999962</v>
      </c>
      <c r="K111" s="3">
        <v>3625364.1596999923</v>
      </c>
      <c r="L111" s="3">
        <v>544009.22560000094</v>
      </c>
      <c r="M111" s="3"/>
      <c r="N111" s="3">
        <v>4652065.2045999942</v>
      </c>
    </row>
    <row r="112" spans="1:14" x14ac:dyDescent="0.25">
      <c r="A112" s="1" t="s">
        <v>74</v>
      </c>
      <c r="B112" s="3">
        <v>579307.95770000026</v>
      </c>
      <c r="C112" s="3">
        <v>3840681.6392000117</v>
      </c>
      <c r="D112" s="3">
        <v>683906.73590000148</v>
      </c>
      <c r="E112" s="3"/>
      <c r="F112" s="3">
        <v>5103896.3328000177</v>
      </c>
      <c r="I112" s="1" t="s">
        <v>74</v>
      </c>
      <c r="J112" s="3">
        <v>579307.95770000026</v>
      </c>
      <c r="K112" s="3">
        <v>3840681.6392000117</v>
      </c>
      <c r="L112" s="3">
        <v>683906.73590000148</v>
      </c>
      <c r="M112" s="3"/>
      <c r="N112" s="3">
        <v>5103896.3328000177</v>
      </c>
    </row>
    <row r="113" spans="1:14" x14ac:dyDescent="0.25">
      <c r="A113" s="1" t="s">
        <v>75</v>
      </c>
      <c r="B113" s="3">
        <v>465655.00040000095</v>
      </c>
      <c r="C113" s="3">
        <v>3468895.5508999913</v>
      </c>
      <c r="D113" s="3">
        <v>631955.25399999996</v>
      </c>
      <c r="E113" s="3"/>
      <c r="F113" s="3">
        <v>4566505.8052999927</v>
      </c>
      <c r="I113" s="1" t="s">
        <v>75</v>
      </c>
      <c r="J113" s="3">
        <v>465655.00040000095</v>
      </c>
      <c r="K113" s="3">
        <v>3468895.5508999913</v>
      </c>
      <c r="L113" s="3">
        <v>631955.25399999996</v>
      </c>
      <c r="M113" s="3"/>
      <c r="N113" s="3">
        <v>4566505.8052999927</v>
      </c>
    </row>
    <row r="114" spans="1:14" x14ac:dyDescent="0.25">
      <c r="A114" s="1" t="s">
        <v>76</v>
      </c>
      <c r="B114" s="3">
        <v>456844.35550000047</v>
      </c>
      <c r="C114" s="3">
        <v>4700267.8543999968</v>
      </c>
      <c r="D114" s="3">
        <v>783540.50319999992</v>
      </c>
      <c r="E114" s="3"/>
      <c r="F114" s="3">
        <v>5940652.7130999882</v>
      </c>
      <c r="I114" s="1" t="s">
        <v>76</v>
      </c>
      <c r="J114" s="3">
        <v>456844.35550000047</v>
      </c>
      <c r="K114" s="3">
        <v>4700267.8543999968</v>
      </c>
      <c r="L114" s="3">
        <v>783540.50319999992</v>
      </c>
      <c r="M114" s="3"/>
      <c r="N114" s="3">
        <v>5940652.7130999882</v>
      </c>
    </row>
    <row r="115" spans="1:14" x14ac:dyDescent="0.25">
      <c r="A115" s="1" t="s">
        <v>77</v>
      </c>
      <c r="B115" s="3">
        <v>1157559.0750000004</v>
      </c>
      <c r="C115" s="3">
        <v>5858986.8566999882</v>
      </c>
      <c r="D115" s="3">
        <v>1663646.3871999981</v>
      </c>
      <c r="E115" s="3"/>
      <c r="F115" s="3">
        <v>8680192.318899978</v>
      </c>
      <c r="I115" s="1" t="s">
        <v>77</v>
      </c>
      <c r="J115" s="3">
        <v>1157559.0750000004</v>
      </c>
      <c r="K115" s="3">
        <v>5858986.8566999882</v>
      </c>
      <c r="L115" s="3">
        <v>1663646.3871999981</v>
      </c>
      <c r="M115" s="3"/>
      <c r="N115" s="3">
        <v>8680192.318899978</v>
      </c>
    </row>
    <row r="116" spans="1:14" x14ac:dyDescent="0.25">
      <c r="A116" s="1" t="s">
        <v>78</v>
      </c>
      <c r="B116" s="3">
        <v>560424.37890000083</v>
      </c>
      <c r="C116" s="3">
        <v>3884930.5516999993</v>
      </c>
      <c r="D116" s="3">
        <v>811458.9728000008</v>
      </c>
      <c r="E116" s="3"/>
      <c r="F116" s="3">
        <v>5256813.9034000216</v>
      </c>
      <c r="I116" s="1" t="s">
        <v>78</v>
      </c>
      <c r="J116" s="3">
        <v>560424.37890000083</v>
      </c>
      <c r="K116" s="3">
        <v>3884930.5516999993</v>
      </c>
      <c r="L116" s="3">
        <v>811458.9728000008</v>
      </c>
      <c r="M116" s="3"/>
      <c r="N116" s="3">
        <v>5256813.9034000216</v>
      </c>
    </row>
    <row r="117" spans="1:14" x14ac:dyDescent="0.25">
      <c r="A117" s="1" t="s">
        <v>79</v>
      </c>
      <c r="B117" s="3">
        <v>653698.21880000003</v>
      </c>
      <c r="C117" s="3">
        <v>4711130.9912000084</v>
      </c>
      <c r="D117" s="3">
        <v>902261.49760000058</v>
      </c>
      <c r="E117" s="3"/>
      <c r="F117" s="3">
        <v>6267090.7075999985</v>
      </c>
      <c r="I117" s="1" t="s">
        <v>79</v>
      </c>
      <c r="J117" s="3">
        <v>653698.21880000003</v>
      </c>
      <c r="K117" s="3">
        <v>4711130.9912000084</v>
      </c>
      <c r="L117" s="3">
        <v>902261.49760000058</v>
      </c>
      <c r="M117" s="3"/>
      <c r="N117" s="3">
        <v>6267090.7075999985</v>
      </c>
    </row>
    <row r="118" spans="1:14" x14ac:dyDescent="0.25">
      <c r="A118" s="1" t="s">
        <v>80</v>
      </c>
      <c r="B118" s="3">
        <v>903662.75409999746</v>
      </c>
      <c r="C118" s="3">
        <v>4668630.5328999944</v>
      </c>
      <c r="D118" s="3">
        <v>854768.02129999921</v>
      </c>
      <c r="E118" s="3"/>
      <c r="F118" s="3">
        <v>6427061.3082999857</v>
      </c>
      <c r="I118" s="1" t="s">
        <v>80</v>
      </c>
      <c r="J118" s="3">
        <v>903662.75409999746</v>
      </c>
      <c r="K118" s="3">
        <v>4668630.5328999944</v>
      </c>
      <c r="L118" s="3">
        <v>854768.02129999921</v>
      </c>
      <c r="M118" s="3"/>
      <c r="N118" s="3">
        <v>6427061.3082999857</v>
      </c>
    </row>
    <row r="119" spans="1:14" x14ac:dyDescent="0.25">
      <c r="A119" s="1" t="s">
        <v>81</v>
      </c>
      <c r="B119" s="3">
        <v>942552.38179999928</v>
      </c>
      <c r="C119" s="3">
        <v>4959237.6591999726</v>
      </c>
      <c r="D119" s="3">
        <v>904686.60550000041</v>
      </c>
      <c r="E119" s="3"/>
      <c r="F119" s="3">
        <v>6806476.6465000147</v>
      </c>
      <c r="I119" s="1" t="s">
        <v>81</v>
      </c>
      <c r="J119" s="3">
        <v>942552.38179999928</v>
      </c>
      <c r="K119" s="3">
        <v>4959237.6591999726</v>
      </c>
      <c r="L119" s="3">
        <v>904686.60550000041</v>
      </c>
      <c r="M119" s="3"/>
      <c r="N119" s="3">
        <v>6806476.6465000147</v>
      </c>
    </row>
    <row r="120" spans="1:14" x14ac:dyDescent="0.25">
      <c r="A120" s="1" t="s">
        <v>82</v>
      </c>
      <c r="B120" s="3">
        <v>2559101.3727000044</v>
      </c>
      <c r="C120" s="3">
        <v>12075576.592299925</v>
      </c>
      <c r="D120" s="3">
        <v>3619227.9473999985</v>
      </c>
      <c r="E120" s="3"/>
      <c r="F120" s="3">
        <v>18253905.912399821</v>
      </c>
      <c r="I120" s="1" t="s">
        <v>82</v>
      </c>
      <c r="J120" s="3">
        <v>2559101.3727000044</v>
      </c>
      <c r="K120" s="3">
        <v>12075576.592299925</v>
      </c>
      <c r="L120" s="3">
        <v>3619227.9473999985</v>
      </c>
      <c r="M120" s="3"/>
      <c r="N120" s="3">
        <v>18253905.912399821</v>
      </c>
    </row>
    <row r="121" spans="1:14" x14ac:dyDescent="0.25">
      <c r="A121" s="1" t="s">
        <v>83</v>
      </c>
      <c r="B121" s="3">
        <v>2246396.2978999927</v>
      </c>
      <c r="C121" s="3">
        <v>6603591.8239000011</v>
      </c>
      <c r="D121" s="3">
        <v>2453448.069600001</v>
      </c>
      <c r="E121" s="3"/>
      <c r="F121" s="3">
        <v>11303436.19139996</v>
      </c>
      <c r="I121" s="1" t="s">
        <v>83</v>
      </c>
      <c r="J121" s="3">
        <v>2246396.2978999927</v>
      </c>
      <c r="K121" s="3">
        <v>6603591.8239000011</v>
      </c>
      <c r="L121" s="3">
        <v>2453448.069600001</v>
      </c>
      <c r="M121" s="3"/>
      <c r="N121" s="3">
        <v>11303436.19139996</v>
      </c>
    </row>
    <row r="122" spans="1:14" x14ac:dyDescent="0.25">
      <c r="A122" s="1" t="s">
        <v>84</v>
      </c>
      <c r="B122" s="3">
        <v>667361.75740000221</v>
      </c>
      <c r="C122" s="3">
        <v>3293029.3273999789</v>
      </c>
      <c r="D122" s="3">
        <v>1033195.9395000036</v>
      </c>
      <c r="E122" s="3"/>
      <c r="F122" s="3">
        <v>4993587.0242999746</v>
      </c>
      <c r="I122" s="1" t="s">
        <v>84</v>
      </c>
      <c r="J122" s="3">
        <v>667361.75740000221</v>
      </c>
      <c r="K122" s="3">
        <v>3293029.3273999789</v>
      </c>
      <c r="L122" s="3">
        <v>1033195.9395000036</v>
      </c>
      <c r="M122" s="3"/>
      <c r="N122" s="3">
        <v>4993587.0242999746</v>
      </c>
    </row>
    <row r="123" spans="1:14" x14ac:dyDescent="0.25">
      <c r="A123" s="1" t="s">
        <v>85</v>
      </c>
      <c r="B123" s="3">
        <v>386130.48230000038</v>
      </c>
      <c r="C123" s="3">
        <v>3492645.4396999893</v>
      </c>
      <c r="D123" s="3">
        <v>569689.69040000089</v>
      </c>
      <c r="E123" s="3"/>
      <c r="F123" s="3">
        <v>4448465.6123999963</v>
      </c>
      <c r="I123" s="1" t="s">
        <v>85</v>
      </c>
      <c r="J123" s="3">
        <v>386130.48230000038</v>
      </c>
      <c r="K123" s="3">
        <v>3492645.4396999893</v>
      </c>
      <c r="L123" s="3">
        <v>569689.69040000089</v>
      </c>
      <c r="M123" s="3"/>
      <c r="N123" s="3">
        <v>4448465.6123999963</v>
      </c>
    </row>
    <row r="124" spans="1:14" x14ac:dyDescent="0.25">
      <c r="A124" s="1" t="s">
        <v>86</v>
      </c>
      <c r="B124" s="3">
        <v>1125790.5033999982</v>
      </c>
      <c r="C124" s="3">
        <v>7418097.8671999974</v>
      </c>
      <c r="D124" s="3">
        <v>1678600.2059000048</v>
      </c>
      <c r="E124" s="3"/>
      <c r="F124" s="3">
        <v>10222488.576499879</v>
      </c>
      <c r="I124" s="1" t="s">
        <v>86</v>
      </c>
      <c r="J124" s="3">
        <v>1125790.5033999982</v>
      </c>
      <c r="K124" s="3">
        <v>7418097.8671999974</v>
      </c>
      <c r="L124" s="3">
        <v>1678600.2059000048</v>
      </c>
      <c r="M124" s="3"/>
      <c r="N124" s="3">
        <v>10222488.576499879</v>
      </c>
    </row>
    <row r="125" spans="1:14" x14ac:dyDescent="0.25">
      <c r="A125" s="1" t="s">
        <v>87</v>
      </c>
      <c r="B125" s="3">
        <v>894098.39349999896</v>
      </c>
      <c r="C125" s="3">
        <v>6027760.0365999872</v>
      </c>
      <c r="D125" s="3">
        <v>1148884.9475000026</v>
      </c>
      <c r="E125" s="3"/>
      <c r="F125" s="3">
        <v>8070743.3775999788</v>
      </c>
      <c r="I125" s="1" t="s">
        <v>87</v>
      </c>
      <c r="J125" s="3">
        <v>894098.39349999896</v>
      </c>
      <c r="K125" s="3">
        <v>6027760.0365999872</v>
      </c>
      <c r="L125" s="3">
        <v>1148884.9475000026</v>
      </c>
      <c r="M125" s="3"/>
      <c r="N125" s="3">
        <v>8070743.3775999788</v>
      </c>
    </row>
    <row r="126" spans="1:14" x14ac:dyDescent="0.25">
      <c r="A126" s="1" t="s">
        <v>88</v>
      </c>
      <c r="B126" s="3">
        <v>747710.11179999937</v>
      </c>
      <c r="C126" s="3">
        <v>4742366.7940999959</v>
      </c>
      <c r="D126" s="3">
        <v>919992.23469999991</v>
      </c>
      <c r="E126" s="3"/>
      <c r="F126" s="3">
        <v>6410069.1405999623</v>
      </c>
      <c r="I126" s="1" t="s">
        <v>88</v>
      </c>
      <c r="J126" s="3">
        <v>747710.11179999937</v>
      </c>
      <c r="K126" s="3">
        <v>4742366.7940999959</v>
      </c>
      <c r="L126" s="3">
        <v>919992.23469999991</v>
      </c>
      <c r="M126" s="3"/>
      <c r="N126" s="3">
        <v>6410069.1405999623</v>
      </c>
    </row>
    <row r="127" spans="1:14" x14ac:dyDescent="0.25">
      <c r="A127" s="1" t="s">
        <v>89</v>
      </c>
      <c r="B127" s="3">
        <v>858684.34409999987</v>
      </c>
      <c r="C127" s="3">
        <v>4836499.9709000019</v>
      </c>
      <c r="D127" s="3">
        <v>928506.20680000039</v>
      </c>
      <c r="E127" s="3"/>
      <c r="F127" s="3">
        <v>6623690.52179999</v>
      </c>
      <c r="I127" s="1" t="s">
        <v>89</v>
      </c>
      <c r="J127" s="3">
        <v>858684.34409999987</v>
      </c>
      <c r="K127" s="3">
        <v>4836499.9709000019</v>
      </c>
      <c r="L127" s="3">
        <v>928506.20680000039</v>
      </c>
      <c r="M127" s="3"/>
      <c r="N127" s="3">
        <v>6623690.52179999</v>
      </c>
    </row>
    <row r="128" spans="1:14" x14ac:dyDescent="0.25">
      <c r="A128" s="1" t="s">
        <v>90</v>
      </c>
      <c r="B128" s="3">
        <v>1203459.3809000007</v>
      </c>
      <c r="C128" s="3">
        <v>7303638.7318999805</v>
      </c>
      <c r="D128" s="3">
        <v>1270264.7423000017</v>
      </c>
      <c r="E128" s="3"/>
      <c r="F128" s="3">
        <v>9777362.8550998755</v>
      </c>
      <c r="I128" s="1" t="s">
        <v>90</v>
      </c>
      <c r="J128" s="3">
        <v>1203459.3809000007</v>
      </c>
      <c r="K128" s="3">
        <v>7303638.7318999805</v>
      </c>
      <c r="L128" s="3">
        <v>1270264.7423000017</v>
      </c>
      <c r="M128" s="3"/>
      <c r="N128" s="3">
        <v>9777362.8550998755</v>
      </c>
    </row>
    <row r="129" spans="1:14" x14ac:dyDescent="0.25">
      <c r="A129" t="s">
        <v>91</v>
      </c>
      <c r="B129" s="3">
        <v>1212613.5346999969</v>
      </c>
      <c r="C129" s="3">
        <v>6073361.4076999938</v>
      </c>
      <c r="D129" s="3">
        <v>1339527.0511999989</v>
      </c>
      <c r="E129" s="3"/>
      <c r="F129" s="3">
        <v>8625501.9936000165</v>
      </c>
      <c r="I129" t="s">
        <v>91</v>
      </c>
      <c r="J129" s="3">
        <v>1212613.5346999969</v>
      </c>
      <c r="K129" s="3">
        <v>6073361.4076999938</v>
      </c>
      <c r="L129" s="3">
        <v>1339527.0511999989</v>
      </c>
      <c r="M129" s="3"/>
      <c r="N129" s="3">
        <v>8625501.9936000165</v>
      </c>
    </row>
    <row r="130" spans="1:14" x14ac:dyDescent="0.25">
      <c r="A130" t="s">
        <v>92</v>
      </c>
      <c r="B130" s="3">
        <v>499406.00059999956</v>
      </c>
      <c r="C130" s="3">
        <v>3140248.3222999992</v>
      </c>
      <c r="D130" s="3">
        <v>595736.96379999828</v>
      </c>
      <c r="E130" s="3"/>
      <c r="F130" s="3">
        <v>4235391.2867000047</v>
      </c>
      <c r="I130" t="s">
        <v>92</v>
      </c>
      <c r="J130" s="3">
        <v>499406.00059999956</v>
      </c>
      <c r="K130" s="3">
        <v>3140248.3222999992</v>
      </c>
      <c r="L130" s="3">
        <v>595736.96379999828</v>
      </c>
      <c r="M130" s="3"/>
      <c r="N130" s="3">
        <v>4235391.2867000047</v>
      </c>
    </row>
    <row r="131" spans="1:14" x14ac:dyDescent="0.25">
      <c r="A131" t="s">
        <v>93</v>
      </c>
      <c r="B131" s="3">
        <v>1082665.894699998</v>
      </c>
      <c r="C131" s="3">
        <v>3932626.4477999951</v>
      </c>
      <c r="D131" s="3">
        <v>751863.28160000045</v>
      </c>
      <c r="E131" s="3"/>
      <c r="F131" s="3">
        <v>5767155.6240999531</v>
      </c>
      <c r="I131" t="s">
        <v>93</v>
      </c>
      <c r="J131" s="3">
        <v>1082665.894699998</v>
      </c>
      <c r="K131" s="3">
        <v>3932626.4477999951</v>
      </c>
      <c r="L131" s="3">
        <v>751863.28160000045</v>
      </c>
      <c r="M131" s="3"/>
      <c r="N131" s="3">
        <v>5767155.6240999531</v>
      </c>
    </row>
    <row r="132" spans="1:14" x14ac:dyDescent="0.25">
      <c r="A132" t="s">
        <v>94</v>
      </c>
      <c r="B132" s="3">
        <v>884879.46809999924</v>
      </c>
      <c r="C132" s="3">
        <v>3452547.9793000091</v>
      </c>
      <c r="D132" s="3">
        <v>662980.91779999994</v>
      </c>
      <c r="E132" s="3"/>
      <c r="F132" s="3">
        <v>5000408.365199999</v>
      </c>
      <c r="I132" t="s">
        <v>94</v>
      </c>
      <c r="J132" s="3">
        <v>884879.46809999924</v>
      </c>
      <c r="K132" s="3">
        <v>3452547.9793000091</v>
      </c>
      <c r="L132" s="3">
        <v>662980.91779999994</v>
      </c>
      <c r="M132" s="3"/>
      <c r="N132" s="3">
        <v>5000408.365199999</v>
      </c>
    </row>
    <row r="133" spans="1:14" x14ac:dyDescent="0.25">
      <c r="A133" t="s">
        <v>95</v>
      </c>
      <c r="B133" s="3">
        <v>587597.37149999978</v>
      </c>
      <c r="C133" s="3">
        <v>3877695.4717000048</v>
      </c>
      <c r="D133" s="3">
        <v>474097.00380000094</v>
      </c>
      <c r="E133" s="3"/>
      <c r="F133" s="3">
        <v>4939389.8469999833</v>
      </c>
      <c r="I133" t="s">
        <v>95</v>
      </c>
      <c r="J133" s="3">
        <v>587597.37149999978</v>
      </c>
      <c r="K133" s="3">
        <v>3877695.4717000048</v>
      </c>
      <c r="L133" s="3">
        <v>474097.00380000094</v>
      </c>
      <c r="M133" s="3"/>
      <c r="N133" s="3">
        <v>4939389.8469999833</v>
      </c>
    </row>
    <row r="134" spans="1:14" x14ac:dyDescent="0.25">
      <c r="A134" t="s">
        <v>96</v>
      </c>
      <c r="B134" s="3">
        <v>559102.61889999884</v>
      </c>
      <c r="C134" s="3">
        <v>4122250.6138000046</v>
      </c>
      <c r="D134" s="3">
        <v>490917.03039999987</v>
      </c>
      <c r="E134" s="3"/>
      <c r="F134" s="3">
        <v>5172270.2630999945</v>
      </c>
      <c r="I134" t="s">
        <v>96</v>
      </c>
      <c r="J134" s="3">
        <v>559102.61889999884</v>
      </c>
      <c r="K134" s="3">
        <v>4122250.6138000046</v>
      </c>
      <c r="L134" s="3">
        <v>490917.03039999987</v>
      </c>
      <c r="M134" s="3"/>
      <c r="N134" s="3">
        <v>5172270.2630999945</v>
      </c>
    </row>
    <row r="135" spans="1:14" x14ac:dyDescent="0.25">
      <c r="A135" t="s">
        <v>97</v>
      </c>
      <c r="B135" s="3">
        <v>469109.30790000025</v>
      </c>
      <c r="C135" s="3">
        <v>3296678.0424999991</v>
      </c>
      <c r="D135" s="3">
        <v>498930.15390000015</v>
      </c>
      <c r="E135" s="3"/>
      <c r="F135" s="3">
        <v>4264717.5043000001</v>
      </c>
      <c r="I135" t="s">
        <v>97</v>
      </c>
      <c r="J135" s="3">
        <v>469109.30790000025</v>
      </c>
      <c r="K135" s="3">
        <v>3296678.0424999991</v>
      </c>
      <c r="L135" s="3">
        <v>498930.15390000015</v>
      </c>
      <c r="M135" s="3"/>
      <c r="N135" s="3">
        <v>4264717.5043000001</v>
      </c>
    </row>
    <row r="136" spans="1:14" x14ac:dyDescent="0.25">
      <c r="A136" t="s">
        <v>98</v>
      </c>
      <c r="B136" s="3">
        <v>1560685.8064000071</v>
      </c>
      <c r="C136" s="3">
        <v>4050415.1564999907</v>
      </c>
      <c r="D136" s="3">
        <v>1305078.1565000005</v>
      </c>
      <c r="E136" s="3"/>
      <c r="F136" s="3">
        <v>6916179.1193999406</v>
      </c>
      <c r="I136" t="s">
        <v>98</v>
      </c>
      <c r="J136" s="3">
        <v>1560685.8064000071</v>
      </c>
      <c r="K136" s="3">
        <v>4050415.1564999907</v>
      </c>
      <c r="L136" s="3">
        <v>1305078.1565000005</v>
      </c>
      <c r="M136" s="3"/>
      <c r="N136" s="3">
        <v>6916179.1193999406</v>
      </c>
    </row>
    <row r="137" spans="1:14" x14ac:dyDescent="0.25">
      <c r="A137" t="s">
        <v>99</v>
      </c>
      <c r="B137" s="3">
        <v>557789.20299999975</v>
      </c>
      <c r="C137" s="3">
        <v>3202340.0216999953</v>
      </c>
      <c r="D137" s="3">
        <v>449673.67209999973</v>
      </c>
      <c r="E137" s="3"/>
      <c r="F137" s="3">
        <v>4209802.8968000002</v>
      </c>
      <c r="I137" t="s">
        <v>99</v>
      </c>
      <c r="J137" s="3">
        <v>557789.20299999975</v>
      </c>
      <c r="K137" s="3">
        <v>3202340.0216999953</v>
      </c>
      <c r="L137" s="3">
        <v>449673.67209999973</v>
      </c>
      <c r="M137" s="3"/>
      <c r="N137" s="3">
        <v>4209802.8968000002</v>
      </c>
    </row>
    <row r="138" spans="1:14" x14ac:dyDescent="0.25">
      <c r="A138" t="s">
        <v>100</v>
      </c>
      <c r="B138" s="3">
        <v>612668.82780000137</v>
      </c>
      <c r="C138" s="3">
        <v>2786347.2227000003</v>
      </c>
      <c r="D138" s="3">
        <v>543045.34820000012</v>
      </c>
      <c r="E138" s="3"/>
      <c r="F138" s="3">
        <v>3942061.3986999989</v>
      </c>
      <c r="I138" t="s">
        <v>100</v>
      </c>
      <c r="J138" s="3">
        <v>612668.82780000137</v>
      </c>
      <c r="K138" s="3">
        <v>2786347.2227000003</v>
      </c>
      <c r="L138" s="3">
        <v>543045.34820000012</v>
      </c>
      <c r="M138" s="3"/>
      <c r="N138" s="3">
        <v>3942061.3986999989</v>
      </c>
    </row>
    <row r="139" spans="1:14" x14ac:dyDescent="0.25">
      <c r="A139" t="s">
        <v>101</v>
      </c>
      <c r="B139" s="3">
        <v>725605.71769999934</v>
      </c>
      <c r="C139" s="3">
        <v>4800431.9459999902</v>
      </c>
      <c r="D139" s="3">
        <v>841683.87549999927</v>
      </c>
      <c r="E139" s="3"/>
      <c r="F139" s="3">
        <v>6367721.5391999511</v>
      </c>
      <c r="I139" t="s">
        <v>101</v>
      </c>
      <c r="J139" s="3">
        <v>725605.71769999934</v>
      </c>
      <c r="K139" s="3">
        <v>4800431.9459999902</v>
      </c>
      <c r="L139" s="3">
        <v>841683.87549999927</v>
      </c>
      <c r="M139" s="3"/>
      <c r="N139" s="3">
        <v>6367721.5391999511</v>
      </c>
    </row>
    <row r="140" spans="1:14" x14ac:dyDescent="0.25">
      <c r="A140" t="s">
        <v>102</v>
      </c>
      <c r="B140" s="3">
        <v>645783.41860000021</v>
      </c>
      <c r="C140" s="3">
        <v>3659504.6519999774</v>
      </c>
      <c r="D140" s="3">
        <v>653267.14660000114</v>
      </c>
      <c r="E140" s="3"/>
      <c r="F140" s="3">
        <v>4958555.2171999756</v>
      </c>
      <c r="I140" t="s">
        <v>102</v>
      </c>
      <c r="J140" s="3">
        <v>645783.41860000021</v>
      </c>
      <c r="K140" s="3">
        <v>3659504.6519999774</v>
      </c>
      <c r="L140" s="3">
        <v>653267.14660000114</v>
      </c>
      <c r="M140" s="3"/>
      <c r="N140" s="3">
        <v>4958555.2171999756</v>
      </c>
    </row>
    <row r="141" spans="1:14" x14ac:dyDescent="0.25">
      <c r="A141" t="s">
        <v>103</v>
      </c>
      <c r="B141" s="3">
        <v>619981.6721000009</v>
      </c>
      <c r="C141" s="3">
        <v>2786846.6117999847</v>
      </c>
      <c r="D141" s="3">
        <v>535128.3190999988</v>
      </c>
      <c r="E141" s="3"/>
      <c r="F141" s="3">
        <v>3941956.6029999917</v>
      </c>
      <c r="I141" t="s">
        <v>103</v>
      </c>
      <c r="J141" s="3">
        <v>619981.6721000009</v>
      </c>
      <c r="K141" s="3">
        <v>2786846.6117999847</v>
      </c>
      <c r="L141" s="3">
        <v>535128.3190999988</v>
      </c>
      <c r="M141" s="3"/>
      <c r="N141" s="3">
        <v>3941956.6029999917</v>
      </c>
    </row>
    <row r="142" spans="1:14" x14ac:dyDescent="0.25">
      <c r="A142" t="s">
        <v>104</v>
      </c>
      <c r="B142" s="3">
        <v>1600595.5227000087</v>
      </c>
      <c r="C142" s="3">
        <v>5618972.2146999622</v>
      </c>
      <c r="D142" s="3">
        <v>1254428.6563000039</v>
      </c>
      <c r="E142" s="3"/>
      <c r="F142" s="3">
        <v>8473996.3936999273</v>
      </c>
      <c r="I142" t="s">
        <v>104</v>
      </c>
      <c r="J142" s="3">
        <v>1600595.5227000087</v>
      </c>
      <c r="K142" s="3">
        <v>5618972.2146999622</v>
      </c>
      <c r="L142" s="3">
        <v>1254428.6563000039</v>
      </c>
      <c r="M142" s="3"/>
      <c r="N142" s="3">
        <v>8473996.3936999273</v>
      </c>
    </row>
    <row r="143" spans="1:14" x14ac:dyDescent="0.25">
      <c r="A143" t="s">
        <v>105</v>
      </c>
      <c r="B143" s="3">
        <v>706288.64660000033</v>
      </c>
      <c r="C143" s="3">
        <v>2813057.137299994</v>
      </c>
      <c r="D143" s="3">
        <v>443004.78239999962</v>
      </c>
      <c r="E143" s="3"/>
      <c r="F143" s="3">
        <v>3962350.5662999963</v>
      </c>
      <c r="I143" t="s">
        <v>105</v>
      </c>
      <c r="J143" s="3">
        <v>706288.64660000033</v>
      </c>
      <c r="K143" s="3">
        <v>2813057.137299994</v>
      </c>
      <c r="L143" s="3">
        <v>443004.78239999962</v>
      </c>
      <c r="M143" s="3"/>
      <c r="N143" s="3">
        <v>3962350.5662999963</v>
      </c>
    </row>
    <row r="144" spans="1:14" x14ac:dyDescent="0.25">
      <c r="A144" t="s">
        <v>106</v>
      </c>
      <c r="B144" s="3">
        <v>449136.59789999941</v>
      </c>
      <c r="C144" s="3">
        <v>4160312.0871999939</v>
      </c>
      <c r="D144" s="3">
        <v>662654.46410000068</v>
      </c>
      <c r="E144" s="3"/>
      <c r="F144" s="3">
        <v>5272103.1491999719</v>
      </c>
      <c r="I144" t="s">
        <v>106</v>
      </c>
      <c r="J144" s="3">
        <v>449136.59789999941</v>
      </c>
      <c r="K144" s="3">
        <v>4160312.0871999939</v>
      </c>
      <c r="L144" s="3">
        <v>662654.46410000068</v>
      </c>
      <c r="M144" s="3"/>
      <c r="N144" s="3">
        <v>5272103.1491999719</v>
      </c>
    </row>
    <row r="145" spans="1:14" x14ac:dyDescent="0.25">
      <c r="A145" t="s">
        <v>107</v>
      </c>
      <c r="B145" s="3">
        <v>1145364.3841999972</v>
      </c>
      <c r="C145" s="3">
        <v>6689388.2079999922</v>
      </c>
      <c r="D145" s="3">
        <v>1282174.9780999995</v>
      </c>
      <c r="E145" s="3"/>
      <c r="F145" s="3">
        <v>9116927.5703000147</v>
      </c>
      <c r="I145" t="s">
        <v>107</v>
      </c>
      <c r="J145" s="3">
        <v>1145364.3841999972</v>
      </c>
      <c r="K145" s="3">
        <v>6689388.2079999922</v>
      </c>
      <c r="L145" s="3">
        <v>1282174.9780999995</v>
      </c>
      <c r="M145" s="3"/>
      <c r="N145" s="3">
        <v>9116927.5703000147</v>
      </c>
    </row>
    <row r="146" spans="1:14" x14ac:dyDescent="0.25">
      <c r="A146" t="s">
        <v>108</v>
      </c>
      <c r="B146" s="3">
        <v>896738.51849999954</v>
      </c>
      <c r="C146" s="3">
        <v>5413472.1937000025</v>
      </c>
      <c r="D146" s="3">
        <v>886214.76940000139</v>
      </c>
      <c r="E146" s="3"/>
      <c r="F146" s="3">
        <v>7196425.481599994</v>
      </c>
      <c r="I146" t="s">
        <v>108</v>
      </c>
      <c r="J146" s="3">
        <v>896738.51849999954</v>
      </c>
      <c r="K146" s="3">
        <v>5413472.1937000025</v>
      </c>
      <c r="L146" s="3">
        <v>886214.76940000139</v>
      </c>
      <c r="M146" s="3"/>
      <c r="N146" s="3">
        <v>7196425.481599994</v>
      </c>
    </row>
    <row r="147" spans="1:14" x14ac:dyDescent="0.25">
      <c r="A147" t="s">
        <v>109</v>
      </c>
      <c r="B147" s="3">
        <v>932129.56290000037</v>
      </c>
      <c r="C147" s="3">
        <v>6271384.3671999825</v>
      </c>
      <c r="D147" s="3">
        <v>1054865.3451000024</v>
      </c>
      <c r="E147" s="3"/>
      <c r="F147" s="3">
        <v>8258379.2751999702</v>
      </c>
      <c r="I147" t="s">
        <v>109</v>
      </c>
      <c r="J147" s="3">
        <v>932129.56290000037</v>
      </c>
      <c r="K147" s="3">
        <v>6271384.3671999825</v>
      </c>
      <c r="L147" s="3">
        <v>1054865.3451000024</v>
      </c>
      <c r="M147" s="3"/>
      <c r="N147" s="3">
        <v>8258379.2751999702</v>
      </c>
    </row>
    <row r="148" spans="1:14" x14ac:dyDescent="0.25">
      <c r="A148" t="s">
        <v>110</v>
      </c>
      <c r="B148" s="3">
        <v>1025312.1705999988</v>
      </c>
      <c r="C148" s="3">
        <v>6777189.3236999623</v>
      </c>
      <c r="D148" s="3">
        <v>1277751.8358000058</v>
      </c>
      <c r="E148" s="3"/>
      <c r="F148" s="3">
        <v>9080253.3300999086</v>
      </c>
      <c r="I148" t="s">
        <v>110</v>
      </c>
      <c r="J148" s="3">
        <v>1025312.1705999988</v>
      </c>
      <c r="K148" s="3">
        <v>6777189.3236999623</v>
      </c>
      <c r="L148" s="3">
        <v>1277751.8358000058</v>
      </c>
      <c r="M148" s="3"/>
      <c r="N148" s="3">
        <v>9080253.3300999086</v>
      </c>
    </row>
    <row r="149" spans="1:14" x14ac:dyDescent="0.25">
      <c r="A149" t="s">
        <v>111</v>
      </c>
      <c r="B149" s="3">
        <v>834777.35750000062</v>
      </c>
      <c r="C149" s="3">
        <v>7372805.3019000012</v>
      </c>
      <c r="D149" s="3">
        <v>1111181.6849999984</v>
      </c>
      <c r="E149" s="3"/>
      <c r="F149" s="3">
        <v>9318764.3444000334</v>
      </c>
      <c r="I149" t="s">
        <v>111</v>
      </c>
      <c r="J149" s="3">
        <v>834777.35750000062</v>
      </c>
      <c r="K149" s="3">
        <v>7372805.3019000012</v>
      </c>
      <c r="L149" s="3">
        <v>1111181.6849999984</v>
      </c>
      <c r="M149" s="3"/>
      <c r="N149" s="3">
        <v>9318764.3444000334</v>
      </c>
    </row>
    <row r="150" spans="1:14" x14ac:dyDescent="0.25">
      <c r="A150" t="s">
        <v>112</v>
      </c>
      <c r="B150" s="3">
        <v>1357184.5668000013</v>
      </c>
      <c r="C150" s="3">
        <v>8581746.6442000028</v>
      </c>
      <c r="D150" s="3">
        <v>1584192.5867000003</v>
      </c>
      <c r="E150" s="3"/>
      <c r="F150" s="3">
        <v>11523123.797700023</v>
      </c>
      <c r="I150" t="s">
        <v>112</v>
      </c>
      <c r="J150" s="3">
        <v>1357184.5668000013</v>
      </c>
      <c r="K150" s="3">
        <v>8581746.6442000028</v>
      </c>
      <c r="L150" s="3">
        <v>1584192.5867000003</v>
      </c>
      <c r="M150" s="3"/>
      <c r="N150" s="3">
        <v>11523123.797700023</v>
      </c>
    </row>
    <row r="151" spans="1:14" x14ac:dyDescent="0.25">
      <c r="A151" t="s">
        <v>179</v>
      </c>
      <c r="B151" s="3">
        <v>0</v>
      </c>
      <c r="C151" s="3">
        <v>0</v>
      </c>
      <c r="D151" s="3">
        <v>0</v>
      </c>
      <c r="E151" s="3"/>
      <c r="F151" s="3">
        <v>0</v>
      </c>
      <c r="I151" t="s">
        <v>179</v>
      </c>
      <c r="J151" s="3">
        <v>0</v>
      </c>
      <c r="K151" s="3">
        <v>0</v>
      </c>
      <c r="L151" s="3">
        <v>0</v>
      </c>
      <c r="M151" s="3"/>
      <c r="N151" s="3">
        <v>0</v>
      </c>
    </row>
    <row r="152" spans="1:14" x14ac:dyDescent="0.25">
      <c r="A152" t="s">
        <v>180</v>
      </c>
      <c r="B152" s="3">
        <v>0</v>
      </c>
      <c r="C152" s="3">
        <v>0</v>
      </c>
      <c r="D152" s="3">
        <v>0</v>
      </c>
      <c r="E152" s="3"/>
      <c r="F152" s="3">
        <v>0</v>
      </c>
      <c r="I152" t="s">
        <v>180</v>
      </c>
      <c r="J152" s="3">
        <v>0</v>
      </c>
      <c r="K152" s="3">
        <v>0</v>
      </c>
      <c r="L152" s="3">
        <v>0</v>
      </c>
      <c r="M152" s="3"/>
      <c r="N152" s="3">
        <v>0</v>
      </c>
    </row>
    <row r="153" spans="1:14" x14ac:dyDescent="0.25">
      <c r="A153" t="s">
        <v>181</v>
      </c>
      <c r="B153" s="3">
        <v>0</v>
      </c>
      <c r="C153" s="3">
        <v>0</v>
      </c>
      <c r="D153" s="3">
        <v>0</v>
      </c>
      <c r="E153" s="3"/>
      <c r="F153" s="3">
        <v>0</v>
      </c>
      <c r="I153" t="s">
        <v>181</v>
      </c>
      <c r="J153" s="3">
        <v>0</v>
      </c>
      <c r="K153" s="3">
        <v>0</v>
      </c>
      <c r="L153" s="3">
        <v>0</v>
      </c>
      <c r="M153" s="3"/>
      <c r="N153" s="3">
        <v>0</v>
      </c>
    </row>
    <row r="154" spans="1:14" x14ac:dyDescent="0.25">
      <c r="A154" t="s">
        <v>182</v>
      </c>
      <c r="B154" s="3">
        <v>0</v>
      </c>
      <c r="C154" s="3">
        <v>0</v>
      </c>
      <c r="D154" s="3">
        <v>0</v>
      </c>
      <c r="E154" s="3"/>
      <c r="F154" s="3">
        <v>0</v>
      </c>
      <c r="I154" t="s">
        <v>182</v>
      </c>
      <c r="J154" s="3">
        <v>0</v>
      </c>
      <c r="K154" s="3">
        <v>0</v>
      </c>
      <c r="L154" s="3">
        <v>0</v>
      </c>
      <c r="M154" s="3"/>
      <c r="N154" s="3">
        <v>0</v>
      </c>
    </row>
    <row r="155" spans="1:14" x14ac:dyDescent="0.25">
      <c r="A155" t="s">
        <v>183</v>
      </c>
      <c r="B155" s="3">
        <v>0</v>
      </c>
      <c r="C155" s="3">
        <v>0</v>
      </c>
      <c r="D155" s="3">
        <v>0</v>
      </c>
      <c r="E155" s="3"/>
      <c r="F155" s="3">
        <v>0</v>
      </c>
      <c r="I155" t="s">
        <v>183</v>
      </c>
      <c r="J155" s="3">
        <v>0</v>
      </c>
      <c r="K155" s="3">
        <v>0</v>
      </c>
      <c r="L155" s="3">
        <v>0</v>
      </c>
      <c r="M155" s="3"/>
      <c r="N155" s="3">
        <v>0</v>
      </c>
    </row>
    <row r="156" spans="1:14" x14ac:dyDescent="0.25">
      <c r="A156" t="s">
        <v>184</v>
      </c>
      <c r="B156" s="3">
        <v>0</v>
      </c>
      <c r="C156" s="3">
        <v>0</v>
      </c>
      <c r="D156" s="3">
        <v>0</v>
      </c>
      <c r="E156" s="3"/>
      <c r="F156" s="3">
        <v>0</v>
      </c>
      <c r="I156" t="s">
        <v>184</v>
      </c>
      <c r="J156" s="3">
        <v>0</v>
      </c>
      <c r="K156" s="3">
        <v>0</v>
      </c>
      <c r="L156" s="3">
        <v>0</v>
      </c>
      <c r="M156" s="3"/>
      <c r="N156" s="3">
        <v>0</v>
      </c>
    </row>
    <row r="157" spans="1:14" x14ac:dyDescent="0.25">
      <c r="A157" t="s">
        <v>185</v>
      </c>
      <c r="B157" s="3">
        <v>0</v>
      </c>
      <c r="C157" s="3">
        <v>0</v>
      </c>
      <c r="D157" s="3">
        <v>0</v>
      </c>
      <c r="E157" s="3"/>
      <c r="F157" s="3">
        <v>0</v>
      </c>
      <c r="I157" t="s">
        <v>185</v>
      </c>
      <c r="J157" s="3">
        <v>0</v>
      </c>
      <c r="K157" s="3">
        <v>0</v>
      </c>
      <c r="L157" s="3">
        <v>0</v>
      </c>
      <c r="M157" s="3"/>
      <c r="N157" s="3">
        <v>0</v>
      </c>
    </row>
    <row r="158" spans="1:14" x14ac:dyDescent="0.25">
      <c r="A158" t="s">
        <v>186</v>
      </c>
      <c r="B158" s="3">
        <v>0</v>
      </c>
      <c r="C158" s="3">
        <v>0</v>
      </c>
      <c r="D158" s="3">
        <v>0</v>
      </c>
      <c r="E158" s="3"/>
      <c r="F158" s="3">
        <v>0</v>
      </c>
      <c r="I158" t="s">
        <v>186</v>
      </c>
      <c r="J158" s="3">
        <v>0</v>
      </c>
      <c r="K158" s="3">
        <v>0</v>
      </c>
      <c r="L158" s="3">
        <v>0</v>
      </c>
      <c r="M158" s="3"/>
      <c r="N158" s="3">
        <v>0</v>
      </c>
    </row>
    <row r="159" spans="1:14" x14ac:dyDescent="0.25">
      <c r="A159" t="s">
        <v>187</v>
      </c>
      <c r="B159" s="3">
        <v>0</v>
      </c>
      <c r="C159" s="3">
        <v>0</v>
      </c>
      <c r="D159" s="3">
        <v>0</v>
      </c>
      <c r="E159" s="3"/>
      <c r="F159" s="3">
        <v>0</v>
      </c>
      <c r="I159" t="s">
        <v>187</v>
      </c>
      <c r="J159" s="3">
        <v>0</v>
      </c>
      <c r="K159" s="3">
        <v>0</v>
      </c>
      <c r="L159" s="3">
        <v>0</v>
      </c>
      <c r="M159" s="3"/>
      <c r="N159" s="3">
        <v>0</v>
      </c>
    </row>
    <row r="160" spans="1:14" x14ac:dyDescent="0.25">
      <c r="A160" t="s">
        <v>188</v>
      </c>
      <c r="B160" s="3">
        <v>0</v>
      </c>
      <c r="C160" s="3">
        <v>0</v>
      </c>
      <c r="D160" s="3">
        <v>0</v>
      </c>
      <c r="E160" s="3"/>
      <c r="F160" s="3">
        <v>0</v>
      </c>
      <c r="I160" t="s">
        <v>188</v>
      </c>
      <c r="J160" s="3">
        <v>0</v>
      </c>
      <c r="K160" s="3">
        <v>0</v>
      </c>
      <c r="L160" s="3">
        <v>0</v>
      </c>
      <c r="M160" s="3"/>
      <c r="N160" s="3">
        <v>0</v>
      </c>
    </row>
    <row r="161" spans="1:14" x14ac:dyDescent="0.25">
      <c r="A161" t="s">
        <v>189</v>
      </c>
      <c r="B161" s="3">
        <v>0</v>
      </c>
      <c r="C161" s="3">
        <v>0</v>
      </c>
      <c r="D161" s="3">
        <v>0</v>
      </c>
      <c r="E161" s="3"/>
      <c r="F161" s="3">
        <v>0</v>
      </c>
      <c r="I161" t="s">
        <v>189</v>
      </c>
      <c r="J161" s="3">
        <v>0</v>
      </c>
      <c r="K161" s="3">
        <v>0</v>
      </c>
      <c r="L161" s="3">
        <v>0</v>
      </c>
      <c r="M161" s="3"/>
      <c r="N161" s="3">
        <v>0</v>
      </c>
    </row>
    <row r="162" spans="1:14" x14ac:dyDescent="0.25">
      <c r="A162" t="s">
        <v>190</v>
      </c>
      <c r="B162" s="3">
        <v>0</v>
      </c>
      <c r="C162" s="3">
        <v>0</v>
      </c>
      <c r="D162" s="3">
        <v>0</v>
      </c>
      <c r="E162" s="3"/>
      <c r="F162" s="3">
        <v>0</v>
      </c>
      <c r="I162" t="s">
        <v>190</v>
      </c>
      <c r="J162" s="3">
        <v>0</v>
      </c>
      <c r="K162" s="3">
        <v>0</v>
      </c>
      <c r="L162" s="3">
        <v>0</v>
      </c>
      <c r="M162" s="3"/>
      <c r="N162" s="3">
        <v>0</v>
      </c>
    </row>
    <row r="163" spans="1:14" x14ac:dyDescent="0.25">
      <c r="A163" t="s">
        <v>191</v>
      </c>
      <c r="B163" s="3">
        <v>0</v>
      </c>
      <c r="C163" s="3">
        <v>0</v>
      </c>
      <c r="D163" s="3">
        <v>0</v>
      </c>
      <c r="E163" s="3"/>
      <c r="F163" s="3">
        <v>0</v>
      </c>
      <c r="I163" t="s">
        <v>191</v>
      </c>
      <c r="J163" s="3">
        <v>0</v>
      </c>
      <c r="K163" s="3">
        <v>0</v>
      </c>
      <c r="L163" s="3">
        <v>0</v>
      </c>
      <c r="M163" s="3"/>
      <c r="N163" s="3">
        <v>0</v>
      </c>
    </row>
    <row r="164" spans="1:14" x14ac:dyDescent="0.25">
      <c r="A164" t="s">
        <v>113</v>
      </c>
      <c r="B164" s="3">
        <v>1574105.8237000017</v>
      </c>
      <c r="C164" s="3">
        <v>7600973.0117000174</v>
      </c>
      <c r="D164" s="3">
        <v>1875562.9764000031</v>
      </c>
      <c r="E164" s="3"/>
      <c r="F164" s="3">
        <v>11050641.811800031</v>
      </c>
      <c r="I164" t="s">
        <v>113</v>
      </c>
      <c r="J164" s="3">
        <v>1574105.8237000017</v>
      </c>
      <c r="K164" s="3">
        <v>7600973.0117000174</v>
      </c>
      <c r="L164" s="3">
        <v>1875562.9764000031</v>
      </c>
      <c r="M164" s="3"/>
      <c r="N164" s="3">
        <v>11050641.811800031</v>
      </c>
    </row>
    <row r="165" spans="1:14" x14ac:dyDescent="0.25">
      <c r="A165" t="s">
        <v>114</v>
      </c>
      <c r="B165" s="3">
        <v>416030.62960000068</v>
      </c>
      <c r="C165" s="3">
        <v>2414126.5189</v>
      </c>
      <c r="D165" s="3">
        <v>284652.14989999979</v>
      </c>
      <c r="E165" s="3"/>
      <c r="F165" s="3">
        <v>3114809.2984000002</v>
      </c>
      <c r="I165" t="s">
        <v>114</v>
      </c>
      <c r="J165" s="3">
        <v>416030.62960000068</v>
      </c>
      <c r="K165" s="3">
        <v>2414126.5189</v>
      </c>
      <c r="L165" s="3">
        <v>284652.14989999979</v>
      </c>
      <c r="M165" s="3"/>
      <c r="N165" s="3">
        <v>3114809.2984000002</v>
      </c>
    </row>
    <row r="166" spans="1:14" x14ac:dyDescent="0.25">
      <c r="A166" t="s">
        <v>115</v>
      </c>
      <c r="B166" s="3">
        <v>1617226.4406000029</v>
      </c>
      <c r="C166" s="3">
        <v>3960018.0135000008</v>
      </c>
      <c r="D166" s="3">
        <v>983733.03410000016</v>
      </c>
      <c r="E166" s="3"/>
      <c r="F166" s="3">
        <v>6560977.4881999688</v>
      </c>
      <c r="I166" t="s">
        <v>115</v>
      </c>
      <c r="J166" s="3">
        <v>1617226.4406000029</v>
      </c>
      <c r="K166" s="3">
        <v>3960018.0135000008</v>
      </c>
      <c r="L166" s="3">
        <v>983733.03410000016</v>
      </c>
      <c r="M166" s="3"/>
      <c r="N166" s="3">
        <v>6560977.4881999688</v>
      </c>
    </row>
    <row r="167" spans="1:14" x14ac:dyDescent="0.25">
      <c r="A167" t="s">
        <v>116</v>
      </c>
      <c r="B167" s="3">
        <v>1133676.3416000009</v>
      </c>
      <c r="C167" s="3">
        <v>3745459.3185000024</v>
      </c>
      <c r="D167" s="3">
        <v>867387.79079999879</v>
      </c>
      <c r="E167" s="3"/>
      <c r="F167" s="3">
        <v>5746523.4508999642</v>
      </c>
      <c r="I167" t="s">
        <v>116</v>
      </c>
      <c r="J167" s="3">
        <v>1133676.3416000009</v>
      </c>
      <c r="K167" s="3">
        <v>3745459.3185000024</v>
      </c>
      <c r="L167" s="3">
        <v>867387.79079999879</v>
      </c>
      <c r="M167" s="3"/>
      <c r="N167" s="3">
        <v>5746523.4508999642</v>
      </c>
    </row>
    <row r="168" spans="1:14" x14ac:dyDescent="0.25">
      <c r="A168" t="s">
        <v>117</v>
      </c>
      <c r="B168" s="3">
        <v>1036537.2923999984</v>
      </c>
      <c r="C168" s="3">
        <v>3882948.8084999919</v>
      </c>
      <c r="D168" s="3">
        <v>705368.75089999975</v>
      </c>
      <c r="E168" s="3"/>
      <c r="F168" s="3">
        <v>5624854.8517999453</v>
      </c>
      <c r="I168" t="s">
        <v>117</v>
      </c>
      <c r="J168" s="3">
        <v>1036537.2923999984</v>
      </c>
      <c r="K168" s="3">
        <v>3882948.8084999919</v>
      </c>
      <c r="L168" s="3">
        <v>705368.75089999975</v>
      </c>
      <c r="M168" s="3"/>
      <c r="N168" s="3">
        <v>5624854.8517999453</v>
      </c>
    </row>
    <row r="169" spans="1:14" x14ac:dyDescent="0.25">
      <c r="A169" t="s">
        <v>118</v>
      </c>
      <c r="B169" s="3">
        <v>782166.7299999994</v>
      </c>
      <c r="C169" s="3">
        <v>4139728.8028999921</v>
      </c>
      <c r="D169" s="3">
        <v>831940.1806999984</v>
      </c>
      <c r="E169" s="3"/>
      <c r="F169" s="3">
        <v>5753835.7135999911</v>
      </c>
      <c r="I169" t="s">
        <v>118</v>
      </c>
      <c r="J169" s="3">
        <v>782166.7299999994</v>
      </c>
      <c r="K169" s="3">
        <v>4139728.8028999921</v>
      </c>
      <c r="L169" s="3">
        <v>831940.1806999984</v>
      </c>
      <c r="M169" s="3"/>
      <c r="N169" s="3">
        <v>5753835.7135999911</v>
      </c>
    </row>
    <row r="170" spans="1:14" x14ac:dyDescent="0.25">
      <c r="A170" t="s">
        <v>119</v>
      </c>
      <c r="B170" s="3">
        <v>1399174.0269999988</v>
      </c>
      <c r="C170" s="3">
        <v>3922175.3760000025</v>
      </c>
      <c r="D170" s="3">
        <v>1114268.3917000017</v>
      </c>
      <c r="E170" s="3"/>
      <c r="F170" s="3">
        <v>6435617.7947000097</v>
      </c>
      <c r="I170" t="s">
        <v>119</v>
      </c>
      <c r="J170" s="3">
        <v>1399174.0269999988</v>
      </c>
      <c r="K170" s="3">
        <v>3922175.3760000025</v>
      </c>
      <c r="L170" s="3">
        <v>1114268.3917000017</v>
      </c>
      <c r="M170" s="3"/>
      <c r="N170" s="3">
        <v>6435617.7947000097</v>
      </c>
    </row>
    <row r="171" spans="1:14" x14ac:dyDescent="0.25">
      <c r="A171" t="s">
        <v>192</v>
      </c>
      <c r="B171" s="3">
        <v>570955.74709999934</v>
      </c>
      <c r="C171" s="3">
        <v>3682382.3065999798</v>
      </c>
      <c r="D171" s="3">
        <v>649923.68129999924</v>
      </c>
      <c r="E171" s="3"/>
      <c r="F171" s="3">
        <v>4903261.7349999845</v>
      </c>
      <c r="I171" t="s">
        <v>192</v>
      </c>
      <c r="J171" s="3">
        <v>570955.74709999934</v>
      </c>
      <c r="K171" s="3">
        <v>3682382.3065999798</v>
      </c>
      <c r="L171" s="3">
        <v>649923.68129999924</v>
      </c>
      <c r="M171" s="3"/>
      <c r="N171" s="3">
        <v>4903261.7349999845</v>
      </c>
    </row>
    <row r="172" spans="1:14" x14ac:dyDescent="0.25">
      <c r="A172" t="s">
        <v>193</v>
      </c>
      <c r="B172" s="3">
        <v>376597.69059999991</v>
      </c>
      <c r="C172" s="3">
        <v>3500684.4001000007</v>
      </c>
      <c r="D172" s="3">
        <v>444559.84099999932</v>
      </c>
      <c r="E172" s="3"/>
      <c r="F172" s="3">
        <v>4321841.9317000052</v>
      </c>
      <c r="I172" t="s">
        <v>193</v>
      </c>
      <c r="J172" s="3">
        <v>376597.69059999991</v>
      </c>
      <c r="K172" s="3">
        <v>3500684.4001000007</v>
      </c>
      <c r="L172" s="3">
        <v>444559.84099999932</v>
      </c>
      <c r="M172" s="3"/>
      <c r="N172" s="3">
        <v>4321841.9317000052</v>
      </c>
    </row>
    <row r="173" spans="1:14" x14ac:dyDescent="0.25">
      <c r="A173" t="s">
        <v>194</v>
      </c>
      <c r="B173" s="3">
        <v>2157.2727</v>
      </c>
      <c r="C173" s="3">
        <v>0</v>
      </c>
      <c r="D173" s="3">
        <v>1212.7273</v>
      </c>
      <c r="E173" s="3"/>
      <c r="F173" s="3">
        <v>3370.0000000000005</v>
      </c>
      <c r="I173" t="s">
        <v>194</v>
      </c>
      <c r="J173" s="3">
        <v>2157.2727</v>
      </c>
      <c r="K173" s="3">
        <v>0</v>
      </c>
      <c r="L173" s="3">
        <v>1212.7273</v>
      </c>
      <c r="M173" s="3"/>
      <c r="N173" s="3">
        <v>3370.0000000000005</v>
      </c>
    </row>
    <row r="174" spans="1:14" x14ac:dyDescent="0.25">
      <c r="A174" t="s">
        <v>195</v>
      </c>
      <c r="B174" s="3">
        <v>0</v>
      </c>
      <c r="C174" s="3">
        <v>0</v>
      </c>
      <c r="D174" s="3">
        <v>0</v>
      </c>
      <c r="E174" s="3"/>
      <c r="F174" s="3">
        <v>0</v>
      </c>
      <c r="I174" t="s">
        <v>195</v>
      </c>
      <c r="J174" s="3">
        <v>0</v>
      </c>
      <c r="K174" s="3">
        <v>0</v>
      </c>
      <c r="L174" s="3">
        <v>0</v>
      </c>
      <c r="M174" s="3"/>
      <c r="N174" s="3">
        <v>0</v>
      </c>
    </row>
    <row r="175" spans="1:14" x14ac:dyDescent="0.25">
      <c r="A175" t="s">
        <v>196</v>
      </c>
      <c r="B175" s="3">
        <v>0</v>
      </c>
      <c r="C175" s="3">
        <v>0</v>
      </c>
      <c r="D175" s="3">
        <v>0</v>
      </c>
      <c r="E175" s="3"/>
      <c r="F175" s="3">
        <v>0</v>
      </c>
      <c r="I175" t="s">
        <v>196</v>
      </c>
      <c r="J175" s="3">
        <v>0</v>
      </c>
      <c r="K175" s="3">
        <v>0</v>
      </c>
      <c r="L175" s="3">
        <v>0</v>
      </c>
      <c r="M175" s="3"/>
      <c r="N175" s="3">
        <v>0</v>
      </c>
    </row>
    <row r="176" spans="1:14" x14ac:dyDescent="0.25">
      <c r="A176" t="s">
        <v>197</v>
      </c>
      <c r="B176" s="3">
        <v>0</v>
      </c>
      <c r="C176" s="3">
        <v>0</v>
      </c>
      <c r="D176" s="3">
        <v>0</v>
      </c>
      <c r="E176" s="3"/>
      <c r="F176" s="3">
        <v>0</v>
      </c>
      <c r="I176" t="s">
        <v>197</v>
      </c>
      <c r="J176" s="3">
        <v>0</v>
      </c>
      <c r="K176" s="3">
        <v>0</v>
      </c>
      <c r="L176" s="3">
        <v>0</v>
      </c>
      <c r="M176" s="3"/>
      <c r="N176" s="3">
        <v>0</v>
      </c>
    </row>
    <row r="177" spans="1:14" x14ac:dyDescent="0.25">
      <c r="A177" t="s">
        <v>198</v>
      </c>
      <c r="B177" s="3">
        <v>0</v>
      </c>
      <c r="C177" s="3">
        <v>0</v>
      </c>
      <c r="D177" s="3">
        <v>0</v>
      </c>
      <c r="E177" s="3"/>
      <c r="F177" s="3">
        <v>0</v>
      </c>
      <c r="I177" t="s">
        <v>198</v>
      </c>
      <c r="J177" s="3">
        <v>0</v>
      </c>
      <c r="K177" s="3">
        <v>0</v>
      </c>
      <c r="L177" s="3">
        <v>0</v>
      </c>
      <c r="M177" s="3"/>
      <c r="N177" s="3">
        <v>0</v>
      </c>
    </row>
    <row r="178" spans="1:14" x14ac:dyDescent="0.25">
      <c r="A178" t="s">
        <v>199</v>
      </c>
      <c r="B178" s="3">
        <v>0</v>
      </c>
      <c r="C178" s="3">
        <v>0</v>
      </c>
      <c r="D178" s="3">
        <v>0</v>
      </c>
      <c r="E178" s="3"/>
      <c r="F178" s="3">
        <v>0</v>
      </c>
      <c r="I178" t="s">
        <v>199</v>
      </c>
      <c r="J178" s="3">
        <v>0</v>
      </c>
      <c r="K178" s="3">
        <v>0</v>
      </c>
      <c r="L178" s="3">
        <v>0</v>
      </c>
      <c r="M178" s="3"/>
      <c r="N178" s="3">
        <v>0</v>
      </c>
    </row>
    <row r="179" spans="1:14" x14ac:dyDescent="0.25">
      <c r="A179" t="s">
        <v>200</v>
      </c>
      <c r="B179" s="3">
        <v>0</v>
      </c>
      <c r="C179" s="3">
        <v>0</v>
      </c>
      <c r="D179" s="3">
        <v>0</v>
      </c>
      <c r="E179" s="3"/>
      <c r="F179" s="3">
        <v>0</v>
      </c>
      <c r="I179" t="s">
        <v>200</v>
      </c>
      <c r="J179" s="3">
        <v>0</v>
      </c>
      <c r="K179" s="3">
        <v>0</v>
      </c>
      <c r="L179" s="3">
        <v>0</v>
      </c>
      <c r="M179" s="3"/>
      <c r="N179" s="3">
        <v>0</v>
      </c>
    </row>
    <row r="180" spans="1:14" x14ac:dyDescent="0.25">
      <c r="A180" t="s">
        <v>201</v>
      </c>
      <c r="B180" s="3">
        <v>0</v>
      </c>
      <c r="C180" s="3">
        <v>0</v>
      </c>
      <c r="D180" s="3">
        <v>0</v>
      </c>
      <c r="E180" s="3"/>
      <c r="F180" s="3">
        <v>0</v>
      </c>
      <c r="I180" t="s">
        <v>201</v>
      </c>
      <c r="J180" s="3">
        <v>0</v>
      </c>
      <c r="K180" s="3">
        <v>0</v>
      </c>
      <c r="L180" s="3">
        <v>0</v>
      </c>
      <c r="M180" s="3"/>
      <c r="N180" s="3">
        <v>0</v>
      </c>
    </row>
    <row r="181" spans="1:14" x14ac:dyDescent="0.25">
      <c r="A181" t="s">
        <v>202</v>
      </c>
      <c r="B181" s="3">
        <v>0</v>
      </c>
      <c r="C181" s="3">
        <v>0</v>
      </c>
      <c r="D181" s="3">
        <v>0</v>
      </c>
      <c r="E181" s="3"/>
      <c r="F181" s="3">
        <v>0</v>
      </c>
      <c r="I181" t="s">
        <v>202</v>
      </c>
      <c r="J181" s="3">
        <v>0</v>
      </c>
      <c r="K181" s="3">
        <v>0</v>
      </c>
      <c r="L181" s="3">
        <v>0</v>
      </c>
      <c r="M181" s="3"/>
      <c r="N181" s="3">
        <v>0</v>
      </c>
    </row>
    <row r="182" spans="1:14" x14ac:dyDescent="0.25">
      <c r="A182" t="s">
        <v>203</v>
      </c>
      <c r="B182" s="3">
        <v>0</v>
      </c>
      <c r="C182" s="3">
        <v>0</v>
      </c>
      <c r="D182" s="3">
        <v>0</v>
      </c>
      <c r="E182" s="3"/>
      <c r="F182" s="3">
        <v>0</v>
      </c>
      <c r="I182" t="s">
        <v>203</v>
      </c>
      <c r="J182" s="3">
        <v>0</v>
      </c>
      <c r="K182" s="3">
        <v>0</v>
      </c>
      <c r="L182" s="3">
        <v>0</v>
      </c>
      <c r="M182" s="3"/>
      <c r="N182" s="3">
        <v>0</v>
      </c>
    </row>
    <row r="183" spans="1:14" x14ac:dyDescent="0.25">
      <c r="A183" t="s">
        <v>204</v>
      </c>
      <c r="B183" s="3">
        <v>0</v>
      </c>
      <c r="C183" s="3">
        <v>0</v>
      </c>
      <c r="D183" s="3">
        <v>0</v>
      </c>
      <c r="E183" s="3"/>
      <c r="F183" s="3">
        <v>0</v>
      </c>
      <c r="I183" t="s">
        <v>204</v>
      </c>
      <c r="J183" s="3">
        <v>0</v>
      </c>
      <c r="K183" s="3">
        <v>0</v>
      </c>
      <c r="L183" s="3">
        <v>0</v>
      </c>
      <c r="M183" s="3"/>
      <c r="N183" s="3">
        <v>0</v>
      </c>
    </row>
    <row r="184" spans="1:14" x14ac:dyDescent="0.25">
      <c r="A184" t="s">
        <v>205</v>
      </c>
      <c r="B184" s="3">
        <v>0</v>
      </c>
      <c r="C184" s="3">
        <v>0</v>
      </c>
      <c r="D184" s="3">
        <v>0</v>
      </c>
      <c r="E184" s="3"/>
      <c r="F184" s="3">
        <v>0</v>
      </c>
      <c r="I184" t="s">
        <v>205</v>
      </c>
      <c r="J184" s="3">
        <v>0</v>
      </c>
      <c r="K184" s="3">
        <v>0</v>
      </c>
      <c r="L184" s="3">
        <v>0</v>
      </c>
      <c r="M184" s="3"/>
      <c r="N184" s="3">
        <v>0</v>
      </c>
    </row>
    <row r="185" spans="1:14" x14ac:dyDescent="0.25">
      <c r="A185" t="s">
        <v>206</v>
      </c>
      <c r="B185" s="3">
        <v>0</v>
      </c>
      <c r="C185" s="3">
        <v>0</v>
      </c>
      <c r="D185" s="3">
        <v>0</v>
      </c>
      <c r="E185" s="3"/>
      <c r="F185" s="3">
        <v>0</v>
      </c>
      <c r="I185" t="s">
        <v>206</v>
      </c>
      <c r="J185" s="3">
        <v>0</v>
      </c>
      <c r="K185" s="3">
        <v>0</v>
      </c>
      <c r="L185" s="3">
        <v>0</v>
      </c>
      <c r="M185" s="3"/>
      <c r="N185" s="3">
        <v>0</v>
      </c>
    </row>
    <row r="186" spans="1:14" x14ac:dyDescent="0.25">
      <c r="A186" t="s">
        <v>207</v>
      </c>
      <c r="B186" s="3">
        <v>0</v>
      </c>
      <c r="C186" s="3">
        <v>0</v>
      </c>
      <c r="D186" s="3">
        <v>0</v>
      </c>
      <c r="E186" s="3"/>
      <c r="F186" s="3">
        <v>0</v>
      </c>
      <c r="I186" t="s">
        <v>207</v>
      </c>
      <c r="J186" s="3">
        <v>0</v>
      </c>
      <c r="K186" s="3">
        <v>0</v>
      </c>
      <c r="L186" s="3">
        <v>0</v>
      </c>
      <c r="M186" s="3"/>
      <c r="N186" s="3">
        <v>0</v>
      </c>
    </row>
    <row r="187" spans="1:14" x14ac:dyDescent="0.25">
      <c r="A187" t="s">
        <v>208</v>
      </c>
      <c r="B187" s="3">
        <v>0</v>
      </c>
      <c r="C187" s="3">
        <v>0</v>
      </c>
      <c r="D187" s="3">
        <v>0</v>
      </c>
      <c r="E187" s="3"/>
      <c r="F187" s="3">
        <v>0</v>
      </c>
      <c r="I187" t="s">
        <v>208</v>
      </c>
      <c r="J187" s="3">
        <v>0</v>
      </c>
      <c r="K187" s="3">
        <v>0</v>
      </c>
      <c r="L187" s="3">
        <v>0</v>
      </c>
      <c r="M187" s="3"/>
      <c r="N187" s="3">
        <v>0</v>
      </c>
    </row>
    <row r="188" spans="1:14" x14ac:dyDescent="0.25">
      <c r="A188" t="s">
        <v>209</v>
      </c>
      <c r="B188" s="3">
        <v>0</v>
      </c>
      <c r="C188" s="3">
        <v>0</v>
      </c>
      <c r="D188" s="3">
        <v>0</v>
      </c>
      <c r="E188" s="3"/>
      <c r="F188" s="3">
        <v>0</v>
      </c>
      <c r="I188" t="s">
        <v>209</v>
      </c>
      <c r="J188" s="3">
        <v>0</v>
      </c>
      <c r="K188" s="3">
        <v>0</v>
      </c>
      <c r="L188" s="3">
        <v>0</v>
      </c>
      <c r="M188" s="3"/>
      <c r="N188" s="3">
        <v>0</v>
      </c>
    </row>
    <row r="189" spans="1:14" x14ac:dyDescent="0.25">
      <c r="A189" t="s">
        <v>210</v>
      </c>
      <c r="B189" s="3">
        <v>0</v>
      </c>
      <c r="C189" s="3">
        <v>0</v>
      </c>
      <c r="D189" s="3">
        <v>0</v>
      </c>
      <c r="E189" s="3"/>
      <c r="F189" s="3">
        <v>0</v>
      </c>
      <c r="I189" t="s">
        <v>210</v>
      </c>
      <c r="J189" s="3">
        <v>0</v>
      </c>
      <c r="K189" s="3">
        <v>0</v>
      </c>
      <c r="L189" s="3">
        <v>0</v>
      </c>
      <c r="M189" s="3"/>
      <c r="N189" s="3">
        <v>0</v>
      </c>
    </row>
    <row r="190" spans="1:14" x14ac:dyDescent="0.25">
      <c r="A190" t="s">
        <v>211</v>
      </c>
      <c r="B190" s="3">
        <v>0</v>
      </c>
      <c r="C190" s="3">
        <v>0</v>
      </c>
      <c r="D190" s="3">
        <v>0</v>
      </c>
      <c r="E190" s="3"/>
      <c r="F190" s="3">
        <v>0</v>
      </c>
      <c r="I190" t="s">
        <v>211</v>
      </c>
      <c r="J190" s="3">
        <v>0</v>
      </c>
      <c r="K190" s="3">
        <v>0</v>
      </c>
      <c r="L190" s="3">
        <v>0</v>
      </c>
      <c r="M190" s="3"/>
      <c r="N190" s="3">
        <v>0</v>
      </c>
    </row>
    <row r="191" spans="1:14" x14ac:dyDescent="0.25">
      <c r="A191" t="s">
        <v>212</v>
      </c>
      <c r="B191" s="3">
        <v>0</v>
      </c>
      <c r="C191" s="3">
        <v>0</v>
      </c>
      <c r="D191" s="3">
        <v>0</v>
      </c>
      <c r="E191" s="3"/>
      <c r="F191" s="3">
        <v>0</v>
      </c>
      <c r="I191" t="s">
        <v>212</v>
      </c>
      <c r="J191" s="3">
        <v>0</v>
      </c>
      <c r="K191" s="3">
        <v>0</v>
      </c>
      <c r="L191" s="3">
        <v>0</v>
      </c>
      <c r="M191" s="3"/>
      <c r="N191" s="3">
        <v>0</v>
      </c>
    </row>
    <row r="192" spans="1:14" x14ac:dyDescent="0.25">
      <c r="A192" t="s">
        <v>213</v>
      </c>
      <c r="B192" s="3">
        <v>0</v>
      </c>
      <c r="C192" s="3">
        <v>0</v>
      </c>
      <c r="D192" s="3">
        <v>0</v>
      </c>
      <c r="E192" s="3"/>
      <c r="F192" s="3">
        <v>0</v>
      </c>
      <c r="I192" t="s">
        <v>213</v>
      </c>
      <c r="J192" s="3">
        <v>0</v>
      </c>
      <c r="K192" s="3">
        <v>0</v>
      </c>
      <c r="L192" s="3">
        <v>0</v>
      </c>
      <c r="M192" s="3"/>
      <c r="N192" s="3">
        <v>0</v>
      </c>
    </row>
    <row r="193" spans="1:14" x14ac:dyDescent="0.25">
      <c r="A193" t="s">
        <v>214</v>
      </c>
      <c r="B193" s="3">
        <v>0</v>
      </c>
      <c r="C193" s="3">
        <v>0</v>
      </c>
      <c r="D193" s="3">
        <v>0</v>
      </c>
      <c r="E193" s="3"/>
      <c r="F193" s="3">
        <v>0</v>
      </c>
      <c r="I193" t="s">
        <v>214</v>
      </c>
      <c r="J193" s="3">
        <v>0</v>
      </c>
      <c r="K193" s="3">
        <v>0</v>
      </c>
      <c r="L193" s="3">
        <v>0</v>
      </c>
      <c r="M193" s="3"/>
      <c r="N193" s="3">
        <v>0</v>
      </c>
    </row>
    <row r="194" spans="1:14" x14ac:dyDescent="0.25">
      <c r="A194" t="s">
        <v>215</v>
      </c>
      <c r="B194" s="3">
        <v>0</v>
      </c>
      <c r="C194" s="3">
        <v>0</v>
      </c>
      <c r="D194" s="3">
        <v>0</v>
      </c>
      <c r="E194" s="3"/>
      <c r="F194" s="3">
        <v>0</v>
      </c>
      <c r="I194" t="s">
        <v>215</v>
      </c>
      <c r="J194" s="3">
        <v>0</v>
      </c>
      <c r="K194" s="3">
        <v>0</v>
      </c>
      <c r="L194" s="3">
        <v>0</v>
      </c>
      <c r="M194" s="3"/>
      <c r="N194" s="3">
        <v>0</v>
      </c>
    </row>
    <row r="195" spans="1:14" x14ac:dyDescent="0.25">
      <c r="A195" t="s">
        <v>216</v>
      </c>
      <c r="B195" s="3">
        <v>0</v>
      </c>
      <c r="C195" s="3">
        <v>0</v>
      </c>
      <c r="D195" s="3">
        <v>0</v>
      </c>
      <c r="E195" s="3"/>
      <c r="F195" s="3">
        <v>0</v>
      </c>
      <c r="I195" t="s">
        <v>216</v>
      </c>
      <c r="J195" s="3">
        <v>0</v>
      </c>
      <c r="K195" s="3">
        <v>0</v>
      </c>
      <c r="L195" s="3">
        <v>0</v>
      </c>
      <c r="M195" s="3"/>
      <c r="N195" s="3">
        <v>0</v>
      </c>
    </row>
    <row r="196" spans="1:14" x14ac:dyDescent="0.25">
      <c r="A196" t="s">
        <v>217</v>
      </c>
      <c r="B196" s="3">
        <v>0</v>
      </c>
      <c r="C196" s="3">
        <v>0</v>
      </c>
      <c r="D196" s="3">
        <v>0</v>
      </c>
      <c r="E196" s="3"/>
      <c r="F196" s="3">
        <v>0</v>
      </c>
      <c r="I196" t="s">
        <v>217</v>
      </c>
      <c r="J196" s="3">
        <v>0</v>
      </c>
      <c r="K196" s="3">
        <v>0</v>
      </c>
      <c r="L196" s="3">
        <v>0</v>
      </c>
      <c r="M196" s="3"/>
      <c r="N196" s="3">
        <v>0</v>
      </c>
    </row>
    <row r="197" spans="1:14" x14ac:dyDescent="0.25">
      <c r="A197" t="s">
        <v>218</v>
      </c>
      <c r="B197" s="3">
        <v>0</v>
      </c>
      <c r="C197" s="3">
        <v>0</v>
      </c>
      <c r="D197" s="3">
        <v>0</v>
      </c>
      <c r="E197" s="3"/>
      <c r="F197" s="3">
        <v>0</v>
      </c>
      <c r="I197" t="s">
        <v>218</v>
      </c>
      <c r="J197" s="3">
        <v>0</v>
      </c>
      <c r="K197" s="3">
        <v>0</v>
      </c>
      <c r="L197" s="3">
        <v>0</v>
      </c>
      <c r="M197" s="3"/>
      <c r="N197" s="3">
        <v>0</v>
      </c>
    </row>
    <row r="198" spans="1:14" x14ac:dyDescent="0.25">
      <c r="A198" t="s">
        <v>219</v>
      </c>
      <c r="B198" s="3">
        <v>0</v>
      </c>
      <c r="C198" s="3">
        <v>0</v>
      </c>
      <c r="D198" s="3">
        <v>0</v>
      </c>
      <c r="E198" s="3"/>
      <c r="F198" s="3">
        <v>0</v>
      </c>
      <c r="I198" t="s">
        <v>219</v>
      </c>
      <c r="J198" s="3">
        <v>0</v>
      </c>
      <c r="K198" s="3">
        <v>0</v>
      </c>
      <c r="L198" s="3">
        <v>0</v>
      </c>
      <c r="M198" s="3"/>
      <c r="N198" s="3">
        <v>0</v>
      </c>
    </row>
    <row r="199" spans="1:14" x14ac:dyDescent="0.25">
      <c r="A199" t="s">
        <v>220</v>
      </c>
      <c r="B199" s="3">
        <v>0</v>
      </c>
      <c r="C199" s="3">
        <v>0</v>
      </c>
      <c r="D199" s="3">
        <v>0</v>
      </c>
      <c r="E199" s="3"/>
      <c r="F199" s="3">
        <v>0</v>
      </c>
      <c r="I199" t="s">
        <v>220</v>
      </c>
      <c r="J199" s="3">
        <v>0</v>
      </c>
      <c r="K199" s="3">
        <v>0</v>
      </c>
      <c r="L199" s="3">
        <v>0</v>
      </c>
      <c r="M199" s="3"/>
      <c r="N199" s="3">
        <v>0</v>
      </c>
    </row>
    <row r="200" spans="1:14" x14ac:dyDescent="0.25">
      <c r="A200" t="s">
        <v>221</v>
      </c>
      <c r="B200" s="3">
        <v>0</v>
      </c>
      <c r="C200" s="3">
        <v>0</v>
      </c>
      <c r="D200" s="3">
        <v>0</v>
      </c>
      <c r="E200" s="3"/>
      <c r="F200" s="3">
        <v>0</v>
      </c>
      <c r="I200" t="s">
        <v>221</v>
      </c>
      <c r="J200" s="3">
        <v>0</v>
      </c>
      <c r="K200" s="3">
        <v>0</v>
      </c>
      <c r="L200" s="3">
        <v>0</v>
      </c>
      <c r="M200" s="3"/>
      <c r="N200" s="3">
        <v>0</v>
      </c>
    </row>
    <row r="201" spans="1:14" x14ac:dyDescent="0.25">
      <c r="A201" t="s">
        <v>222</v>
      </c>
      <c r="B201" s="3">
        <v>0</v>
      </c>
      <c r="C201" s="3">
        <v>0</v>
      </c>
      <c r="D201" s="3">
        <v>0</v>
      </c>
      <c r="E201" s="3"/>
      <c r="F201" s="3">
        <v>0</v>
      </c>
      <c r="I201" t="s">
        <v>222</v>
      </c>
      <c r="J201" s="3">
        <v>0</v>
      </c>
      <c r="K201" s="3">
        <v>0</v>
      </c>
      <c r="L201" s="3">
        <v>0</v>
      </c>
      <c r="M201" s="3"/>
      <c r="N201" s="3">
        <v>0</v>
      </c>
    </row>
    <row r="202" spans="1:14" x14ac:dyDescent="0.25">
      <c r="A202" t="s">
        <v>223</v>
      </c>
      <c r="B202" s="3">
        <v>0</v>
      </c>
      <c r="C202" s="3">
        <v>0</v>
      </c>
      <c r="D202" s="3">
        <v>0</v>
      </c>
      <c r="E202" s="3"/>
      <c r="F202" s="3">
        <v>0</v>
      </c>
      <c r="I202" t="s">
        <v>223</v>
      </c>
      <c r="J202" s="3">
        <v>0</v>
      </c>
      <c r="K202" s="3">
        <v>0</v>
      </c>
      <c r="L202" s="3">
        <v>0</v>
      </c>
      <c r="M202" s="3"/>
      <c r="N202" s="3">
        <v>0</v>
      </c>
    </row>
    <row r="203" spans="1:14" x14ac:dyDescent="0.25">
      <c r="A203" t="s">
        <v>224</v>
      </c>
      <c r="B203" s="3">
        <v>0</v>
      </c>
      <c r="C203" s="3">
        <v>0</v>
      </c>
      <c r="D203" s="3">
        <v>0</v>
      </c>
      <c r="E203" s="3"/>
      <c r="F203" s="3">
        <v>0</v>
      </c>
      <c r="I203" t="s">
        <v>224</v>
      </c>
      <c r="J203" s="3">
        <v>0</v>
      </c>
      <c r="K203" s="3">
        <v>0</v>
      </c>
      <c r="L203" s="3">
        <v>0</v>
      </c>
      <c r="M203" s="3"/>
      <c r="N203" s="3">
        <v>0</v>
      </c>
    </row>
    <row r="204" spans="1:14" x14ac:dyDescent="0.25">
      <c r="A204" t="s">
        <v>225</v>
      </c>
      <c r="B204" s="3">
        <v>0</v>
      </c>
      <c r="C204" s="3">
        <v>0</v>
      </c>
      <c r="D204" s="3">
        <v>0</v>
      </c>
      <c r="E204" s="3"/>
      <c r="F204" s="3">
        <v>0</v>
      </c>
      <c r="I204" t="s">
        <v>225</v>
      </c>
      <c r="J204" s="3">
        <v>0</v>
      </c>
      <c r="K204" s="3">
        <v>0</v>
      </c>
      <c r="L204" s="3">
        <v>0</v>
      </c>
      <c r="M204" s="3"/>
      <c r="N204" s="3">
        <v>0</v>
      </c>
    </row>
    <row r="205" spans="1:14" x14ac:dyDescent="0.25">
      <c r="A205" t="s">
        <v>226</v>
      </c>
      <c r="B205" s="3">
        <v>0</v>
      </c>
      <c r="C205" s="3">
        <v>0</v>
      </c>
      <c r="D205" s="3">
        <v>0</v>
      </c>
      <c r="E205" s="3"/>
      <c r="F205" s="3">
        <v>0</v>
      </c>
      <c r="I205" t="s">
        <v>226</v>
      </c>
      <c r="J205" s="3">
        <v>0</v>
      </c>
      <c r="K205" s="3">
        <v>0</v>
      </c>
      <c r="L205" s="3">
        <v>0</v>
      </c>
      <c r="M205" s="3"/>
      <c r="N205" s="3">
        <v>0</v>
      </c>
    </row>
    <row r="206" spans="1:14" x14ac:dyDescent="0.25">
      <c r="A206" t="s">
        <v>227</v>
      </c>
      <c r="B206" s="3">
        <v>0</v>
      </c>
      <c r="C206" s="3">
        <v>0</v>
      </c>
      <c r="D206" s="3">
        <v>0</v>
      </c>
      <c r="E206" s="3"/>
      <c r="F206" s="3">
        <v>0</v>
      </c>
      <c r="I206" t="s">
        <v>227</v>
      </c>
      <c r="J206" s="3">
        <v>0</v>
      </c>
      <c r="K206" s="3">
        <v>0</v>
      </c>
      <c r="L206" s="3">
        <v>0</v>
      </c>
      <c r="M206" s="3"/>
      <c r="N206" s="3">
        <v>0</v>
      </c>
    </row>
    <row r="207" spans="1:14" x14ac:dyDescent="0.25">
      <c r="A207" t="s">
        <v>228</v>
      </c>
      <c r="B207" s="3">
        <v>0</v>
      </c>
      <c r="C207" s="3">
        <v>0</v>
      </c>
      <c r="D207" s="3">
        <v>0</v>
      </c>
      <c r="E207" s="3"/>
      <c r="F207" s="3">
        <v>0</v>
      </c>
      <c r="I207" t="s">
        <v>228</v>
      </c>
      <c r="J207" s="3">
        <v>0</v>
      </c>
      <c r="K207" s="3">
        <v>0</v>
      </c>
      <c r="L207" s="3">
        <v>0</v>
      </c>
      <c r="M207" s="3"/>
      <c r="N207" s="3">
        <v>0</v>
      </c>
    </row>
    <row r="208" spans="1:14" x14ac:dyDescent="0.25">
      <c r="A208" t="s">
        <v>229</v>
      </c>
      <c r="B208" s="3">
        <v>0</v>
      </c>
      <c r="C208" s="3">
        <v>0</v>
      </c>
      <c r="D208" s="3">
        <v>0</v>
      </c>
      <c r="E208" s="3"/>
      <c r="F208" s="3">
        <v>0</v>
      </c>
      <c r="I208" t="s">
        <v>229</v>
      </c>
      <c r="J208" s="3">
        <v>0</v>
      </c>
      <c r="K208" s="3">
        <v>0</v>
      </c>
      <c r="L208" s="3">
        <v>0</v>
      </c>
      <c r="M208" s="3"/>
      <c r="N208" s="3">
        <v>0</v>
      </c>
    </row>
    <row r="209" spans="1:14" x14ac:dyDescent="0.25">
      <c r="A209" t="s">
        <v>230</v>
      </c>
      <c r="B209" s="3">
        <v>0</v>
      </c>
      <c r="C209" s="3">
        <v>0</v>
      </c>
      <c r="D209" s="3">
        <v>0</v>
      </c>
      <c r="E209" s="3"/>
      <c r="F209" s="3">
        <v>0</v>
      </c>
      <c r="I209" t="s">
        <v>230</v>
      </c>
      <c r="J209" s="3">
        <v>0</v>
      </c>
      <c r="K209" s="3">
        <v>0</v>
      </c>
      <c r="L209" s="3">
        <v>0</v>
      </c>
      <c r="M209" s="3"/>
      <c r="N209" s="3">
        <v>0</v>
      </c>
    </row>
    <row r="210" spans="1:14" x14ac:dyDescent="0.25">
      <c r="A210" t="s">
        <v>231</v>
      </c>
      <c r="B210" s="3">
        <v>0</v>
      </c>
      <c r="C210" s="3">
        <v>0</v>
      </c>
      <c r="D210" s="3">
        <v>0</v>
      </c>
      <c r="E210" s="3"/>
      <c r="F210" s="3">
        <v>0</v>
      </c>
      <c r="I210" t="s">
        <v>231</v>
      </c>
      <c r="J210" s="3">
        <v>0</v>
      </c>
      <c r="K210" s="3">
        <v>0</v>
      </c>
      <c r="L210" s="3">
        <v>0</v>
      </c>
      <c r="M210" s="3"/>
      <c r="N210" s="3">
        <v>0</v>
      </c>
    </row>
    <row r="211" spans="1:14" x14ac:dyDescent="0.25">
      <c r="A211" t="s">
        <v>232</v>
      </c>
      <c r="B211" s="3">
        <v>0</v>
      </c>
      <c r="C211" s="3">
        <v>0</v>
      </c>
      <c r="D211" s="3">
        <v>0</v>
      </c>
      <c r="E211" s="3"/>
      <c r="F211" s="3">
        <v>0</v>
      </c>
      <c r="I211" t="s">
        <v>232</v>
      </c>
      <c r="J211" s="3">
        <v>0</v>
      </c>
      <c r="K211" s="3">
        <v>0</v>
      </c>
      <c r="L211" s="3">
        <v>0</v>
      </c>
      <c r="M211" s="3"/>
      <c r="N211" s="3">
        <v>0</v>
      </c>
    </row>
    <row r="212" spans="1:14" x14ac:dyDescent="0.25">
      <c r="A212" t="s">
        <v>233</v>
      </c>
      <c r="B212" s="3">
        <v>0</v>
      </c>
      <c r="C212" s="3">
        <v>0</v>
      </c>
      <c r="D212" s="3">
        <v>0</v>
      </c>
      <c r="E212" s="3"/>
      <c r="F212" s="3">
        <v>0</v>
      </c>
      <c r="I212" t="s">
        <v>233</v>
      </c>
      <c r="J212" s="3">
        <v>0</v>
      </c>
      <c r="K212" s="3">
        <v>0</v>
      </c>
      <c r="L212" s="3">
        <v>0</v>
      </c>
      <c r="M212" s="3"/>
      <c r="N212" s="3">
        <v>0</v>
      </c>
    </row>
    <row r="213" spans="1:14" x14ac:dyDescent="0.25">
      <c r="A213" t="s">
        <v>234</v>
      </c>
      <c r="B213" s="3">
        <v>0</v>
      </c>
      <c r="C213" s="3">
        <v>0</v>
      </c>
      <c r="D213" s="3">
        <v>0</v>
      </c>
      <c r="E213" s="3"/>
      <c r="F213" s="3">
        <v>0</v>
      </c>
      <c r="I213" t="s">
        <v>234</v>
      </c>
      <c r="J213" s="3">
        <v>0</v>
      </c>
      <c r="K213" s="3">
        <v>0</v>
      </c>
      <c r="L213" s="3">
        <v>0</v>
      </c>
      <c r="M213" s="3"/>
      <c r="N213" s="3">
        <v>0</v>
      </c>
    </row>
    <row r="214" spans="1:14" x14ac:dyDescent="0.25">
      <c r="A214" t="s">
        <v>235</v>
      </c>
      <c r="B214" s="3">
        <v>0</v>
      </c>
      <c r="C214" s="3">
        <v>0</v>
      </c>
      <c r="D214" s="3">
        <v>0</v>
      </c>
      <c r="E214" s="3"/>
      <c r="F214" s="3">
        <v>0</v>
      </c>
      <c r="I214" t="s">
        <v>235</v>
      </c>
      <c r="J214" s="3">
        <v>0</v>
      </c>
      <c r="K214" s="3">
        <v>0</v>
      </c>
      <c r="L214" s="3">
        <v>0</v>
      </c>
      <c r="M214" s="3"/>
      <c r="N214" s="3">
        <v>0</v>
      </c>
    </row>
    <row r="215" spans="1:14" x14ac:dyDescent="0.25">
      <c r="A215" t="s">
        <v>236</v>
      </c>
      <c r="B215" s="3">
        <v>0</v>
      </c>
      <c r="C215" s="3">
        <v>0</v>
      </c>
      <c r="D215" s="3">
        <v>0</v>
      </c>
      <c r="E215" s="3"/>
      <c r="F215" s="3">
        <v>0</v>
      </c>
      <c r="I215" t="s">
        <v>236</v>
      </c>
      <c r="J215" s="3">
        <v>0</v>
      </c>
      <c r="K215" s="3">
        <v>0</v>
      </c>
      <c r="L215" s="3">
        <v>0</v>
      </c>
      <c r="M215" s="3"/>
      <c r="N215" s="3">
        <v>0</v>
      </c>
    </row>
    <row r="216" spans="1:14" x14ac:dyDescent="0.25">
      <c r="A216" t="s">
        <v>11</v>
      </c>
      <c r="B216" s="3">
        <v>97904077.675199956</v>
      </c>
      <c r="C216" s="3">
        <v>760895785.70419896</v>
      </c>
      <c r="D216" s="3">
        <v>157513055.20010006</v>
      </c>
      <c r="E216" s="3">
        <v>0</v>
      </c>
      <c r="F216" s="3">
        <v>1016312918.5794983</v>
      </c>
      <c r="I216" t="s">
        <v>11</v>
      </c>
      <c r="J216" s="3">
        <v>97904077.675199956</v>
      </c>
      <c r="K216" s="3">
        <v>760895785.70419896</v>
      </c>
      <c r="L216" s="3">
        <v>157513055.20010006</v>
      </c>
      <c r="M216" s="3">
        <v>0</v>
      </c>
      <c r="N216" s="3">
        <v>1016312918.5794983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C27A-6433-435C-B97F-A0AC932DFA69}">
  <dimension ref="A2:F11"/>
  <sheetViews>
    <sheetView workbookViewId="0">
      <selection activeCell="F9" sqref="F9"/>
    </sheetView>
  </sheetViews>
  <sheetFormatPr defaultRowHeight="15" x14ac:dyDescent="0.25"/>
  <cols>
    <col min="1" max="1" width="22" bestFit="1" customWidth="1"/>
    <col min="2" max="4" width="15" customWidth="1"/>
    <col min="5" max="5" width="20.140625" bestFit="1" customWidth="1"/>
    <col min="6" max="6" width="19.5703125" bestFit="1" customWidth="1"/>
  </cols>
  <sheetData>
    <row r="2" spans="1:6" x14ac:dyDescent="0.25">
      <c r="A2" s="18" t="s">
        <v>0</v>
      </c>
      <c r="B2" t="s" vm="5">
        <v>121</v>
      </c>
    </row>
    <row r="3" spans="1:6" x14ac:dyDescent="0.25">
      <c r="A3" s="18" t="s">
        <v>122</v>
      </c>
      <c r="B3" t="s" vm="6">
        <v>3</v>
      </c>
    </row>
    <row r="4" spans="1:6" x14ac:dyDescent="0.25">
      <c r="A4" s="18" t="s">
        <v>6</v>
      </c>
      <c r="B4" t="s" vm="7">
        <v>7</v>
      </c>
    </row>
    <row r="5" spans="1:6" x14ac:dyDescent="0.25">
      <c r="A5" s="18" t="s">
        <v>126</v>
      </c>
      <c r="B5" t="s" vm="11">
        <v>7</v>
      </c>
      <c r="C5" s="17"/>
      <c r="D5" s="17"/>
      <c r="E5" s="17"/>
      <c r="F5" s="17"/>
    </row>
    <row r="7" spans="1:6" x14ac:dyDescent="0.25">
      <c r="A7" s="18" t="s">
        <v>124</v>
      </c>
      <c r="B7" s="18" t="s">
        <v>125</v>
      </c>
    </row>
    <row r="8" spans="1:6" x14ac:dyDescent="0.25">
      <c r="A8" s="18" t="s">
        <v>123</v>
      </c>
      <c r="B8" t="s">
        <v>21</v>
      </c>
      <c r="C8" t="s">
        <v>15</v>
      </c>
      <c r="D8" t="s">
        <v>16</v>
      </c>
      <c r="E8" t="s">
        <v>11</v>
      </c>
      <c r="F8" t="s">
        <v>256</v>
      </c>
    </row>
    <row r="9" spans="1:6" x14ac:dyDescent="0.25">
      <c r="A9" t="s">
        <v>13</v>
      </c>
      <c r="B9" s="3">
        <v>21816206.695699994</v>
      </c>
      <c r="C9" s="3">
        <v>121998217.18159981</v>
      </c>
      <c r="D9" s="3">
        <v>28667703.060000021</v>
      </c>
      <c r="E9" s="3">
        <v>172482126.93729943</v>
      </c>
      <c r="F9" s="44">
        <v>172482126.93729943</v>
      </c>
    </row>
    <row r="10" spans="1:6" x14ac:dyDescent="0.25">
      <c r="A10" t="s">
        <v>10</v>
      </c>
      <c r="C10" s="3">
        <v>25000154.573300011</v>
      </c>
      <c r="D10" s="3">
        <v>5061993.0730999997</v>
      </c>
      <c r="E10" s="3">
        <v>30062147.646400016</v>
      </c>
      <c r="F10" s="44">
        <f>GETPIVOTDATA("[Measures].[R-Sales TY $]",$A$7,"[BI vw_WeeklyWrittenSalesMetrics].[Country]","[BI vw_WeeklyWrittenSalesMetrics].[Country].&amp;[NZ]")/1.1</f>
        <v>27329225.133090921</v>
      </c>
    </row>
    <row r="11" spans="1:6" x14ac:dyDescent="0.25">
      <c r="A11" t="s">
        <v>11</v>
      </c>
      <c r="B11" s="3">
        <v>21816206.695699994</v>
      </c>
      <c r="C11" s="3">
        <v>146998371.75489986</v>
      </c>
      <c r="D11" s="3">
        <v>33729696.133099988</v>
      </c>
      <c r="E11" s="3">
        <v>202544274.58369905</v>
      </c>
      <c r="F11" s="44">
        <f>SUM(F9:F10)</f>
        <v>199811352.07039034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5668-EA24-4667-A6A4-CA667B5C329C}">
  <dimension ref="B1:L64"/>
  <sheetViews>
    <sheetView workbookViewId="0">
      <selection activeCell="M11" sqref="M11"/>
    </sheetView>
  </sheetViews>
  <sheetFormatPr defaultRowHeight="15" x14ac:dyDescent="0.25"/>
  <cols>
    <col min="3" max="6" width="15" customWidth="1"/>
    <col min="7" max="7" width="20.140625" bestFit="1" customWidth="1"/>
    <col min="8" max="8" width="19.5703125" bestFit="1" customWidth="1"/>
    <col min="11" max="11" width="11.5703125" customWidth="1"/>
    <col min="12" max="12" width="13.85546875" customWidth="1"/>
  </cols>
  <sheetData>
    <row r="1" spans="2:12" x14ac:dyDescent="0.25">
      <c r="C1" s="18" t="s">
        <v>0</v>
      </c>
      <c r="D1" t="s" vm="5">
        <v>121</v>
      </c>
    </row>
    <row r="2" spans="2:12" x14ac:dyDescent="0.25">
      <c r="C2" s="18" t="s">
        <v>122</v>
      </c>
      <c r="D2" t="s" vm="6">
        <v>3</v>
      </c>
    </row>
    <row r="3" spans="2:12" x14ac:dyDescent="0.25">
      <c r="C3" s="18" t="s">
        <v>6</v>
      </c>
      <c r="D3" t="s" vm="7">
        <v>7</v>
      </c>
    </row>
    <row r="4" spans="2:12" x14ac:dyDescent="0.25">
      <c r="C4" s="18" t="s">
        <v>123</v>
      </c>
      <c r="D4" t="s" vm="9">
        <v>13</v>
      </c>
    </row>
    <row r="5" spans="2:12" x14ac:dyDescent="0.25">
      <c r="C5" s="18" t="s">
        <v>280</v>
      </c>
      <c r="D5" t="s" vm="10">
        <v>281</v>
      </c>
      <c r="E5" s="17"/>
      <c r="F5" s="17"/>
      <c r="G5" s="17"/>
      <c r="H5" s="17"/>
    </row>
    <row r="7" spans="2:12" x14ac:dyDescent="0.25">
      <c r="C7" s="18" t="s">
        <v>124</v>
      </c>
      <c r="D7" s="18" t="s">
        <v>125</v>
      </c>
      <c r="K7" s="54" t="s">
        <v>293</v>
      </c>
      <c r="L7" s="54"/>
    </row>
    <row r="8" spans="2:12" x14ac:dyDescent="0.25">
      <c r="C8" s="18" t="s">
        <v>126</v>
      </c>
      <c r="D8" t="s">
        <v>21</v>
      </c>
      <c r="E8" t="s">
        <v>15</v>
      </c>
      <c r="F8" t="s">
        <v>16</v>
      </c>
      <c r="G8" t="s">
        <v>11</v>
      </c>
      <c r="K8" t="s">
        <v>292</v>
      </c>
      <c r="L8" t="s">
        <v>291</v>
      </c>
    </row>
    <row r="9" spans="2:12" x14ac:dyDescent="0.25">
      <c r="B9" s="42">
        <v>45870</v>
      </c>
      <c r="C9" s="1" t="s">
        <v>65</v>
      </c>
      <c r="D9" s="3">
        <v>11779.008800000001</v>
      </c>
      <c r="E9" s="3">
        <v>85238.108600000007</v>
      </c>
      <c r="F9" s="3">
        <v>15191.055900000003</v>
      </c>
      <c r="G9" s="3">
        <v>112208.17329999994</v>
      </c>
      <c r="K9" s="42">
        <v>45870</v>
      </c>
      <c r="L9" s="36">
        <v>161671.7518</v>
      </c>
    </row>
    <row r="10" spans="2:12" x14ac:dyDescent="0.25">
      <c r="B10" s="42">
        <v>45870</v>
      </c>
      <c r="C10" s="1" t="s">
        <v>66</v>
      </c>
      <c r="D10" s="3">
        <v>6830.2364000000016</v>
      </c>
      <c r="E10" s="3">
        <v>122903.4835</v>
      </c>
      <c r="F10" s="3">
        <v>9252.919899999999</v>
      </c>
      <c r="G10" s="3">
        <v>138986.63980000006</v>
      </c>
      <c r="K10" s="42">
        <v>45901</v>
      </c>
      <c r="L10" s="36">
        <v>752244.38119999995</v>
      </c>
    </row>
    <row r="11" spans="2:12" x14ac:dyDescent="0.25">
      <c r="B11" s="42">
        <v>45870</v>
      </c>
      <c r="C11" s="1" t="s">
        <v>67</v>
      </c>
      <c r="D11" s="3">
        <v>7305.7000999999973</v>
      </c>
      <c r="E11" s="3">
        <v>104497.65390000005</v>
      </c>
      <c r="F11" s="3">
        <v>15159.078399999999</v>
      </c>
      <c r="G11" s="3">
        <v>126962.43240000009</v>
      </c>
      <c r="K11" s="42">
        <v>45931</v>
      </c>
      <c r="L11" s="36">
        <v>620191.74859999982</v>
      </c>
    </row>
    <row r="12" spans="2:12" x14ac:dyDescent="0.25">
      <c r="B12" s="42">
        <v>45870</v>
      </c>
      <c r="C12" s="1" t="s">
        <v>68</v>
      </c>
      <c r="D12" s="3">
        <v>46283.827199999992</v>
      </c>
      <c r="E12" s="3">
        <v>68822.454600000026</v>
      </c>
      <c r="F12" s="3">
        <v>46565.470000000016</v>
      </c>
      <c r="G12" s="3">
        <v>161671.7518</v>
      </c>
      <c r="K12" s="42">
        <v>45962</v>
      </c>
      <c r="L12" s="36">
        <v>514096.97660000023</v>
      </c>
    </row>
    <row r="13" spans="2:12" x14ac:dyDescent="0.25">
      <c r="B13" t="s">
        <v>290</v>
      </c>
      <c r="C13" s="1" t="s">
        <v>69</v>
      </c>
      <c r="D13" s="3">
        <v>8029.0452000000005</v>
      </c>
      <c r="E13" s="3">
        <v>59885.532000000007</v>
      </c>
      <c r="F13" s="3">
        <v>15549.7744</v>
      </c>
      <c r="G13" s="3">
        <v>83464.35159999998</v>
      </c>
      <c r="K13" s="42">
        <v>45992</v>
      </c>
      <c r="L13" s="36">
        <v>1114204.3593000004</v>
      </c>
    </row>
    <row r="14" spans="2:12" x14ac:dyDescent="0.25">
      <c r="B14" t="s">
        <v>290</v>
      </c>
      <c r="C14" s="1" t="s">
        <v>70</v>
      </c>
      <c r="D14" s="3">
        <v>32348.308900000004</v>
      </c>
      <c r="E14" s="3">
        <v>169715.53300000002</v>
      </c>
      <c r="F14" s="3">
        <v>44159.69019999999</v>
      </c>
      <c r="G14" s="3">
        <v>246223.53209999998</v>
      </c>
      <c r="K14" s="42">
        <v>46023</v>
      </c>
      <c r="L14" s="36">
        <v>666203.41570000001</v>
      </c>
    </row>
    <row r="15" spans="2:12" x14ac:dyDescent="0.25">
      <c r="B15" t="s">
        <v>290</v>
      </c>
      <c r="C15" s="1" t="s">
        <v>71</v>
      </c>
      <c r="D15" s="3">
        <v>19845.454700000013</v>
      </c>
      <c r="E15" s="3">
        <v>111555.19310000003</v>
      </c>
      <c r="F15" s="3">
        <v>24627.151900000004</v>
      </c>
      <c r="G15" s="3">
        <v>156027.79970000006</v>
      </c>
      <c r="K15" s="42">
        <v>46054</v>
      </c>
      <c r="L15" s="36">
        <v>559150.80149999994</v>
      </c>
    </row>
    <row r="16" spans="2:12" x14ac:dyDescent="0.25">
      <c r="B16" t="s">
        <v>290</v>
      </c>
      <c r="C16" s="1" t="s">
        <v>72</v>
      </c>
      <c r="D16" s="3">
        <v>13073.954600000001</v>
      </c>
      <c r="E16" s="3">
        <v>98804.668199999986</v>
      </c>
      <c r="F16" s="3">
        <v>9149.1615000000038</v>
      </c>
      <c r="G16" s="3">
        <v>121027.78429999994</v>
      </c>
      <c r="K16" s="42">
        <v>46082</v>
      </c>
      <c r="L16" s="36">
        <v>682537.60809999995</v>
      </c>
    </row>
    <row r="17" spans="2:12" x14ac:dyDescent="0.25">
      <c r="B17" t="s">
        <v>290</v>
      </c>
      <c r="C17" s="1" t="s">
        <v>73</v>
      </c>
      <c r="D17" s="3">
        <v>11977.009099999999</v>
      </c>
      <c r="E17" s="3">
        <v>117433.18780000007</v>
      </c>
      <c r="F17" s="3">
        <v>16090.7166</v>
      </c>
      <c r="G17" s="3">
        <v>145500.91349999997</v>
      </c>
      <c r="K17" s="42">
        <v>46113</v>
      </c>
      <c r="L17" s="36">
        <v>449745.84550000005</v>
      </c>
    </row>
    <row r="18" spans="2:12" x14ac:dyDescent="0.25">
      <c r="B18" t="s">
        <v>289</v>
      </c>
      <c r="C18" s="1" t="s">
        <v>74</v>
      </c>
      <c r="D18" s="3">
        <v>20644.863399999991</v>
      </c>
      <c r="E18" s="3">
        <v>91935.786700000041</v>
      </c>
      <c r="F18" s="3">
        <v>12703.451499999999</v>
      </c>
      <c r="G18" s="3">
        <v>125284.10159999992</v>
      </c>
      <c r="K18" s="42">
        <v>46143</v>
      </c>
      <c r="L18" s="36">
        <v>758523.09220000007</v>
      </c>
    </row>
    <row r="19" spans="2:12" x14ac:dyDescent="0.25">
      <c r="B19" t="s">
        <v>289</v>
      </c>
      <c r="C19" s="1" t="s">
        <v>75</v>
      </c>
      <c r="D19" s="3">
        <v>10283.872599999999</v>
      </c>
      <c r="E19" s="3">
        <v>95108.670899999983</v>
      </c>
      <c r="F19" s="3">
        <v>5873.4219999999996</v>
      </c>
      <c r="G19" s="3">
        <v>111265.96549999999</v>
      </c>
      <c r="K19" s="42">
        <v>46174</v>
      </c>
      <c r="L19" s="36">
        <v>1299094.6553</v>
      </c>
    </row>
    <row r="20" spans="2:12" x14ac:dyDescent="0.25">
      <c r="B20" t="s">
        <v>289</v>
      </c>
      <c r="C20" s="1" t="s">
        <v>76</v>
      </c>
      <c r="D20" s="3">
        <v>12163.227100000002</v>
      </c>
      <c r="E20" s="3">
        <v>134524.19029999993</v>
      </c>
      <c r="F20" s="3">
        <v>30564.993299999991</v>
      </c>
      <c r="G20" s="3">
        <v>177252.41070000001</v>
      </c>
      <c r="K20" s="42">
        <v>46204</v>
      </c>
      <c r="L20" s="36">
        <v>788387.94209999964</v>
      </c>
    </row>
    <row r="21" spans="2:12" ht="15.75" thickBot="1" x14ac:dyDescent="0.3">
      <c r="B21" t="s">
        <v>289</v>
      </c>
      <c r="C21" s="1" t="s">
        <v>77</v>
      </c>
      <c r="D21" s="3">
        <v>27882.345399999987</v>
      </c>
      <c r="E21" s="3">
        <v>140572.42189999993</v>
      </c>
      <c r="F21" s="3">
        <v>37934.503499999992</v>
      </c>
      <c r="G21" s="3">
        <v>206389.27079999994</v>
      </c>
      <c r="K21" s="42"/>
      <c r="L21" s="43">
        <f>SUM(L9:L20)</f>
        <v>8366052.577899999</v>
      </c>
    </row>
    <row r="22" spans="2:12" ht="15.75" thickTop="1" x14ac:dyDescent="0.25">
      <c r="B22" t="s">
        <v>288</v>
      </c>
      <c r="C22" s="1" t="s">
        <v>78</v>
      </c>
      <c r="D22" s="3">
        <v>9919.7726000000002</v>
      </c>
      <c r="E22" s="3">
        <v>79608.562900000019</v>
      </c>
      <c r="F22" s="3">
        <v>17399.830100000003</v>
      </c>
      <c r="G22" s="3">
        <v>106928.16560000001</v>
      </c>
    </row>
    <row r="23" spans="2:12" x14ac:dyDescent="0.25">
      <c r="B23" t="s">
        <v>288</v>
      </c>
      <c r="C23" s="1" t="s">
        <v>79</v>
      </c>
      <c r="D23" s="3">
        <v>12072.1999</v>
      </c>
      <c r="E23" s="3">
        <v>121501.25210000006</v>
      </c>
      <c r="F23" s="3">
        <v>21829.242599999998</v>
      </c>
      <c r="G23" s="3">
        <v>155402.69460000013</v>
      </c>
    </row>
    <row r="24" spans="2:12" x14ac:dyDescent="0.25">
      <c r="B24" t="s">
        <v>288</v>
      </c>
      <c r="C24" s="1" t="s">
        <v>80</v>
      </c>
      <c r="D24" s="3">
        <v>24800.845799999999</v>
      </c>
      <c r="E24" s="3">
        <v>89091.654800000033</v>
      </c>
      <c r="F24" s="3">
        <v>13086.163700000003</v>
      </c>
      <c r="G24" s="3">
        <v>126978.6643</v>
      </c>
    </row>
    <row r="25" spans="2:12" x14ac:dyDescent="0.25">
      <c r="B25" t="s">
        <v>288</v>
      </c>
      <c r="C25" s="1" t="s">
        <v>81</v>
      </c>
      <c r="D25" s="3">
        <v>24971.100000000002</v>
      </c>
      <c r="E25" s="3">
        <v>93164.722100000014</v>
      </c>
      <c r="F25" s="3">
        <v>6651.63</v>
      </c>
      <c r="G25" s="3">
        <v>124787.45210000011</v>
      </c>
    </row>
    <row r="26" spans="2:12" x14ac:dyDescent="0.25">
      <c r="B26" t="s">
        <v>287</v>
      </c>
      <c r="C26" s="1" t="s">
        <v>82</v>
      </c>
      <c r="D26" s="3">
        <v>76511.900500000032</v>
      </c>
      <c r="E26" s="3">
        <v>301120.65650000016</v>
      </c>
      <c r="F26" s="3">
        <v>83890.945599999992</v>
      </c>
      <c r="G26" s="3">
        <v>461523.50260000024</v>
      </c>
    </row>
    <row r="27" spans="2:12" x14ac:dyDescent="0.25">
      <c r="B27" t="s">
        <v>287</v>
      </c>
      <c r="C27" s="1" t="s">
        <v>83</v>
      </c>
      <c r="D27" s="3">
        <v>54936.336399999993</v>
      </c>
      <c r="E27" s="3">
        <v>110184.43220000004</v>
      </c>
      <c r="F27" s="3">
        <v>31147.345399999998</v>
      </c>
      <c r="G27" s="3">
        <v>196268.11400000003</v>
      </c>
    </row>
    <row r="28" spans="2:12" x14ac:dyDescent="0.25">
      <c r="B28" t="s">
        <v>287</v>
      </c>
      <c r="C28" s="1" t="s">
        <v>84</v>
      </c>
      <c r="D28" s="3">
        <v>21740.409399999997</v>
      </c>
      <c r="E28" s="3">
        <v>40953.159200000002</v>
      </c>
      <c r="F28" s="3">
        <v>16187.141900000001</v>
      </c>
      <c r="G28" s="3">
        <v>78880.710500000001</v>
      </c>
    </row>
    <row r="29" spans="2:12" x14ac:dyDescent="0.25">
      <c r="B29" t="s">
        <v>287</v>
      </c>
      <c r="C29" s="1" t="s">
        <v>85</v>
      </c>
      <c r="D29" s="3">
        <v>13539.681999999999</v>
      </c>
      <c r="E29" s="3">
        <v>60035.966700000004</v>
      </c>
      <c r="F29" s="3">
        <v>10896.8264</v>
      </c>
      <c r="G29" s="3">
        <v>84472.475100000011</v>
      </c>
    </row>
    <row r="30" spans="2:12" x14ac:dyDescent="0.25">
      <c r="B30" t="s">
        <v>287</v>
      </c>
      <c r="C30" s="1" t="s">
        <v>86</v>
      </c>
      <c r="D30" s="3">
        <v>26819.782200000009</v>
      </c>
      <c r="E30" s="3">
        <v>241954.74849999993</v>
      </c>
      <c r="F30" s="3">
        <v>24285.026400000002</v>
      </c>
      <c r="G30" s="3">
        <v>293059.55710000003</v>
      </c>
    </row>
    <row r="31" spans="2:12" x14ac:dyDescent="0.25">
      <c r="B31" t="s">
        <v>286</v>
      </c>
      <c r="C31" s="1" t="s">
        <v>87</v>
      </c>
      <c r="D31" s="3">
        <v>32272.791599999997</v>
      </c>
      <c r="E31" s="3">
        <v>117048.09940000004</v>
      </c>
      <c r="F31" s="3">
        <v>23922.555999999993</v>
      </c>
      <c r="G31" s="3">
        <v>173243.44700000001</v>
      </c>
    </row>
    <row r="32" spans="2:12" x14ac:dyDescent="0.25">
      <c r="B32" t="s">
        <v>286</v>
      </c>
      <c r="C32" s="1" t="s">
        <v>88</v>
      </c>
      <c r="D32" s="3">
        <v>16463.318000000003</v>
      </c>
      <c r="E32" s="3">
        <v>78199.159199999995</v>
      </c>
      <c r="F32" s="3">
        <v>17909.123699999996</v>
      </c>
      <c r="G32" s="3">
        <v>112571.60089999995</v>
      </c>
    </row>
    <row r="33" spans="2:7" x14ac:dyDescent="0.25">
      <c r="B33" t="s">
        <v>286</v>
      </c>
      <c r="C33" s="1" t="s">
        <v>89</v>
      </c>
      <c r="D33" s="3">
        <v>23409.381800000003</v>
      </c>
      <c r="E33" s="3">
        <v>107551.96560000004</v>
      </c>
      <c r="F33" s="3">
        <v>15662.043100000001</v>
      </c>
      <c r="G33" s="3">
        <v>146623.3905000001</v>
      </c>
    </row>
    <row r="34" spans="2:7" x14ac:dyDescent="0.25">
      <c r="B34" t="s">
        <v>286</v>
      </c>
      <c r="C34" s="1" t="s">
        <v>90</v>
      </c>
      <c r="D34" s="3">
        <v>32601.500300000014</v>
      </c>
      <c r="E34" s="3">
        <v>162239.51410000003</v>
      </c>
      <c r="F34" s="3">
        <v>38923.962899999999</v>
      </c>
      <c r="G34" s="3">
        <v>233764.97730000003</v>
      </c>
    </row>
    <row r="35" spans="2:7" x14ac:dyDescent="0.25">
      <c r="B35" t="s">
        <v>285</v>
      </c>
      <c r="C35" t="s">
        <v>91</v>
      </c>
      <c r="D35" s="3">
        <v>29518.418099999988</v>
      </c>
      <c r="E35" s="3">
        <v>164370.53940000004</v>
      </c>
      <c r="F35" s="3">
        <v>22773.494899999998</v>
      </c>
      <c r="G35" s="3">
        <v>216662.45239999995</v>
      </c>
    </row>
    <row r="36" spans="2:7" x14ac:dyDescent="0.25">
      <c r="B36" t="s">
        <v>285</v>
      </c>
      <c r="C36" t="s">
        <v>92</v>
      </c>
      <c r="D36" s="3">
        <v>18550.3452</v>
      </c>
      <c r="E36" s="3">
        <v>80065.023599999971</v>
      </c>
      <c r="F36" s="3">
        <v>23359.330100000003</v>
      </c>
      <c r="G36" s="3">
        <v>121974.69889999999</v>
      </c>
    </row>
    <row r="37" spans="2:7" x14ac:dyDescent="0.25">
      <c r="B37" t="s">
        <v>285</v>
      </c>
      <c r="C37" t="s">
        <v>93</v>
      </c>
      <c r="D37" s="3">
        <v>20153.390700000004</v>
      </c>
      <c r="E37" s="3">
        <v>65763.710799999986</v>
      </c>
      <c r="F37" s="3">
        <v>12184.491100000001</v>
      </c>
      <c r="G37" s="3">
        <v>98101.592599999989</v>
      </c>
    </row>
    <row r="38" spans="2:7" x14ac:dyDescent="0.25">
      <c r="B38" t="s">
        <v>285</v>
      </c>
      <c r="C38" t="s">
        <v>94</v>
      </c>
      <c r="D38" s="3">
        <v>21465.545899999997</v>
      </c>
      <c r="E38" s="3">
        <v>85203.688899999994</v>
      </c>
      <c r="F38" s="3">
        <v>15742.8228</v>
      </c>
      <c r="G38" s="3">
        <v>122412.05759999997</v>
      </c>
    </row>
    <row r="39" spans="2:7" x14ac:dyDescent="0.25">
      <c r="B39" t="s">
        <v>284</v>
      </c>
      <c r="C39" t="s">
        <v>95</v>
      </c>
      <c r="D39" s="3">
        <v>22961.263400000003</v>
      </c>
      <c r="E39" s="3">
        <v>109324.1477</v>
      </c>
      <c r="F39" s="3">
        <v>6838.7017999999998</v>
      </c>
      <c r="G39" s="3">
        <v>139124.11290000001</v>
      </c>
    </row>
    <row r="40" spans="2:7" x14ac:dyDescent="0.25">
      <c r="B40" t="s">
        <v>284</v>
      </c>
      <c r="C40" t="s">
        <v>96</v>
      </c>
      <c r="D40" s="3">
        <v>14092.909399999997</v>
      </c>
      <c r="E40" s="3">
        <v>109083.09709999998</v>
      </c>
      <c r="F40" s="3">
        <v>6937.8943999999992</v>
      </c>
      <c r="G40" s="3">
        <v>130113.90089999991</v>
      </c>
    </row>
    <row r="41" spans="2:7" x14ac:dyDescent="0.25">
      <c r="B41" t="s">
        <v>284</v>
      </c>
      <c r="C41" t="s">
        <v>97</v>
      </c>
      <c r="D41" s="3">
        <v>18217.227199999998</v>
      </c>
      <c r="E41" s="3">
        <v>108906.16180000005</v>
      </c>
      <c r="F41" s="3">
        <v>1181.0817000000002</v>
      </c>
      <c r="G41" s="3">
        <v>128304.47070000002</v>
      </c>
    </row>
    <row r="42" spans="2:7" x14ac:dyDescent="0.25">
      <c r="B42" t="s">
        <v>284</v>
      </c>
      <c r="C42" t="s">
        <v>98</v>
      </c>
      <c r="D42" s="3">
        <v>36158.272700000016</v>
      </c>
      <c r="E42" s="3">
        <v>111789.23780000002</v>
      </c>
      <c r="F42" s="3">
        <v>20291.3891</v>
      </c>
      <c r="G42" s="3">
        <v>168238.89959999989</v>
      </c>
    </row>
    <row r="43" spans="2:7" x14ac:dyDescent="0.25">
      <c r="B43" t="s">
        <v>284</v>
      </c>
      <c r="C43" t="s">
        <v>99</v>
      </c>
      <c r="D43" s="3">
        <v>22410.145499999995</v>
      </c>
      <c r="E43" s="3">
        <v>88692.062099999996</v>
      </c>
      <c r="F43" s="3">
        <v>5654.0164000000004</v>
      </c>
      <c r="G43" s="3">
        <v>116756.22400000002</v>
      </c>
    </row>
    <row r="44" spans="2:7" x14ac:dyDescent="0.25">
      <c r="B44" t="s">
        <v>239</v>
      </c>
      <c r="C44" t="s">
        <v>100</v>
      </c>
      <c r="D44" s="3">
        <v>13065.0545</v>
      </c>
      <c r="E44" s="3">
        <v>78687.783199999991</v>
      </c>
      <c r="F44" s="3">
        <v>6214.871000000001</v>
      </c>
      <c r="G44" s="3">
        <v>97967.708700000032</v>
      </c>
    </row>
    <row r="45" spans="2:7" x14ac:dyDescent="0.25">
      <c r="B45" t="s">
        <v>239</v>
      </c>
      <c r="C45" t="s">
        <v>101</v>
      </c>
      <c r="D45" s="3">
        <v>20689.863300000012</v>
      </c>
      <c r="E45" s="3">
        <v>109126.35349999994</v>
      </c>
      <c r="F45" s="3">
        <v>14698.738499999998</v>
      </c>
      <c r="G45" s="3">
        <v>144514.9553</v>
      </c>
    </row>
    <row r="46" spans="2:7" x14ac:dyDescent="0.25">
      <c r="B46" t="s">
        <v>239</v>
      </c>
      <c r="C46" t="s">
        <v>102</v>
      </c>
      <c r="D46" s="3">
        <v>24281.618200000008</v>
      </c>
      <c r="E46" s="3">
        <v>97126.053300000029</v>
      </c>
      <c r="F46" s="3">
        <v>9051.3976999999995</v>
      </c>
      <c r="G46" s="3">
        <v>130459.06920000001</v>
      </c>
    </row>
    <row r="47" spans="2:7" x14ac:dyDescent="0.25">
      <c r="B47" t="s">
        <v>239</v>
      </c>
      <c r="C47" t="s">
        <v>103</v>
      </c>
      <c r="D47" s="3">
        <v>10701.281700000001</v>
      </c>
      <c r="E47" s="3">
        <v>57543.048399999992</v>
      </c>
      <c r="F47" s="3">
        <v>8559.7821999999996</v>
      </c>
      <c r="G47" s="3">
        <v>76804.112299999993</v>
      </c>
    </row>
    <row r="48" spans="2:7" x14ac:dyDescent="0.25">
      <c r="B48" t="s">
        <v>240</v>
      </c>
      <c r="C48" t="s">
        <v>104</v>
      </c>
      <c r="D48" s="3">
        <v>67169.055100000027</v>
      </c>
      <c r="E48" s="3">
        <v>155378.99219999998</v>
      </c>
      <c r="F48" s="3">
        <v>25248.991099999999</v>
      </c>
      <c r="G48" s="3">
        <v>247797.0383999999</v>
      </c>
    </row>
    <row r="49" spans="2:7" x14ac:dyDescent="0.25">
      <c r="B49" t="s">
        <v>240</v>
      </c>
      <c r="C49" t="s">
        <v>105</v>
      </c>
      <c r="D49" s="3">
        <v>14536.881300000003</v>
      </c>
      <c r="E49" s="3">
        <v>87489.600299999976</v>
      </c>
      <c r="F49" s="3">
        <v>5826.2382000000007</v>
      </c>
      <c r="G49" s="3">
        <v>107852.71979999999</v>
      </c>
    </row>
    <row r="50" spans="2:7" x14ac:dyDescent="0.25">
      <c r="B50" t="s">
        <v>240</v>
      </c>
      <c r="C50" t="s">
        <v>106</v>
      </c>
      <c r="D50" s="3">
        <v>6930.4541999999983</v>
      </c>
      <c r="E50" s="3">
        <v>117804.28290000001</v>
      </c>
      <c r="F50" s="3">
        <v>12466.730000000005</v>
      </c>
      <c r="G50" s="3">
        <v>137201.46710000001</v>
      </c>
    </row>
    <row r="51" spans="2:7" x14ac:dyDescent="0.25">
      <c r="B51" t="s">
        <v>240</v>
      </c>
      <c r="C51" t="s">
        <v>107</v>
      </c>
      <c r="D51" s="3">
        <v>39308.37230000001</v>
      </c>
      <c r="E51" s="3">
        <v>207670.41160000005</v>
      </c>
      <c r="F51" s="3">
        <v>18693.082999999999</v>
      </c>
      <c r="G51" s="3">
        <v>265671.86690000008</v>
      </c>
    </row>
    <row r="52" spans="2:7" x14ac:dyDescent="0.25">
      <c r="B52" t="s">
        <v>241</v>
      </c>
      <c r="C52" t="s">
        <v>108</v>
      </c>
      <c r="D52" s="3">
        <v>19866.181800000002</v>
      </c>
      <c r="E52" s="3">
        <v>140757.87619999997</v>
      </c>
      <c r="F52" s="3">
        <v>13867.7755</v>
      </c>
      <c r="G52" s="3">
        <v>174491.83350000004</v>
      </c>
    </row>
    <row r="53" spans="2:7" x14ac:dyDescent="0.25">
      <c r="B53" t="s">
        <v>241</v>
      </c>
      <c r="C53" t="s">
        <v>109</v>
      </c>
      <c r="D53" s="3">
        <v>25687.409</v>
      </c>
      <c r="E53" s="3">
        <v>180554.10299999994</v>
      </c>
      <c r="F53" s="3">
        <v>18672.736699999998</v>
      </c>
      <c r="G53" s="3">
        <v>224914.24869999997</v>
      </c>
    </row>
    <row r="54" spans="2:7" x14ac:dyDescent="0.25">
      <c r="B54" t="s">
        <v>241</v>
      </c>
      <c r="C54" t="s">
        <v>110</v>
      </c>
      <c r="D54" s="3">
        <v>24989.745599999998</v>
      </c>
      <c r="E54" s="3">
        <v>216536.09279999998</v>
      </c>
      <c r="F54" s="3">
        <v>43957.982299999996</v>
      </c>
      <c r="G54" s="3">
        <v>285483.82070000016</v>
      </c>
    </row>
    <row r="55" spans="2:7" x14ac:dyDescent="0.25">
      <c r="B55" t="s">
        <v>241</v>
      </c>
      <c r="C55" t="s">
        <v>111</v>
      </c>
      <c r="D55" s="3">
        <v>34228.700399999994</v>
      </c>
      <c r="E55" s="3">
        <v>206832.18489999996</v>
      </c>
      <c r="F55" s="3">
        <v>10969.5391</v>
      </c>
      <c r="G55" s="3">
        <v>252030.42440000005</v>
      </c>
    </row>
    <row r="56" spans="2:7" x14ac:dyDescent="0.25">
      <c r="B56" t="s">
        <v>241</v>
      </c>
      <c r="C56" t="s">
        <v>112</v>
      </c>
      <c r="D56" s="3">
        <v>33661.681000000004</v>
      </c>
      <c r="E56" s="3">
        <v>291320.42609999998</v>
      </c>
      <c r="F56" s="3">
        <v>37192.2209</v>
      </c>
      <c r="G56" s="3">
        <v>362174.32799999992</v>
      </c>
    </row>
    <row r="57" spans="2:7" x14ac:dyDescent="0.25">
      <c r="B57" t="s">
        <v>283</v>
      </c>
      <c r="C57" t="s">
        <v>113</v>
      </c>
      <c r="D57" s="3">
        <v>46653.908600000017</v>
      </c>
      <c r="E57" s="3">
        <v>306933.99309999967</v>
      </c>
      <c r="F57" s="3">
        <v>43851.141899999995</v>
      </c>
      <c r="G57" s="3">
        <v>397439.04359999963</v>
      </c>
    </row>
    <row r="58" spans="2:7" x14ac:dyDescent="0.25">
      <c r="B58" t="s">
        <v>283</v>
      </c>
      <c r="C58" t="s">
        <v>114</v>
      </c>
      <c r="D58" s="3">
        <v>12752.590999999999</v>
      </c>
      <c r="E58" s="3">
        <v>53794.675200000005</v>
      </c>
      <c r="F58" s="3">
        <v>6234.8243000000011</v>
      </c>
      <c r="G58" s="3">
        <v>72782.090499999991</v>
      </c>
    </row>
    <row r="59" spans="2:7" x14ac:dyDescent="0.25">
      <c r="B59" t="s">
        <v>283</v>
      </c>
      <c r="C59" t="s">
        <v>115</v>
      </c>
      <c r="D59" s="3">
        <v>35696.690999999999</v>
      </c>
      <c r="E59" s="3">
        <v>108558.36649999996</v>
      </c>
      <c r="F59" s="3">
        <v>11610.757699999998</v>
      </c>
      <c r="G59" s="3">
        <v>155865.81519999995</v>
      </c>
    </row>
    <row r="60" spans="2:7" x14ac:dyDescent="0.25">
      <c r="B60" t="s">
        <v>283</v>
      </c>
      <c r="C60" t="s">
        <v>116</v>
      </c>
      <c r="D60" s="3">
        <v>28708.827799999999</v>
      </c>
      <c r="E60" s="3">
        <v>116621.99700000002</v>
      </c>
      <c r="F60" s="3">
        <v>16970.168000000001</v>
      </c>
      <c r="G60" s="3">
        <v>162300.99280000009</v>
      </c>
    </row>
    <row r="61" spans="2:7" x14ac:dyDescent="0.25">
      <c r="B61" t="s">
        <v>282</v>
      </c>
      <c r="C61" t="s">
        <v>117</v>
      </c>
      <c r="D61" s="3">
        <v>20712.236199999996</v>
      </c>
      <c r="E61" s="3">
        <v>85581.571400000001</v>
      </c>
      <c r="F61" s="3">
        <v>16368.185500000001</v>
      </c>
      <c r="G61" s="3">
        <v>122661.99309999995</v>
      </c>
    </row>
    <row r="62" spans="2:7" x14ac:dyDescent="0.25">
      <c r="B62" t="s">
        <v>282</v>
      </c>
      <c r="C62" t="s">
        <v>118</v>
      </c>
      <c r="D62" s="3">
        <v>13626.454400000001</v>
      </c>
      <c r="E62" s="3">
        <v>109749.67479999996</v>
      </c>
      <c r="F62" s="3">
        <v>10842.665999999999</v>
      </c>
      <c r="G62" s="3">
        <v>134218.79519999993</v>
      </c>
    </row>
    <row r="63" spans="2:7" x14ac:dyDescent="0.25">
      <c r="B63" t="s">
        <v>282</v>
      </c>
      <c r="C63" t="s">
        <v>119</v>
      </c>
      <c r="D63" s="3">
        <v>27978.973000000002</v>
      </c>
      <c r="E63" s="3">
        <v>81845.636400000047</v>
      </c>
      <c r="F63" s="3">
        <v>18187.189299999995</v>
      </c>
      <c r="G63" s="3">
        <v>128011.79869999991</v>
      </c>
    </row>
    <row r="64" spans="2:7" x14ac:dyDescent="0.25">
      <c r="C64" t="s">
        <v>11</v>
      </c>
      <c r="D64" s="3">
        <v>1323279.3725000003</v>
      </c>
      <c r="E64" s="3">
        <v>6736761.5697999988</v>
      </c>
      <c r="F64" s="3">
        <v>1069061.4680999999</v>
      </c>
      <c r="G64" s="3">
        <v>9129102.4103999976</v>
      </c>
    </row>
  </sheetData>
  <mergeCells count="1">
    <mergeCell ref="K7:L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B6C2-5155-4940-8EF4-72FB7949D90D}">
  <dimension ref="A1:AB216"/>
  <sheetViews>
    <sheetView topLeftCell="A82" zoomScale="70" zoomScaleNormal="70" workbookViewId="0">
      <selection activeCell="L7" sqref="L7:O170"/>
    </sheetView>
  </sheetViews>
  <sheetFormatPr defaultRowHeight="15" outlineLevelCol="1" x14ac:dyDescent="0.25"/>
  <cols>
    <col min="1" max="4" width="15" customWidth="1"/>
    <col min="5" max="5" width="7.28515625" customWidth="1"/>
    <col min="6" max="6" width="10.42578125" customWidth="1" outlineLevel="1"/>
    <col min="7" max="7" width="17.42578125" customWidth="1" outlineLevel="1"/>
    <col min="8" max="8" width="11.140625" bestFit="1" customWidth="1"/>
    <col min="9" max="9" width="10.140625" bestFit="1" customWidth="1"/>
    <col min="10" max="10" width="11.140625" bestFit="1" customWidth="1"/>
    <col min="11" max="11" width="13.7109375" customWidth="1"/>
    <col min="12" max="15" width="15" customWidth="1"/>
    <col min="16" max="16" width="20.140625" bestFit="1" customWidth="1"/>
    <col min="17" max="17" width="19.5703125" bestFit="1" customWidth="1"/>
    <col min="28" max="28" width="11.140625" bestFit="1" customWidth="1"/>
  </cols>
  <sheetData>
    <row r="1" spans="1:19" x14ac:dyDescent="0.25">
      <c r="A1" s="18" t="s">
        <v>0</v>
      </c>
      <c r="B1" t="s" vm="5">
        <v>121</v>
      </c>
      <c r="L1" s="18" t="s">
        <v>0</v>
      </c>
      <c r="M1" t="s" vm="5">
        <v>121</v>
      </c>
    </row>
    <row r="2" spans="1:19" x14ac:dyDescent="0.25">
      <c r="A2" s="18" t="s">
        <v>122</v>
      </c>
      <c r="B2" t="s" vm="6">
        <v>3</v>
      </c>
      <c r="L2" s="18" t="s">
        <v>122</v>
      </c>
      <c r="M2" t="s" vm="6">
        <v>3</v>
      </c>
    </row>
    <row r="3" spans="1:19" x14ac:dyDescent="0.25">
      <c r="A3" s="18" t="s">
        <v>6</v>
      </c>
      <c r="B3" t="s" vm="7">
        <v>7</v>
      </c>
      <c r="L3" s="18" t="s">
        <v>6</v>
      </c>
      <c r="M3" t="s" vm="7">
        <v>7</v>
      </c>
    </row>
    <row r="4" spans="1:19" x14ac:dyDescent="0.25">
      <c r="A4" s="18" t="s">
        <v>123</v>
      </c>
      <c r="B4" t="s" vm="8">
        <v>10</v>
      </c>
      <c r="L4" s="18" t="s">
        <v>123</v>
      </c>
      <c r="M4" t="s" vm="9">
        <v>13</v>
      </c>
    </row>
    <row r="5" spans="1:19" x14ac:dyDescent="0.25">
      <c r="A5" s="1"/>
      <c r="B5" s="1"/>
      <c r="C5" s="17"/>
      <c r="D5" s="17"/>
      <c r="K5" s="17"/>
      <c r="L5" s="1"/>
      <c r="M5" s="1"/>
      <c r="N5" s="17"/>
      <c r="O5" s="17"/>
      <c r="P5" s="17"/>
      <c r="Q5" s="17"/>
    </row>
    <row r="6" spans="1:19" x14ac:dyDescent="0.25">
      <c r="A6" s="18" t="s">
        <v>237</v>
      </c>
      <c r="B6" s="18" t="s">
        <v>125</v>
      </c>
      <c r="F6" s="52" t="s">
        <v>12</v>
      </c>
      <c r="G6" s="52"/>
      <c r="H6" s="52"/>
      <c r="I6" s="52"/>
      <c r="J6" s="52"/>
      <c r="L6" s="18" t="s">
        <v>124</v>
      </c>
      <c r="M6" s="18" t="s">
        <v>125</v>
      </c>
    </row>
    <row r="7" spans="1:19" x14ac:dyDescent="0.25">
      <c r="A7" s="18" t="s">
        <v>126</v>
      </c>
      <c r="B7" t="s">
        <v>15</v>
      </c>
      <c r="C7" t="s">
        <v>16</v>
      </c>
      <c r="D7" t="s">
        <v>11</v>
      </c>
      <c r="F7" s="15" t="s">
        <v>17</v>
      </c>
      <c r="G7" s="15" t="s">
        <v>18</v>
      </c>
      <c r="H7" s="15" t="s">
        <v>19</v>
      </c>
      <c r="I7" s="15" t="s">
        <v>16</v>
      </c>
      <c r="J7" s="15" t="s">
        <v>20</v>
      </c>
      <c r="L7" s="18" t="s">
        <v>126</v>
      </c>
      <c r="M7" t="s">
        <v>21</v>
      </c>
      <c r="N7" t="s">
        <v>15</v>
      </c>
      <c r="O7" t="s">
        <v>16</v>
      </c>
      <c r="Q7" t="s">
        <v>11</v>
      </c>
    </row>
    <row r="8" spans="1:19" x14ac:dyDescent="0.25">
      <c r="A8" s="1" t="s">
        <v>127</v>
      </c>
      <c r="B8" s="3">
        <v>449418.31</v>
      </c>
      <c r="C8" s="3">
        <v>84414.81</v>
      </c>
      <c r="D8" s="3">
        <v>533833.12</v>
      </c>
      <c r="F8" s="14">
        <v>45566</v>
      </c>
      <c r="G8" s="16">
        <f>_xlfn.XLOOKUP(F8,FX!$A$12:$A$910,FX!$B$12:$B$910,"",-1)</f>
        <v>1.0938000000000001</v>
      </c>
      <c r="H8" s="3">
        <f>B8/$G8</f>
        <v>410877.95757908205</v>
      </c>
      <c r="I8" s="3">
        <f>C8/$G8</f>
        <v>77175.726823916615</v>
      </c>
      <c r="J8" s="3">
        <f>H8+I8</f>
        <v>488053.68440299865</v>
      </c>
      <c r="L8" s="1" t="s">
        <v>127</v>
      </c>
      <c r="M8" s="3">
        <v>376905.35710000049</v>
      </c>
      <c r="N8" s="3">
        <v>6851992.2859999985</v>
      </c>
      <c r="O8" s="3">
        <v>2155136.5704999967</v>
      </c>
      <c r="P8" s="3">
        <v>0</v>
      </c>
      <c r="Q8" s="3">
        <v>9384034.2136000227</v>
      </c>
      <c r="S8" s="3">
        <f>J8+N8+O8</f>
        <v>9495182.5409029946</v>
      </c>
    </row>
    <row r="9" spans="1:19" x14ac:dyDescent="0.25">
      <c r="A9" s="1" t="s">
        <v>128</v>
      </c>
      <c r="B9" s="3">
        <v>452263.18</v>
      </c>
      <c r="C9" s="3">
        <v>84382.45</v>
      </c>
      <c r="D9" s="3">
        <v>536645.63</v>
      </c>
      <c r="F9" s="14">
        <f>F8+7</f>
        <v>45573</v>
      </c>
      <c r="G9" s="16">
        <f>_xlfn.XLOOKUP(F9,FX!$A$12:$A$910,FX!$B$12:$B$910,"",-1)</f>
        <v>1.1001000000000001</v>
      </c>
      <c r="H9" s="3">
        <f t="shared" ref="H9:I59" si="0">B9/$G9</f>
        <v>411110.97172984271</v>
      </c>
      <c r="I9" s="3">
        <f t="shared" si="0"/>
        <v>76704.345059540035</v>
      </c>
      <c r="J9" s="3">
        <f t="shared" ref="J9:J72" si="1">H9+I9</f>
        <v>487815.31678938272</v>
      </c>
      <c r="L9" s="1" t="s">
        <v>128</v>
      </c>
      <c r="M9" s="3">
        <v>138197.54529999985</v>
      </c>
      <c r="N9" s="3">
        <v>3523042.4206999936</v>
      </c>
      <c r="O9" s="3">
        <v>487672.0327000001</v>
      </c>
      <c r="P9" s="3">
        <v>0</v>
      </c>
      <c r="Q9" s="3">
        <v>4148911.998699998</v>
      </c>
      <c r="S9" s="3">
        <f t="shared" ref="S9:S72" si="2">J9+N9+O9</f>
        <v>4498529.7701893765</v>
      </c>
    </row>
    <row r="10" spans="1:19" x14ac:dyDescent="0.25">
      <c r="A10" s="1" t="s">
        <v>129</v>
      </c>
      <c r="B10" s="3">
        <v>747928.14</v>
      </c>
      <c r="C10" s="3">
        <v>327598.93</v>
      </c>
      <c r="D10" s="3">
        <v>1075527.07</v>
      </c>
      <c r="F10" s="14">
        <f t="shared" ref="F10:F73" si="3">F9+7</f>
        <v>45580</v>
      </c>
      <c r="G10" s="16">
        <f>_xlfn.XLOOKUP(F10,FX!$A$12:$A$910,FX!$B$12:$B$910,"",-1)</f>
        <v>1.1031</v>
      </c>
      <c r="H10" s="3">
        <f t="shared" si="0"/>
        <v>678023.8781615448</v>
      </c>
      <c r="I10" s="3">
        <f t="shared" si="0"/>
        <v>296980.26470854861</v>
      </c>
      <c r="J10" s="3">
        <f t="shared" si="1"/>
        <v>975004.14287009346</v>
      </c>
      <c r="L10" s="1" t="s">
        <v>129</v>
      </c>
      <c r="M10" s="3">
        <v>141073.46409999992</v>
      </c>
      <c r="N10" s="3">
        <v>3877218.1761000026</v>
      </c>
      <c r="O10" s="3">
        <v>622969.50149999978</v>
      </c>
      <c r="P10" s="3">
        <v>0</v>
      </c>
      <c r="Q10" s="3">
        <v>4641261.1417000024</v>
      </c>
      <c r="S10" s="3">
        <f t="shared" si="2"/>
        <v>5475191.8204700965</v>
      </c>
    </row>
    <row r="11" spans="1:19" x14ac:dyDescent="0.25">
      <c r="A11" s="1" t="s">
        <v>130</v>
      </c>
      <c r="B11" s="3">
        <v>604926.28</v>
      </c>
      <c r="C11" s="3">
        <v>106588.89</v>
      </c>
      <c r="D11" s="3">
        <v>711515.17</v>
      </c>
      <c r="F11" s="14">
        <f t="shared" si="3"/>
        <v>45587</v>
      </c>
      <c r="G11" s="16">
        <f>_xlfn.XLOOKUP(F11,FX!$A$12:$A$910,FX!$B$12:$B$910,"",-1)</f>
        <v>1.1040000000000001</v>
      </c>
      <c r="H11" s="3">
        <f t="shared" si="0"/>
        <v>547940.47101449268</v>
      </c>
      <c r="I11" s="3">
        <f t="shared" si="0"/>
        <v>96547.907608695648</v>
      </c>
      <c r="J11" s="3">
        <f t="shared" si="1"/>
        <v>644488.37862318836</v>
      </c>
      <c r="L11" s="1" t="s">
        <v>130</v>
      </c>
      <c r="M11" s="3">
        <v>242571.17139999976</v>
      </c>
      <c r="N11" s="3">
        <v>5286957.8100000005</v>
      </c>
      <c r="O11" s="3">
        <v>843955.3330999976</v>
      </c>
      <c r="P11" s="3">
        <v>0</v>
      </c>
      <c r="Q11" s="3">
        <v>6373484.3145000059</v>
      </c>
      <c r="S11" s="3">
        <f t="shared" si="2"/>
        <v>6775401.5217231866</v>
      </c>
    </row>
    <row r="12" spans="1:19" x14ac:dyDescent="0.25">
      <c r="A12" s="1" t="s">
        <v>131</v>
      </c>
      <c r="B12" s="3">
        <v>629937.19999999995</v>
      </c>
      <c r="C12" s="3">
        <v>86147.43</v>
      </c>
      <c r="D12" s="3">
        <v>716084.63</v>
      </c>
      <c r="F12" s="14">
        <f t="shared" si="3"/>
        <v>45594</v>
      </c>
      <c r="G12" s="16">
        <f>_xlfn.XLOOKUP(F12,FX!$A$12:$A$910,FX!$B$12:$B$910,"",-1)</f>
        <v>1.0992999999999999</v>
      </c>
      <c r="H12" s="3">
        <f t="shared" si="0"/>
        <v>573034.8403529519</v>
      </c>
      <c r="I12" s="3">
        <f t="shared" si="0"/>
        <v>78365.714545619936</v>
      </c>
      <c r="J12" s="3">
        <f t="shared" si="1"/>
        <v>651400.55489857181</v>
      </c>
      <c r="L12" s="1" t="s">
        <v>131</v>
      </c>
      <c r="M12" s="3">
        <v>268468.50800000003</v>
      </c>
      <c r="N12" s="3">
        <v>5772565.3386999881</v>
      </c>
      <c r="O12" s="3">
        <v>1136353.2589000047</v>
      </c>
      <c r="P12" s="3">
        <v>0</v>
      </c>
      <c r="Q12" s="3">
        <v>7177387.1055999948</v>
      </c>
      <c r="S12" s="3">
        <f t="shared" si="2"/>
        <v>7560319.1524985647</v>
      </c>
    </row>
    <row r="13" spans="1:19" x14ac:dyDescent="0.25">
      <c r="A13" s="1" t="s">
        <v>132</v>
      </c>
      <c r="B13" s="3">
        <v>601120.71</v>
      </c>
      <c r="C13" s="3">
        <v>145547.01999999999</v>
      </c>
      <c r="D13" s="3">
        <v>746667.73</v>
      </c>
      <c r="F13" s="14">
        <f t="shared" si="3"/>
        <v>45601</v>
      </c>
      <c r="G13" s="16">
        <f>_xlfn.XLOOKUP(F13,FX!$A$12:$A$910,FX!$B$12:$B$910,"",-1)</f>
        <v>1.103</v>
      </c>
      <c r="H13" s="3">
        <f t="shared" si="0"/>
        <v>544987.0444242974</v>
      </c>
      <c r="I13" s="3">
        <f t="shared" si="0"/>
        <v>131955.59383499547</v>
      </c>
      <c r="J13" s="3">
        <f t="shared" si="1"/>
        <v>676942.63825929281</v>
      </c>
      <c r="L13" s="1" t="s">
        <v>132</v>
      </c>
      <c r="M13" s="3">
        <v>349721.10919999977</v>
      </c>
      <c r="N13" s="3">
        <v>5676214.1522999797</v>
      </c>
      <c r="O13" s="3">
        <v>1094373.2122999954</v>
      </c>
      <c r="P13" s="3">
        <v>0</v>
      </c>
      <c r="Q13" s="3">
        <v>7120308.4738000194</v>
      </c>
      <c r="S13" s="3">
        <f t="shared" si="2"/>
        <v>7447530.0028592674</v>
      </c>
    </row>
    <row r="14" spans="1:19" x14ac:dyDescent="0.25">
      <c r="A14" s="1" t="s">
        <v>133</v>
      </c>
      <c r="B14" s="3">
        <v>530865.18000000005</v>
      </c>
      <c r="C14" s="3">
        <v>138868.76999999999</v>
      </c>
      <c r="D14" s="3">
        <v>669733.94999999995</v>
      </c>
      <c r="F14" s="14">
        <f t="shared" si="3"/>
        <v>45608</v>
      </c>
      <c r="G14" s="16">
        <f>_xlfn.XLOOKUP(F14,FX!$A$12:$A$910,FX!$B$12:$B$910,"",-1)</f>
        <v>1.1000000000000001</v>
      </c>
      <c r="H14" s="3">
        <f t="shared" si="0"/>
        <v>482604.70909090911</v>
      </c>
      <c r="I14" s="3">
        <f t="shared" si="0"/>
        <v>126244.33636363635</v>
      </c>
      <c r="J14" s="3">
        <f t="shared" si="1"/>
        <v>608849.04545454541</v>
      </c>
      <c r="L14" s="1" t="s">
        <v>133</v>
      </c>
      <c r="M14" s="3">
        <v>265584.27429999982</v>
      </c>
      <c r="N14" s="3">
        <v>4320967.4413999887</v>
      </c>
      <c r="O14" s="3">
        <v>869353.62589999766</v>
      </c>
      <c r="P14" s="3">
        <v>0</v>
      </c>
      <c r="Q14" s="3">
        <v>5455905.3415999869</v>
      </c>
      <c r="S14" s="3">
        <f t="shared" si="2"/>
        <v>5799170.1127545321</v>
      </c>
    </row>
    <row r="15" spans="1:19" x14ac:dyDescent="0.25">
      <c r="A15" s="1" t="s">
        <v>134</v>
      </c>
      <c r="B15" s="3">
        <v>1276747.31</v>
      </c>
      <c r="C15" s="3">
        <v>509594.13</v>
      </c>
      <c r="D15" s="3">
        <v>1786341.44</v>
      </c>
      <c r="F15" s="14">
        <f t="shared" si="3"/>
        <v>45615</v>
      </c>
      <c r="G15" s="16">
        <f>_xlfn.XLOOKUP(F15,FX!$A$12:$A$910,FX!$B$12:$B$910,"",-1)</f>
        <v>1.1054999999999999</v>
      </c>
      <c r="H15" s="3">
        <f t="shared" si="0"/>
        <v>1154904.8484848486</v>
      </c>
      <c r="I15" s="3">
        <f t="shared" si="0"/>
        <v>460962.57801899599</v>
      </c>
      <c r="J15" s="3">
        <f t="shared" si="1"/>
        <v>1615867.4265038446</v>
      </c>
      <c r="L15" s="1" t="s">
        <v>134</v>
      </c>
      <c r="M15" s="3">
        <v>370461.4651999987</v>
      </c>
      <c r="N15" s="3">
        <v>12389581.555499991</v>
      </c>
      <c r="O15" s="3">
        <v>3860922.3535000025</v>
      </c>
      <c r="P15" s="3">
        <v>0</v>
      </c>
      <c r="Q15" s="3">
        <v>16620965.374200027</v>
      </c>
      <c r="S15" s="3">
        <f t="shared" si="2"/>
        <v>17866371.335503839</v>
      </c>
    </row>
    <row r="16" spans="1:19" x14ac:dyDescent="0.25">
      <c r="A16" s="1" t="s">
        <v>135</v>
      </c>
      <c r="B16" s="3">
        <v>677160.61</v>
      </c>
      <c r="C16" s="3">
        <v>263829.11</v>
      </c>
      <c r="D16" s="3">
        <v>940989.72</v>
      </c>
      <c r="F16" s="14">
        <f t="shared" si="3"/>
        <v>45622</v>
      </c>
      <c r="G16" s="16">
        <f>_xlfn.XLOOKUP(F16,FX!$A$12:$A$910,FX!$B$12:$B$910,"",-1)</f>
        <v>1.1115999999999999</v>
      </c>
      <c r="H16" s="3">
        <f t="shared" si="0"/>
        <v>609176.51133501262</v>
      </c>
      <c r="I16" s="3">
        <f t="shared" si="0"/>
        <v>237341.7686218064</v>
      </c>
      <c r="J16" s="3">
        <f t="shared" si="1"/>
        <v>846518.27995681902</v>
      </c>
      <c r="L16" s="1" t="s">
        <v>135</v>
      </c>
      <c r="M16" s="3">
        <v>303091.62859999959</v>
      </c>
      <c r="N16" s="3">
        <v>6005461.4446999952</v>
      </c>
      <c r="O16" s="3">
        <v>2231137.4294000114</v>
      </c>
      <c r="P16" s="3">
        <v>0</v>
      </c>
      <c r="Q16" s="3">
        <v>8539690.5026999936</v>
      </c>
      <c r="S16" s="3">
        <f t="shared" si="2"/>
        <v>9083117.1540568266</v>
      </c>
    </row>
    <row r="17" spans="1:19" x14ac:dyDescent="0.25">
      <c r="A17" s="1" t="s">
        <v>136</v>
      </c>
      <c r="B17" s="3">
        <v>263973.52</v>
      </c>
      <c r="C17" s="3">
        <v>91179.69</v>
      </c>
      <c r="D17" s="3">
        <v>355153.21</v>
      </c>
      <c r="F17" s="14">
        <f t="shared" si="3"/>
        <v>45629</v>
      </c>
      <c r="G17" s="16">
        <f>_xlfn.XLOOKUP(F17,FX!$A$12:$A$910,FX!$B$12:$B$910,"",-1)</f>
        <v>1.1011</v>
      </c>
      <c r="H17" s="3">
        <f t="shared" si="0"/>
        <v>239736.19108164564</v>
      </c>
      <c r="I17" s="3">
        <f t="shared" si="0"/>
        <v>82807.819453274002</v>
      </c>
      <c r="J17" s="3">
        <f t="shared" si="1"/>
        <v>322544.01053491962</v>
      </c>
      <c r="L17" s="1" t="s">
        <v>136</v>
      </c>
      <c r="M17" s="3">
        <v>145182.65309999988</v>
      </c>
      <c r="N17" s="3">
        <v>3073912.9037999995</v>
      </c>
      <c r="O17" s="3">
        <v>601991.75540000142</v>
      </c>
      <c r="P17" s="3">
        <v>0</v>
      </c>
      <c r="Q17" s="3">
        <v>3821087.3122999864</v>
      </c>
      <c r="S17" s="3">
        <f t="shared" si="2"/>
        <v>3998448.6697349208</v>
      </c>
    </row>
    <row r="18" spans="1:19" x14ac:dyDescent="0.25">
      <c r="A18" s="1" t="s">
        <v>137</v>
      </c>
      <c r="B18" s="3">
        <v>342785.71</v>
      </c>
      <c r="C18" s="3">
        <v>88524.96</v>
      </c>
      <c r="D18" s="3">
        <v>431310.67</v>
      </c>
      <c r="F18" s="14">
        <f t="shared" si="3"/>
        <v>45636</v>
      </c>
      <c r="G18" s="16">
        <f>_xlfn.XLOOKUP(F18,FX!$A$12:$A$910,FX!$B$12:$B$910,"",-1)</f>
        <v>1.0958000000000001</v>
      </c>
      <c r="H18" s="3">
        <f t="shared" si="0"/>
        <v>312817.76784084685</v>
      </c>
      <c r="I18" s="3">
        <f t="shared" si="0"/>
        <v>80785.690819492607</v>
      </c>
      <c r="J18" s="3">
        <f t="shared" si="1"/>
        <v>393603.45866033947</v>
      </c>
      <c r="L18" s="1" t="s">
        <v>137</v>
      </c>
      <c r="M18" s="3">
        <v>136993.79939999999</v>
      </c>
      <c r="N18" s="3">
        <v>3264059.7514999802</v>
      </c>
      <c r="O18" s="3">
        <v>586222.72440000146</v>
      </c>
      <c r="P18" s="3">
        <v>0</v>
      </c>
      <c r="Q18" s="3">
        <v>3987276.275299984</v>
      </c>
      <c r="S18" s="3">
        <f t="shared" si="2"/>
        <v>4243885.9345603213</v>
      </c>
    </row>
    <row r="19" spans="1:19" x14ac:dyDescent="0.25">
      <c r="A19" s="1" t="s">
        <v>138</v>
      </c>
      <c r="B19" s="3">
        <v>466152.08</v>
      </c>
      <c r="C19" s="3">
        <v>85906.28</v>
      </c>
      <c r="D19" s="3">
        <v>552058.36</v>
      </c>
      <c r="F19" s="14">
        <f t="shared" si="3"/>
        <v>45643</v>
      </c>
      <c r="G19" s="16">
        <f>_xlfn.XLOOKUP(F19,FX!$A$12:$A$910,FX!$B$12:$B$910,"",-1)</f>
        <v>1.1017999999999999</v>
      </c>
      <c r="H19" s="3">
        <f t="shared" si="0"/>
        <v>423082.30168814672</v>
      </c>
      <c r="I19" s="3">
        <f t="shared" si="0"/>
        <v>77969.032492285362</v>
      </c>
      <c r="J19" s="3">
        <f t="shared" si="1"/>
        <v>501051.33418043208</v>
      </c>
      <c r="L19" s="1" t="s">
        <v>138</v>
      </c>
      <c r="M19" s="3">
        <v>172183.66350000011</v>
      </c>
      <c r="N19" s="3">
        <v>4131597.4531000061</v>
      </c>
      <c r="O19" s="3">
        <v>883862.86110000079</v>
      </c>
      <c r="P19" s="3">
        <v>0</v>
      </c>
      <c r="Q19" s="3">
        <v>5187643.9776999978</v>
      </c>
      <c r="S19" s="3">
        <f t="shared" si="2"/>
        <v>5516511.6483804397</v>
      </c>
    </row>
    <row r="20" spans="1:19" x14ac:dyDescent="0.25">
      <c r="A20" s="1" t="s">
        <v>139</v>
      </c>
      <c r="B20" s="3">
        <v>825694.37</v>
      </c>
      <c r="C20" s="3">
        <v>214736.72</v>
      </c>
      <c r="D20" s="3">
        <v>1040431.09</v>
      </c>
      <c r="F20" s="14">
        <f t="shared" si="3"/>
        <v>45650</v>
      </c>
      <c r="G20" s="16">
        <f>_xlfn.XLOOKUP(F20,FX!$A$12:$A$910,FX!$B$12:$B$910,"",-1)</f>
        <v>1.1053999999999999</v>
      </c>
      <c r="H20" s="3">
        <f t="shared" si="0"/>
        <v>746964.32965442375</v>
      </c>
      <c r="I20" s="3">
        <f t="shared" si="0"/>
        <v>194261.55237922925</v>
      </c>
      <c r="J20" s="3">
        <f t="shared" si="1"/>
        <v>941225.88203365298</v>
      </c>
      <c r="L20" s="1" t="s">
        <v>139</v>
      </c>
      <c r="M20" s="3">
        <v>472899.15529999987</v>
      </c>
      <c r="N20" s="3">
        <v>9467931.6934999786</v>
      </c>
      <c r="O20" s="3">
        <v>2540040.1691999985</v>
      </c>
      <c r="P20" s="3">
        <v>0</v>
      </c>
      <c r="Q20" s="3">
        <v>12480871.01799994</v>
      </c>
      <c r="S20" s="3">
        <f t="shared" si="2"/>
        <v>12949197.744733632</v>
      </c>
    </row>
    <row r="21" spans="1:19" x14ac:dyDescent="0.25">
      <c r="A21" s="1" t="s">
        <v>140</v>
      </c>
      <c r="B21" s="3">
        <v>587346.31000000006</v>
      </c>
      <c r="C21" s="3">
        <v>137066.39000000001</v>
      </c>
      <c r="D21" s="3">
        <v>724412.7</v>
      </c>
      <c r="F21" s="14">
        <f t="shared" si="3"/>
        <v>45657</v>
      </c>
      <c r="G21" s="16">
        <f>_xlfn.XLOOKUP(F21,FX!$A$12:$A$910,FX!$B$12:$B$910,"",-1)</f>
        <v>1.1045</v>
      </c>
      <c r="H21" s="3">
        <f t="shared" si="0"/>
        <v>531775.74468085112</v>
      </c>
      <c r="I21" s="3">
        <f t="shared" si="0"/>
        <v>124098.13490267091</v>
      </c>
      <c r="J21" s="3">
        <f t="shared" si="1"/>
        <v>655873.87958352198</v>
      </c>
      <c r="L21" s="1" t="s">
        <v>140</v>
      </c>
      <c r="M21" s="3">
        <v>239614.30160000009</v>
      </c>
      <c r="N21" s="3">
        <v>6514097.2448999947</v>
      </c>
      <c r="O21" s="3">
        <v>1270651.9957000015</v>
      </c>
      <c r="P21" s="3">
        <v>0</v>
      </c>
      <c r="Q21" s="3">
        <v>8024363.5421999861</v>
      </c>
      <c r="S21" s="3">
        <f t="shared" si="2"/>
        <v>8440623.1201835182</v>
      </c>
    </row>
    <row r="22" spans="1:19" x14ac:dyDescent="0.25">
      <c r="A22" s="1" t="s">
        <v>141</v>
      </c>
      <c r="B22" s="3">
        <v>570987.48</v>
      </c>
      <c r="C22" s="3">
        <v>108741.19</v>
      </c>
      <c r="D22" s="3">
        <v>679728.67</v>
      </c>
      <c r="F22" s="14">
        <f t="shared" si="3"/>
        <v>45664</v>
      </c>
      <c r="G22" s="16">
        <f>_xlfn.XLOOKUP(F22,FX!$A$12:$A$910,FX!$B$12:$B$910,"",-1)</f>
        <v>1.1060000000000001</v>
      </c>
      <c r="H22" s="3">
        <f t="shared" si="0"/>
        <v>516263.54430379742</v>
      </c>
      <c r="I22" s="3">
        <f t="shared" si="0"/>
        <v>98319.339963833627</v>
      </c>
      <c r="J22" s="3">
        <f t="shared" si="1"/>
        <v>614582.88426763099</v>
      </c>
      <c r="L22" s="1" t="s">
        <v>141</v>
      </c>
      <c r="M22" s="3">
        <v>248546.66429999983</v>
      </c>
      <c r="N22" s="3">
        <v>5866689.5586000057</v>
      </c>
      <c r="O22" s="3">
        <v>1148658.4001000021</v>
      </c>
      <c r="P22" s="3">
        <v>0</v>
      </c>
      <c r="Q22" s="3">
        <v>7263894.6230000062</v>
      </c>
      <c r="S22" s="3">
        <f t="shared" si="2"/>
        <v>7629930.8429676387</v>
      </c>
    </row>
    <row r="23" spans="1:19" x14ac:dyDescent="0.25">
      <c r="A23" s="1" t="s">
        <v>142</v>
      </c>
      <c r="B23" s="3">
        <v>544427.75</v>
      </c>
      <c r="C23" s="3">
        <v>113519.89</v>
      </c>
      <c r="D23" s="3">
        <v>657947.64</v>
      </c>
      <c r="F23" s="14">
        <f t="shared" si="3"/>
        <v>45671</v>
      </c>
      <c r="G23" s="16">
        <f>_xlfn.XLOOKUP(F23,FX!$A$12:$A$910,FX!$B$12:$B$910,"",-1)</f>
        <v>1.1035999999999999</v>
      </c>
      <c r="H23" s="3">
        <f t="shared" si="0"/>
        <v>493319.81696266768</v>
      </c>
      <c r="I23" s="3">
        <f t="shared" si="0"/>
        <v>102863.25661471549</v>
      </c>
      <c r="J23" s="3">
        <f t="shared" si="1"/>
        <v>596183.07357738318</v>
      </c>
      <c r="L23" s="1" t="s">
        <v>142</v>
      </c>
      <c r="M23" s="3">
        <v>235754.62039999978</v>
      </c>
      <c r="N23" s="3">
        <v>5354660.9815000035</v>
      </c>
      <c r="O23" s="3">
        <v>909050.64529999939</v>
      </c>
      <c r="P23" s="3">
        <v>0</v>
      </c>
      <c r="Q23" s="3">
        <v>6499466.2472000215</v>
      </c>
      <c r="S23" s="3">
        <f t="shared" si="2"/>
        <v>6859894.7003773861</v>
      </c>
    </row>
    <row r="24" spans="1:19" x14ac:dyDescent="0.25">
      <c r="A24" s="1" t="s">
        <v>143</v>
      </c>
      <c r="B24" s="3">
        <v>657452.12</v>
      </c>
      <c r="C24" s="3">
        <v>152574.65</v>
      </c>
      <c r="D24" s="3">
        <v>810026.77</v>
      </c>
      <c r="F24" s="14">
        <f t="shared" si="3"/>
        <v>45678</v>
      </c>
      <c r="G24" s="16">
        <f>_xlfn.XLOOKUP(F24,FX!$A$12:$A$910,FX!$B$12:$B$910,"",-1)</f>
        <v>1.105</v>
      </c>
      <c r="H24" s="3">
        <f t="shared" si="0"/>
        <v>594979.29411764711</v>
      </c>
      <c r="I24" s="3">
        <f t="shared" si="0"/>
        <v>138076.60633484164</v>
      </c>
      <c r="J24" s="3">
        <f t="shared" si="1"/>
        <v>733055.9004524888</v>
      </c>
      <c r="L24" s="1" t="s">
        <v>143</v>
      </c>
      <c r="M24" s="3">
        <v>432990.32509999943</v>
      </c>
      <c r="N24" s="3">
        <v>8756099.5323000159</v>
      </c>
      <c r="O24" s="3">
        <v>1579864.6656999986</v>
      </c>
      <c r="P24" s="3">
        <v>0</v>
      </c>
      <c r="Q24" s="3">
        <v>10768954.523099907</v>
      </c>
      <c r="S24" s="3">
        <f t="shared" si="2"/>
        <v>11069020.098452503</v>
      </c>
    </row>
    <row r="25" spans="1:19" x14ac:dyDescent="0.25">
      <c r="A25" s="1" t="s">
        <v>144</v>
      </c>
      <c r="B25" s="3">
        <v>512267.72</v>
      </c>
      <c r="C25" s="3">
        <v>101262.41</v>
      </c>
      <c r="D25" s="3">
        <v>613530.13</v>
      </c>
      <c r="F25" s="14">
        <f t="shared" si="3"/>
        <v>45685</v>
      </c>
      <c r="G25" s="16">
        <f>_xlfn.XLOOKUP(F25,FX!$A$12:$A$910,FX!$B$12:$B$910,"",-1)</f>
        <v>1.105</v>
      </c>
      <c r="H25" s="3">
        <f t="shared" si="0"/>
        <v>463590.69683257915</v>
      </c>
      <c r="I25" s="3">
        <f t="shared" si="0"/>
        <v>91640.190045248877</v>
      </c>
      <c r="J25" s="3">
        <f t="shared" si="1"/>
        <v>555230.88687782804</v>
      </c>
      <c r="L25" s="1" t="s">
        <v>144</v>
      </c>
      <c r="M25" s="3">
        <v>306095.55309999996</v>
      </c>
      <c r="N25" s="3">
        <v>5733066.8522999818</v>
      </c>
      <c r="O25" s="3">
        <v>1243801.6810999981</v>
      </c>
      <c r="P25" s="3">
        <v>0</v>
      </c>
      <c r="Q25" s="3">
        <v>7282964.0865000132</v>
      </c>
      <c r="S25" s="3">
        <f t="shared" si="2"/>
        <v>7532099.4202778079</v>
      </c>
    </row>
    <row r="26" spans="1:19" x14ac:dyDescent="0.25">
      <c r="A26" s="1" t="s">
        <v>145</v>
      </c>
      <c r="B26" s="3">
        <v>360141.64</v>
      </c>
      <c r="C26" s="3">
        <v>42624.92</v>
      </c>
      <c r="D26" s="3">
        <v>402766.56</v>
      </c>
      <c r="F26" s="14">
        <f t="shared" si="3"/>
        <v>45692</v>
      </c>
      <c r="G26" s="16">
        <f>_xlfn.XLOOKUP(F26,FX!$A$12:$A$910,FX!$B$12:$B$910,"",-1)</f>
        <v>1.1057999999999999</v>
      </c>
      <c r="H26" s="3">
        <f t="shared" si="0"/>
        <v>325684.24669922231</v>
      </c>
      <c r="I26" s="3">
        <f t="shared" si="0"/>
        <v>38546.681135829269</v>
      </c>
      <c r="J26" s="3">
        <f t="shared" si="1"/>
        <v>364230.92783505155</v>
      </c>
      <c r="L26" s="1" t="s">
        <v>145</v>
      </c>
      <c r="M26" s="3">
        <v>187854.15469999975</v>
      </c>
      <c r="N26" s="3">
        <v>3028157.1777999941</v>
      </c>
      <c r="O26" s="3">
        <v>449228.47160000051</v>
      </c>
      <c r="P26" s="3">
        <v>0</v>
      </c>
      <c r="Q26" s="3">
        <v>3665239.8041000096</v>
      </c>
      <c r="S26" s="3">
        <f t="shared" si="2"/>
        <v>3841616.5772350458</v>
      </c>
    </row>
    <row r="27" spans="1:19" x14ac:dyDescent="0.25">
      <c r="A27" s="1" t="s">
        <v>146</v>
      </c>
      <c r="B27" s="3">
        <v>563792.31000000006</v>
      </c>
      <c r="C27" s="3">
        <v>171333.24</v>
      </c>
      <c r="D27" s="3">
        <v>735125.55</v>
      </c>
      <c r="F27" s="14">
        <f t="shared" si="3"/>
        <v>45699</v>
      </c>
      <c r="G27" s="16">
        <f>_xlfn.XLOOKUP(F27,FX!$A$12:$A$910,FX!$B$12:$B$910,"",-1)</f>
        <v>1.1117999999999999</v>
      </c>
      <c r="H27" s="3">
        <f t="shared" si="0"/>
        <v>507098.67781975184</v>
      </c>
      <c r="I27" s="3">
        <f t="shared" si="0"/>
        <v>154104.37128980033</v>
      </c>
      <c r="J27" s="3">
        <f t="shared" si="1"/>
        <v>661203.04910955217</v>
      </c>
      <c r="L27" s="1" t="s">
        <v>146</v>
      </c>
      <c r="M27" s="3">
        <v>539772.72849999822</v>
      </c>
      <c r="N27" s="3">
        <v>5624638.6955999639</v>
      </c>
      <c r="O27" s="3">
        <v>1470143.3501000032</v>
      </c>
      <c r="P27" s="3">
        <v>0</v>
      </c>
      <c r="Q27" s="3">
        <v>7634554.7741999114</v>
      </c>
      <c r="S27" s="3">
        <f t="shared" si="2"/>
        <v>7755985.0948095191</v>
      </c>
    </row>
    <row r="28" spans="1:19" x14ac:dyDescent="0.25">
      <c r="A28" s="1" t="s">
        <v>147</v>
      </c>
      <c r="B28" s="3">
        <v>276510.12</v>
      </c>
      <c r="C28" s="3">
        <v>46610.559999999998</v>
      </c>
      <c r="D28" s="3">
        <v>323120.68</v>
      </c>
      <c r="F28" s="14">
        <f t="shared" si="3"/>
        <v>45706</v>
      </c>
      <c r="G28" s="16">
        <f>_xlfn.XLOOKUP(F28,FX!$A$12:$A$910,FX!$B$12:$B$910,"",-1)</f>
        <v>1.1132</v>
      </c>
      <c r="H28" s="3">
        <f t="shared" si="0"/>
        <v>248392.13079410707</v>
      </c>
      <c r="I28" s="3">
        <f t="shared" si="0"/>
        <v>41870.786920589293</v>
      </c>
      <c r="J28" s="3">
        <f t="shared" si="1"/>
        <v>290262.91771469638</v>
      </c>
      <c r="L28" s="1" t="s">
        <v>147</v>
      </c>
      <c r="M28" s="3">
        <v>176029.32740000001</v>
      </c>
      <c r="N28" s="3">
        <v>2784606.5171999927</v>
      </c>
      <c r="O28" s="3">
        <v>374787.26160000009</v>
      </c>
      <c r="P28" s="3">
        <v>0</v>
      </c>
      <c r="Q28" s="3">
        <v>3335423.1061999793</v>
      </c>
      <c r="S28" s="3">
        <f t="shared" si="2"/>
        <v>3449656.6965146894</v>
      </c>
    </row>
    <row r="29" spans="1:19" x14ac:dyDescent="0.25">
      <c r="A29" s="1" t="s">
        <v>148</v>
      </c>
      <c r="B29" s="3">
        <v>350729.74</v>
      </c>
      <c r="C29" s="3">
        <v>63002.71</v>
      </c>
      <c r="D29" s="3">
        <v>413732.45</v>
      </c>
      <c r="F29" s="14">
        <f t="shared" si="3"/>
        <v>45713</v>
      </c>
      <c r="G29" s="16">
        <f>_xlfn.XLOOKUP(F29,FX!$A$12:$A$910,FX!$B$12:$B$910,"",-1)</f>
        <v>1.1075999999999999</v>
      </c>
      <c r="H29" s="3">
        <f t="shared" si="0"/>
        <v>316657.40339472733</v>
      </c>
      <c r="I29" s="3">
        <f t="shared" si="0"/>
        <v>56882.186710003618</v>
      </c>
      <c r="J29" s="3">
        <f t="shared" si="1"/>
        <v>373539.59010473092</v>
      </c>
      <c r="L29" s="1" t="s">
        <v>148</v>
      </c>
      <c r="M29" s="3">
        <v>232186.74419999958</v>
      </c>
      <c r="N29" s="3">
        <v>3831827.8050999902</v>
      </c>
      <c r="O29" s="3">
        <v>450150.79319999932</v>
      </c>
      <c r="P29" s="3">
        <v>0</v>
      </c>
      <c r="Q29" s="3">
        <v>4514165.3424999835</v>
      </c>
      <c r="S29" s="3">
        <f t="shared" si="2"/>
        <v>4655518.1884047203</v>
      </c>
    </row>
    <row r="30" spans="1:19" x14ac:dyDescent="0.25">
      <c r="A30" s="1" t="s">
        <v>149</v>
      </c>
      <c r="B30" s="3">
        <v>318286.90999999997</v>
      </c>
      <c r="C30" s="3">
        <v>38646</v>
      </c>
      <c r="D30" s="3">
        <v>356932.91</v>
      </c>
      <c r="F30" s="14">
        <f t="shared" si="3"/>
        <v>45720</v>
      </c>
      <c r="G30" s="16">
        <f>_xlfn.XLOOKUP(F30,FX!$A$12:$A$910,FX!$B$12:$B$910,"",-1)</f>
        <v>1.1051</v>
      </c>
      <c r="H30" s="3">
        <f t="shared" si="0"/>
        <v>288016.3876572256</v>
      </c>
      <c r="I30" s="3">
        <f t="shared" si="0"/>
        <v>34970.590896751426</v>
      </c>
      <c r="J30" s="3">
        <f t="shared" si="1"/>
        <v>322986.97855397704</v>
      </c>
      <c r="L30" s="1" t="s">
        <v>149</v>
      </c>
      <c r="M30" s="3">
        <v>151659.33610000019</v>
      </c>
      <c r="N30" s="3">
        <v>3063403.4844000023</v>
      </c>
      <c r="O30" s="3">
        <v>416725.24120000022</v>
      </c>
      <c r="P30" s="3">
        <v>0</v>
      </c>
      <c r="Q30" s="3">
        <v>3631788.0617000023</v>
      </c>
      <c r="S30" s="3">
        <f t="shared" si="2"/>
        <v>3803115.7041539792</v>
      </c>
    </row>
    <row r="31" spans="1:19" x14ac:dyDescent="0.25">
      <c r="A31" s="1" t="s">
        <v>150</v>
      </c>
      <c r="B31" s="3">
        <v>446452.93</v>
      </c>
      <c r="C31" s="3">
        <v>51086.87</v>
      </c>
      <c r="D31" s="3">
        <v>497539.8</v>
      </c>
      <c r="F31" s="14">
        <f t="shared" si="3"/>
        <v>45727</v>
      </c>
      <c r="G31" s="16">
        <f>_xlfn.XLOOKUP(F31,FX!$A$12:$A$910,FX!$B$12:$B$910,"",-1)</f>
        <v>1.1022000000000001</v>
      </c>
      <c r="H31" s="3">
        <f t="shared" si="0"/>
        <v>405056.18762475048</v>
      </c>
      <c r="I31" s="3">
        <f t="shared" si="0"/>
        <v>46349.909272364363</v>
      </c>
      <c r="J31" s="3">
        <f t="shared" si="1"/>
        <v>451406.09689711482</v>
      </c>
      <c r="L31" s="1" t="s">
        <v>150</v>
      </c>
      <c r="M31" s="3">
        <v>170136.09930000003</v>
      </c>
      <c r="N31" s="3">
        <v>4409788.0632000081</v>
      </c>
      <c r="O31" s="3">
        <v>667906.65840000217</v>
      </c>
      <c r="P31" s="3">
        <v>0</v>
      </c>
      <c r="Q31" s="3">
        <v>5247830.8208999727</v>
      </c>
      <c r="S31" s="3">
        <f t="shared" si="2"/>
        <v>5529100.8184971251</v>
      </c>
    </row>
    <row r="32" spans="1:19" x14ac:dyDescent="0.25">
      <c r="A32" s="1" t="s">
        <v>151</v>
      </c>
      <c r="B32" s="3">
        <v>387386.53</v>
      </c>
      <c r="C32" s="3">
        <v>99644.21</v>
      </c>
      <c r="D32" s="3">
        <v>487030.74</v>
      </c>
      <c r="F32" s="14">
        <f t="shared" si="3"/>
        <v>45734</v>
      </c>
      <c r="G32" s="16">
        <f>_xlfn.XLOOKUP(F32,FX!$A$12:$A$910,FX!$B$12:$B$910,"",-1)</f>
        <v>1.0954999999999999</v>
      </c>
      <c r="H32" s="3">
        <f t="shared" si="0"/>
        <v>353616.18439068925</v>
      </c>
      <c r="I32" s="3">
        <f t="shared" si="0"/>
        <v>90957.745321770897</v>
      </c>
      <c r="J32" s="3">
        <f t="shared" si="1"/>
        <v>444573.92971246014</v>
      </c>
      <c r="L32" s="1" t="s">
        <v>151</v>
      </c>
      <c r="M32" s="3">
        <v>186129.23619999969</v>
      </c>
      <c r="N32" s="3">
        <v>3466156.6770000081</v>
      </c>
      <c r="O32" s="3">
        <v>538709.36779999896</v>
      </c>
      <c r="P32" s="3">
        <v>0</v>
      </c>
      <c r="Q32" s="3">
        <v>4190995.2810000009</v>
      </c>
      <c r="S32" s="3">
        <f t="shared" si="2"/>
        <v>4449439.9745124672</v>
      </c>
    </row>
    <row r="33" spans="1:28" x14ac:dyDescent="0.25">
      <c r="A33" s="1" t="s">
        <v>152</v>
      </c>
      <c r="B33" s="3">
        <v>333840.26</v>
      </c>
      <c r="C33" s="3">
        <v>101504.34</v>
      </c>
      <c r="D33" s="3">
        <v>435344.6</v>
      </c>
      <c r="F33" s="14">
        <f t="shared" si="3"/>
        <v>45741</v>
      </c>
      <c r="G33" s="16">
        <f>_xlfn.XLOOKUP(F33,FX!$A$12:$A$910,FX!$B$12:$B$910,"",-1)</f>
        <v>1.0985</v>
      </c>
      <c r="H33" s="3">
        <f t="shared" si="0"/>
        <v>303905.56213017751</v>
      </c>
      <c r="I33" s="3">
        <f t="shared" si="0"/>
        <v>92402.676376877556</v>
      </c>
      <c r="J33" s="3">
        <f t="shared" si="1"/>
        <v>396308.2385070551</v>
      </c>
      <c r="L33" s="1" t="s">
        <v>152</v>
      </c>
      <c r="M33" s="3">
        <v>175506.11700000011</v>
      </c>
      <c r="N33" s="3">
        <v>3078491.3299000119</v>
      </c>
      <c r="O33" s="3">
        <v>709650.51860000007</v>
      </c>
      <c r="P33" s="3">
        <v>0</v>
      </c>
      <c r="Q33" s="3">
        <v>3963647.9655000125</v>
      </c>
      <c r="S33" s="3">
        <f t="shared" si="2"/>
        <v>4184450.0870070672</v>
      </c>
    </row>
    <row r="34" spans="1:28" x14ac:dyDescent="0.25">
      <c r="A34" s="1" t="s">
        <v>153</v>
      </c>
      <c r="B34" s="3">
        <v>512946.96</v>
      </c>
      <c r="C34" s="3">
        <v>107345.23</v>
      </c>
      <c r="D34" s="3">
        <v>620292.18999999994</v>
      </c>
      <c r="F34" s="14">
        <f t="shared" si="3"/>
        <v>45748</v>
      </c>
      <c r="G34" s="16">
        <f>_xlfn.XLOOKUP(F34,FX!$A$12:$A$910,FX!$B$12:$B$910,"",-1)</f>
        <v>1.1021000000000001</v>
      </c>
      <c r="H34" s="3">
        <f t="shared" si="0"/>
        <v>465426.87596406857</v>
      </c>
      <c r="I34" s="3">
        <f t="shared" si="0"/>
        <v>97400.626077488414</v>
      </c>
      <c r="J34" s="3">
        <f t="shared" si="1"/>
        <v>562827.50204155699</v>
      </c>
      <c r="L34" s="1" t="s">
        <v>153</v>
      </c>
      <c r="M34" s="3">
        <v>274765.31799999997</v>
      </c>
      <c r="N34" s="3">
        <v>4286026.017699983</v>
      </c>
      <c r="O34" s="3">
        <v>605343.90690000076</v>
      </c>
      <c r="P34" s="3">
        <v>0</v>
      </c>
      <c r="Q34" s="3">
        <v>5166135.2425999446</v>
      </c>
      <c r="S34" s="3">
        <f t="shared" si="2"/>
        <v>5454197.4266415406</v>
      </c>
    </row>
    <row r="35" spans="1:28" x14ac:dyDescent="0.25">
      <c r="A35" s="1" t="s">
        <v>154</v>
      </c>
      <c r="B35" s="3">
        <v>329567.59999999998</v>
      </c>
      <c r="C35" s="3">
        <v>76036.62</v>
      </c>
      <c r="D35" s="3">
        <v>405604.22</v>
      </c>
      <c r="F35" s="14">
        <f t="shared" si="3"/>
        <v>45755</v>
      </c>
      <c r="G35" s="16">
        <f>_xlfn.XLOOKUP(F35,FX!$A$12:$A$910,FX!$B$12:$B$910,"",-1)</f>
        <v>1.0822000000000001</v>
      </c>
      <c r="H35" s="3">
        <f t="shared" si="0"/>
        <v>304534.83644428011</v>
      </c>
      <c r="I35" s="3">
        <f t="shared" si="0"/>
        <v>70261.153206431336</v>
      </c>
      <c r="J35" s="3">
        <f t="shared" si="1"/>
        <v>374795.98965071142</v>
      </c>
      <c r="L35" s="1" t="s">
        <v>154</v>
      </c>
      <c r="M35" s="3">
        <v>235413.90989999991</v>
      </c>
      <c r="N35" s="3">
        <v>3722821.6121000126</v>
      </c>
      <c r="O35" s="3">
        <v>641555.64420000033</v>
      </c>
      <c r="P35" s="3">
        <v>0</v>
      </c>
      <c r="Q35" s="3">
        <v>4599791.1662000231</v>
      </c>
      <c r="S35" s="3">
        <f t="shared" si="2"/>
        <v>4739173.245950724</v>
      </c>
    </row>
    <row r="36" spans="1:28" x14ac:dyDescent="0.25">
      <c r="A36" s="1" t="s">
        <v>155</v>
      </c>
      <c r="B36" s="3">
        <v>473137.64</v>
      </c>
      <c r="C36" s="3">
        <v>50905.22</v>
      </c>
      <c r="D36" s="3">
        <v>524042.86</v>
      </c>
      <c r="F36" s="14">
        <f t="shared" si="3"/>
        <v>45762</v>
      </c>
      <c r="G36" s="16">
        <f>_xlfn.XLOOKUP(F36,FX!$A$12:$A$910,FX!$B$12:$B$910,"",-1)</f>
        <v>1.0752999999999999</v>
      </c>
      <c r="H36" s="3">
        <f t="shared" si="0"/>
        <v>440005.24504789367</v>
      </c>
      <c r="I36" s="3">
        <f t="shared" si="0"/>
        <v>47340.481726029946</v>
      </c>
      <c r="J36" s="3">
        <f t="shared" si="1"/>
        <v>487345.72677392361</v>
      </c>
      <c r="L36" s="1" t="s">
        <v>155</v>
      </c>
      <c r="M36" s="3">
        <v>290838.79769999965</v>
      </c>
      <c r="N36" s="3">
        <v>4399442.887399991</v>
      </c>
      <c r="O36" s="3">
        <v>540104.20990000071</v>
      </c>
      <c r="P36" s="3">
        <v>0</v>
      </c>
      <c r="Q36" s="3">
        <v>5230385.8949999828</v>
      </c>
      <c r="S36" s="3">
        <f t="shared" si="2"/>
        <v>5426892.8240739154</v>
      </c>
      <c r="AB36" t="s">
        <v>238</v>
      </c>
    </row>
    <row r="37" spans="1:28" x14ac:dyDescent="0.25">
      <c r="A37" s="1" t="s">
        <v>156</v>
      </c>
      <c r="B37" s="3">
        <v>553805.44999999995</v>
      </c>
      <c r="C37" s="3">
        <v>126846.41</v>
      </c>
      <c r="D37" s="3">
        <v>680651.86</v>
      </c>
      <c r="F37" s="14">
        <f t="shared" si="3"/>
        <v>45769</v>
      </c>
      <c r="G37" s="16">
        <f>_xlfn.XLOOKUP(F37,FX!$A$12:$A$910,FX!$B$12:$B$910,"",-1)</f>
        <v>1.0684</v>
      </c>
      <c r="H37" s="3">
        <f t="shared" si="0"/>
        <v>518350.29015350051</v>
      </c>
      <c r="I37" s="3">
        <f t="shared" si="0"/>
        <v>118725.58030700113</v>
      </c>
      <c r="J37" s="3">
        <f t="shared" si="1"/>
        <v>637075.87046050164</v>
      </c>
      <c r="L37" s="1" t="s">
        <v>156</v>
      </c>
      <c r="M37" s="3">
        <v>333149.16139999975</v>
      </c>
      <c r="N37" s="3">
        <v>4339266.1290000202</v>
      </c>
      <c r="O37" s="3">
        <v>873560.86969999922</v>
      </c>
      <c r="P37" s="3">
        <v>0</v>
      </c>
      <c r="Q37" s="3">
        <v>5545976.1600999674</v>
      </c>
      <c r="S37" s="3">
        <f t="shared" si="2"/>
        <v>5849902.8691605218</v>
      </c>
    </row>
    <row r="38" spans="1:28" x14ac:dyDescent="0.25">
      <c r="A38" s="1" t="s">
        <v>157</v>
      </c>
      <c r="B38" s="3">
        <v>563953.74</v>
      </c>
      <c r="C38" s="3">
        <v>87578.95</v>
      </c>
      <c r="D38" s="3">
        <v>651532.68999999994</v>
      </c>
      <c r="F38" s="14">
        <f t="shared" si="3"/>
        <v>45776</v>
      </c>
      <c r="G38" s="16">
        <f>_xlfn.XLOOKUP(F38,FX!$A$12:$A$910,FX!$B$12:$B$910,"",-1)</f>
        <v>1.0769</v>
      </c>
      <c r="H38" s="3">
        <f t="shared" si="0"/>
        <v>523682.55176896648</v>
      </c>
      <c r="I38" s="3">
        <f t="shared" si="0"/>
        <v>81325.053394001297</v>
      </c>
      <c r="J38" s="3">
        <f t="shared" si="1"/>
        <v>605007.60516296781</v>
      </c>
      <c r="L38" s="1" t="s">
        <v>157</v>
      </c>
      <c r="M38" s="3">
        <v>261632.53559999974</v>
      </c>
      <c r="N38" s="3">
        <v>5537169.5162999826</v>
      </c>
      <c r="O38" s="3">
        <v>806753.40460000001</v>
      </c>
      <c r="P38" s="3">
        <v>0</v>
      </c>
      <c r="Q38" s="3">
        <v>6605555.4564999631</v>
      </c>
      <c r="S38" s="3">
        <f t="shared" si="2"/>
        <v>6948930.5260629505</v>
      </c>
      <c r="X38" t="s">
        <v>239</v>
      </c>
      <c r="Y38" s="3">
        <v>480308.59220000089</v>
      </c>
      <c r="AA38" t="s">
        <v>239</v>
      </c>
      <c r="AB38" s="36">
        <f>+SUMIF(X38:X50,AA38,Y38:Y50)</f>
        <v>2403988.7058999967</v>
      </c>
    </row>
    <row r="39" spans="1:28" x14ac:dyDescent="0.25">
      <c r="A39" s="1" t="s">
        <v>158</v>
      </c>
      <c r="B39" s="3">
        <v>348916.81</v>
      </c>
      <c r="C39" s="3">
        <v>54005.05</v>
      </c>
      <c r="D39" s="3">
        <v>402921.86</v>
      </c>
      <c r="F39" s="14">
        <f t="shared" si="3"/>
        <v>45783</v>
      </c>
      <c r="G39" s="16">
        <f>_xlfn.XLOOKUP(F39,FX!$A$12:$A$910,FX!$B$12:$B$910,"",-1)</f>
        <v>1.0805</v>
      </c>
      <c r="H39" s="3">
        <f t="shared" si="0"/>
        <v>322921.61962054606</v>
      </c>
      <c r="I39" s="3">
        <f t="shared" si="0"/>
        <v>49981.536325775109</v>
      </c>
      <c r="J39" s="3">
        <f t="shared" si="1"/>
        <v>372903.15594632115</v>
      </c>
      <c r="L39" s="1" t="s">
        <v>158</v>
      </c>
      <c r="M39" s="3">
        <v>235949.89839999998</v>
      </c>
      <c r="N39" s="3">
        <v>3145647.0681999894</v>
      </c>
      <c r="O39" s="3">
        <v>426337.72410000011</v>
      </c>
      <c r="P39" s="3">
        <v>0</v>
      </c>
      <c r="Q39" s="3">
        <v>3807934.6906999974</v>
      </c>
      <c r="S39" s="3">
        <f t="shared" si="2"/>
        <v>3944887.9482463109</v>
      </c>
      <c r="X39" t="s">
        <v>239</v>
      </c>
      <c r="Y39" s="3">
        <v>411064.81879999995</v>
      </c>
      <c r="AA39" t="s">
        <v>240</v>
      </c>
      <c r="AB39" s="36">
        <f t="shared" ref="AB39:AB40" si="4">+SUMIF(X39:X51,AA39,Y39:Y51)</f>
        <v>1889610.7295999979</v>
      </c>
    </row>
    <row r="40" spans="1:28" x14ac:dyDescent="0.25">
      <c r="A40" s="1" t="s">
        <v>159</v>
      </c>
      <c r="B40" s="3">
        <v>484528.45</v>
      </c>
      <c r="C40" s="3">
        <v>93071.97</v>
      </c>
      <c r="D40" s="3">
        <v>577600.42000000004</v>
      </c>
      <c r="F40" s="14">
        <f t="shared" si="3"/>
        <v>45790</v>
      </c>
      <c r="G40" s="16">
        <f>_xlfn.XLOOKUP(F40,FX!$A$12:$A$910,FX!$B$12:$B$910,"",-1)</f>
        <v>1.0885</v>
      </c>
      <c r="H40" s="3">
        <f t="shared" si="0"/>
        <v>445134.08360128617</v>
      </c>
      <c r="I40" s="3">
        <f t="shared" si="0"/>
        <v>85504.795590261827</v>
      </c>
      <c r="J40" s="3">
        <f t="shared" si="1"/>
        <v>530638.87919154798</v>
      </c>
      <c r="L40" s="1" t="s">
        <v>159</v>
      </c>
      <c r="M40" s="3">
        <v>304883.72670000017</v>
      </c>
      <c r="N40" s="3">
        <v>4896887.6644999897</v>
      </c>
      <c r="O40" s="3">
        <v>947471.02139999869</v>
      </c>
      <c r="P40" s="3">
        <v>0</v>
      </c>
      <c r="Q40" s="3">
        <v>6149242.412600005</v>
      </c>
      <c r="S40" s="3">
        <f t="shared" si="2"/>
        <v>6374997.5650915364</v>
      </c>
      <c r="X40" t="s">
        <v>239</v>
      </c>
      <c r="Y40" s="3">
        <v>797063.31049999723</v>
      </c>
      <c r="AA40" t="s">
        <v>241</v>
      </c>
      <c r="AB40" s="36">
        <f t="shared" si="4"/>
        <v>1345942.5352999978</v>
      </c>
    </row>
    <row r="41" spans="1:28" x14ac:dyDescent="0.25">
      <c r="A41" s="1" t="s">
        <v>160</v>
      </c>
      <c r="B41" s="3">
        <v>708642.7</v>
      </c>
      <c r="C41" s="3">
        <v>192122.88</v>
      </c>
      <c r="D41" s="3">
        <v>900765.58</v>
      </c>
      <c r="F41" s="14">
        <f t="shared" si="3"/>
        <v>45797</v>
      </c>
      <c r="G41" s="16">
        <f>_xlfn.XLOOKUP(F41,FX!$A$12:$A$910,FX!$B$12:$B$910,"",-1)</f>
        <v>1.0843</v>
      </c>
      <c r="H41" s="3">
        <f t="shared" si="0"/>
        <v>653548.55667250755</v>
      </c>
      <c r="I41" s="3">
        <f t="shared" si="0"/>
        <v>177186.09240984966</v>
      </c>
      <c r="J41" s="3">
        <f t="shared" si="1"/>
        <v>830734.64908235718</v>
      </c>
      <c r="L41" s="1" t="s">
        <v>160</v>
      </c>
      <c r="M41" s="3">
        <v>603104.62800000049</v>
      </c>
      <c r="N41" s="3">
        <v>7462656.6203999696</v>
      </c>
      <c r="O41" s="3">
        <v>1991408.8390999977</v>
      </c>
      <c r="P41" s="3">
        <v>0</v>
      </c>
      <c r="Q41" s="3">
        <v>10057170.087499905</v>
      </c>
      <c r="S41" s="3">
        <f t="shared" si="2"/>
        <v>10284800.108582325</v>
      </c>
      <c r="X41" t="s">
        <v>239</v>
      </c>
      <c r="Y41" s="3">
        <v>715551.98439999868</v>
      </c>
    </row>
    <row r="42" spans="1:28" x14ac:dyDescent="0.25">
      <c r="A42" s="1" t="s">
        <v>161</v>
      </c>
      <c r="B42" s="3">
        <v>640641.98</v>
      </c>
      <c r="C42" s="3">
        <v>156507.29999999999</v>
      </c>
      <c r="D42" s="3">
        <v>797149.28</v>
      </c>
      <c r="F42" s="14">
        <f t="shared" si="3"/>
        <v>45804</v>
      </c>
      <c r="G42" s="16">
        <f>_xlfn.XLOOKUP(F42,FX!$A$12:$A$910,FX!$B$12:$B$910,"",-1)</f>
        <v>1.0833999999999999</v>
      </c>
      <c r="H42" s="3">
        <f t="shared" si="0"/>
        <v>591325.43843455787</v>
      </c>
      <c r="I42" s="3">
        <f t="shared" si="0"/>
        <v>144459.3871146391</v>
      </c>
      <c r="J42" s="3">
        <f t="shared" si="1"/>
        <v>735784.82554919692</v>
      </c>
      <c r="L42" s="1" t="s">
        <v>161</v>
      </c>
      <c r="M42" s="3">
        <v>486831.19919999968</v>
      </c>
      <c r="N42" s="3">
        <v>6435460.9035999663</v>
      </c>
      <c r="O42" s="3">
        <v>1495992.490400004</v>
      </c>
      <c r="P42" s="3">
        <v>0</v>
      </c>
      <c r="Q42" s="3">
        <v>8418284.593199959</v>
      </c>
      <c r="S42" s="3">
        <f t="shared" si="2"/>
        <v>8667238.219549166</v>
      </c>
      <c r="X42" t="s">
        <v>240</v>
      </c>
      <c r="Y42" s="3">
        <v>535441.36739999964</v>
      </c>
    </row>
    <row r="43" spans="1:28" x14ac:dyDescent="0.25">
      <c r="A43" s="1" t="s">
        <v>162</v>
      </c>
      <c r="B43" s="3">
        <v>672126.44</v>
      </c>
      <c r="C43" s="3">
        <v>162590.38</v>
      </c>
      <c r="D43" s="3">
        <v>834716.82</v>
      </c>
      <c r="F43" s="14">
        <f t="shared" si="3"/>
        <v>45811</v>
      </c>
      <c r="G43" s="16">
        <f>_xlfn.XLOOKUP(F43,FX!$A$12:$A$910,FX!$B$12:$B$910,"",-1)</f>
        <v>1.0757000000000001</v>
      </c>
      <c r="H43" s="3">
        <f t="shared" si="0"/>
        <v>624827.0335595425</v>
      </c>
      <c r="I43" s="3">
        <f t="shared" si="0"/>
        <v>151148.44287440737</v>
      </c>
      <c r="J43" s="3">
        <f t="shared" si="1"/>
        <v>775975.47643394989</v>
      </c>
      <c r="L43" s="1" t="s">
        <v>162</v>
      </c>
      <c r="M43" s="3">
        <v>407979.28170000098</v>
      </c>
      <c r="N43" s="3">
        <v>6182961.4966999637</v>
      </c>
      <c r="O43" s="3">
        <v>1120879.3270000014</v>
      </c>
      <c r="P43" s="3">
        <v>0</v>
      </c>
      <c r="Q43" s="3">
        <v>7711820.1053999793</v>
      </c>
      <c r="S43" s="3">
        <f t="shared" si="2"/>
        <v>8079816.3001339147</v>
      </c>
      <c r="X43" t="s">
        <v>240</v>
      </c>
      <c r="Y43" s="3">
        <v>329496.46459999995</v>
      </c>
    </row>
    <row r="44" spans="1:28" x14ac:dyDescent="0.25">
      <c r="A44" s="1" t="s">
        <v>163</v>
      </c>
      <c r="B44" s="3">
        <v>516153.3</v>
      </c>
      <c r="C44" s="3">
        <v>127323.98</v>
      </c>
      <c r="D44" s="3">
        <v>643477.28</v>
      </c>
      <c r="F44" s="14">
        <f t="shared" si="3"/>
        <v>45818</v>
      </c>
      <c r="G44" s="16">
        <f>_xlfn.XLOOKUP(F44,FX!$A$12:$A$910,FX!$B$12:$B$910,"",-1)</f>
        <v>1.0763</v>
      </c>
      <c r="H44" s="3">
        <f t="shared" si="0"/>
        <v>479562.66840100341</v>
      </c>
      <c r="I44" s="3">
        <f t="shared" si="0"/>
        <v>118297.85375824584</v>
      </c>
      <c r="J44" s="3">
        <f t="shared" si="1"/>
        <v>597860.52215924929</v>
      </c>
      <c r="L44" s="1" t="s">
        <v>163</v>
      </c>
      <c r="M44" s="3">
        <v>389434.49910000066</v>
      </c>
      <c r="N44" s="3">
        <v>6934444.322699978</v>
      </c>
      <c r="O44" s="3">
        <v>1238711.7853000038</v>
      </c>
      <c r="P44" s="3">
        <v>0</v>
      </c>
      <c r="Q44" s="3">
        <v>8562590.6070999987</v>
      </c>
      <c r="S44" s="3">
        <f t="shared" si="2"/>
        <v>8771016.6301592309</v>
      </c>
      <c r="X44" t="s">
        <v>240</v>
      </c>
      <c r="Y44" s="3">
        <v>351697.10159999976</v>
      </c>
    </row>
    <row r="45" spans="1:28" x14ac:dyDescent="0.25">
      <c r="A45" s="1" t="s">
        <v>164</v>
      </c>
      <c r="B45" s="3">
        <v>623042.99</v>
      </c>
      <c r="C45" s="3">
        <v>107113.75</v>
      </c>
      <c r="D45" s="3">
        <v>730156.74</v>
      </c>
      <c r="F45" s="14">
        <f t="shared" si="3"/>
        <v>45825</v>
      </c>
      <c r="G45" s="16">
        <f>_xlfn.XLOOKUP(F45,FX!$A$12:$A$910,FX!$B$12:$B$910,"",-1)</f>
        <v>1.0771999999999999</v>
      </c>
      <c r="H45" s="3">
        <f t="shared" si="0"/>
        <v>578391.19012253999</v>
      </c>
      <c r="I45" s="3">
        <f t="shared" si="0"/>
        <v>99437.198291867811</v>
      </c>
      <c r="J45" s="3">
        <f t="shared" si="1"/>
        <v>677828.38841440785</v>
      </c>
      <c r="L45" s="1" t="s">
        <v>164</v>
      </c>
      <c r="M45" s="3">
        <v>445573.06480000081</v>
      </c>
      <c r="N45" s="3">
        <v>7611533.864599972</v>
      </c>
      <c r="O45" s="3">
        <v>1469795.1285000015</v>
      </c>
      <c r="P45" s="3">
        <v>0</v>
      </c>
      <c r="Q45" s="3">
        <v>9526902.0579000562</v>
      </c>
      <c r="S45" s="3">
        <f t="shared" si="2"/>
        <v>9759157.3815143816</v>
      </c>
      <c r="X45" t="s">
        <v>240</v>
      </c>
      <c r="Y45" s="3">
        <v>335148.3187999996</v>
      </c>
    </row>
    <row r="46" spans="1:28" x14ac:dyDescent="0.25">
      <c r="A46" s="1" t="s">
        <v>165</v>
      </c>
      <c r="B46" s="3">
        <v>970069.68</v>
      </c>
      <c r="C46" s="3">
        <v>181801.02</v>
      </c>
      <c r="D46" s="3">
        <v>1151870.7</v>
      </c>
      <c r="F46" s="14">
        <f t="shared" si="3"/>
        <v>45832</v>
      </c>
      <c r="G46" s="16">
        <f>_xlfn.XLOOKUP(F46,FX!$A$12:$A$910,FX!$B$12:$B$910,"",-1)</f>
        <v>1.0805</v>
      </c>
      <c r="H46" s="3">
        <f t="shared" si="0"/>
        <v>897797.01989819529</v>
      </c>
      <c r="I46" s="3">
        <f t="shared" si="0"/>
        <v>168256.38130495138</v>
      </c>
      <c r="J46" s="3">
        <f t="shared" si="1"/>
        <v>1066053.4012031467</v>
      </c>
      <c r="L46" s="1" t="s">
        <v>165</v>
      </c>
      <c r="M46" s="3">
        <v>879734.10010000039</v>
      </c>
      <c r="N46" s="3">
        <v>13298213.421499817</v>
      </c>
      <c r="O46" s="3">
        <v>2880357.2540999935</v>
      </c>
      <c r="P46" s="3">
        <v>0</v>
      </c>
      <c r="Q46" s="3">
        <v>17058304.775699854</v>
      </c>
      <c r="S46" s="3">
        <f t="shared" si="2"/>
        <v>17244624.076802958</v>
      </c>
      <c r="X46" t="s">
        <v>241</v>
      </c>
      <c r="Y46" s="3">
        <v>345281.98959999968</v>
      </c>
    </row>
    <row r="47" spans="1:28" x14ac:dyDescent="0.25">
      <c r="A47" s="1" t="s">
        <v>166</v>
      </c>
      <c r="B47" s="3">
        <v>416537.42</v>
      </c>
      <c r="C47" s="3">
        <v>100748.73</v>
      </c>
      <c r="D47" s="3">
        <v>517286.15</v>
      </c>
      <c r="F47" s="14">
        <f t="shared" si="3"/>
        <v>45839</v>
      </c>
      <c r="G47" s="16">
        <f>_xlfn.XLOOKUP(F47,FX!$A$12:$A$910,FX!$B$12:$B$910,"",-1)</f>
        <v>1.0787</v>
      </c>
      <c r="H47" s="3">
        <f t="shared" si="0"/>
        <v>386147.60359692218</v>
      </c>
      <c r="I47" s="3">
        <f t="shared" si="0"/>
        <v>93398.284972652269</v>
      </c>
      <c r="J47" s="3">
        <f t="shared" si="1"/>
        <v>479545.88856957445</v>
      </c>
      <c r="L47" s="1" t="s">
        <v>166</v>
      </c>
      <c r="M47" s="3">
        <v>480308.59220000089</v>
      </c>
      <c r="N47" s="3">
        <v>4374888.2872999925</v>
      </c>
      <c r="O47" s="3">
        <v>946826.03690000041</v>
      </c>
      <c r="P47" s="3">
        <v>0</v>
      </c>
      <c r="Q47" s="3">
        <v>5802022.9163999902</v>
      </c>
      <c r="S47" s="3">
        <f t="shared" si="2"/>
        <v>5801260.212769568</v>
      </c>
      <c r="X47" t="s">
        <v>241</v>
      </c>
      <c r="Y47" s="3">
        <v>284390.62499999988</v>
      </c>
    </row>
    <row r="48" spans="1:28" x14ac:dyDescent="0.25">
      <c r="A48" s="1" t="s">
        <v>167</v>
      </c>
      <c r="B48" s="3">
        <v>261927.13</v>
      </c>
      <c r="C48" s="3">
        <v>35610.42</v>
      </c>
      <c r="D48" s="3">
        <v>297537.55</v>
      </c>
      <c r="F48" s="14">
        <f t="shared" si="3"/>
        <v>45846</v>
      </c>
      <c r="G48" s="16">
        <f>_xlfn.XLOOKUP(F48,FX!$A$12:$A$910,FX!$B$12:$B$910,"",-1)</f>
        <v>1.0869</v>
      </c>
      <c r="H48" s="3">
        <f t="shared" si="0"/>
        <v>240985.49084552398</v>
      </c>
      <c r="I48" s="3">
        <f t="shared" si="0"/>
        <v>32763.290091084735</v>
      </c>
      <c r="J48" s="3">
        <f t="shared" si="1"/>
        <v>273748.78093660873</v>
      </c>
      <c r="L48" s="1" t="s">
        <v>167</v>
      </c>
      <c r="M48" s="3">
        <v>411064.81879999995</v>
      </c>
      <c r="N48" s="3">
        <v>3212266.4442000017</v>
      </c>
      <c r="O48" s="3">
        <v>438706.33200000098</v>
      </c>
      <c r="P48" s="3">
        <v>0</v>
      </c>
      <c r="Q48" s="3">
        <v>4062037.5950000039</v>
      </c>
      <c r="S48" s="3">
        <f t="shared" si="2"/>
        <v>3924721.5571366111</v>
      </c>
      <c r="X48" t="s">
        <v>241</v>
      </c>
      <c r="Y48" s="3">
        <v>305195.25159999932</v>
      </c>
    </row>
    <row r="49" spans="1:25" x14ac:dyDescent="0.25">
      <c r="A49" s="1" t="s">
        <v>168</v>
      </c>
      <c r="B49" s="3">
        <v>463701.33</v>
      </c>
      <c r="C49" s="3">
        <v>109149.03</v>
      </c>
      <c r="D49" s="3">
        <v>572850.36</v>
      </c>
      <c r="F49" s="14">
        <f t="shared" si="3"/>
        <v>45853</v>
      </c>
      <c r="G49" s="16">
        <f>_xlfn.XLOOKUP(F49,FX!$A$12:$A$910,FX!$B$12:$B$910,"",-1)</f>
        <v>1.0955999999999999</v>
      </c>
      <c r="H49" s="3">
        <f t="shared" si="0"/>
        <v>423239.62212486315</v>
      </c>
      <c r="I49" s="3">
        <f t="shared" si="0"/>
        <v>99624.890470974817</v>
      </c>
      <c r="J49" s="3">
        <f t="shared" si="1"/>
        <v>522864.51259583794</v>
      </c>
      <c r="L49" s="1" t="s">
        <v>168</v>
      </c>
      <c r="M49" s="3">
        <v>797063.31049999711</v>
      </c>
      <c r="N49" s="3">
        <v>4937921.6666999739</v>
      </c>
      <c r="O49" s="3">
        <v>1076143.1926999991</v>
      </c>
      <c r="P49" s="3">
        <v>0</v>
      </c>
      <c r="Q49" s="3">
        <v>6811128.1698999414</v>
      </c>
      <c r="S49" s="3">
        <f t="shared" si="2"/>
        <v>6536929.3719958104</v>
      </c>
      <c r="X49" t="s">
        <v>240</v>
      </c>
      <c r="Y49" s="3">
        <v>337827.47719999886</v>
      </c>
    </row>
    <row r="50" spans="1:25" x14ac:dyDescent="0.25">
      <c r="A50" s="1" t="s">
        <v>169</v>
      </c>
      <c r="B50" s="3">
        <v>409968.17</v>
      </c>
      <c r="C50" s="3">
        <v>101260.96</v>
      </c>
      <c r="D50" s="3">
        <v>511229.13</v>
      </c>
      <c r="F50" s="14">
        <f t="shared" si="3"/>
        <v>45860</v>
      </c>
      <c r="G50" s="16">
        <f>_xlfn.XLOOKUP(F50,FX!$A$12:$A$910,FX!$B$12:$B$910,"",-1)</f>
        <v>1.0944</v>
      </c>
      <c r="H50" s="3">
        <f t="shared" si="0"/>
        <v>374605.41849415202</v>
      </c>
      <c r="I50" s="3">
        <f t="shared" si="0"/>
        <v>92526.461988304101</v>
      </c>
      <c r="J50" s="3">
        <f t="shared" si="1"/>
        <v>467131.88048245612</v>
      </c>
      <c r="L50" s="1" t="s">
        <v>169</v>
      </c>
      <c r="M50" s="3">
        <v>715551.98439999868</v>
      </c>
      <c r="N50" s="3">
        <v>4730578.7612999938</v>
      </c>
      <c r="O50" s="3">
        <v>986634.2926999979</v>
      </c>
      <c r="P50" s="3">
        <v>0</v>
      </c>
      <c r="Q50" s="3">
        <v>6432765.0383999757</v>
      </c>
      <c r="S50" s="3">
        <f t="shared" si="2"/>
        <v>6184344.9344824478</v>
      </c>
      <c r="X50" t="s">
        <v>241</v>
      </c>
      <c r="Y50" s="3">
        <v>411074.66909999878</v>
      </c>
    </row>
    <row r="51" spans="1:25" x14ac:dyDescent="0.25">
      <c r="A51" s="1" t="s">
        <v>170</v>
      </c>
      <c r="B51" s="3">
        <v>420490.66</v>
      </c>
      <c r="C51" s="3">
        <v>80332.55</v>
      </c>
      <c r="D51" s="3">
        <v>500823.21</v>
      </c>
      <c r="F51" s="14">
        <f t="shared" si="3"/>
        <v>45867</v>
      </c>
      <c r="G51" s="16">
        <f>_xlfn.XLOOKUP(F51,FX!$A$12:$A$910,FX!$B$12:$B$910,"",-1)</f>
        <v>1.093</v>
      </c>
      <c r="H51" s="3">
        <f t="shared" si="0"/>
        <v>384712.40622140898</v>
      </c>
      <c r="I51" s="3">
        <f t="shared" si="0"/>
        <v>73497.301006404392</v>
      </c>
      <c r="J51" s="3">
        <f t="shared" si="1"/>
        <v>458209.70722781337</v>
      </c>
      <c r="L51" s="1" t="s">
        <v>170</v>
      </c>
      <c r="M51" s="3">
        <v>535441.36739999976</v>
      </c>
      <c r="N51" s="3">
        <v>4662371.2223999919</v>
      </c>
      <c r="O51" s="3">
        <v>677002.16749999998</v>
      </c>
      <c r="P51" s="3">
        <v>0</v>
      </c>
      <c r="Q51" s="3">
        <v>5874814.7572999615</v>
      </c>
      <c r="S51" s="3">
        <f t="shared" si="2"/>
        <v>5797583.0971278045</v>
      </c>
    </row>
    <row r="52" spans="1:25" x14ac:dyDescent="0.25">
      <c r="A52" s="1" t="s">
        <v>171</v>
      </c>
      <c r="B52" s="3">
        <v>500590.92</v>
      </c>
      <c r="C52" s="3">
        <v>44629.97</v>
      </c>
      <c r="D52" s="3">
        <v>545220.89</v>
      </c>
      <c r="F52" s="14">
        <f t="shared" si="3"/>
        <v>45874</v>
      </c>
      <c r="G52" s="16">
        <f>_xlfn.XLOOKUP(F52,FX!$A$12:$A$910,FX!$B$12:$B$910,"",-1)</f>
        <v>1.0956999999999999</v>
      </c>
      <c r="H52" s="3">
        <f t="shared" si="0"/>
        <v>456868.59541845397</v>
      </c>
      <c r="I52" s="3">
        <f t="shared" si="0"/>
        <v>40731.924796933476</v>
      </c>
      <c r="J52" s="3">
        <f t="shared" si="1"/>
        <v>497600.52021538746</v>
      </c>
      <c r="L52" s="1" t="s">
        <v>171</v>
      </c>
      <c r="M52" s="3">
        <v>329496.46459999995</v>
      </c>
      <c r="N52" s="3">
        <v>5115734.4815999698</v>
      </c>
      <c r="O52" s="3">
        <v>860692.68139999954</v>
      </c>
      <c r="P52" s="3">
        <v>0</v>
      </c>
      <c r="Q52" s="3">
        <v>6305923.627599949</v>
      </c>
      <c r="S52" s="3">
        <f t="shared" si="2"/>
        <v>6474027.6832153564</v>
      </c>
    </row>
    <row r="53" spans="1:25" x14ac:dyDescent="0.25">
      <c r="A53" s="1" t="s">
        <v>172</v>
      </c>
      <c r="B53" s="3">
        <v>309187.49</v>
      </c>
      <c r="C53" s="3">
        <v>57165.95</v>
      </c>
      <c r="D53" s="3">
        <v>366353.44</v>
      </c>
      <c r="F53" s="14">
        <f t="shared" si="3"/>
        <v>45881</v>
      </c>
      <c r="G53" s="16">
        <f>_xlfn.XLOOKUP(F53,FX!$A$12:$A$910,FX!$B$12:$B$910,"",-1)</f>
        <v>1.0958000000000001</v>
      </c>
      <c r="H53" s="3">
        <f t="shared" si="0"/>
        <v>282156.86256616167</v>
      </c>
      <c r="I53" s="3">
        <f t="shared" si="0"/>
        <v>52168.233254243467</v>
      </c>
      <c r="J53" s="3">
        <f t="shared" si="1"/>
        <v>334325.09582040511</v>
      </c>
      <c r="L53" s="1" t="s">
        <v>172</v>
      </c>
      <c r="M53" s="3">
        <v>351697.10159999976</v>
      </c>
      <c r="N53" s="3">
        <v>3387789.9011999983</v>
      </c>
      <c r="O53" s="3">
        <v>722741.70150000229</v>
      </c>
      <c r="P53" s="3">
        <v>0</v>
      </c>
      <c r="Q53" s="3">
        <v>4462228.7042999957</v>
      </c>
      <c r="S53" s="3">
        <f t="shared" si="2"/>
        <v>4444856.6985204052</v>
      </c>
    </row>
    <row r="54" spans="1:25" x14ac:dyDescent="0.25">
      <c r="A54" s="1" t="s">
        <v>173</v>
      </c>
      <c r="B54" s="3">
        <v>383841.06</v>
      </c>
      <c r="C54" s="3">
        <v>68478.06</v>
      </c>
      <c r="D54" s="3">
        <v>452319.12</v>
      </c>
      <c r="F54" s="14">
        <f t="shared" si="3"/>
        <v>45888</v>
      </c>
      <c r="G54" s="16">
        <f>_xlfn.XLOOKUP(F54,FX!$A$12:$A$910,FX!$B$12:$B$910,"",-1)</f>
        <v>1.095</v>
      </c>
      <c r="H54" s="3">
        <f t="shared" si="0"/>
        <v>350539.78082191781</v>
      </c>
      <c r="I54" s="3">
        <f t="shared" si="0"/>
        <v>62537.04109589041</v>
      </c>
      <c r="J54" s="3">
        <f t="shared" si="1"/>
        <v>413076.82191780821</v>
      </c>
      <c r="L54" s="1" t="s">
        <v>173</v>
      </c>
      <c r="M54" s="3">
        <v>335148.3187999996</v>
      </c>
      <c r="N54" s="3">
        <v>3838227.4342999938</v>
      </c>
      <c r="O54" s="3">
        <v>630649.42829999991</v>
      </c>
      <c r="P54" s="3">
        <v>0</v>
      </c>
      <c r="Q54" s="3">
        <v>4804025.1814000132</v>
      </c>
      <c r="S54" s="3">
        <f t="shared" si="2"/>
        <v>4881953.6845178017</v>
      </c>
    </row>
    <row r="55" spans="1:25" x14ac:dyDescent="0.25">
      <c r="A55" s="1" t="s">
        <v>174</v>
      </c>
      <c r="B55" s="3">
        <v>459508.46</v>
      </c>
      <c r="C55" s="3">
        <v>75687.539999999994</v>
      </c>
      <c r="D55" s="3">
        <v>535196</v>
      </c>
      <c r="F55" s="14">
        <f t="shared" si="3"/>
        <v>45895</v>
      </c>
      <c r="G55" s="16">
        <f>_xlfn.XLOOKUP(F55,FX!$A$12:$A$910,FX!$B$12:$B$910,"",-1)</f>
        <v>1.1095999999999999</v>
      </c>
      <c r="H55" s="3">
        <f t="shared" si="0"/>
        <v>414120.81831290561</v>
      </c>
      <c r="I55" s="3">
        <f t="shared" si="0"/>
        <v>68211.55371304974</v>
      </c>
      <c r="J55" s="3">
        <f t="shared" si="1"/>
        <v>482332.37202595535</v>
      </c>
      <c r="L55" s="1" t="s">
        <v>174</v>
      </c>
      <c r="M55" s="3">
        <v>345281.98959999962</v>
      </c>
      <c r="N55" s="3">
        <v>4637102.9945999747</v>
      </c>
      <c r="O55" s="3">
        <v>691745.57900000038</v>
      </c>
      <c r="P55" s="3">
        <v>0</v>
      </c>
      <c r="Q55" s="3">
        <v>5674130.563199996</v>
      </c>
      <c r="S55" s="3">
        <f t="shared" si="2"/>
        <v>5811180.945625931</v>
      </c>
    </row>
    <row r="56" spans="1:25" x14ac:dyDescent="0.25">
      <c r="A56" s="1" t="s">
        <v>175</v>
      </c>
      <c r="B56" s="3">
        <v>484942.23</v>
      </c>
      <c r="C56" s="3">
        <v>84270.78</v>
      </c>
      <c r="D56" s="3">
        <v>569213.01</v>
      </c>
      <c r="F56" s="14">
        <f t="shared" si="3"/>
        <v>45902</v>
      </c>
      <c r="G56" s="16">
        <f>_xlfn.XLOOKUP(F56,FX!$A$12:$A$910,FX!$B$12:$B$910,"",-1)</f>
        <v>1.1113</v>
      </c>
      <c r="H56" s="3">
        <f t="shared" si="0"/>
        <v>436373.82345001347</v>
      </c>
      <c r="I56" s="3">
        <f t="shared" si="0"/>
        <v>75830.81076217044</v>
      </c>
      <c r="J56" s="3">
        <f t="shared" si="1"/>
        <v>512204.63421218388</v>
      </c>
      <c r="L56" s="1" t="s">
        <v>175</v>
      </c>
      <c r="M56" s="3">
        <v>284390.62499999988</v>
      </c>
      <c r="N56" s="3">
        <v>4733535.1984999916</v>
      </c>
      <c r="O56" s="3">
        <v>848933.34120000468</v>
      </c>
      <c r="P56" s="3">
        <v>0</v>
      </c>
      <c r="Q56" s="3">
        <v>5866859.1647000024</v>
      </c>
      <c r="S56" s="3">
        <f t="shared" si="2"/>
        <v>6094673.1739121797</v>
      </c>
    </row>
    <row r="57" spans="1:25" x14ac:dyDescent="0.25">
      <c r="A57" s="1" t="s">
        <v>176</v>
      </c>
      <c r="B57" s="3">
        <v>442388.16</v>
      </c>
      <c r="C57" s="3">
        <v>84701.8</v>
      </c>
      <c r="D57" s="3">
        <v>527089.96</v>
      </c>
      <c r="F57" s="14">
        <f t="shared" si="3"/>
        <v>45909</v>
      </c>
      <c r="G57" s="16">
        <f>_xlfn.XLOOKUP(F57,FX!$A$12:$A$910,FX!$B$12:$B$910,"",-1)</f>
        <v>1.1107</v>
      </c>
      <c r="H57" s="3">
        <f t="shared" si="0"/>
        <v>398296.71378410008</v>
      </c>
      <c r="I57" s="3">
        <f t="shared" si="0"/>
        <v>76259.836139371575</v>
      </c>
      <c r="J57" s="3">
        <f t="shared" si="1"/>
        <v>474556.54992347164</v>
      </c>
      <c r="L57" s="1" t="s">
        <v>176</v>
      </c>
      <c r="M57" s="3">
        <v>305195.25159999932</v>
      </c>
      <c r="N57" s="3">
        <v>4782166.0079000052</v>
      </c>
      <c r="O57" s="3">
        <v>843311.69150000112</v>
      </c>
      <c r="P57" s="3">
        <v>0</v>
      </c>
      <c r="Q57" s="3">
        <v>5930672.9510000199</v>
      </c>
      <c r="S57" s="3">
        <f t="shared" si="2"/>
        <v>6100034.249323478</v>
      </c>
    </row>
    <row r="58" spans="1:25" x14ac:dyDescent="0.25">
      <c r="A58" s="1" t="s">
        <v>177</v>
      </c>
      <c r="B58" s="3">
        <v>331138.61</v>
      </c>
      <c r="C58" s="3">
        <v>26810.59</v>
      </c>
      <c r="D58" s="3">
        <v>357949.2</v>
      </c>
      <c r="F58" s="14">
        <f t="shared" si="3"/>
        <v>45916</v>
      </c>
      <c r="G58" s="16">
        <f>_xlfn.XLOOKUP(F58,FX!$A$12:$A$910,FX!$B$12:$B$910,"",-1)</f>
        <v>1.1168</v>
      </c>
      <c r="H58" s="3">
        <f t="shared" si="0"/>
        <v>296506.63502865325</v>
      </c>
      <c r="I58" s="3">
        <f t="shared" si="0"/>
        <v>24006.617120343839</v>
      </c>
      <c r="J58" s="3">
        <f t="shared" si="1"/>
        <v>320513.2521489971</v>
      </c>
      <c r="L58" s="1" t="s">
        <v>177</v>
      </c>
      <c r="M58" s="3">
        <v>337827.4771999988</v>
      </c>
      <c r="N58" s="3">
        <v>4240874.9207999948</v>
      </c>
      <c r="O58" s="3">
        <v>637471.59290000168</v>
      </c>
      <c r="P58" s="3">
        <v>0</v>
      </c>
      <c r="Q58" s="3">
        <v>5216173.9908999857</v>
      </c>
      <c r="S58" s="3">
        <f t="shared" si="2"/>
        <v>5198859.7658489933</v>
      </c>
    </row>
    <row r="59" spans="1:25" x14ac:dyDescent="0.25">
      <c r="A59" s="1" t="s">
        <v>178</v>
      </c>
      <c r="B59" s="3">
        <v>360425.58</v>
      </c>
      <c r="C59" s="3">
        <v>81030.14</v>
      </c>
      <c r="D59" s="3">
        <v>441455.72</v>
      </c>
      <c r="F59" s="14">
        <f t="shared" si="3"/>
        <v>45923</v>
      </c>
      <c r="G59" s="16">
        <f>_xlfn.XLOOKUP(F59,FX!$A$12:$A$910,FX!$B$12:$B$910,"",-1)</f>
        <v>1.1258999999999999</v>
      </c>
      <c r="H59" s="3">
        <f t="shared" si="0"/>
        <v>320122.19557687186</v>
      </c>
      <c r="I59" s="3">
        <f t="shared" si="0"/>
        <v>71969.215738520303</v>
      </c>
      <c r="J59" s="3">
        <f t="shared" si="1"/>
        <v>392091.41131539218</v>
      </c>
      <c r="L59" s="1" t="s">
        <v>178</v>
      </c>
      <c r="M59" s="3">
        <v>411074.66909999884</v>
      </c>
      <c r="N59" s="3">
        <v>3998323.627000005</v>
      </c>
      <c r="O59" s="3">
        <v>572565.53590000118</v>
      </c>
      <c r="P59" s="3">
        <v>0</v>
      </c>
      <c r="Q59" s="3">
        <v>4981963.8319999762</v>
      </c>
      <c r="S59" s="3">
        <f t="shared" si="2"/>
        <v>4962980.5742153982</v>
      </c>
    </row>
    <row r="60" spans="1:25" x14ac:dyDescent="0.25">
      <c r="A60" s="1" t="s">
        <v>22</v>
      </c>
      <c r="B60" s="3">
        <v>440808.14</v>
      </c>
      <c r="C60" s="3">
        <v>66335.33</v>
      </c>
      <c r="D60" s="3">
        <v>507143.47</v>
      </c>
      <c r="F60" s="14">
        <f t="shared" si="3"/>
        <v>45930</v>
      </c>
      <c r="G60" s="16">
        <f>_xlfn.XLOOKUP(F60,FX!$A$12:$A$910,FX!$B$12:$B$910,"",-1)</f>
        <v>1.141</v>
      </c>
      <c r="H60" s="3">
        <f t="shared" ref="H60:I123" si="5">B60/$G60</f>
        <v>386334.91673970205</v>
      </c>
      <c r="I60" s="3">
        <f t="shared" si="5"/>
        <v>58137.88781770377</v>
      </c>
      <c r="J60" s="3">
        <f t="shared" si="1"/>
        <v>444472.80455740582</v>
      </c>
      <c r="L60" s="1" t="s">
        <v>22</v>
      </c>
      <c r="M60" s="3">
        <v>431537.96329999925</v>
      </c>
      <c r="N60" s="3">
        <v>4388629.3198000137</v>
      </c>
      <c r="O60" s="3">
        <v>660083.60230000073</v>
      </c>
      <c r="P60" s="3"/>
      <c r="Q60" s="3">
        <v>5480250.885399987</v>
      </c>
      <c r="S60" s="3">
        <f t="shared" si="2"/>
        <v>5493185.7266574195</v>
      </c>
    </row>
    <row r="61" spans="1:25" x14ac:dyDescent="0.25">
      <c r="A61" s="1" t="s">
        <v>23</v>
      </c>
      <c r="B61" s="3">
        <v>489925.9</v>
      </c>
      <c r="C61" s="3">
        <v>106363.71</v>
      </c>
      <c r="D61" s="3">
        <v>596289.61</v>
      </c>
      <c r="F61" s="14">
        <f t="shared" si="3"/>
        <v>45937</v>
      </c>
      <c r="G61" s="16">
        <f>_xlfn.XLOOKUP(F61,FX!$A$12:$A$910,FX!$B$12:$B$910,"",-1)</f>
        <v>1.1347</v>
      </c>
      <c r="H61" s="3">
        <f t="shared" si="5"/>
        <v>431766.89873975498</v>
      </c>
      <c r="I61" s="3">
        <f t="shared" si="5"/>
        <v>93737.296201639198</v>
      </c>
      <c r="J61" s="3">
        <f t="shared" si="1"/>
        <v>525504.19494139415</v>
      </c>
      <c r="L61" s="1" t="s">
        <v>23</v>
      </c>
      <c r="M61" s="3">
        <v>496870.92340000032</v>
      </c>
      <c r="N61" s="3">
        <v>4583915.0949999923</v>
      </c>
      <c r="O61" s="3">
        <v>864820.33190000069</v>
      </c>
      <c r="P61" s="3"/>
      <c r="Q61" s="3">
        <v>5945606.3503000038</v>
      </c>
      <c r="S61" s="3">
        <f t="shared" si="2"/>
        <v>5974239.6218413869</v>
      </c>
    </row>
    <row r="62" spans="1:25" x14ac:dyDescent="0.25">
      <c r="A62" s="1" t="s">
        <v>24</v>
      </c>
      <c r="B62" s="3">
        <v>450811.41</v>
      </c>
      <c r="C62" s="3">
        <v>77623.56</v>
      </c>
      <c r="D62" s="3">
        <v>528434.97</v>
      </c>
      <c r="F62" s="14">
        <f t="shared" si="3"/>
        <v>45944</v>
      </c>
      <c r="G62" s="16">
        <f>_xlfn.XLOOKUP(F62,FX!$A$12:$A$910,FX!$B$12:$B$910,"",-1)</f>
        <v>1.1352</v>
      </c>
      <c r="H62" s="3">
        <f t="shared" si="5"/>
        <v>397120.69238900632</v>
      </c>
      <c r="I62" s="3">
        <f t="shared" si="5"/>
        <v>68378.752642706124</v>
      </c>
      <c r="J62" s="3">
        <f t="shared" si="1"/>
        <v>465499.44503171241</v>
      </c>
      <c r="L62" s="1" t="s">
        <v>24</v>
      </c>
      <c r="M62" s="3">
        <v>382413.24529999983</v>
      </c>
      <c r="N62" s="3">
        <v>3952360.5956999911</v>
      </c>
      <c r="O62" s="3">
        <v>734055.83549999993</v>
      </c>
      <c r="P62" s="3"/>
      <c r="Q62" s="3">
        <v>5068829.6764999973</v>
      </c>
      <c r="S62" s="3">
        <f t="shared" si="2"/>
        <v>5151915.8762317039</v>
      </c>
    </row>
    <row r="63" spans="1:25" x14ac:dyDescent="0.25">
      <c r="A63" s="1" t="s">
        <v>25</v>
      </c>
      <c r="B63" s="3">
        <v>688910.46</v>
      </c>
      <c r="C63" s="3">
        <v>153271.32</v>
      </c>
      <c r="D63" s="3">
        <v>842181.78</v>
      </c>
      <c r="F63" s="14">
        <f t="shared" si="3"/>
        <v>45951</v>
      </c>
      <c r="G63" s="16">
        <f>_xlfn.XLOOKUP(F63,FX!$A$12:$A$910,FX!$B$12:$B$910,"",-1)</f>
        <v>1.1351</v>
      </c>
      <c r="H63" s="3">
        <f t="shared" si="5"/>
        <v>606916.09549819399</v>
      </c>
      <c r="I63" s="3">
        <f t="shared" si="5"/>
        <v>135028.91375209234</v>
      </c>
      <c r="J63" s="3">
        <f t="shared" si="1"/>
        <v>741945.00925028627</v>
      </c>
      <c r="L63" s="1" t="s">
        <v>25</v>
      </c>
      <c r="M63" s="3">
        <v>695779.86379999714</v>
      </c>
      <c r="N63" s="3">
        <v>6951189.2021999937</v>
      </c>
      <c r="O63" s="3">
        <v>1422808.7283000017</v>
      </c>
      <c r="P63" s="3"/>
      <c r="Q63" s="3">
        <v>9069777.7943000533</v>
      </c>
      <c r="S63" s="3">
        <f t="shared" si="2"/>
        <v>9115942.9397502821</v>
      </c>
    </row>
    <row r="64" spans="1:25" x14ac:dyDescent="0.25">
      <c r="A64" s="1" t="s">
        <v>26</v>
      </c>
      <c r="B64" s="3">
        <v>587887.22</v>
      </c>
      <c r="C64" s="3">
        <v>145680.72</v>
      </c>
      <c r="D64" s="3">
        <v>733567.94</v>
      </c>
      <c r="F64" s="14">
        <f t="shared" si="3"/>
        <v>45958</v>
      </c>
      <c r="G64" s="16">
        <f>_xlfn.XLOOKUP(F64,FX!$A$12:$A$910,FX!$B$12:$B$910,"",-1)</f>
        <v>1.1351</v>
      </c>
      <c r="H64" s="3">
        <f t="shared" si="5"/>
        <v>517916.67694476253</v>
      </c>
      <c r="I64" s="3">
        <f t="shared" si="5"/>
        <v>128341.74962558364</v>
      </c>
      <c r="J64" s="3">
        <f t="shared" si="1"/>
        <v>646258.42657034611</v>
      </c>
      <c r="L64" s="1" t="s">
        <v>26</v>
      </c>
      <c r="M64" s="3">
        <v>533868.94640000036</v>
      </c>
      <c r="N64" s="3">
        <v>4886511.6234000204</v>
      </c>
      <c r="O64" s="3">
        <v>1208223.3998000012</v>
      </c>
      <c r="P64" s="3"/>
      <c r="Q64" s="3">
        <v>6628603.9696000041</v>
      </c>
      <c r="S64" s="3">
        <f t="shared" si="2"/>
        <v>6740993.4497703668</v>
      </c>
    </row>
    <row r="65" spans="1:19" x14ac:dyDescent="0.25">
      <c r="A65" s="1" t="s">
        <v>27</v>
      </c>
      <c r="B65" s="3">
        <v>444669.22</v>
      </c>
      <c r="C65" s="3">
        <v>84426.03</v>
      </c>
      <c r="D65" s="3">
        <v>529095.25</v>
      </c>
      <c r="F65" s="14">
        <f t="shared" si="3"/>
        <v>45965</v>
      </c>
      <c r="G65" s="16">
        <f>_xlfn.XLOOKUP(F65,FX!$A$12:$A$910,FX!$B$12:$B$910,"",-1)</f>
        <v>1.1482000000000001</v>
      </c>
      <c r="H65" s="3">
        <f t="shared" si="5"/>
        <v>387275.0566103466</v>
      </c>
      <c r="I65" s="3">
        <f t="shared" si="5"/>
        <v>73529.028043894781</v>
      </c>
      <c r="J65" s="3">
        <f t="shared" si="1"/>
        <v>460804.08465424139</v>
      </c>
      <c r="L65" s="1" t="s">
        <v>27</v>
      </c>
      <c r="M65" s="3">
        <v>552401.85360000038</v>
      </c>
      <c r="N65" s="3">
        <v>4722660.4241000246</v>
      </c>
      <c r="O65" s="3">
        <v>929385.22630000161</v>
      </c>
      <c r="P65" s="3"/>
      <c r="Q65" s="3">
        <v>6204447.504000009</v>
      </c>
      <c r="S65" s="3">
        <f t="shared" si="2"/>
        <v>6112849.7350542676</v>
      </c>
    </row>
    <row r="66" spans="1:19" x14ac:dyDescent="0.25">
      <c r="A66" s="1" t="s">
        <v>28</v>
      </c>
      <c r="B66" s="3">
        <v>437485.35</v>
      </c>
      <c r="C66" s="3">
        <v>97836.88</v>
      </c>
      <c r="D66" s="3">
        <v>535322.23</v>
      </c>
      <c r="F66" s="14">
        <f t="shared" si="3"/>
        <v>45972</v>
      </c>
      <c r="G66" s="16">
        <f>_xlfn.XLOOKUP(F66,FX!$A$12:$A$910,FX!$B$12:$B$910,"",-1)</f>
        <v>1.1569</v>
      </c>
      <c r="H66" s="3">
        <f t="shared" si="5"/>
        <v>378153.12472988153</v>
      </c>
      <c r="I66" s="3">
        <f t="shared" si="5"/>
        <v>84568.138992134147</v>
      </c>
      <c r="J66" s="3">
        <f t="shared" si="1"/>
        <v>462721.26372201566</v>
      </c>
      <c r="L66" s="1" t="s">
        <v>28</v>
      </c>
      <c r="M66" s="3">
        <v>698777.41999999888</v>
      </c>
      <c r="N66" s="3">
        <v>4453606.5604999829</v>
      </c>
      <c r="O66" s="3">
        <v>811783.19259999937</v>
      </c>
      <c r="P66" s="3"/>
      <c r="Q66" s="3">
        <v>5964167.1730999686</v>
      </c>
      <c r="S66" s="3">
        <f t="shared" si="2"/>
        <v>5728111.0168219982</v>
      </c>
    </row>
    <row r="67" spans="1:19" x14ac:dyDescent="0.25">
      <c r="A67" s="1" t="s">
        <v>29</v>
      </c>
      <c r="B67" s="3">
        <v>641915.05000000005</v>
      </c>
      <c r="C67" s="3">
        <v>116376.13</v>
      </c>
      <c r="D67" s="3">
        <v>758291.18</v>
      </c>
      <c r="F67" s="14">
        <f t="shared" si="3"/>
        <v>45979</v>
      </c>
      <c r="G67" s="16">
        <f>_xlfn.XLOOKUP(F67,FX!$A$12:$A$910,FX!$B$12:$B$910,"",-1)</f>
        <v>1.1469</v>
      </c>
      <c r="H67" s="3">
        <f t="shared" si="5"/>
        <v>559695.74505187897</v>
      </c>
      <c r="I67" s="3">
        <f t="shared" si="5"/>
        <v>101470.16304821693</v>
      </c>
      <c r="J67" s="3">
        <f t="shared" si="1"/>
        <v>661165.90810009593</v>
      </c>
      <c r="L67" s="1" t="s">
        <v>29</v>
      </c>
      <c r="M67" s="3">
        <v>755703.22969999979</v>
      </c>
      <c r="N67" s="3">
        <v>4768905.352600011</v>
      </c>
      <c r="O67" s="3">
        <v>910188.72120000073</v>
      </c>
      <c r="P67" s="3"/>
      <c r="Q67" s="3">
        <v>6434797.3034999752</v>
      </c>
      <c r="S67" s="3">
        <f t="shared" si="2"/>
        <v>6340259.9819001071</v>
      </c>
    </row>
    <row r="68" spans="1:19" x14ac:dyDescent="0.25">
      <c r="A68" s="1" t="s">
        <v>30</v>
      </c>
      <c r="B68" s="3">
        <v>1349205.84</v>
      </c>
      <c r="C68" s="3">
        <v>319217.61</v>
      </c>
      <c r="D68" s="3">
        <v>1668423.45</v>
      </c>
      <c r="F68" s="14">
        <f t="shared" si="3"/>
        <v>45986</v>
      </c>
      <c r="G68" s="16">
        <f>_xlfn.XLOOKUP(F68,FX!$A$12:$A$910,FX!$B$12:$B$910,"",-1)</f>
        <v>1.1523000000000001</v>
      </c>
      <c r="H68" s="3">
        <f t="shared" si="5"/>
        <v>1170880.7081489195</v>
      </c>
      <c r="I68" s="3">
        <f t="shared" si="5"/>
        <v>277026.47747982293</v>
      </c>
      <c r="J68" s="3">
        <f t="shared" si="1"/>
        <v>1447907.1856287424</v>
      </c>
      <c r="L68" s="1" t="s">
        <v>30</v>
      </c>
      <c r="M68" s="3">
        <v>2178650.9423999982</v>
      </c>
      <c r="N68" s="3">
        <v>14899411.237099983</v>
      </c>
      <c r="O68" s="3">
        <v>4406228.1354999915</v>
      </c>
      <c r="P68" s="3"/>
      <c r="Q68" s="3">
        <v>21484290.314999979</v>
      </c>
      <c r="S68" s="3">
        <f t="shared" si="2"/>
        <v>20753546.558228716</v>
      </c>
    </row>
    <row r="69" spans="1:19" x14ac:dyDescent="0.25">
      <c r="A69" s="1" t="s">
        <v>31</v>
      </c>
      <c r="B69" s="3">
        <v>725507.94</v>
      </c>
      <c r="C69" s="3">
        <v>220493.48</v>
      </c>
      <c r="D69" s="3">
        <v>946001.42</v>
      </c>
      <c r="F69" s="14">
        <f t="shared" si="3"/>
        <v>45993</v>
      </c>
      <c r="G69" s="16">
        <f>_xlfn.XLOOKUP(F69,FX!$A$12:$A$910,FX!$B$12:$B$910,"",-1)</f>
        <v>1.1440999999999999</v>
      </c>
      <c r="H69" s="3">
        <f t="shared" si="5"/>
        <v>634129.83130845206</v>
      </c>
      <c r="I69" s="3">
        <f t="shared" si="5"/>
        <v>192722.20959706322</v>
      </c>
      <c r="J69" s="3">
        <f t="shared" si="1"/>
        <v>826852.04090551531</v>
      </c>
      <c r="L69" s="1" t="s">
        <v>31</v>
      </c>
      <c r="M69" s="3">
        <v>1990049.4615999956</v>
      </c>
      <c r="N69" s="3">
        <v>7773847.3356000101</v>
      </c>
      <c r="O69" s="3">
        <v>2675191.4007000099</v>
      </c>
      <c r="P69" s="3"/>
      <c r="Q69" s="3">
        <v>12439088.197899982</v>
      </c>
      <c r="S69" s="3">
        <f t="shared" si="2"/>
        <v>11275890.777205536</v>
      </c>
    </row>
    <row r="70" spans="1:19" x14ac:dyDescent="0.25">
      <c r="A70" s="1" t="s">
        <v>32</v>
      </c>
      <c r="B70" s="3">
        <v>346191.27</v>
      </c>
      <c r="C70" s="3">
        <v>106628.06</v>
      </c>
      <c r="D70" s="3">
        <v>452819.33</v>
      </c>
      <c r="F70" s="14">
        <f t="shared" si="3"/>
        <v>46000</v>
      </c>
      <c r="G70" s="16">
        <f>_xlfn.XLOOKUP(F70,FX!$A$12:$A$910,FX!$B$12:$B$910,"",-1)</f>
        <v>1.1479999999999999</v>
      </c>
      <c r="H70" s="3">
        <f t="shared" si="5"/>
        <v>301560.33972125442</v>
      </c>
      <c r="I70" s="3">
        <f t="shared" si="5"/>
        <v>92881.585365853665</v>
      </c>
      <c r="J70" s="3">
        <f t="shared" si="1"/>
        <v>394441.9250871081</v>
      </c>
      <c r="L70" s="1" t="s">
        <v>32</v>
      </c>
      <c r="M70" s="3">
        <v>567432.9165000004</v>
      </c>
      <c r="N70" s="3">
        <v>3704503.467200004</v>
      </c>
      <c r="O70" s="3">
        <v>921785.42549999896</v>
      </c>
      <c r="P70" s="3"/>
      <c r="Q70" s="3">
        <v>5193721.8091999944</v>
      </c>
      <c r="S70" s="3">
        <f t="shared" si="2"/>
        <v>5020730.8177871108</v>
      </c>
    </row>
    <row r="71" spans="1:19" x14ac:dyDescent="0.25">
      <c r="A71" s="1" t="s">
        <v>33</v>
      </c>
      <c r="B71" s="3">
        <v>358129</v>
      </c>
      <c r="C71" s="3">
        <v>60513.66</v>
      </c>
      <c r="D71" s="3">
        <v>418642.66</v>
      </c>
      <c r="F71" s="14">
        <f t="shared" si="3"/>
        <v>46007</v>
      </c>
      <c r="G71" s="16">
        <f>_xlfn.XLOOKUP(F71,FX!$A$12:$A$910,FX!$B$12:$B$910,"",-1)</f>
        <v>1.1483000000000001</v>
      </c>
      <c r="H71" s="3">
        <f t="shared" si="5"/>
        <v>311877.55812940869</v>
      </c>
      <c r="I71" s="3">
        <f t="shared" si="5"/>
        <v>52698.476008011843</v>
      </c>
      <c r="J71" s="3">
        <f t="shared" si="1"/>
        <v>364576.03413742053</v>
      </c>
      <c r="L71" s="1" t="s">
        <v>33</v>
      </c>
      <c r="M71" s="3">
        <v>244618.06339999993</v>
      </c>
      <c r="N71" s="3">
        <v>3559268.9495000038</v>
      </c>
      <c r="O71" s="3">
        <v>618084.33349999855</v>
      </c>
      <c r="P71" s="3"/>
      <c r="Q71" s="3">
        <v>4421971.3464000141</v>
      </c>
      <c r="S71" s="3">
        <f t="shared" si="2"/>
        <v>4541929.317137423</v>
      </c>
    </row>
    <row r="72" spans="1:19" x14ac:dyDescent="0.25">
      <c r="A72" s="1" t="s">
        <v>34</v>
      </c>
      <c r="B72" s="3">
        <v>708315.76</v>
      </c>
      <c r="C72" s="3">
        <v>156016.04999999999</v>
      </c>
      <c r="D72" s="3">
        <v>864331.81</v>
      </c>
      <c r="F72" s="14">
        <f t="shared" si="3"/>
        <v>46014</v>
      </c>
      <c r="G72" s="16">
        <f>_xlfn.XLOOKUP(F72,FX!$A$12:$A$910,FX!$B$12:$B$910,"",-1)</f>
        <v>1.1469</v>
      </c>
      <c r="H72" s="3">
        <f t="shared" si="5"/>
        <v>617591.55985700584</v>
      </c>
      <c r="I72" s="3">
        <f t="shared" si="5"/>
        <v>136032.82762228616</v>
      </c>
      <c r="J72" s="3">
        <f t="shared" si="1"/>
        <v>753624.387479292</v>
      </c>
      <c r="L72" s="1" t="s">
        <v>34</v>
      </c>
      <c r="M72" s="3">
        <v>610319.26829999953</v>
      </c>
      <c r="N72" s="3">
        <v>7782049.624800046</v>
      </c>
      <c r="O72" s="3">
        <v>1602454.4590000007</v>
      </c>
      <c r="P72" s="3"/>
      <c r="Q72" s="3">
        <v>9994823.3521000706</v>
      </c>
      <c r="S72" s="3">
        <f t="shared" si="2"/>
        <v>10138128.471279338</v>
      </c>
    </row>
    <row r="73" spans="1:19" x14ac:dyDescent="0.25">
      <c r="A73" s="1" t="s">
        <v>35</v>
      </c>
      <c r="B73" s="3">
        <v>625313.04</v>
      </c>
      <c r="C73" s="3">
        <v>139431.93</v>
      </c>
      <c r="D73" s="3">
        <v>764744.97</v>
      </c>
      <c r="F73" s="14">
        <f t="shared" si="3"/>
        <v>46021</v>
      </c>
      <c r="G73" s="16">
        <f>_xlfn.XLOOKUP(F73,FX!$A$12:$A$910,FX!$B$12:$B$910,"",-1)</f>
        <v>1.1543000000000001</v>
      </c>
      <c r="H73" s="3">
        <f t="shared" si="5"/>
        <v>541724.88954344625</v>
      </c>
      <c r="I73" s="3">
        <f t="shared" si="5"/>
        <v>120793.4938924023</v>
      </c>
      <c r="J73" s="3">
        <f t="shared" ref="J73:J136" si="6">H73+I73</f>
        <v>662518.38343584852</v>
      </c>
      <c r="L73" s="1" t="s">
        <v>35</v>
      </c>
      <c r="M73" s="3">
        <v>621422.59299999999</v>
      </c>
      <c r="N73" s="3">
        <v>6448326.3389000166</v>
      </c>
      <c r="O73" s="3">
        <v>1592940.437399999</v>
      </c>
      <c r="P73" s="3"/>
      <c r="Q73" s="3">
        <v>8662689.369300006</v>
      </c>
      <c r="S73" s="3">
        <f t="shared" ref="S73:S136" si="7">J73+N73+O73</f>
        <v>8703785.159735864</v>
      </c>
    </row>
    <row r="74" spans="1:19" x14ac:dyDescent="0.25">
      <c r="A74" s="1" t="s">
        <v>36</v>
      </c>
      <c r="B74" s="3">
        <v>452137.8</v>
      </c>
      <c r="C74" s="3">
        <v>96107.520000000004</v>
      </c>
      <c r="D74" s="3">
        <v>548245.31999999995</v>
      </c>
      <c r="F74" s="14">
        <f t="shared" ref="F74:F137" si="8">F73+7</f>
        <v>46028</v>
      </c>
      <c r="G74" s="16">
        <f>_xlfn.XLOOKUP(F74,FX!$A$12:$A$910,FX!$B$12:$B$910,"",-1)</f>
        <v>1.1598999999999999</v>
      </c>
      <c r="H74" s="3">
        <f t="shared" si="5"/>
        <v>389807.56961807056</v>
      </c>
      <c r="I74" s="3">
        <f t="shared" si="5"/>
        <v>82858.453314940954</v>
      </c>
      <c r="J74" s="3">
        <f t="shared" si="6"/>
        <v>472666.02293301153</v>
      </c>
      <c r="L74" s="1" t="s">
        <v>36</v>
      </c>
      <c r="M74" s="3">
        <v>470332.75400000007</v>
      </c>
      <c r="N74" s="3">
        <v>4949045.9050000031</v>
      </c>
      <c r="O74" s="3">
        <v>798431.68449999893</v>
      </c>
      <c r="P74" s="3"/>
      <c r="Q74" s="3">
        <v>6217810.343500006</v>
      </c>
      <c r="S74" s="3">
        <f t="shared" si="7"/>
        <v>6220143.6124330135</v>
      </c>
    </row>
    <row r="75" spans="1:19" x14ac:dyDescent="0.25">
      <c r="A75" s="1" t="s">
        <v>37</v>
      </c>
      <c r="B75" s="3">
        <v>469905.06</v>
      </c>
      <c r="C75" s="3">
        <v>101930.94</v>
      </c>
      <c r="D75" s="3">
        <v>571836</v>
      </c>
      <c r="F75" s="14">
        <f t="shared" si="8"/>
        <v>46035</v>
      </c>
      <c r="G75" s="16">
        <f>_xlfn.XLOOKUP(F75,FX!$A$12:$A$910,FX!$B$12:$B$910,"",-1)</f>
        <v>1.1613</v>
      </c>
      <c r="H75" s="3">
        <f t="shared" si="5"/>
        <v>404637.09635753033</v>
      </c>
      <c r="I75" s="3">
        <f t="shared" si="5"/>
        <v>87773.133557220353</v>
      </c>
      <c r="J75" s="3">
        <f t="shared" si="6"/>
        <v>492410.22991475067</v>
      </c>
      <c r="L75" s="1" t="s">
        <v>37</v>
      </c>
      <c r="M75" s="3">
        <v>550595.64469999867</v>
      </c>
      <c r="N75" s="3">
        <v>4822503.3171000052</v>
      </c>
      <c r="O75" s="3">
        <v>850534.98049999797</v>
      </c>
      <c r="P75" s="3"/>
      <c r="Q75" s="3">
        <v>6223633.9422999723</v>
      </c>
      <c r="S75" s="3">
        <f t="shared" si="7"/>
        <v>6165448.5275147539</v>
      </c>
    </row>
    <row r="76" spans="1:19" x14ac:dyDescent="0.25">
      <c r="A76" s="1" t="s">
        <v>38</v>
      </c>
      <c r="B76" s="3">
        <v>610612.47</v>
      </c>
      <c r="C76" s="3">
        <v>138195.95000000001</v>
      </c>
      <c r="D76" s="3">
        <v>748808.42</v>
      </c>
      <c r="F76" s="14">
        <f t="shared" si="8"/>
        <v>46042</v>
      </c>
      <c r="G76" s="16">
        <f>_xlfn.XLOOKUP(F76,FX!$A$12:$A$910,FX!$B$12:$B$910,"",-1)</f>
        <v>1.1553</v>
      </c>
      <c r="H76" s="3">
        <f t="shared" si="5"/>
        <v>528531.52427940792</v>
      </c>
      <c r="I76" s="3">
        <f t="shared" si="5"/>
        <v>119619.10326322168</v>
      </c>
      <c r="J76" s="3">
        <f t="shared" si="6"/>
        <v>648150.62754262961</v>
      </c>
      <c r="L76" s="1" t="s">
        <v>38</v>
      </c>
      <c r="M76" s="3">
        <v>855303.22139999527</v>
      </c>
      <c r="N76" s="3">
        <v>7282002.9904000126</v>
      </c>
      <c r="O76" s="3">
        <v>1471626.3038000001</v>
      </c>
      <c r="P76" s="3"/>
      <c r="Q76" s="3">
        <v>9608932.5156000108</v>
      </c>
      <c r="S76" s="3">
        <f t="shared" si="7"/>
        <v>9401779.9217426423</v>
      </c>
    </row>
    <row r="77" spans="1:19" x14ac:dyDescent="0.25">
      <c r="A77" s="1" t="s">
        <v>39</v>
      </c>
      <c r="B77" s="3">
        <v>632735.15</v>
      </c>
      <c r="C77" s="3">
        <v>107398.14</v>
      </c>
      <c r="D77" s="3">
        <v>740133.29</v>
      </c>
      <c r="F77" s="14">
        <f t="shared" si="8"/>
        <v>46049</v>
      </c>
      <c r="G77" s="16">
        <f>_xlfn.XLOOKUP(F77,FX!$A$12:$A$910,FX!$B$12:$B$910,"",-1)</f>
        <v>1.1588000000000001</v>
      </c>
      <c r="H77" s="3">
        <f t="shared" si="5"/>
        <v>546026.19088712463</v>
      </c>
      <c r="I77" s="3">
        <f t="shared" si="5"/>
        <v>92680.479806696574</v>
      </c>
      <c r="J77" s="3">
        <f t="shared" si="6"/>
        <v>638706.67069382116</v>
      </c>
      <c r="L77" s="1" t="s">
        <v>39</v>
      </c>
      <c r="M77" s="3">
        <v>752664.56709999545</v>
      </c>
      <c r="N77" s="3">
        <v>5954916.2880000323</v>
      </c>
      <c r="O77" s="3">
        <v>1333571.7800999987</v>
      </c>
      <c r="P77" s="3"/>
      <c r="Q77" s="3">
        <v>8041152.6352000516</v>
      </c>
      <c r="S77" s="3">
        <f t="shared" si="7"/>
        <v>7927194.7387938518</v>
      </c>
    </row>
    <row r="78" spans="1:19" x14ac:dyDescent="0.25">
      <c r="A78" s="1" t="s">
        <v>40</v>
      </c>
      <c r="B78" s="3">
        <v>494840.54</v>
      </c>
      <c r="C78" s="3">
        <v>79889.88</v>
      </c>
      <c r="D78" s="3">
        <v>574730.42000000004</v>
      </c>
      <c r="F78" s="14">
        <f t="shared" si="8"/>
        <v>46056</v>
      </c>
      <c r="G78" s="16">
        <f>_xlfn.XLOOKUP(F78,FX!$A$12:$A$910,FX!$B$12:$B$910,"",-1)</f>
        <v>1.1616</v>
      </c>
      <c r="H78" s="3">
        <f t="shared" si="5"/>
        <v>425999.08746556472</v>
      </c>
      <c r="I78" s="3">
        <f t="shared" si="5"/>
        <v>68775.723140495873</v>
      </c>
      <c r="J78" s="3">
        <f t="shared" si="6"/>
        <v>494774.81060606061</v>
      </c>
      <c r="L78" s="1" t="s">
        <v>40</v>
      </c>
      <c r="M78" s="3">
        <v>404710.16109999962</v>
      </c>
      <c r="N78" s="3">
        <v>2978364.0958999912</v>
      </c>
      <c r="O78" s="3">
        <v>480059.37589999964</v>
      </c>
      <c r="P78" s="3"/>
      <c r="Q78" s="3">
        <v>3863133.632900001</v>
      </c>
      <c r="S78" s="3">
        <f t="shared" si="7"/>
        <v>3953198.2824060516</v>
      </c>
    </row>
    <row r="79" spans="1:19" x14ac:dyDescent="0.25">
      <c r="A79" s="1" t="s">
        <v>41</v>
      </c>
      <c r="B79" s="3">
        <v>340989.04</v>
      </c>
      <c r="C79" s="3">
        <v>50354.22</v>
      </c>
      <c r="D79" s="3">
        <v>391343.26</v>
      </c>
      <c r="F79" s="14">
        <f t="shared" si="8"/>
        <v>46063</v>
      </c>
      <c r="G79" s="16">
        <f>_xlfn.XLOOKUP(F79,FX!$A$12:$A$910,FX!$B$12:$B$910,"",-1)</f>
        <v>1.1717</v>
      </c>
      <c r="H79" s="3">
        <f t="shared" si="5"/>
        <v>291020.77323546982</v>
      </c>
      <c r="I79" s="3">
        <f t="shared" si="5"/>
        <v>42975.352052573187</v>
      </c>
      <c r="J79" s="3">
        <f t="shared" si="6"/>
        <v>333996.125288043</v>
      </c>
      <c r="L79" s="1" t="s">
        <v>41</v>
      </c>
      <c r="M79" s="3">
        <v>899050.88229999901</v>
      </c>
      <c r="N79" s="3">
        <v>4385384.6649000039</v>
      </c>
      <c r="O79" s="3">
        <v>821126.91860000254</v>
      </c>
      <c r="P79" s="3"/>
      <c r="Q79" s="3">
        <v>6105562.4657999799</v>
      </c>
      <c r="S79" s="3">
        <f t="shared" si="7"/>
        <v>5540507.7087880494</v>
      </c>
    </row>
    <row r="80" spans="1:19" x14ac:dyDescent="0.25">
      <c r="A80" s="1" t="s">
        <v>42</v>
      </c>
      <c r="B80" s="3">
        <v>324999.40000000002</v>
      </c>
      <c r="C80" s="3">
        <v>50455.07</v>
      </c>
      <c r="D80" s="3">
        <v>375454.47</v>
      </c>
      <c r="F80" s="14">
        <f t="shared" si="8"/>
        <v>46070</v>
      </c>
      <c r="G80" s="16">
        <f>_xlfn.XLOOKUP(F80,FX!$A$12:$A$910,FX!$B$12:$B$910,"",-1)</f>
        <v>1.1709000000000001</v>
      </c>
      <c r="H80" s="3">
        <f t="shared" si="5"/>
        <v>277563.754376975</v>
      </c>
      <c r="I80" s="3">
        <f t="shared" si="5"/>
        <v>43090.844649414976</v>
      </c>
      <c r="J80" s="3">
        <f t="shared" si="6"/>
        <v>320654.59902639</v>
      </c>
      <c r="L80" s="1" t="s">
        <v>42</v>
      </c>
      <c r="M80" s="3">
        <v>668551.50809999753</v>
      </c>
      <c r="N80" s="3">
        <v>3580081.9478999963</v>
      </c>
      <c r="O80" s="3">
        <v>759597.1805000006</v>
      </c>
      <c r="P80" s="3"/>
      <c r="Q80" s="3">
        <v>5008230.6365000037</v>
      </c>
      <c r="S80" s="3">
        <f t="shared" si="7"/>
        <v>4660333.7274263864</v>
      </c>
    </row>
    <row r="81" spans="1:19" x14ac:dyDescent="0.25">
      <c r="A81" s="1" t="s">
        <v>43</v>
      </c>
      <c r="B81" s="3">
        <v>442372.39</v>
      </c>
      <c r="C81" s="3">
        <v>65608.33</v>
      </c>
      <c r="D81" s="3">
        <v>507980.72</v>
      </c>
      <c r="F81" s="14">
        <f t="shared" si="8"/>
        <v>46077</v>
      </c>
      <c r="G81" s="16">
        <f>_xlfn.XLOOKUP(F81,FX!$A$12:$A$910,FX!$B$12:$B$910,"",-1)</f>
        <v>1.1850000000000001</v>
      </c>
      <c r="H81" s="3">
        <f t="shared" si="5"/>
        <v>373310.03375527426</v>
      </c>
      <c r="I81" s="3">
        <f t="shared" si="5"/>
        <v>55365.679324894511</v>
      </c>
      <c r="J81" s="3">
        <f t="shared" si="6"/>
        <v>428675.71308016876</v>
      </c>
      <c r="L81" s="1" t="s">
        <v>43</v>
      </c>
      <c r="M81" s="3">
        <v>489178.38090000045</v>
      </c>
      <c r="N81" s="3">
        <v>3994062.2156000007</v>
      </c>
      <c r="O81" s="3">
        <v>543526.32240000134</v>
      </c>
      <c r="P81" s="3"/>
      <c r="Q81" s="3">
        <v>5026766.918899999</v>
      </c>
      <c r="S81" s="3">
        <f t="shared" si="7"/>
        <v>4966264.2510801703</v>
      </c>
    </row>
    <row r="82" spans="1:19" x14ac:dyDescent="0.25">
      <c r="A82" s="1" t="s">
        <v>44</v>
      </c>
      <c r="B82" s="3">
        <v>425807.81</v>
      </c>
      <c r="C82" s="3">
        <v>89186.22</v>
      </c>
      <c r="D82" s="3">
        <v>514994.03</v>
      </c>
      <c r="F82" s="14">
        <f t="shared" si="8"/>
        <v>46084</v>
      </c>
      <c r="G82" s="16">
        <f>_xlfn.XLOOKUP(F82,FX!$A$12:$A$910,FX!$B$12:$B$910,"",-1)</f>
        <v>1.1966000000000001</v>
      </c>
      <c r="H82" s="3">
        <f t="shared" si="5"/>
        <v>355848.07788734743</v>
      </c>
      <c r="I82" s="3">
        <f t="shared" si="5"/>
        <v>74533.026909577136</v>
      </c>
      <c r="J82" s="3">
        <f t="shared" si="6"/>
        <v>430381.10479692457</v>
      </c>
      <c r="L82" s="1" t="s">
        <v>44</v>
      </c>
      <c r="M82" s="3">
        <v>307252.54570000031</v>
      </c>
      <c r="N82" s="3">
        <v>3690619.1917000059</v>
      </c>
      <c r="O82" s="3">
        <v>685279.78990000056</v>
      </c>
      <c r="P82" s="3"/>
      <c r="Q82" s="3">
        <v>4683151.5273000067</v>
      </c>
      <c r="S82" s="3">
        <f t="shared" si="7"/>
        <v>4806280.0863969307</v>
      </c>
    </row>
    <row r="83" spans="1:19" x14ac:dyDescent="0.25">
      <c r="A83" s="1" t="s">
        <v>45</v>
      </c>
      <c r="B83" s="3">
        <v>362152.18</v>
      </c>
      <c r="C83" s="3">
        <v>52672.47</v>
      </c>
      <c r="D83" s="3">
        <v>414824.65</v>
      </c>
      <c r="F83" s="14">
        <f t="shared" si="8"/>
        <v>46091</v>
      </c>
      <c r="G83" s="16">
        <f>_xlfn.XLOOKUP(F83,FX!$A$12:$A$910,FX!$B$12:$B$910,"",-1)</f>
        <v>1.1949000000000001</v>
      </c>
      <c r="H83" s="3">
        <f t="shared" si="5"/>
        <v>303081.58004853962</v>
      </c>
      <c r="I83" s="3">
        <f t="shared" si="5"/>
        <v>44081.069545568665</v>
      </c>
      <c r="J83" s="3">
        <f t="shared" si="6"/>
        <v>347162.64959410828</v>
      </c>
      <c r="L83" s="1" t="s">
        <v>45</v>
      </c>
      <c r="M83" s="3">
        <v>293313.87150000094</v>
      </c>
      <c r="N83" s="3">
        <v>3442857.9817999965</v>
      </c>
      <c r="O83" s="3">
        <v>573036.5242000008</v>
      </c>
      <c r="P83" s="3"/>
      <c r="Q83" s="3">
        <v>4309208.3774999976</v>
      </c>
      <c r="S83" s="3">
        <f t="shared" si="7"/>
        <v>4363057.1555941049</v>
      </c>
    </row>
    <row r="84" spans="1:19" x14ac:dyDescent="0.25">
      <c r="A84" s="1" t="s">
        <v>46</v>
      </c>
      <c r="B84" s="3">
        <v>410003.77</v>
      </c>
      <c r="C84" s="3">
        <v>185046.48</v>
      </c>
      <c r="D84" s="3">
        <v>595050.25</v>
      </c>
      <c r="F84" s="14">
        <f t="shared" si="8"/>
        <v>46098</v>
      </c>
      <c r="G84" s="16">
        <f>_xlfn.XLOOKUP(F84,FX!$A$12:$A$910,FX!$B$12:$B$910,"",-1)</f>
        <v>1.2109000000000001</v>
      </c>
      <c r="H84" s="3">
        <f t="shared" si="5"/>
        <v>338594.24395078042</v>
      </c>
      <c r="I84" s="3">
        <f t="shared" si="5"/>
        <v>152817.30943926005</v>
      </c>
      <c r="J84" s="3">
        <f t="shared" si="6"/>
        <v>491411.55339004047</v>
      </c>
      <c r="L84" s="1" t="s">
        <v>46</v>
      </c>
      <c r="M84" s="3">
        <v>676618.60789999971</v>
      </c>
      <c r="N84" s="3">
        <v>3712361.6915000048</v>
      </c>
      <c r="O84" s="3">
        <v>1436200.4539999969</v>
      </c>
      <c r="P84" s="3"/>
      <c r="Q84" s="3">
        <v>5825180.7534000212</v>
      </c>
      <c r="S84" s="3">
        <f t="shared" si="7"/>
        <v>5639973.6988900425</v>
      </c>
    </row>
    <row r="85" spans="1:19" x14ac:dyDescent="0.25">
      <c r="A85" s="1" t="s">
        <v>47</v>
      </c>
      <c r="B85" s="3">
        <v>376201.37</v>
      </c>
      <c r="C85" s="3">
        <v>74784.42</v>
      </c>
      <c r="D85" s="3">
        <v>450985.79</v>
      </c>
      <c r="F85" s="14">
        <f t="shared" si="8"/>
        <v>46105</v>
      </c>
      <c r="G85" s="16">
        <f>_xlfn.XLOOKUP(F85,FX!$A$12:$A$910,FX!$B$12:$B$910,"",-1)</f>
        <v>1.1949000000000001</v>
      </c>
      <c r="H85" s="3">
        <f t="shared" si="5"/>
        <v>314839.20830194996</v>
      </c>
      <c r="I85" s="3">
        <f t="shared" si="5"/>
        <v>62586.341953301526</v>
      </c>
      <c r="J85" s="3">
        <f t="shared" si="6"/>
        <v>377425.55025525147</v>
      </c>
      <c r="L85" s="1" t="s">
        <v>47</v>
      </c>
      <c r="M85" s="3">
        <v>295758.65660000034</v>
      </c>
      <c r="N85" s="3">
        <v>3883735.1319000074</v>
      </c>
      <c r="O85" s="3">
        <v>524468.88230000017</v>
      </c>
      <c r="P85" s="3"/>
      <c r="Q85" s="3">
        <v>4703962.6708000004</v>
      </c>
      <c r="S85" s="3">
        <f t="shared" si="7"/>
        <v>4785629.5644552596</v>
      </c>
    </row>
    <row r="86" spans="1:19" x14ac:dyDescent="0.25">
      <c r="A86" s="1" t="s">
        <v>48</v>
      </c>
      <c r="B86" s="3">
        <v>460413.17</v>
      </c>
      <c r="C86" s="3">
        <v>55008.42</v>
      </c>
      <c r="D86" s="3">
        <v>515421.59</v>
      </c>
      <c r="F86" s="14">
        <f t="shared" si="8"/>
        <v>46112</v>
      </c>
      <c r="G86" s="16">
        <f>_xlfn.XLOOKUP(F86,FX!$A$12:$A$910,FX!$B$12:$B$910,"",-1)</f>
        <v>1.1992</v>
      </c>
      <c r="H86" s="3">
        <f t="shared" si="5"/>
        <v>383933.5973982655</v>
      </c>
      <c r="I86" s="3">
        <f t="shared" si="5"/>
        <v>45870.930620413608</v>
      </c>
      <c r="J86" s="3">
        <f t="shared" si="6"/>
        <v>429804.52801867912</v>
      </c>
      <c r="L86" s="1" t="s">
        <v>48</v>
      </c>
      <c r="M86" s="3">
        <v>323020.29690000036</v>
      </c>
      <c r="N86" s="3">
        <v>3805277.1298000077</v>
      </c>
      <c r="O86" s="3">
        <v>625630.81609999796</v>
      </c>
      <c r="P86" s="3"/>
      <c r="Q86" s="3">
        <v>4753928.2428000094</v>
      </c>
      <c r="S86" s="3">
        <f t="shared" si="7"/>
        <v>4860712.4739186848</v>
      </c>
    </row>
    <row r="87" spans="1:19" x14ac:dyDescent="0.25">
      <c r="A87" s="1" t="s">
        <v>49</v>
      </c>
      <c r="B87" s="3">
        <v>420071.4</v>
      </c>
      <c r="C87" s="3">
        <v>54512.72</v>
      </c>
      <c r="D87" s="3">
        <v>474584.12</v>
      </c>
      <c r="F87" s="14">
        <f t="shared" si="8"/>
        <v>46119</v>
      </c>
      <c r="G87" s="16">
        <f>_xlfn.XLOOKUP(F87,FX!$A$12:$A$910,FX!$B$12:$B$910,"",-1)</f>
        <v>1.2129000000000001</v>
      </c>
      <c r="H87" s="3">
        <f t="shared" si="5"/>
        <v>346336.38387336134</v>
      </c>
      <c r="I87" s="3">
        <f t="shared" si="5"/>
        <v>44944.117404567565</v>
      </c>
      <c r="J87" s="3">
        <f t="shared" si="6"/>
        <v>391280.50127792888</v>
      </c>
      <c r="L87" s="1" t="s">
        <v>49</v>
      </c>
      <c r="M87" s="3">
        <v>451152.79670000012</v>
      </c>
      <c r="N87" s="3">
        <v>3485787.2009000131</v>
      </c>
      <c r="O87" s="3">
        <v>466862.17099999986</v>
      </c>
      <c r="P87" s="3"/>
      <c r="Q87" s="3">
        <v>4403802.1686000079</v>
      </c>
      <c r="S87" s="3">
        <f t="shared" si="7"/>
        <v>4343929.8731779419</v>
      </c>
    </row>
    <row r="88" spans="1:19" x14ac:dyDescent="0.25">
      <c r="A88" s="1" t="s">
        <v>50</v>
      </c>
      <c r="B88" s="3">
        <v>339396.47</v>
      </c>
      <c r="C88" s="3">
        <v>76637.289999999994</v>
      </c>
      <c r="D88" s="3">
        <v>416033.76</v>
      </c>
      <c r="F88" s="14">
        <f t="shared" si="8"/>
        <v>46126</v>
      </c>
      <c r="G88" s="16">
        <f>_xlfn.XLOOKUP(F88,FX!$A$12:$A$910,FX!$B$12:$B$910,"",-1)</f>
        <v>1.2061999999999999</v>
      </c>
      <c r="H88" s="3">
        <f t="shared" si="5"/>
        <v>281376.61250207259</v>
      </c>
      <c r="I88" s="3">
        <f t="shared" si="5"/>
        <v>63536.138285524787</v>
      </c>
      <c r="J88" s="3">
        <f t="shared" si="6"/>
        <v>344912.75078759738</v>
      </c>
      <c r="L88" s="1" t="s">
        <v>50</v>
      </c>
      <c r="M88" s="3">
        <v>520305.65999999957</v>
      </c>
      <c r="N88" s="3">
        <v>2720977.4599000094</v>
      </c>
      <c r="O88" s="3">
        <v>524329.01700000034</v>
      </c>
      <c r="P88" s="3"/>
      <c r="Q88" s="3">
        <v>3765612.1369000124</v>
      </c>
      <c r="S88" s="3">
        <f t="shared" si="7"/>
        <v>3590219.2276876071</v>
      </c>
    </row>
    <row r="89" spans="1:19" x14ac:dyDescent="0.25">
      <c r="A89" s="1" t="s">
        <v>51</v>
      </c>
      <c r="B89" s="3">
        <v>768331.92</v>
      </c>
      <c r="C89" s="3">
        <v>90292.58</v>
      </c>
      <c r="D89" s="3">
        <v>858624.5</v>
      </c>
      <c r="F89" s="14">
        <f t="shared" si="8"/>
        <v>46133</v>
      </c>
      <c r="G89" s="16">
        <f>_xlfn.XLOOKUP(F89,FX!$A$12:$A$910,FX!$B$12:$B$910,"",-1)</f>
        <v>1.2126999999999999</v>
      </c>
      <c r="H89" s="3">
        <f t="shared" si="5"/>
        <v>633571.30370248214</v>
      </c>
      <c r="I89" s="3">
        <f t="shared" si="5"/>
        <v>74455.825843159895</v>
      </c>
      <c r="J89" s="3">
        <f t="shared" si="6"/>
        <v>708027.12954564206</v>
      </c>
      <c r="L89" s="1" t="s">
        <v>51</v>
      </c>
      <c r="M89" s="3">
        <v>549603.81560000009</v>
      </c>
      <c r="N89" s="3">
        <v>4247562.4125000192</v>
      </c>
      <c r="O89" s="3">
        <v>716665.8679000003</v>
      </c>
      <c r="P89" s="3"/>
      <c r="Q89" s="3">
        <v>5513832.0960000139</v>
      </c>
      <c r="S89" s="3">
        <f t="shared" si="7"/>
        <v>5672255.4099456612</v>
      </c>
    </row>
    <row r="90" spans="1:19" x14ac:dyDescent="0.25">
      <c r="A90" s="1" t="s">
        <v>52</v>
      </c>
      <c r="B90" s="3">
        <v>360479.52</v>
      </c>
      <c r="C90" s="3">
        <v>63040.24</v>
      </c>
      <c r="D90" s="3">
        <v>423519.76</v>
      </c>
      <c r="F90" s="14">
        <f t="shared" si="8"/>
        <v>46140</v>
      </c>
      <c r="G90" s="16">
        <f>_xlfn.XLOOKUP(F90,FX!$A$12:$A$910,FX!$B$12:$B$910,"",-1)</f>
        <v>1.2168000000000001</v>
      </c>
      <c r="H90" s="3">
        <f t="shared" si="5"/>
        <v>296252.07100591715</v>
      </c>
      <c r="I90" s="3">
        <f t="shared" si="5"/>
        <v>51808.218277449043</v>
      </c>
      <c r="J90" s="3">
        <f t="shared" si="6"/>
        <v>348060.28928336618</v>
      </c>
      <c r="L90" s="1" t="s">
        <v>52</v>
      </c>
      <c r="M90" s="3">
        <v>303510.79930000048</v>
      </c>
      <c r="N90" s="3">
        <v>2906916.5056999982</v>
      </c>
      <c r="O90" s="3">
        <v>452689.70159999991</v>
      </c>
      <c r="P90" s="3"/>
      <c r="Q90" s="3">
        <v>3663117.0066000079</v>
      </c>
      <c r="S90" s="3">
        <f t="shared" si="7"/>
        <v>3707666.4965833644</v>
      </c>
    </row>
    <row r="91" spans="1:19" x14ac:dyDescent="0.25">
      <c r="A91" s="1" t="s">
        <v>53</v>
      </c>
      <c r="B91" s="3">
        <v>562004.06999999995</v>
      </c>
      <c r="C91" s="3">
        <v>108661.89</v>
      </c>
      <c r="D91" s="3">
        <v>670665.96</v>
      </c>
      <c r="F91" s="14">
        <f t="shared" si="8"/>
        <v>46147</v>
      </c>
      <c r="G91" s="16">
        <f>_xlfn.XLOOKUP(F91,FX!$A$12:$A$910,FX!$B$12:$B$910,"",-1)</f>
        <v>1.2169000000000001</v>
      </c>
      <c r="H91" s="3">
        <f t="shared" si="5"/>
        <v>461832.58279234113</v>
      </c>
      <c r="I91" s="3">
        <f t="shared" si="5"/>
        <v>89294.017585668495</v>
      </c>
      <c r="J91" s="3">
        <f t="shared" si="6"/>
        <v>551126.60037800961</v>
      </c>
      <c r="L91" s="1" t="s">
        <v>53</v>
      </c>
      <c r="M91" s="3">
        <v>1067020.318399997</v>
      </c>
      <c r="N91" s="3">
        <v>5358830.4803000148</v>
      </c>
      <c r="O91" s="3">
        <v>1162252.6997999996</v>
      </c>
      <c r="P91" s="3"/>
      <c r="Q91" s="3">
        <v>7588103.4985000035</v>
      </c>
      <c r="S91" s="3">
        <f t="shared" si="7"/>
        <v>7072209.7804780239</v>
      </c>
    </row>
    <row r="92" spans="1:19" x14ac:dyDescent="0.25">
      <c r="A92" s="1" t="s">
        <v>54</v>
      </c>
      <c r="B92" s="3">
        <v>515334.26</v>
      </c>
      <c r="C92" s="3">
        <v>153935.42000000001</v>
      </c>
      <c r="D92" s="3">
        <v>669269.68000000005</v>
      </c>
      <c r="F92" s="14">
        <f t="shared" si="8"/>
        <v>46154</v>
      </c>
      <c r="G92" s="16">
        <f>_xlfn.XLOOKUP(F92,FX!$A$12:$A$910,FX!$B$12:$B$910,"",-1)</f>
        <v>1.2141</v>
      </c>
      <c r="H92" s="3">
        <f t="shared" si="5"/>
        <v>424457.83708096534</v>
      </c>
      <c r="I92" s="3">
        <f t="shared" si="5"/>
        <v>126789.73725393297</v>
      </c>
      <c r="J92" s="3">
        <f t="shared" si="6"/>
        <v>551247.57433489827</v>
      </c>
      <c r="L92" s="1" t="s">
        <v>54</v>
      </c>
      <c r="M92" s="3">
        <v>874443.46069999749</v>
      </c>
      <c r="N92" s="3">
        <v>5206534.4134999933</v>
      </c>
      <c r="O92" s="3">
        <v>1345399.9411999988</v>
      </c>
      <c r="P92" s="3"/>
      <c r="Q92" s="3">
        <v>7426377.8154000398</v>
      </c>
      <c r="S92" s="3">
        <f t="shared" si="7"/>
        <v>7103181.9290348906</v>
      </c>
    </row>
    <row r="93" spans="1:19" x14ac:dyDescent="0.25">
      <c r="A93" s="1" t="s">
        <v>55</v>
      </c>
      <c r="B93" s="3">
        <v>662583.88</v>
      </c>
      <c r="C93" s="3">
        <v>138701.01</v>
      </c>
      <c r="D93" s="3">
        <v>801284.89</v>
      </c>
      <c r="F93" s="14">
        <f t="shared" si="8"/>
        <v>46161</v>
      </c>
      <c r="G93" s="16">
        <f>_xlfn.XLOOKUP(F93,FX!$A$12:$A$910,FX!$B$12:$B$910,"",-1)</f>
        <v>1.2179</v>
      </c>
      <c r="H93" s="3">
        <f t="shared" si="5"/>
        <v>544037.99983578292</v>
      </c>
      <c r="I93" s="3">
        <f t="shared" si="5"/>
        <v>113885.38467854504</v>
      </c>
      <c r="J93" s="3">
        <f t="shared" si="6"/>
        <v>657923.38451432798</v>
      </c>
      <c r="L93" s="1" t="s">
        <v>55</v>
      </c>
      <c r="M93" s="3">
        <v>929418.02990000008</v>
      </c>
      <c r="N93" s="3">
        <v>6569028.0715000136</v>
      </c>
      <c r="O93" s="3">
        <v>1587108.8033999989</v>
      </c>
      <c r="P93" s="3"/>
      <c r="Q93" s="3">
        <v>9085554.9047999643</v>
      </c>
      <c r="S93" s="3">
        <f t="shared" si="7"/>
        <v>8814060.2594143413</v>
      </c>
    </row>
    <row r="94" spans="1:19" x14ac:dyDescent="0.25">
      <c r="A94" s="1" t="s">
        <v>56</v>
      </c>
      <c r="B94" s="3">
        <v>699412.26</v>
      </c>
      <c r="C94" s="3">
        <v>139804.43</v>
      </c>
      <c r="D94" s="3">
        <v>839216.69</v>
      </c>
      <c r="F94" s="14">
        <f t="shared" si="8"/>
        <v>46168</v>
      </c>
      <c r="G94" s="16">
        <f>_xlfn.XLOOKUP(F94,FX!$A$12:$A$910,FX!$B$12:$B$910,"",-1)</f>
        <v>1.2248000000000001</v>
      </c>
      <c r="H94" s="3">
        <f t="shared" si="5"/>
        <v>571042.01502286084</v>
      </c>
      <c r="I94" s="3">
        <f t="shared" si="5"/>
        <v>114144.70117570214</v>
      </c>
      <c r="J94" s="3">
        <f t="shared" si="6"/>
        <v>685186.71619856299</v>
      </c>
      <c r="L94" s="1" t="s">
        <v>56</v>
      </c>
      <c r="M94" s="3">
        <v>676850.78540000087</v>
      </c>
      <c r="N94" s="3">
        <v>5181346.5826999871</v>
      </c>
      <c r="O94" s="3">
        <v>1006972.1646999976</v>
      </c>
      <c r="P94" s="3"/>
      <c r="Q94" s="3">
        <v>6865169.5328000626</v>
      </c>
      <c r="S94" s="3">
        <f t="shared" si="7"/>
        <v>6873505.4635985475</v>
      </c>
    </row>
    <row r="95" spans="1:19" x14ac:dyDescent="0.25">
      <c r="A95" s="1" t="s">
        <v>57</v>
      </c>
      <c r="B95" s="3">
        <v>689495.4</v>
      </c>
      <c r="C95" s="3">
        <v>121597.09</v>
      </c>
      <c r="D95" s="3">
        <v>811092.49</v>
      </c>
      <c r="F95" s="14">
        <f t="shared" si="8"/>
        <v>46175</v>
      </c>
      <c r="G95" s="16">
        <f>_xlfn.XLOOKUP(F95,FX!$A$12:$A$910,FX!$B$12:$B$910,"",-1)</f>
        <v>1.2071000000000001</v>
      </c>
      <c r="H95" s="3">
        <f t="shared" si="5"/>
        <v>571199.90058818657</v>
      </c>
      <c r="I95" s="3">
        <f t="shared" si="5"/>
        <v>100734.89354651644</v>
      </c>
      <c r="J95" s="3">
        <f t="shared" si="6"/>
        <v>671934.794134703</v>
      </c>
      <c r="L95" s="1" t="s">
        <v>57</v>
      </c>
      <c r="M95" s="3">
        <v>739066.85459999926</v>
      </c>
      <c r="N95" s="3">
        <v>6122481.8837000299</v>
      </c>
      <c r="O95" s="3">
        <v>1183934.6098999968</v>
      </c>
      <c r="P95" s="3"/>
      <c r="Q95" s="3">
        <v>8045483.348200053</v>
      </c>
      <c r="S95" s="3">
        <f t="shared" si="7"/>
        <v>7978351.2877347292</v>
      </c>
    </row>
    <row r="96" spans="1:19" x14ac:dyDescent="0.25">
      <c r="A96" s="1" t="s">
        <v>58</v>
      </c>
      <c r="B96" s="3">
        <v>526768.48</v>
      </c>
      <c r="C96" s="3">
        <v>102403.77</v>
      </c>
      <c r="D96" s="3">
        <v>629172.25</v>
      </c>
      <c r="F96" s="14">
        <f t="shared" si="8"/>
        <v>46182</v>
      </c>
      <c r="G96" s="16">
        <f>_xlfn.XLOOKUP(F96,FX!$A$12:$A$910,FX!$B$12:$B$910,"",-1)</f>
        <v>1.2088000000000001</v>
      </c>
      <c r="H96" s="3">
        <f t="shared" si="5"/>
        <v>435778.02779616142</v>
      </c>
      <c r="I96" s="3">
        <f t="shared" si="5"/>
        <v>84715.229980145596</v>
      </c>
      <c r="J96" s="3">
        <f t="shared" si="6"/>
        <v>520493.257776307</v>
      </c>
      <c r="L96" s="1" t="s">
        <v>58</v>
      </c>
      <c r="M96" s="3">
        <v>797621.46970000002</v>
      </c>
      <c r="N96" s="3">
        <v>6653221.9826000137</v>
      </c>
      <c r="O96" s="3">
        <v>1237810.9241000018</v>
      </c>
      <c r="P96" s="3"/>
      <c r="Q96" s="3">
        <v>8688654.3763999939</v>
      </c>
      <c r="S96" s="3">
        <f t="shared" si="7"/>
        <v>8411526.164476322</v>
      </c>
    </row>
    <row r="97" spans="1:19" x14ac:dyDescent="0.25">
      <c r="A97" s="1" t="s">
        <v>59</v>
      </c>
      <c r="B97" s="3">
        <v>775641.98</v>
      </c>
      <c r="C97" s="3">
        <v>163749.04</v>
      </c>
      <c r="D97" s="3">
        <v>939391.02</v>
      </c>
      <c r="F97" s="14">
        <f t="shared" si="8"/>
        <v>46189</v>
      </c>
      <c r="G97" s="16">
        <f>_xlfn.XLOOKUP(F97,FX!$A$12:$A$910,FX!$B$12:$B$910,"",-1)</f>
        <v>1.2131000000000001</v>
      </c>
      <c r="H97" s="3">
        <f t="shared" si="5"/>
        <v>639388.32742560375</v>
      </c>
      <c r="I97" s="3">
        <f t="shared" si="5"/>
        <v>134983.95845354875</v>
      </c>
      <c r="J97" s="3">
        <f t="shared" si="6"/>
        <v>774372.28587915248</v>
      </c>
      <c r="L97" s="1" t="s">
        <v>59</v>
      </c>
      <c r="M97" s="3">
        <v>894202.92170000065</v>
      </c>
      <c r="N97" s="3">
        <v>7022166.9970000172</v>
      </c>
      <c r="O97" s="3">
        <v>1522591.2506000046</v>
      </c>
      <c r="P97" s="3"/>
      <c r="Q97" s="3">
        <v>9438961.169300003</v>
      </c>
      <c r="S97" s="3">
        <f t="shared" si="7"/>
        <v>9319130.5334791746</v>
      </c>
    </row>
    <row r="98" spans="1:19" x14ac:dyDescent="0.25">
      <c r="A98" s="1" t="s">
        <v>60</v>
      </c>
      <c r="B98" s="3">
        <v>848438.38</v>
      </c>
      <c r="C98" s="3">
        <v>172863.12</v>
      </c>
      <c r="D98" s="3">
        <v>1021301.5</v>
      </c>
      <c r="F98" s="14">
        <f t="shared" si="8"/>
        <v>46196</v>
      </c>
      <c r="G98" s="16">
        <f>_xlfn.XLOOKUP(F98,FX!$A$12:$A$910,FX!$B$12:$B$910,"",-1)</f>
        <v>1.2230000000000001</v>
      </c>
      <c r="H98" s="3">
        <f t="shared" si="5"/>
        <v>693735.38838920684</v>
      </c>
      <c r="I98" s="3">
        <f t="shared" si="5"/>
        <v>141343.515944399</v>
      </c>
      <c r="J98" s="3">
        <f t="shared" si="6"/>
        <v>835078.9043336059</v>
      </c>
      <c r="L98" s="1" t="s">
        <v>60</v>
      </c>
      <c r="M98" s="3">
        <v>1506038.7895000044</v>
      </c>
      <c r="N98" s="3">
        <v>11370434.570899971</v>
      </c>
      <c r="O98" s="3">
        <v>2537940.0107999956</v>
      </c>
      <c r="P98" s="3"/>
      <c r="Q98" s="3">
        <v>15414413.371199949</v>
      </c>
      <c r="S98" s="3">
        <f t="shared" si="7"/>
        <v>14743453.486033574</v>
      </c>
    </row>
    <row r="99" spans="1:19" x14ac:dyDescent="0.25">
      <c r="A99" s="1" t="s">
        <v>61</v>
      </c>
      <c r="B99" s="3">
        <v>498034.82</v>
      </c>
      <c r="C99" s="3">
        <v>124761.99</v>
      </c>
      <c r="D99" s="3">
        <v>622796.81000000006</v>
      </c>
      <c r="F99" s="14">
        <f t="shared" si="8"/>
        <v>46203</v>
      </c>
      <c r="G99" s="16">
        <f>_xlfn.XLOOKUP(F99,FX!$A$12:$A$910,FX!$B$12:$B$910,"",-1)</f>
        <v>1.2165999999999999</v>
      </c>
      <c r="H99" s="3">
        <f t="shared" si="5"/>
        <v>409366.1186914352</v>
      </c>
      <c r="I99" s="3">
        <f t="shared" si="5"/>
        <v>102549.72053263194</v>
      </c>
      <c r="J99" s="3">
        <f t="shared" si="6"/>
        <v>511915.83922406717</v>
      </c>
      <c r="L99" s="1" t="s">
        <v>61</v>
      </c>
      <c r="M99" s="3">
        <v>914224.24679999973</v>
      </c>
      <c r="N99" s="3">
        <v>4676621.2881000107</v>
      </c>
      <c r="O99" s="3">
        <v>1625108.3403000003</v>
      </c>
      <c r="P99" s="3"/>
      <c r="Q99" s="3">
        <v>7215953.8752000527</v>
      </c>
      <c r="S99" s="3">
        <f t="shared" si="7"/>
        <v>6813645.4676240785</v>
      </c>
    </row>
    <row r="100" spans="1:19" x14ac:dyDescent="0.25">
      <c r="A100" s="1" t="s">
        <v>62</v>
      </c>
      <c r="B100" s="3">
        <v>301699.64</v>
      </c>
      <c r="C100" s="3">
        <v>45657.83</v>
      </c>
      <c r="D100" s="3">
        <v>347357.47</v>
      </c>
      <c r="F100" s="14">
        <f t="shared" si="8"/>
        <v>46210</v>
      </c>
      <c r="G100" s="16">
        <f>_xlfn.XLOOKUP(F100,FX!$A$12:$A$910,FX!$B$12:$B$910,"",-1)</f>
        <v>1.2196</v>
      </c>
      <c r="H100" s="3">
        <f t="shared" si="5"/>
        <v>247375.89373565104</v>
      </c>
      <c r="I100" s="3">
        <f t="shared" si="5"/>
        <v>37436.725155788787</v>
      </c>
      <c r="J100" s="3">
        <f t="shared" si="6"/>
        <v>284812.61889143981</v>
      </c>
      <c r="L100" s="1" t="s">
        <v>62</v>
      </c>
      <c r="M100" s="3">
        <v>438420.89980000007</v>
      </c>
      <c r="N100" s="3">
        <v>2708098.1961999983</v>
      </c>
      <c r="O100" s="3">
        <v>417367.46480000019</v>
      </c>
      <c r="P100" s="3"/>
      <c r="Q100" s="3">
        <v>3563886.5607999926</v>
      </c>
      <c r="S100" s="3">
        <f t="shared" si="7"/>
        <v>3410278.2798914383</v>
      </c>
    </row>
    <row r="101" spans="1:19" x14ac:dyDescent="0.25">
      <c r="A101" s="1" t="s">
        <v>63</v>
      </c>
      <c r="B101" s="3">
        <v>498112.76</v>
      </c>
      <c r="C101" s="3">
        <v>75785.710000000006</v>
      </c>
      <c r="D101" s="3">
        <v>573898.47</v>
      </c>
      <c r="F101" s="14">
        <f t="shared" si="8"/>
        <v>46217</v>
      </c>
      <c r="G101" s="16">
        <f>_xlfn.XLOOKUP(F101,FX!$A$12:$A$910,FX!$B$12:$B$910,"",-1)</f>
        <v>1.1967000000000001</v>
      </c>
      <c r="H101" s="3">
        <f t="shared" si="5"/>
        <v>416238.62287958548</v>
      </c>
      <c r="I101" s="3">
        <f t="shared" si="5"/>
        <v>63328.912843653379</v>
      </c>
      <c r="J101" s="3">
        <f t="shared" si="6"/>
        <v>479567.53572323883</v>
      </c>
      <c r="L101" s="1" t="s">
        <v>63</v>
      </c>
      <c r="M101" s="3">
        <v>1000660.8491000015</v>
      </c>
      <c r="N101" s="3">
        <v>4504473.2060000123</v>
      </c>
      <c r="O101" s="3">
        <v>888332.77020000014</v>
      </c>
      <c r="P101" s="3"/>
      <c r="Q101" s="3">
        <v>6393466.8252999829</v>
      </c>
      <c r="S101" s="3">
        <f t="shared" si="7"/>
        <v>5872373.5119232517</v>
      </c>
    </row>
    <row r="102" spans="1:19" x14ac:dyDescent="0.25">
      <c r="A102" s="1" t="s">
        <v>64</v>
      </c>
      <c r="B102" s="3">
        <v>420098.61</v>
      </c>
      <c r="C102" s="3">
        <v>75314.210000000006</v>
      </c>
      <c r="D102" s="3">
        <v>495412.82</v>
      </c>
      <c r="F102" s="14">
        <f t="shared" si="8"/>
        <v>46224</v>
      </c>
      <c r="G102" s="16">
        <f>_xlfn.XLOOKUP(F102,FX!$A$12:$A$910,FX!$B$12:$B$910,"",-1)</f>
        <v>1.1955</v>
      </c>
      <c r="H102" s="3">
        <f t="shared" si="5"/>
        <v>351399.92471769132</v>
      </c>
      <c r="I102" s="3">
        <f t="shared" si="5"/>
        <v>62998.084483479717</v>
      </c>
      <c r="J102" s="3">
        <f t="shared" si="6"/>
        <v>414398.00920117105</v>
      </c>
      <c r="L102" s="1" t="s">
        <v>64</v>
      </c>
      <c r="M102" s="3">
        <v>948408.01780000085</v>
      </c>
      <c r="N102" s="3">
        <v>4538330.0849000206</v>
      </c>
      <c r="O102" s="3">
        <v>920306.0999999987</v>
      </c>
      <c r="P102" s="3"/>
      <c r="Q102" s="3">
        <v>6407044.20269999</v>
      </c>
      <c r="S102" s="3">
        <f t="shared" si="7"/>
        <v>5873034.1941011902</v>
      </c>
    </row>
    <row r="103" spans="1:19" x14ac:dyDescent="0.25">
      <c r="A103" s="1" t="s">
        <v>65</v>
      </c>
      <c r="B103" s="3">
        <v>446142.92</v>
      </c>
      <c r="C103" s="3">
        <v>79920.83</v>
      </c>
      <c r="D103" s="3">
        <v>526063.75</v>
      </c>
      <c r="F103" s="14">
        <f t="shared" si="8"/>
        <v>46231</v>
      </c>
      <c r="G103" s="16">
        <f>_xlfn.XLOOKUP(F103,FX!$A$12:$A$910,FX!$B$12:$B$910,"",-1)</f>
        <v>1.2082999999999999</v>
      </c>
      <c r="H103" s="3">
        <f t="shared" si="5"/>
        <v>369231.91260448564</v>
      </c>
      <c r="I103" s="3">
        <f t="shared" si="5"/>
        <v>66143.20119175702</v>
      </c>
      <c r="J103" s="3">
        <f t="shared" si="6"/>
        <v>435375.11379624263</v>
      </c>
      <c r="L103" s="1" t="s">
        <v>65</v>
      </c>
      <c r="M103" s="3">
        <v>614677.78980000108</v>
      </c>
      <c r="N103" s="3">
        <v>4313149.2062000027</v>
      </c>
      <c r="O103" s="3">
        <v>687757.71430000255</v>
      </c>
      <c r="P103" s="3"/>
      <c r="Q103" s="3">
        <v>5615584.7102999855</v>
      </c>
      <c r="S103" s="3">
        <f t="shared" si="7"/>
        <v>5436282.0342962481</v>
      </c>
    </row>
    <row r="104" spans="1:19" x14ac:dyDescent="0.25">
      <c r="A104" s="1" t="s">
        <v>66</v>
      </c>
      <c r="B104" s="3">
        <v>474331.39</v>
      </c>
      <c r="C104" s="3">
        <v>73028.160000000003</v>
      </c>
      <c r="D104" s="3">
        <v>547359.55000000005</v>
      </c>
      <c r="F104" s="14">
        <f t="shared" si="8"/>
        <v>46238</v>
      </c>
      <c r="G104" s="16">
        <f>_xlfn.XLOOKUP(F104,FX!$A$12:$A$910,FX!$B$12:$B$910,"",-1)</f>
        <v>1.198</v>
      </c>
      <c r="H104" s="3">
        <f t="shared" si="5"/>
        <v>395936.05175292154</v>
      </c>
      <c r="I104" s="3">
        <f t="shared" si="5"/>
        <v>60958.397328881474</v>
      </c>
      <c r="J104" s="3">
        <f t="shared" si="6"/>
        <v>456894.44908180303</v>
      </c>
      <c r="L104" s="1" t="s">
        <v>66</v>
      </c>
      <c r="M104" s="3">
        <v>377712.07039999985</v>
      </c>
      <c r="N104" s="3">
        <v>4607218.3740000017</v>
      </c>
      <c r="O104" s="3">
        <v>663136.73410000186</v>
      </c>
      <c r="P104" s="3"/>
      <c r="Q104" s="3">
        <v>5648067.1784999929</v>
      </c>
      <c r="S104" s="3">
        <f t="shared" si="7"/>
        <v>5727249.5571818063</v>
      </c>
    </row>
    <row r="105" spans="1:19" x14ac:dyDescent="0.25">
      <c r="A105" s="1" t="s">
        <v>67</v>
      </c>
      <c r="B105" s="3">
        <v>380766.44</v>
      </c>
      <c r="C105" s="3">
        <v>61064.29</v>
      </c>
      <c r="D105" s="3">
        <v>441830.73</v>
      </c>
      <c r="F105" s="14">
        <f t="shared" si="8"/>
        <v>46245</v>
      </c>
      <c r="G105" s="16">
        <f>_xlfn.XLOOKUP(F105,FX!$A$12:$A$910,FX!$B$12:$B$910,"",-1)</f>
        <v>1.198</v>
      </c>
      <c r="H105" s="3">
        <f t="shared" si="5"/>
        <v>317835.0918196995</v>
      </c>
      <c r="I105" s="3">
        <f t="shared" si="5"/>
        <v>50971.861435726212</v>
      </c>
      <c r="J105" s="3">
        <f t="shared" si="6"/>
        <v>368806.95325542573</v>
      </c>
      <c r="L105" s="1" t="s">
        <v>67</v>
      </c>
      <c r="M105" s="3">
        <v>448175.728100001</v>
      </c>
      <c r="N105" s="3">
        <v>3756233.6407999974</v>
      </c>
      <c r="O105" s="3">
        <v>700462.26499999897</v>
      </c>
      <c r="P105" s="3"/>
      <c r="Q105" s="3">
        <v>4904871.6338999942</v>
      </c>
      <c r="S105" s="3">
        <f t="shared" si="7"/>
        <v>4825502.8590554222</v>
      </c>
    </row>
    <row r="106" spans="1:19" x14ac:dyDescent="0.25">
      <c r="A106" s="1" t="s">
        <v>68</v>
      </c>
      <c r="B106" s="3">
        <v>478950.25</v>
      </c>
      <c r="C106" s="3">
        <v>182429.08</v>
      </c>
      <c r="D106" s="3">
        <v>661379.32999999996</v>
      </c>
      <c r="F106" s="14">
        <f t="shared" si="8"/>
        <v>46252</v>
      </c>
      <c r="G106" s="16">
        <f>_xlfn.XLOOKUP(F106,FX!$A$12:$A$910,FX!$B$12:$B$910,"",-1)</f>
        <v>1.198</v>
      </c>
      <c r="H106" s="3">
        <f t="shared" si="5"/>
        <v>399791.52754590986</v>
      </c>
      <c r="I106" s="3">
        <f t="shared" si="5"/>
        <v>152278.03005008347</v>
      </c>
      <c r="J106" s="3">
        <f t="shared" si="6"/>
        <v>552069.55759599339</v>
      </c>
      <c r="L106" s="1" t="s">
        <v>68</v>
      </c>
      <c r="M106" s="3">
        <v>1177884.6413999994</v>
      </c>
      <c r="N106" s="3">
        <v>3839145.6033999836</v>
      </c>
      <c r="O106" s="3">
        <v>1693751.494400003</v>
      </c>
      <c r="P106" s="3"/>
      <c r="Q106" s="3">
        <v>6710781.739199996</v>
      </c>
      <c r="S106" s="3">
        <f t="shared" si="7"/>
        <v>6084966.65539598</v>
      </c>
    </row>
    <row r="107" spans="1:19" x14ac:dyDescent="0.25">
      <c r="A107" s="1" t="s">
        <v>69</v>
      </c>
      <c r="B107" s="3">
        <v>311531.15999999997</v>
      </c>
      <c r="C107" s="3">
        <v>43419.87</v>
      </c>
      <c r="D107" s="3">
        <v>354951.03</v>
      </c>
      <c r="F107" s="14">
        <f t="shared" si="8"/>
        <v>46259</v>
      </c>
      <c r="G107" s="16">
        <f>_xlfn.XLOOKUP(F107,FX!$A$12:$A$910,FX!$B$12:$B$910,"",-1)</f>
        <v>1.198</v>
      </c>
      <c r="H107" s="3">
        <f t="shared" si="5"/>
        <v>260042.70450751251</v>
      </c>
      <c r="I107" s="3">
        <f t="shared" si="5"/>
        <v>36243.631051752927</v>
      </c>
      <c r="J107" s="3">
        <f t="shared" si="6"/>
        <v>296286.33555926546</v>
      </c>
      <c r="L107" s="1" t="s">
        <v>69</v>
      </c>
      <c r="M107" s="3">
        <v>304286.38260000007</v>
      </c>
      <c r="N107" s="3">
        <v>3054424.109199997</v>
      </c>
      <c r="O107" s="3">
        <v>446091.27110000089</v>
      </c>
      <c r="P107" s="3"/>
      <c r="Q107" s="3">
        <v>3804801.7629000032</v>
      </c>
      <c r="S107" s="3">
        <f t="shared" si="7"/>
        <v>3796801.7158592637</v>
      </c>
    </row>
    <row r="108" spans="1:19" x14ac:dyDescent="0.25">
      <c r="A108" s="1" t="s">
        <v>70</v>
      </c>
      <c r="B108" s="3">
        <v>733087.68</v>
      </c>
      <c r="C108" s="3">
        <v>211459.97</v>
      </c>
      <c r="D108" s="3">
        <v>944547.65</v>
      </c>
      <c r="F108" s="14">
        <f t="shared" si="8"/>
        <v>46266</v>
      </c>
      <c r="G108" s="16">
        <f>_xlfn.XLOOKUP(F108,FX!$A$12:$A$910,FX!$B$12:$B$910,"",-1)</f>
        <v>1.198</v>
      </c>
      <c r="H108" s="3">
        <f t="shared" si="5"/>
        <v>611926.27712854766</v>
      </c>
      <c r="I108" s="3">
        <f t="shared" si="5"/>
        <v>176510.82637729551</v>
      </c>
      <c r="J108" s="3">
        <f t="shared" si="6"/>
        <v>788437.1035058432</v>
      </c>
      <c r="L108" s="1" t="s">
        <v>70</v>
      </c>
      <c r="M108" s="3">
        <v>1290266.1842000047</v>
      </c>
      <c r="N108" s="3">
        <v>6187030.1482999409</v>
      </c>
      <c r="O108" s="3">
        <v>2022596.5920000051</v>
      </c>
      <c r="P108" s="3"/>
      <c r="Q108" s="3">
        <v>9499892.9244998191</v>
      </c>
      <c r="S108" s="3">
        <f t="shared" si="7"/>
        <v>8998063.8438057899</v>
      </c>
    </row>
    <row r="109" spans="1:19" x14ac:dyDescent="0.25">
      <c r="A109" s="1" t="s">
        <v>71</v>
      </c>
      <c r="B109" s="3">
        <v>444089.28</v>
      </c>
      <c r="C109" s="3">
        <v>94724.479999999996</v>
      </c>
      <c r="D109" s="3">
        <v>538813.76</v>
      </c>
      <c r="F109" s="14">
        <f t="shared" si="8"/>
        <v>46273</v>
      </c>
      <c r="G109" s="16">
        <f>_xlfn.XLOOKUP(F109,FX!$A$12:$A$910,FX!$B$12:$B$910,"",-1)</f>
        <v>1.198</v>
      </c>
      <c r="H109" s="3">
        <f t="shared" si="5"/>
        <v>370692.22036727885</v>
      </c>
      <c r="I109" s="3">
        <f t="shared" si="5"/>
        <v>79068.848080133554</v>
      </c>
      <c r="J109" s="3">
        <f t="shared" si="6"/>
        <v>449761.0684474124</v>
      </c>
      <c r="L109" s="1" t="s">
        <v>71</v>
      </c>
      <c r="M109" s="3">
        <v>662129.81129999796</v>
      </c>
      <c r="N109" s="3">
        <v>3987714.436900008</v>
      </c>
      <c r="O109" s="3">
        <v>934952.48180000053</v>
      </c>
      <c r="P109" s="3"/>
      <c r="Q109" s="3">
        <v>5584796.7299999995</v>
      </c>
      <c r="S109" s="3">
        <f t="shared" si="7"/>
        <v>5372427.9871474206</v>
      </c>
    </row>
    <row r="110" spans="1:19" x14ac:dyDescent="0.25">
      <c r="A110" s="1" t="s">
        <v>72</v>
      </c>
      <c r="B110" s="3">
        <v>442779.57</v>
      </c>
      <c r="C110" s="3">
        <v>52349.59</v>
      </c>
      <c r="D110" s="3">
        <v>495129.16</v>
      </c>
      <c r="F110" s="14">
        <f t="shared" si="8"/>
        <v>46280</v>
      </c>
      <c r="G110" s="16">
        <f>_xlfn.XLOOKUP(F110,FX!$A$12:$A$910,FX!$B$12:$B$910,"",-1)</f>
        <v>1.198</v>
      </c>
      <c r="H110" s="3">
        <f t="shared" si="5"/>
        <v>369598.97328881471</v>
      </c>
      <c r="I110" s="3">
        <f t="shared" si="5"/>
        <v>43697.487479131887</v>
      </c>
      <c r="J110" s="3">
        <f t="shared" si="6"/>
        <v>413296.46076794661</v>
      </c>
      <c r="L110" s="1" t="s">
        <v>72</v>
      </c>
      <c r="M110" s="3">
        <v>452183.71919999935</v>
      </c>
      <c r="N110" s="3">
        <v>3224712.0412000059</v>
      </c>
      <c r="O110" s="3">
        <v>533444.77609999967</v>
      </c>
      <c r="P110" s="3"/>
      <c r="Q110" s="3">
        <v>4210340.5365000013</v>
      </c>
      <c r="S110" s="3">
        <f t="shared" si="7"/>
        <v>4171453.278067952</v>
      </c>
    </row>
    <row r="111" spans="1:19" x14ac:dyDescent="0.25">
      <c r="A111" s="1" t="s">
        <v>73</v>
      </c>
      <c r="B111" s="3">
        <v>362188.42</v>
      </c>
      <c r="C111" s="3">
        <v>67735.41</v>
      </c>
      <c r="D111" s="3">
        <v>429923.83</v>
      </c>
      <c r="F111" s="14">
        <f t="shared" si="8"/>
        <v>46287</v>
      </c>
      <c r="G111" s="16">
        <f>_xlfn.XLOOKUP(F111,FX!$A$12:$A$910,FX!$B$12:$B$910,"",-1)</f>
        <v>1.198</v>
      </c>
      <c r="H111" s="3">
        <f t="shared" si="5"/>
        <v>302327.56260434055</v>
      </c>
      <c r="I111" s="3">
        <f t="shared" si="5"/>
        <v>56540.409015025049</v>
      </c>
      <c r="J111" s="3">
        <f t="shared" si="6"/>
        <v>358867.97161936562</v>
      </c>
      <c r="L111" s="1" t="s">
        <v>73</v>
      </c>
      <c r="M111" s="3">
        <v>482691.81929999962</v>
      </c>
      <c r="N111" s="3">
        <v>3625364.1596999923</v>
      </c>
      <c r="O111" s="3">
        <v>544009.22560000094</v>
      </c>
      <c r="P111" s="3"/>
      <c r="Q111" s="3">
        <v>4652065.2045999942</v>
      </c>
      <c r="S111" s="3">
        <f t="shared" si="7"/>
        <v>4528241.3569193594</v>
      </c>
    </row>
    <row r="112" spans="1:19" x14ac:dyDescent="0.25">
      <c r="A112" s="1" t="s">
        <v>74</v>
      </c>
      <c r="B112" s="3">
        <v>461923.96</v>
      </c>
      <c r="C112" s="3">
        <v>94563.42</v>
      </c>
      <c r="D112" s="3">
        <v>556487.38</v>
      </c>
      <c r="F112" s="14">
        <f t="shared" si="8"/>
        <v>46294</v>
      </c>
      <c r="G112" s="16">
        <f>_xlfn.XLOOKUP(F112,FX!$A$12:$A$910,FX!$B$12:$B$910,"",-1)</f>
        <v>1.198</v>
      </c>
      <c r="H112" s="3">
        <f t="shared" si="5"/>
        <v>385579.26544240402</v>
      </c>
      <c r="I112" s="3">
        <f t="shared" si="5"/>
        <v>78934.407345575964</v>
      </c>
      <c r="J112" s="3">
        <f t="shared" si="6"/>
        <v>464513.67278798</v>
      </c>
      <c r="L112" s="1" t="s">
        <v>74</v>
      </c>
      <c r="M112" s="3">
        <v>579307.95770000026</v>
      </c>
      <c r="N112" s="3">
        <v>3840681.6392000117</v>
      </c>
      <c r="O112" s="3">
        <v>683906.73590000148</v>
      </c>
      <c r="P112" s="3"/>
      <c r="Q112" s="3">
        <v>5103896.3328000177</v>
      </c>
      <c r="S112" s="3">
        <f t="shared" si="7"/>
        <v>4989102.047887993</v>
      </c>
    </row>
    <row r="113" spans="1:19" x14ac:dyDescent="0.25">
      <c r="A113" s="1" t="s">
        <v>75</v>
      </c>
      <c r="B113" s="3">
        <v>456596.39</v>
      </c>
      <c r="C113" s="3">
        <v>73829.78</v>
      </c>
      <c r="D113" s="3">
        <v>530426.17000000004</v>
      </c>
      <c r="F113" s="14">
        <f t="shared" si="8"/>
        <v>46301</v>
      </c>
      <c r="G113" s="16">
        <f>_xlfn.XLOOKUP(F113,FX!$A$12:$A$910,FX!$B$12:$B$910,"",-1)</f>
        <v>1.198</v>
      </c>
      <c r="H113" s="3">
        <f t="shared" si="5"/>
        <v>381132.21202003339</v>
      </c>
      <c r="I113" s="3">
        <f t="shared" si="5"/>
        <v>61627.529215358933</v>
      </c>
      <c r="J113" s="3">
        <f t="shared" si="6"/>
        <v>442759.74123539234</v>
      </c>
      <c r="L113" s="1" t="s">
        <v>75</v>
      </c>
      <c r="M113" s="3">
        <v>465655.00040000095</v>
      </c>
      <c r="N113" s="3">
        <v>3468895.5508999913</v>
      </c>
      <c r="O113" s="3">
        <v>631955.25399999996</v>
      </c>
      <c r="P113" s="3"/>
      <c r="Q113" s="3">
        <v>4566505.8052999927</v>
      </c>
      <c r="S113" s="3">
        <f t="shared" si="7"/>
        <v>4543610.5461353837</v>
      </c>
    </row>
    <row r="114" spans="1:19" x14ac:dyDescent="0.25">
      <c r="A114" s="1" t="s">
        <v>76</v>
      </c>
      <c r="B114" s="3">
        <v>597290.78</v>
      </c>
      <c r="C114" s="3">
        <v>82538.81</v>
      </c>
      <c r="D114" s="3">
        <v>679829.59</v>
      </c>
      <c r="F114" s="14">
        <f t="shared" si="8"/>
        <v>46308</v>
      </c>
      <c r="G114" s="16">
        <f>_xlfn.XLOOKUP(F114,FX!$A$12:$A$910,FX!$B$12:$B$910,"",-1)</f>
        <v>1.198</v>
      </c>
      <c r="H114" s="3">
        <f t="shared" si="5"/>
        <v>498573.27212020039</v>
      </c>
      <c r="I114" s="3">
        <f t="shared" si="5"/>
        <v>68897.17028380635</v>
      </c>
      <c r="J114" s="3">
        <f t="shared" si="6"/>
        <v>567470.44240400672</v>
      </c>
      <c r="L114" s="1" t="s">
        <v>76</v>
      </c>
      <c r="M114" s="3">
        <v>456844.35550000047</v>
      </c>
      <c r="N114" s="3">
        <v>4700267.8543999968</v>
      </c>
      <c r="O114" s="3">
        <v>783540.50319999992</v>
      </c>
      <c r="P114" s="3"/>
      <c r="Q114" s="3">
        <v>5940652.7130999882</v>
      </c>
      <c r="S114" s="3">
        <f t="shared" si="7"/>
        <v>6051278.8000040036</v>
      </c>
    </row>
    <row r="115" spans="1:19" x14ac:dyDescent="0.25">
      <c r="A115" s="1" t="s">
        <v>77</v>
      </c>
      <c r="B115" s="3">
        <v>701083.51</v>
      </c>
      <c r="C115" s="3">
        <v>209486.31</v>
      </c>
      <c r="D115" s="3">
        <v>910569.82</v>
      </c>
      <c r="F115" s="14">
        <f t="shared" si="8"/>
        <v>46315</v>
      </c>
      <c r="G115" s="16">
        <f>_xlfn.XLOOKUP(F115,FX!$A$12:$A$910,FX!$B$12:$B$910,"",-1)</f>
        <v>1.198</v>
      </c>
      <c r="H115" s="3">
        <f t="shared" si="5"/>
        <v>585211.61101836397</v>
      </c>
      <c r="I115" s="3">
        <f t="shared" si="5"/>
        <v>174863.36393989983</v>
      </c>
      <c r="J115" s="3">
        <f t="shared" si="6"/>
        <v>760074.9749582638</v>
      </c>
      <c r="L115" s="1" t="s">
        <v>77</v>
      </c>
      <c r="M115" s="3">
        <v>1157559.0750000004</v>
      </c>
      <c r="N115" s="3">
        <v>5858986.8566999882</v>
      </c>
      <c r="O115" s="3">
        <v>1663646.3871999981</v>
      </c>
      <c r="P115" s="3"/>
      <c r="Q115" s="3">
        <v>8680192.318899978</v>
      </c>
      <c r="S115" s="3">
        <f t="shared" si="7"/>
        <v>8282708.2188582495</v>
      </c>
    </row>
    <row r="116" spans="1:19" x14ac:dyDescent="0.25">
      <c r="A116" s="1" t="s">
        <v>78</v>
      </c>
      <c r="B116" s="3">
        <v>616919.04000000004</v>
      </c>
      <c r="C116" s="3">
        <v>113754.06</v>
      </c>
      <c r="D116" s="3">
        <v>730673.1</v>
      </c>
      <c r="F116" s="14">
        <f t="shared" si="8"/>
        <v>46322</v>
      </c>
      <c r="G116" s="16">
        <f>_xlfn.XLOOKUP(F116,FX!$A$12:$A$910,FX!$B$12:$B$910,"",-1)</f>
        <v>1.198</v>
      </c>
      <c r="H116" s="3">
        <f t="shared" si="5"/>
        <v>514957.4624373957</v>
      </c>
      <c r="I116" s="3">
        <f t="shared" si="5"/>
        <v>94953.30550918197</v>
      </c>
      <c r="J116" s="3">
        <f t="shared" si="6"/>
        <v>609910.76794657763</v>
      </c>
      <c r="L116" s="1" t="s">
        <v>78</v>
      </c>
      <c r="M116" s="3">
        <v>560424.37890000083</v>
      </c>
      <c r="N116" s="3">
        <v>3884930.5516999993</v>
      </c>
      <c r="O116" s="3">
        <v>811458.9728000008</v>
      </c>
      <c r="P116" s="3"/>
      <c r="Q116" s="3">
        <v>5256813.9034000216</v>
      </c>
      <c r="S116" s="3">
        <f t="shared" si="7"/>
        <v>5306300.292446577</v>
      </c>
    </row>
    <row r="117" spans="1:19" x14ac:dyDescent="0.25">
      <c r="A117" s="1" t="s">
        <v>79</v>
      </c>
      <c r="B117" s="3">
        <v>482398.08</v>
      </c>
      <c r="C117" s="3">
        <v>106483.85</v>
      </c>
      <c r="D117" s="3">
        <v>588881.93000000005</v>
      </c>
      <c r="F117" s="14">
        <f t="shared" si="8"/>
        <v>46329</v>
      </c>
      <c r="G117" s="16">
        <f>_xlfn.XLOOKUP(F117,FX!$A$12:$A$910,FX!$B$12:$B$910,"",-1)</f>
        <v>1.198</v>
      </c>
      <c r="H117" s="3">
        <f t="shared" si="5"/>
        <v>402669.51585976628</v>
      </c>
      <c r="I117" s="3">
        <f t="shared" si="5"/>
        <v>88884.682804674463</v>
      </c>
      <c r="J117" s="3">
        <f t="shared" si="6"/>
        <v>491554.19866444077</v>
      </c>
      <c r="L117" s="1" t="s">
        <v>79</v>
      </c>
      <c r="M117" s="3">
        <v>653698.21880000003</v>
      </c>
      <c r="N117" s="3">
        <v>4711130.9912000084</v>
      </c>
      <c r="O117" s="3">
        <v>902261.49760000058</v>
      </c>
      <c r="P117" s="3"/>
      <c r="Q117" s="3">
        <v>6267090.7075999985</v>
      </c>
      <c r="S117" s="3">
        <f t="shared" si="7"/>
        <v>6104946.6874644496</v>
      </c>
    </row>
    <row r="118" spans="1:19" x14ac:dyDescent="0.25">
      <c r="A118" s="1" t="s">
        <v>80</v>
      </c>
      <c r="B118" s="3">
        <v>557956.96</v>
      </c>
      <c r="C118" s="3">
        <v>110786.3</v>
      </c>
      <c r="D118" s="3">
        <v>668743.26</v>
      </c>
      <c r="F118" s="14">
        <f t="shared" si="8"/>
        <v>46336</v>
      </c>
      <c r="G118" s="16">
        <f>_xlfn.XLOOKUP(F118,FX!$A$12:$A$910,FX!$B$12:$B$910,"",-1)</f>
        <v>1.198</v>
      </c>
      <c r="H118" s="3">
        <f t="shared" si="5"/>
        <v>465740.36727879796</v>
      </c>
      <c r="I118" s="3">
        <f t="shared" si="5"/>
        <v>92476.04340567613</v>
      </c>
      <c r="J118" s="3">
        <f t="shared" si="6"/>
        <v>558216.41068447405</v>
      </c>
      <c r="L118" s="1" t="s">
        <v>80</v>
      </c>
      <c r="M118" s="3">
        <v>903662.75409999746</v>
      </c>
      <c r="N118" s="3">
        <v>4668630.5328999944</v>
      </c>
      <c r="O118" s="3">
        <v>854768.02129999921</v>
      </c>
      <c r="P118" s="3"/>
      <c r="Q118" s="3">
        <v>6427061.3082999857</v>
      </c>
      <c r="S118" s="3">
        <f t="shared" si="7"/>
        <v>6081614.9648844674</v>
      </c>
    </row>
    <row r="119" spans="1:19" x14ac:dyDescent="0.25">
      <c r="A119" s="1" t="s">
        <v>81</v>
      </c>
      <c r="B119" s="3">
        <v>684113.35</v>
      </c>
      <c r="C119" s="3">
        <v>84389</v>
      </c>
      <c r="D119" s="3">
        <v>768502.35</v>
      </c>
      <c r="F119" s="14">
        <f t="shared" si="8"/>
        <v>46343</v>
      </c>
      <c r="G119" s="16">
        <f>_xlfn.XLOOKUP(F119,FX!$A$12:$A$910,FX!$B$12:$B$910,"",-1)</f>
        <v>1.198</v>
      </c>
      <c r="H119" s="3">
        <f t="shared" si="5"/>
        <v>571046.20200333896</v>
      </c>
      <c r="I119" s="3">
        <f t="shared" si="5"/>
        <v>70441.569282136901</v>
      </c>
      <c r="J119" s="3">
        <f t="shared" si="6"/>
        <v>641487.77128547581</v>
      </c>
      <c r="L119" s="1" t="s">
        <v>81</v>
      </c>
      <c r="M119" s="3">
        <v>942552.38179999928</v>
      </c>
      <c r="N119" s="3">
        <v>4959237.6591999726</v>
      </c>
      <c r="O119" s="3">
        <v>904686.60550000041</v>
      </c>
      <c r="P119" s="3"/>
      <c r="Q119" s="3">
        <v>6806476.6465000147</v>
      </c>
      <c r="S119" s="3">
        <f t="shared" si="7"/>
        <v>6505412.0359854493</v>
      </c>
    </row>
    <row r="120" spans="1:19" x14ac:dyDescent="0.25">
      <c r="A120" s="1" t="s">
        <v>82</v>
      </c>
      <c r="B120" s="3">
        <v>1452646.27</v>
      </c>
      <c r="C120" s="3">
        <v>399803.16</v>
      </c>
      <c r="D120" s="3">
        <v>1852449.43</v>
      </c>
      <c r="F120" s="14">
        <f t="shared" si="8"/>
        <v>46350</v>
      </c>
      <c r="G120" s="16">
        <f>_xlfn.XLOOKUP(F120,FX!$A$12:$A$910,FX!$B$12:$B$910,"",-1)</f>
        <v>1.198</v>
      </c>
      <c r="H120" s="3">
        <f t="shared" si="5"/>
        <v>1212559.4908180302</v>
      </c>
      <c r="I120" s="3">
        <f t="shared" si="5"/>
        <v>333725.50918196992</v>
      </c>
      <c r="J120" s="3">
        <f t="shared" si="6"/>
        <v>1546285</v>
      </c>
      <c r="L120" s="1" t="s">
        <v>82</v>
      </c>
      <c r="M120" s="3">
        <v>2559101.3727000044</v>
      </c>
      <c r="N120" s="3">
        <v>12075576.592299925</v>
      </c>
      <c r="O120" s="3">
        <v>3619227.9473999985</v>
      </c>
      <c r="P120" s="3"/>
      <c r="Q120" s="3">
        <v>18253905.912399821</v>
      </c>
      <c r="S120" s="3">
        <f t="shared" si="7"/>
        <v>17241089.539699923</v>
      </c>
    </row>
    <row r="121" spans="1:19" x14ac:dyDescent="0.25">
      <c r="A121" s="1" t="s">
        <v>83</v>
      </c>
      <c r="B121" s="3">
        <v>838252.13</v>
      </c>
      <c r="C121" s="3">
        <v>221786.34</v>
      </c>
      <c r="D121" s="3">
        <v>1060038.47</v>
      </c>
      <c r="F121" s="14">
        <f t="shared" si="8"/>
        <v>46357</v>
      </c>
      <c r="G121" s="16">
        <f>_xlfn.XLOOKUP(F121,FX!$A$12:$A$910,FX!$B$12:$B$910,"",-1)</f>
        <v>1.198</v>
      </c>
      <c r="H121" s="3">
        <f t="shared" si="5"/>
        <v>699709.62437395658</v>
      </c>
      <c r="I121" s="3">
        <f t="shared" si="5"/>
        <v>185130.50083472455</v>
      </c>
      <c r="J121" s="3">
        <f t="shared" si="6"/>
        <v>884840.1252086811</v>
      </c>
      <c r="L121" s="1" t="s">
        <v>83</v>
      </c>
      <c r="M121" s="3">
        <v>2246396.2978999927</v>
      </c>
      <c r="N121" s="3">
        <v>6603591.8239000011</v>
      </c>
      <c r="O121" s="3">
        <v>2453448.069600001</v>
      </c>
      <c r="P121" s="3"/>
      <c r="Q121" s="3">
        <v>11303436.19139996</v>
      </c>
      <c r="S121" s="3">
        <f t="shared" si="7"/>
        <v>9941880.0187086836</v>
      </c>
    </row>
    <row r="122" spans="1:19" x14ac:dyDescent="0.25">
      <c r="A122" s="1" t="s">
        <v>84</v>
      </c>
      <c r="B122" s="3">
        <v>504001.08</v>
      </c>
      <c r="C122" s="3">
        <v>103914.11</v>
      </c>
      <c r="D122" s="3">
        <v>607915.18999999994</v>
      </c>
      <c r="F122" s="14">
        <f t="shared" si="8"/>
        <v>46364</v>
      </c>
      <c r="G122" s="16">
        <f>_xlfn.XLOOKUP(F122,FX!$A$12:$A$910,FX!$B$12:$B$910,"",-1)</f>
        <v>1.198</v>
      </c>
      <c r="H122" s="3">
        <f t="shared" si="5"/>
        <v>420702.07011686149</v>
      </c>
      <c r="I122" s="3">
        <f t="shared" si="5"/>
        <v>86739.657762938237</v>
      </c>
      <c r="J122" s="3">
        <f t="shared" si="6"/>
        <v>507441.72787979973</v>
      </c>
      <c r="L122" s="1" t="s">
        <v>84</v>
      </c>
      <c r="M122" s="3">
        <v>667361.75740000221</v>
      </c>
      <c r="N122" s="3">
        <v>3293029.3273999789</v>
      </c>
      <c r="O122" s="3">
        <v>1033195.9395000036</v>
      </c>
      <c r="P122" s="3"/>
      <c r="Q122" s="3">
        <v>4993587.0242999746</v>
      </c>
      <c r="S122" s="3">
        <f t="shared" si="7"/>
        <v>4833666.9947797824</v>
      </c>
    </row>
    <row r="123" spans="1:19" x14ac:dyDescent="0.25">
      <c r="A123" s="1" t="s">
        <v>85</v>
      </c>
      <c r="B123" s="3">
        <v>459138.79</v>
      </c>
      <c r="C123" s="3">
        <v>84350.78</v>
      </c>
      <c r="D123" s="3">
        <v>543489.56999999995</v>
      </c>
      <c r="F123" s="14">
        <f t="shared" si="8"/>
        <v>46371</v>
      </c>
      <c r="G123" s="16">
        <f>_xlfn.XLOOKUP(F123,FX!$A$12:$A$910,FX!$B$12:$B$910,"",-1)</f>
        <v>1.198</v>
      </c>
      <c r="H123" s="3">
        <f t="shared" si="5"/>
        <v>383254.41569282138</v>
      </c>
      <c r="I123" s="3">
        <f t="shared" si="5"/>
        <v>70409.666110183636</v>
      </c>
      <c r="J123" s="3">
        <f t="shared" si="6"/>
        <v>453664.08180300501</v>
      </c>
      <c r="L123" s="1" t="s">
        <v>85</v>
      </c>
      <c r="M123" s="3">
        <v>386130.48230000038</v>
      </c>
      <c r="N123" s="3">
        <v>3492645.4396999893</v>
      </c>
      <c r="O123" s="3">
        <v>569689.69040000089</v>
      </c>
      <c r="P123" s="3"/>
      <c r="Q123" s="3">
        <v>4448465.6123999963</v>
      </c>
      <c r="S123" s="3">
        <f t="shared" si="7"/>
        <v>4515999.2119029956</v>
      </c>
    </row>
    <row r="124" spans="1:19" x14ac:dyDescent="0.25">
      <c r="A124" s="1" t="s">
        <v>86</v>
      </c>
      <c r="B124" s="3">
        <v>889599.62</v>
      </c>
      <c r="C124" s="3">
        <v>148676.17000000001</v>
      </c>
      <c r="D124" s="3">
        <v>1038275.79</v>
      </c>
      <c r="F124" s="14">
        <f t="shared" si="8"/>
        <v>46378</v>
      </c>
      <c r="G124" s="16">
        <f>_xlfn.XLOOKUP(F124,FX!$A$12:$A$910,FX!$B$12:$B$910,"",-1)</f>
        <v>1.198</v>
      </c>
      <c r="H124" s="3">
        <f t="shared" ref="H124:I170" si="9">B124/$G124</f>
        <v>742570.63439065113</v>
      </c>
      <c r="I124" s="3">
        <f t="shared" si="9"/>
        <v>124103.64774624376</v>
      </c>
      <c r="J124" s="3">
        <f t="shared" si="6"/>
        <v>866674.28213689488</v>
      </c>
      <c r="L124" s="1" t="s">
        <v>86</v>
      </c>
      <c r="M124" s="3">
        <v>1125790.5033999982</v>
      </c>
      <c r="N124" s="3">
        <v>7418097.8671999974</v>
      </c>
      <c r="O124" s="3">
        <v>1678600.2059000048</v>
      </c>
      <c r="P124" s="3"/>
      <c r="Q124" s="3">
        <v>10222488.576499879</v>
      </c>
      <c r="S124" s="3">
        <f t="shared" si="7"/>
        <v>9963372.3552368972</v>
      </c>
    </row>
    <row r="125" spans="1:19" x14ac:dyDescent="0.25">
      <c r="A125" s="1" t="s">
        <v>87</v>
      </c>
      <c r="B125" s="3">
        <v>800780.31</v>
      </c>
      <c r="C125" s="3">
        <v>133769.75</v>
      </c>
      <c r="D125" s="3">
        <v>934550.06</v>
      </c>
      <c r="F125" s="14">
        <f t="shared" si="8"/>
        <v>46385</v>
      </c>
      <c r="G125" s="16">
        <f>_xlfn.XLOOKUP(F125,FX!$A$12:$A$910,FX!$B$12:$B$910,"",-1)</f>
        <v>1.198</v>
      </c>
      <c r="H125" s="3">
        <f t="shared" si="9"/>
        <v>668430.97662771295</v>
      </c>
      <c r="I125" s="3">
        <f t="shared" si="9"/>
        <v>111660.89315525877</v>
      </c>
      <c r="J125" s="3">
        <f t="shared" si="6"/>
        <v>780091.86978297168</v>
      </c>
      <c r="L125" s="1" t="s">
        <v>87</v>
      </c>
      <c r="M125" s="3">
        <v>894098.39349999896</v>
      </c>
      <c r="N125" s="3">
        <v>6027760.0365999872</v>
      </c>
      <c r="O125" s="3">
        <v>1148884.9475000026</v>
      </c>
      <c r="P125" s="3"/>
      <c r="Q125" s="3">
        <v>8070743.3775999788</v>
      </c>
      <c r="S125" s="3">
        <f t="shared" si="7"/>
        <v>7956736.8538829619</v>
      </c>
    </row>
    <row r="126" spans="1:19" x14ac:dyDescent="0.25">
      <c r="A126" s="1" t="s">
        <v>88</v>
      </c>
      <c r="B126" s="3">
        <v>565972.44999999995</v>
      </c>
      <c r="C126" s="3">
        <v>113351.44</v>
      </c>
      <c r="D126" s="3">
        <v>679323.89</v>
      </c>
      <c r="F126" s="14">
        <f t="shared" si="8"/>
        <v>46392</v>
      </c>
      <c r="G126" s="16">
        <f>_xlfn.XLOOKUP(F126,FX!$A$12:$A$910,FX!$B$12:$B$910,"",-1)</f>
        <v>1.198</v>
      </c>
      <c r="H126" s="3">
        <f t="shared" si="9"/>
        <v>472431.09348914854</v>
      </c>
      <c r="I126" s="3">
        <f t="shared" si="9"/>
        <v>94617.228714524215</v>
      </c>
      <c r="J126" s="3">
        <f t="shared" si="6"/>
        <v>567048.32220367272</v>
      </c>
      <c r="L126" s="1" t="s">
        <v>88</v>
      </c>
      <c r="M126" s="3">
        <v>747710.11179999937</v>
      </c>
      <c r="N126" s="3">
        <v>4742366.7940999959</v>
      </c>
      <c r="O126" s="3">
        <v>919992.23469999991</v>
      </c>
      <c r="P126" s="3"/>
      <c r="Q126" s="3">
        <v>6410069.1405999623</v>
      </c>
      <c r="S126" s="3">
        <f t="shared" si="7"/>
        <v>6229407.3510036683</v>
      </c>
    </row>
    <row r="127" spans="1:19" x14ac:dyDescent="0.25">
      <c r="A127" s="1" t="s">
        <v>89</v>
      </c>
      <c r="B127" s="3">
        <v>616228.22</v>
      </c>
      <c r="C127" s="3">
        <v>107656.35</v>
      </c>
      <c r="D127" s="3">
        <v>723884.57</v>
      </c>
      <c r="F127" s="14">
        <f t="shared" si="8"/>
        <v>46399</v>
      </c>
      <c r="G127" s="16">
        <f>_xlfn.XLOOKUP(F127,FX!$A$12:$A$910,FX!$B$12:$B$910,"",-1)</f>
        <v>1.198</v>
      </c>
      <c r="H127" s="3">
        <f t="shared" si="9"/>
        <v>514380.81803005008</v>
      </c>
      <c r="I127" s="3">
        <f t="shared" si="9"/>
        <v>89863.397328881474</v>
      </c>
      <c r="J127" s="3">
        <f t="shared" si="6"/>
        <v>604244.21535893157</v>
      </c>
      <c r="L127" s="1" t="s">
        <v>89</v>
      </c>
      <c r="M127" s="3">
        <v>858684.34409999987</v>
      </c>
      <c r="N127" s="3">
        <v>4836499.9709000019</v>
      </c>
      <c r="O127" s="3">
        <v>928506.20680000039</v>
      </c>
      <c r="P127" s="3"/>
      <c r="Q127" s="3">
        <v>6623690.52179999</v>
      </c>
      <c r="S127" s="3">
        <f t="shared" si="7"/>
        <v>6369250.3930589342</v>
      </c>
    </row>
    <row r="128" spans="1:19" x14ac:dyDescent="0.25">
      <c r="A128" s="1" t="s">
        <v>90</v>
      </c>
      <c r="B128" s="3">
        <v>900390.52</v>
      </c>
      <c r="C128" s="3">
        <v>138688.89000000001</v>
      </c>
      <c r="D128" s="3">
        <v>1039079.41</v>
      </c>
      <c r="F128" s="14">
        <f t="shared" si="8"/>
        <v>46406</v>
      </c>
      <c r="G128" s="16">
        <f>_xlfn.XLOOKUP(F128,FX!$A$12:$A$910,FX!$B$12:$B$910,"",-1)</f>
        <v>1.198</v>
      </c>
      <c r="H128" s="3">
        <f t="shared" si="9"/>
        <v>751578.06343906512</v>
      </c>
      <c r="I128" s="3">
        <f t="shared" si="9"/>
        <v>115767.020033389</v>
      </c>
      <c r="J128" s="3">
        <f t="shared" si="6"/>
        <v>867345.08347245411</v>
      </c>
      <c r="L128" s="1" t="s">
        <v>90</v>
      </c>
      <c r="M128" s="3">
        <v>1203459.3809000007</v>
      </c>
      <c r="N128" s="3">
        <v>7303638.7318999805</v>
      </c>
      <c r="O128" s="3">
        <v>1270264.7423000017</v>
      </c>
      <c r="P128" s="3"/>
      <c r="Q128" s="3">
        <v>9777362.8550998755</v>
      </c>
      <c r="S128" s="3">
        <f t="shared" si="7"/>
        <v>9441248.5576724354</v>
      </c>
    </row>
    <row r="129" spans="1:19" x14ac:dyDescent="0.25">
      <c r="A129" t="s">
        <v>91</v>
      </c>
      <c r="B129" s="3">
        <v>827079.09</v>
      </c>
      <c r="C129" s="3">
        <v>123710.08</v>
      </c>
      <c r="D129" s="3">
        <v>950789.17</v>
      </c>
      <c r="F129" s="14">
        <f t="shared" si="8"/>
        <v>46413</v>
      </c>
      <c r="G129" s="16">
        <f>_xlfn.XLOOKUP(F129,FX!$A$12:$A$910,FX!$B$12:$B$910,"",-1)</f>
        <v>1.198</v>
      </c>
      <c r="H129" s="3">
        <f t="shared" si="9"/>
        <v>690383.21368948242</v>
      </c>
      <c r="I129" s="3">
        <f t="shared" si="9"/>
        <v>103263.83973288815</v>
      </c>
      <c r="J129" s="3">
        <f t="shared" si="6"/>
        <v>793647.05342237058</v>
      </c>
      <c r="L129" t="s">
        <v>91</v>
      </c>
      <c r="M129" s="3">
        <v>1212613.5346999969</v>
      </c>
      <c r="N129" s="3">
        <v>6073361.4076999938</v>
      </c>
      <c r="O129" s="3">
        <v>1339527.0511999989</v>
      </c>
      <c r="P129" s="3"/>
      <c r="Q129" s="3">
        <v>8625501.9936000165</v>
      </c>
      <c r="S129" s="3">
        <f t="shared" si="7"/>
        <v>8206535.5123223634</v>
      </c>
    </row>
    <row r="130" spans="1:19" x14ac:dyDescent="0.25">
      <c r="A130" t="s">
        <v>92</v>
      </c>
      <c r="B130" s="3">
        <v>427994.16</v>
      </c>
      <c r="C130" s="3">
        <v>90783.57</v>
      </c>
      <c r="D130" s="3">
        <v>518777.73</v>
      </c>
      <c r="F130" s="14">
        <f t="shared" si="8"/>
        <v>46420</v>
      </c>
      <c r="G130" s="16">
        <f>_xlfn.XLOOKUP(F130,FX!$A$12:$A$910,FX!$B$12:$B$910,"",-1)</f>
        <v>1.198</v>
      </c>
      <c r="H130" s="3">
        <f t="shared" si="9"/>
        <v>357257.22871452419</v>
      </c>
      <c r="I130" s="3">
        <f t="shared" si="9"/>
        <v>75779.273789649422</v>
      </c>
      <c r="J130" s="3">
        <f t="shared" si="6"/>
        <v>433036.50250417361</v>
      </c>
      <c r="L130" t="s">
        <v>92</v>
      </c>
      <c r="M130" s="3">
        <v>499406.00059999956</v>
      </c>
      <c r="N130" s="3">
        <v>3140248.3222999992</v>
      </c>
      <c r="O130" s="3">
        <v>595736.96379999828</v>
      </c>
      <c r="P130" s="3"/>
      <c r="Q130" s="3">
        <v>4235391.2867000047</v>
      </c>
      <c r="S130" s="3">
        <f t="shared" si="7"/>
        <v>4169021.788604171</v>
      </c>
    </row>
    <row r="131" spans="1:19" x14ac:dyDescent="0.25">
      <c r="A131" t="s">
        <v>93</v>
      </c>
      <c r="B131" s="3">
        <v>349582.03</v>
      </c>
      <c r="C131" s="3">
        <v>94811.44</v>
      </c>
      <c r="D131" s="3">
        <v>444393.47</v>
      </c>
      <c r="F131" s="14">
        <f t="shared" si="8"/>
        <v>46427</v>
      </c>
      <c r="G131" s="16">
        <f>_xlfn.XLOOKUP(F131,FX!$A$12:$A$910,FX!$B$12:$B$910,"",-1)</f>
        <v>1.198</v>
      </c>
      <c r="H131" s="3">
        <f t="shared" si="9"/>
        <v>291804.69949916529</v>
      </c>
      <c r="I131" s="3">
        <f t="shared" si="9"/>
        <v>79141.435726210359</v>
      </c>
      <c r="J131" s="3">
        <f t="shared" si="6"/>
        <v>370946.13522537565</v>
      </c>
      <c r="L131" t="s">
        <v>93</v>
      </c>
      <c r="M131" s="3">
        <v>1082665.894699998</v>
      </c>
      <c r="N131" s="3">
        <v>3932626.4477999951</v>
      </c>
      <c r="O131" s="3">
        <v>751863.28160000045</v>
      </c>
      <c r="P131" s="3"/>
      <c r="Q131" s="3">
        <v>5767155.6240999531</v>
      </c>
      <c r="S131" s="3">
        <f t="shared" si="7"/>
        <v>5055435.8646253711</v>
      </c>
    </row>
    <row r="132" spans="1:19" x14ac:dyDescent="0.25">
      <c r="A132" t="s">
        <v>94</v>
      </c>
      <c r="B132" s="3">
        <v>412681.03</v>
      </c>
      <c r="C132" s="3">
        <v>69037.84</v>
      </c>
      <c r="D132" s="3">
        <v>481718.87</v>
      </c>
      <c r="F132" s="14">
        <f t="shared" si="8"/>
        <v>46434</v>
      </c>
      <c r="G132" s="16">
        <f>_xlfn.XLOOKUP(F132,FX!$A$12:$A$910,FX!$B$12:$B$910,"",-1)</f>
        <v>1.198</v>
      </c>
      <c r="H132" s="3">
        <f t="shared" si="9"/>
        <v>344474.9833055092</v>
      </c>
      <c r="I132" s="3">
        <f t="shared" si="9"/>
        <v>57627.579298831384</v>
      </c>
      <c r="J132" s="3">
        <f t="shared" si="6"/>
        <v>402102.56260434061</v>
      </c>
      <c r="L132" t="s">
        <v>94</v>
      </c>
      <c r="M132" s="3">
        <v>884879.46809999924</v>
      </c>
      <c r="N132" s="3">
        <v>3452547.9793000091</v>
      </c>
      <c r="O132" s="3">
        <v>662980.91779999994</v>
      </c>
      <c r="P132" s="3"/>
      <c r="Q132" s="3">
        <v>5000408.365199999</v>
      </c>
      <c r="S132" s="3">
        <f t="shared" si="7"/>
        <v>4517631.4597043497</v>
      </c>
    </row>
    <row r="133" spans="1:19" x14ac:dyDescent="0.25">
      <c r="A133" t="s">
        <v>95</v>
      </c>
      <c r="B133" s="3">
        <v>401027.34</v>
      </c>
      <c r="C133" s="3">
        <v>48415.87</v>
      </c>
      <c r="D133" s="3">
        <v>449443.21</v>
      </c>
      <c r="F133" s="14">
        <f t="shared" si="8"/>
        <v>46441</v>
      </c>
      <c r="G133" s="16">
        <f>_xlfn.XLOOKUP(F133,FX!$A$12:$A$910,FX!$B$12:$B$910,"",-1)</f>
        <v>1.198</v>
      </c>
      <c r="H133" s="3">
        <f t="shared" si="9"/>
        <v>334747.3622704508</v>
      </c>
      <c r="I133" s="3">
        <f t="shared" si="9"/>
        <v>40413.914858096832</v>
      </c>
      <c r="J133" s="3">
        <f t="shared" si="6"/>
        <v>375161.27712854766</v>
      </c>
      <c r="L133" t="s">
        <v>95</v>
      </c>
      <c r="M133" s="3">
        <v>587597.37149999978</v>
      </c>
      <c r="N133" s="3">
        <v>3877695.4717000048</v>
      </c>
      <c r="O133" s="3">
        <v>474097.00380000094</v>
      </c>
      <c r="P133" s="3"/>
      <c r="Q133" s="3">
        <v>4939389.8469999833</v>
      </c>
      <c r="S133" s="3">
        <f t="shared" si="7"/>
        <v>4726953.7526285537</v>
      </c>
    </row>
    <row r="134" spans="1:19" x14ac:dyDescent="0.25">
      <c r="A134" t="s">
        <v>96</v>
      </c>
      <c r="B134" s="3">
        <v>429972.14</v>
      </c>
      <c r="C134" s="3">
        <v>84268.55</v>
      </c>
      <c r="D134" s="3">
        <v>514240.69</v>
      </c>
      <c r="F134" s="14">
        <f t="shared" si="8"/>
        <v>46448</v>
      </c>
      <c r="G134" s="16">
        <f>_xlfn.XLOOKUP(F134,FX!$A$12:$A$910,FX!$B$12:$B$910,"",-1)</f>
        <v>1.198</v>
      </c>
      <c r="H134" s="3">
        <f t="shared" si="9"/>
        <v>358908.29716193659</v>
      </c>
      <c r="I134" s="3">
        <f t="shared" si="9"/>
        <v>70341.026711185317</v>
      </c>
      <c r="J134" s="3">
        <f t="shared" si="6"/>
        <v>429249.32387312187</v>
      </c>
      <c r="L134" t="s">
        <v>96</v>
      </c>
      <c r="M134" s="3">
        <v>559102.61889999884</v>
      </c>
      <c r="N134" s="3">
        <v>4122250.6138000046</v>
      </c>
      <c r="O134" s="3">
        <v>490917.03039999987</v>
      </c>
      <c r="P134" s="3"/>
      <c r="Q134" s="3">
        <v>5172270.2630999945</v>
      </c>
      <c r="S134" s="3">
        <f t="shared" si="7"/>
        <v>5042416.9680731259</v>
      </c>
    </row>
    <row r="135" spans="1:19" x14ac:dyDescent="0.25">
      <c r="A135" t="s">
        <v>97</v>
      </c>
      <c r="B135" s="3">
        <v>398142.68</v>
      </c>
      <c r="C135" s="3">
        <v>42606.07</v>
      </c>
      <c r="D135" s="3">
        <v>440748.75</v>
      </c>
      <c r="F135" s="14">
        <f t="shared" si="8"/>
        <v>46455</v>
      </c>
      <c r="G135" s="16">
        <f>_xlfn.XLOOKUP(F135,FX!$A$12:$A$910,FX!$B$12:$B$910,"",-1)</f>
        <v>1.198</v>
      </c>
      <c r="H135" s="3">
        <f t="shared" si="9"/>
        <v>332339.46577629383</v>
      </c>
      <c r="I135" s="3">
        <f t="shared" si="9"/>
        <v>35564.33222036728</v>
      </c>
      <c r="J135" s="3">
        <f t="shared" si="6"/>
        <v>367903.7979966611</v>
      </c>
      <c r="L135" t="s">
        <v>97</v>
      </c>
      <c r="M135" s="3">
        <v>469109.30790000025</v>
      </c>
      <c r="N135" s="3">
        <v>3296678.0424999991</v>
      </c>
      <c r="O135" s="3">
        <v>498930.15390000015</v>
      </c>
      <c r="P135" s="3"/>
      <c r="Q135" s="3">
        <v>4264717.5043000001</v>
      </c>
      <c r="S135" s="3">
        <f t="shared" si="7"/>
        <v>4163511.9943966605</v>
      </c>
    </row>
    <row r="136" spans="1:19" x14ac:dyDescent="0.25">
      <c r="A136" t="s">
        <v>98</v>
      </c>
      <c r="B136" s="3">
        <v>470172.31</v>
      </c>
      <c r="C136" s="3">
        <v>149412.99</v>
      </c>
      <c r="D136" s="3">
        <v>619585.30000000005</v>
      </c>
      <c r="F136" s="14">
        <f t="shared" si="8"/>
        <v>46462</v>
      </c>
      <c r="G136" s="16">
        <f>_xlfn.XLOOKUP(F136,FX!$A$12:$A$910,FX!$B$12:$B$910,"",-1)</f>
        <v>1.198</v>
      </c>
      <c r="H136" s="3">
        <f t="shared" si="9"/>
        <v>392464.36560934893</v>
      </c>
      <c r="I136" s="3">
        <f t="shared" si="9"/>
        <v>124718.68948247079</v>
      </c>
      <c r="J136" s="3">
        <f t="shared" si="6"/>
        <v>517183.05509181973</v>
      </c>
      <c r="L136" t="s">
        <v>98</v>
      </c>
      <c r="M136" s="3">
        <v>1560685.8064000071</v>
      </c>
      <c r="N136" s="3">
        <v>4050415.1564999907</v>
      </c>
      <c r="O136" s="3">
        <v>1305078.1565000005</v>
      </c>
      <c r="P136" s="3"/>
      <c r="Q136" s="3">
        <v>6916179.1193999406</v>
      </c>
      <c r="S136" s="3">
        <f t="shared" si="7"/>
        <v>5872676.3680918105</v>
      </c>
    </row>
    <row r="137" spans="1:19" x14ac:dyDescent="0.25">
      <c r="A137" t="s">
        <v>99</v>
      </c>
      <c r="B137" s="3">
        <v>442115.3</v>
      </c>
      <c r="C137" s="3">
        <v>52427.61</v>
      </c>
      <c r="D137" s="3">
        <v>494542.91</v>
      </c>
      <c r="F137" s="14">
        <f t="shared" si="8"/>
        <v>46469</v>
      </c>
      <c r="G137" s="16">
        <f>_xlfn.XLOOKUP(F137,FX!$A$12:$A$910,FX!$B$12:$B$910,"",-1)</f>
        <v>1.198</v>
      </c>
      <c r="H137" s="3">
        <f t="shared" si="9"/>
        <v>369044.49081803003</v>
      </c>
      <c r="I137" s="3">
        <f t="shared" si="9"/>
        <v>43762.612687813024</v>
      </c>
      <c r="J137" s="3">
        <f t="shared" ref="J137:J171" si="10">H137+I137</f>
        <v>412807.10350584303</v>
      </c>
      <c r="L137" t="s">
        <v>99</v>
      </c>
      <c r="M137" s="3">
        <v>557789.20299999975</v>
      </c>
      <c r="N137" s="3">
        <v>3202340.0216999953</v>
      </c>
      <c r="O137" s="3">
        <v>449673.67209999973</v>
      </c>
      <c r="P137" s="3"/>
      <c r="Q137" s="3">
        <v>4209802.8968000002</v>
      </c>
      <c r="S137" s="3">
        <f t="shared" ref="S137:S170" si="11">J137+N137+O137</f>
        <v>4064820.7973058377</v>
      </c>
    </row>
    <row r="138" spans="1:19" x14ac:dyDescent="0.25">
      <c r="A138" t="s">
        <v>100</v>
      </c>
      <c r="B138" s="3">
        <v>347418.53</v>
      </c>
      <c r="C138" s="3">
        <v>85915.35</v>
      </c>
      <c r="D138" s="3">
        <v>433333.88</v>
      </c>
      <c r="F138" s="14">
        <f t="shared" ref="F138:F189" si="12">F137+7</f>
        <v>46476</v>
      </c>
      <c r="G138" s="16">
        <f>_xlfn.XLOOKUP(F138,FX!$A$12:$A$910,FX!$B$12:$B$910,"",-1)</f>
        <v>1.198</v>
      </c>
      <c r="H138" s="3">
        <f t="shared" si="9"/>
        <v>289998.77295492491</v>
      </c>
      <c r="I138" s="3">
        <f t="shared" si="9"/>
        <v>71715.651085141915</v>
      </c>
      <c r="J138" s="3">
        <f t="shared" si="10"/>
        <v>361714.42404006684</v>
      </c>
      <c r="L138" t="s">
        <v>100</v>
      </c>
      <c r="M138" s="3">
        <v>612668.82780000137</v>
      </c>
      <c r="N138" s="3">
        <v>2786347.2227000003</v>
      </c>
      <c r="O138" s="3">
        <v>543045.34820000012</v>
      </c>
      <c r="P138" s="3"/>
      <c r="Q138" s="3">
        <v>3942061.3986999989</v>
      </c>
      <c r="S138" s="3">
        <f t="shared" si="11"/>
        <v>3691106.9949400676</v>
      </c>
    </row>
    <row r="139" spans="1:19" x14ac:dyDescent="0.25">
      <c r="A139" t="s">
        <v>101</v>
      </c>
      <c r="B139" s="3">
        <v>651353.28</v>
      </c>
      <c r="C139" s="3">
        <v>110582.84</v>
      </c>
      <c r="D139" s="3">
        <v>761936.12</v>
      </c>
      <c r="F139" s="14">
        <f t="shared" si="12"/>
        <v>46483</v>
      </c>
      <c r="G139" s="16">
        <f>_xlfn.XLOOKUP(F139,FX!$A$12:$A$910,FX!$B$12:$B$910,"",-1)</f>
        <v>1.198</v>
      </c>
      <c r="H139" s="3">
        <f t="shared" si="9"/>
        <v>543700.56761268782</v>
      </c>
      <c r="I139" s="3">
        <f t="shared" si="9"/>
        <v>92306.210350584312</v>
      </c>
      <c r="J139" s="3">
        <f t="shared" si="10"/>
        <v>636006.77796327218</v>
      </c>
      <c r="L139" t="s">
        <v>101</v>
      </c>
      <c r="M139" s="3">
        <v>725605.71769999934</v>
      </c>
      <c r="N139" s="3">
        <v>4800431.9459999902</v>
      </c>
      <c r="O139" s="3">
        <v>841683.87549999927</v>
      </c>
      <c r="P139" s="3"/>
      <c r="Q139" s="3">
        <v>6367721.5391999511</v>
      </c>
      <c r="S139" s="3">
        <f t="shared" si="11"/>
        <v>6278122.5994632617</v>
      </c>
    </row>
    <row r="140" spans="1:19" x14ac:dyDescent="0.25">
      <c r="A140" t="s">
        <v>102</v>
      </c>
      <c r="B140" s="3">
        <v>484268.15</v>
      </c>
      <c r="C140" s="3">
        <v>58060.44</v>
      </c>
      <c r="D140" s="3">
        <v>542328.59</v>
      </c>
      <c r="F140" s="14">
        <f t="shared" si="12"/>
        <v>46490</v>
      </c>
      <c r="G140" s="16">
        <f>_xlfn.XLOOKUP(F140,FX!$A$12:$A$910,FX!$B$12:$B$910,"",-1)</f>
        <v>1.198</v>
      </c>
      <c r="H140" s="3">
        <f t="shared" si="9"/>
        <v>404230.50918196997</v>
      </c>
      <c r="I140" s="3">
        <f t="shared" si="9"/>
        <v>48464.474123539236</v>
      </c>
      <c r="J140" s="3">
        <f t="shared" si="10"/>
        <v>452694.9833055092</v>
      </c>
      <c r="L140" t="s">
        <v>102</v>
      </c>
      <c r="M140" s="3">
        <v>645783.41860000021</v>
      </c>
      <c r="N140" s="3">
        <v>3659504.6519999774</v>
      </c>
      <c r="O140" s="3">
        <v>653267.14660000114</v>
      </c>
      <c r="P140" s="3"/>
      <c r="Q140" s="3">
        <v>4958555.2171999756</v>
      </c>
      <c r="S140" s="3">
        <f t="shared" si="11"/>
        <v>4765466.7819054881</v>
      </c>
    </row>
    <row r="141" spans="1:19" x14ac:dyDescent="0.25">
      <c r="A141" t="s">
        <v>103</v>
      </c>
      <c r="B141" s="3">
        <v>384773.54</v>
      </c>
      <c r="C141" s="3">
        <v>64512.36</v>
      </c>
      <c r="D141" s="3">
        <v>449285.9</v>
      </c>
      <c r="F141" s="14">
        <f t="shared" si="12"/>
        <v>46497</v>
      </c>
      <c r="G141" s="16">
        <f>_xlfn.XLOOKUP(F141,FX!$A$12:$A$910,FX!$B$12:$B$910,"",-1)</f>
        <v>1.198</v>
      </c>
      <c r="H141" s="3">
        <f t="shared" si="9"/>
        <v>321179.91652754589</v>
      </c>
      <c r="I141" s="3">
        <f t="shared" si="9"/>
        <v>53850.050083472459</v>
      </c>
      <c r="J141" s="3">
        <f t="shared" si="10"/>
        <v>375029.96661101835</v>
      </c>
      <c r="L141" t="s">
        <v>103</v>
      </c>
      <c r="M141" s="3">
        <v>619981.6721000009</v>
      </c>
      <c r="N141" s="3">
        <v>2786846.6117999847</v>
      </c>
      <c r="O141" s="3">
        <v>535128.3190999988</v>
      </c>
      <c r="P141" s="3"/>
      <c r="Q141" s="3">
        <v>3941956.6029999917</v>
      </c>
      <c r="S141" s="3">
        <f t="shared" si="11"/>
        <v>3697004.8975110017</v>
      </c>
    </row>
    <row r="142" spans="1:19" x14ac:dyDescent="0.25">
      <c r="A142" t="s">
        <v>104</v>
      </c>
      <c r="B142" s="3">
        <v>795667.16</v>
      </c>
      <c r="C142" s="3">
        <v>168746.21</v>
      </c>
      <c r="D142" s="3">
        <v>964413.37</v>
      </c>
      <c r="F142" s="14">
        <f t="shared" si="12"/>
        <v>46504</v>
      </c>
      <c r="G142" s="16">
        <f>_xlfn.XLOOKUP(F142,FX!$A$12:$A$910,FX!$B$12:$B$910,"",-1)</f>
        <v>1.198</v>
      </c>
      <c r="H142" s="3">
        <f t="shared" si="9"/>
        <v>664162.90484140243</v>
      </c>
      <c r="I142" s="3">
        <f t="shared" si="9"/>
        <v>140856.60267111854</v>
      </c>
      <c r="J142" s="3">
        <f t="shared" si="10"/>
        <v>805019.507512521</v>
      </c>
      <c r="L142" t="s">
        <v>104</v>
      </c>
      <c r="M142" s="3">
        <v>1600595.5227000087</v>
      </c>
      <c r="N142" s="3">
        <v>5618972.2146999622</v>
      </c>
      <c r="O142" s="3">
        <v>1254428.6563000039</v>
      </c>
      <c r="P142" s="3"/>
      <c r="Q142" s="3">
        <v>8473996.3936999273</v>
      </c>
      <c r="S142" s="3">
        <f t="shared" si="11"/>
        <v>7678420.3785124868</v>
      </c>
    </row>
    <row r="143" spans="1:19" x14ac:dyDescent="0.25">
      <c r="A143" t="s">
        <v>105</v>
      </c>
      <c r="B143" s="3">
        <v>402192.06</v>
      </c>
      <c r="C143" s="3">
        <v>51924.17</v>
      </c>
      <c r="D143" s="3">
        <v>454116.23</v>
      </c>
      <c r="F143" s="14">
        <f t="shared" si="12"/>
        <v>46511</v>
      </c>
      <c r="G143" s="16">
        <f>_xlfn.XLOOKUP(F143,FX!$A$12:$A$910,FX!$B$12:$B$910,"",-1)</f>
        <v>1.198</v>
      </c>
      <c r="H143" s="3">
        <f t="shared" si="9"/>
        <v>335719.58263772959</v>
      </c>
      <c r="I143" s="3">
        <f t="shared" si="9"/>
        <v>43342.37896494157</v>
      </c>
      <c r="J143" s="3">
        <f t="shared" si="10"/>
        <v>379061.96160267119</v>
      </c>
      <c r="L143" t="s">
        <v>105</v>
      </c>
      <c r="M143" s="3">
        <v>706288.64660000033</v>
      </c>
      <c r="N143" s="3">
        <v>2813057.137299994</v>
      </c>
      <c r="O143" s="3">
        <v>443004.78239999962</v>
      </c>
      <c r="P143" s="3"/>
      <c r="Q143" s="3">
        <v>3962350.5662999963</v>
      </c>
      <c r="S143" s="3">
        <f t="shared" si="11"/>
        <v>3635123.8813026645</v>
      </c>
    </row>
    <row r="144" spans="1:19" x14ac:dyDescent="0.25">
      <c r="A144" t="s">
        <v>106</v>
      </c>
      <c r="B144" s="3">
        <v>527386.07999999996</v>
      </c>
      <c r="C144" s="3">
        <v>83792.539999999994</v>
      </c>
      <c r="D144" s="3">
        <v>611178.62</v>
      </c>
      <c r="F144" s="14">
        <f t="shared" si="12"/>
        <v>46518</v>
      </c>
      <c r="G144" s="16">
        <f>_xlfn.XLOOKUP(F144,FX!$A$12:$A$910,FX!$B$12:$B$910,"",-1)</f>
        <v>1.198</v>
      </c>
      <c r="H144" s="3">
        <f t="shared" si="9"/>
        <v>440222.10350584303</v>
      </c>
      <c r="I144" s="3">
        <f t="shared" si="9"/>
        <v>69943.689482470785</v>
      </c>
      <c r="J144" s="3">
        <f t="shared" si="10"/>
        <v>510165.79298831383</v>
      </c>
      <c r="L144" t="s">
        <v>106</v>
      </c>
      <c r="M144" s="3">
        <v>449136.59789999941</v>
      </c>
      <c r="N144" s="3">
        <v>4160312.0871999939</v>
      </c>
      <c r="O144" s="3">
        <v>662654.46410000068</v>
      </c>
      <c r="P144" s="3"/>
      <c r="Q144" s="3">
        <v>5272103.1491999719</v>
      </c>
      <c r="S144" s="3">
        <f t="shared" si="11"/>
        <v>5333132.3442883082</v>
      </c>
    </row>
    <row r="145" spans="1:19" x14ac:dyDescent="0.25">
      <c r="A145" t="s">
        <v>107</v>
      </c>
      <c r="B145" s="3">
        <v>713132.71</v>
      </c>
      <c r="C145" s="3">
        <v>141836.6</v>
      </c>
      <c r="D145" s="3">
        <v>854969.31</v>
      </c>
      <c r="F145" s="14">
        <f t="shared" si="12"/>
        <v>46525</v>
      </c>
      <c r="G145" s="16">
        <f>_xlfn.XLOOKUP(F145,FX!$A$12:$A$910,FX!$B$12:$B$910,"",-1)</f>
        <v>1.198</v>
      </c>
      <c r="H145" s="3">
        <f t="shared" si="9"/>
        <v>595269.37395659427</v>
      </c>
      <c r="I145" s="3">
        <f t="shared" si="9"/>
        <v>118394.49081803006</v>
      </c>
      <c r="J145" s="3">
        <f t="shared" si="10"/>
        <v>713663.86477462435</v>
      </c>
      <c r="L145" t="s">
        <v>107</v>
      </c>
      <c r="M145" s="3">
        <v>1145364.3841999972</v>
      </c>
      <c r="N145" s="3">
        <v>6689388.2079999922</v>
      </c>
      <c r="O145" s="3">
        <v>1282174.9780999995</v>
      </c>
      <c r="P145" s="3"/>
      <c r="Q145" s="3">
        <v>9116927.5703000147</v>
      </c>
      <c r="S145" s="3">
        <f t="shared" si="11"/>
        <v>8685227.050874617</v>
      </c>
    </row>
    <row r="146" spans="1:19" x14ac:dyDescent="0.25">
      <c r="A146" t="s">
        <v>108</v>
      </c>
      <c r="B146" s="3">
        <v>708859.2</v>
      </c>
      <c r="C146" s="3">
        <v>97060.67</v>
      </c>
      <c r="D146" s="3">
        <v>805919.87</v>
      </c>
      <c r="F146" s="14">
        <f t="shared" si="12"/>
        <v>46532</v>
      </c>
      <c r="G146" s="16">
        <f>_xlfn.XLOOKUP(F146,FX!$A$12:$A$910,FX!$B$12:$B$910,"",-1)</f>
        <v>1.198</v>
      </c>
      <c r="H146" s="3">
        <f t="shared" si="9"/>
        <v>591702.17028380628</v>
      </c>
      <c r="I146" s="3">
        <f t="shared" si="9"/>
        <v>81018.923205342246</v>
      </c>
      <c r="J146" s="3">
        <f t="shared" si="10"/>
        <v>672721.09348914854</v>
      </c>
      <c r="L146" t="s">
        <v>108</v>
      </c>
      <c r="M146" s="3">
        <v>896738.51849999954</v>
      </c>
      <c r="N146" s="3">
        <v>5413472.1937000025</v>
      </c>
      <c r="O146" s="3">
        <v>886214.76940000139</v>
      </c>
      <c r="P146" s="3"/>
      <c r="Q146" s="3">
        <v>7196425.481599994</v>
      </c>
      <c r="S146" s="3">
        <f t="shared" si="11"/>
        <v>6972408.0565891527</v>
      </c>
    </row>
    <row r="147" spans="1:19" x14ac:dyDescent="0.25">
      <c r="A147" t="s">
        <v>109</v>
      </c>
      <c r="B147" s="3">
        <v>912797.49</v>
      </c>
      <c r="C147" s="3">
        <v>160695.49</v>
      </c>
      <c r="D147" s="3">
        <v>1073492.98</v>
      </c>
      <c r="F147" s="14">
        <f t="shared" si="12"/>
        <v>46539</v>
      </c>
      <c r="G147" s="16">
        <f>_xlfn.XLOOKUP(F147,FX!$A$12:$A$910,FX!$B$12:$B$910,"",-1)</f>
        <v>1.198</v>
      </c>
      <c r="H147" s="3">
        <f t="shared" si="9"/>
        <v>761934.46577629389</v>
      </c>
      <c r="I147" s="3">
        <f t="shared" si="9"/>
        <v>134136.46911519198</v>
      </c>
      <c r="J147" s="3">
        <f t="shared" si="10"/>
        <v>896070.93489148584</v>
      </c>
      <c r="L147" t="s">
        <v>109</v>
      </c>
      <c r="M147" s="3">
        <v>932129.56290000037</v>
      </c>
      <c r="N147" s="3">
        <v>6271384.3671999825</v>
      </c>
      <c r="O147" s="3">
        <v>1054865.3451000024</v>
      </c>
      <c r="P147" s="3"/>
      <c r="Q147" s="3">
        <v>8258379.2751999702</v>
      </c>
      <c r="S147" s="3">
        <f t="shared" si="11"/>
        <v>8222320.6471914705</v>
      </c>
    </row>
    <row r="148" spans="1:19" x14ac:dyDescent="0.25">
      <c r="A148" t="s">
        <v>110</v>
      </c>
      <c r="B148" s="3">
        <v>709834.59</v>
      </c>
      <c r="C148" s="3">
        <v>139761.70000000001</v>
      </c>
      <c r="D148" s="3">
        <v>849596.29</v>
      </c>
      <c r="F148" s="14">
        <f t="shared" si="12"/>
        <v>46546</v>
      </c>
      <c r="G148" s="16">
        <f>_xlfn.XLOOKUP(F148,FX!$A$12:$A$910,FX!$B$12:$B$910,"",-1)</f>
        <v>1.198</v>
      </c>
      <c r="H148" s="3">
        <f t="shared" si="9"/>
        <v>592516.35225375625</v>
      </c>
      <c r="I148" s="3">
        <f t="shared" si="9"/>
        <v>116662.52086811354</v>
      </c>
      <c r="J148" s="3">
        <f t="shared" si="10"/>
        <v>709178.87312186975</v>
      </c>
      <c r="L148" t="s">
        <v>110</v>
      </c>
      <c r="M148" s="3">
        <v>1025312.1705999988</v>
      </c>
      <c r="N148" s="3">
        <v>6777189.3236999623</v>
      </c>
      <c r="O148" s="3">
        <v>1277751.8358000058</v>
      </c>
      <c r="P148" s="3"/>
      <c r="Q148" s="3">
        <v>9080253.3300999086</v>
      </c>
      <c r="S148" s="3">
        <f t="shared" si="11"/>
        <v>8764120.0326218382</v>
      </c>
    </row>
    <row r="149" spans="1:19" x14ac:dyDescent="0.25">
      <c r="A149" t="s">
        <v>111</v>
      </c>
      <c r="B149" s="3">
        <v>726813.37</v>
      </c>
      <c r="C149" s="3">
        <v>140442.06</v>
      </c>
      <c r="D149" s="3">
        <v>867255.43</v>
      </c>
      <c r="F149" s="14">
        <f t="shared" si="12"/>
        <v>46553</v>
      </c>
      <c r="G149" s="16">
        <f>_xlfn.XLOOKUP(F149,FX!$A$12:$A$910,FX!$B$12:$B$910,"",-1)</f>
        <v>1.198</v>
      </c>
      <c r="H149" s="3">
        <f t="shared" si="9"/>
        <v>606688.95659432386</v>
      </c>
      <c r="I149" s="3">
        <f t="shared" si="9"/>
        <v>117230.43405676127</v>
      </c>
      <c r="J149" s="3">
        <f t="shared" si="10"/>
        <v>723919.39065108518</v>
      </c>
      <c r="L149" t="s">
        <v>111</v>
      </c>
      <c r="M149" s="3">
        <v>834777.35750000062</v>
      </c>
      <c r="N149" s="3">
        <v>7372805.3019000012</v>
      </c>
      <c r="O149" s="3">
        <v>1111181.6849999984</v>
      </c>
      <c r="P149" s="3"/>
      <c r="Q149" s="3">
        <v>9318764.3444000334</v>
      </c>
      <c r="S149" s="3">
        <f t="shared" si="11"/>
        <v>9207906.3775510844</v>
      </c>
    </row>
    <row r="150" spans="1:19" x14ac:dyDescent="0.25">
      <c r="A150" t="s">
        <v>112</v>
      </c>
      <c r="B150" s="3">
        <v>781147.73</v>
      </c>
      <c r="C150" s="3">
        <v>149363.66</v>
      </c>
      <c r="D150" s="3">
        <v>930511.39</v>
      </c>
      <c r="F150" s="14">
        <f t="shared" si="12"/>
        <v>46560</v>
      </c>
      <c r="G150" s="16">
        <f>_xlfn.XLOOKUP(F150,FX!$A$12:$A$910,FX!$B$12:$B$910,"",-1)</f>
        <v>1.198</v>
      </c>
      <c r="H150" s="3">
        <f t="shared" si="9"/>
        <v>652043.18030050083</v>
      </c>
      <c r="I150" s="3">
        <f t="shared" si="9"/>
        <v>124677.51252086813</v>
      </c>
      <c r="J150" s="3">
        <f t="shared" si="10"/>
        <v>776720.69282136892</v>
      </c>
      <c r="L150" t="s">
        <v>112</v>
      </c>
      <c r="M150" s="3">
        <v>1357184.5668000013</v>
      </c>
      <c r="N150" s="3">
        <v>8581746.6442000028</v>
      </c>
      <c r="O150" s="3">
        <v>1584192.5867000003</v>
      </c>
      <c r="P150" s="3"/>
      <c r="Q150" s="3">
        <v>11523123.797700023</v>
      </c>
      <c r="S150" s="3">
        <f t="shared" si="11"/>
        <v>10942659.923721371</v>
      </c>
    </row>
    <row r="151" spans="1:19" x14ac:dyDescent="0.25">
      <c r="A151" t="s">
        <v>179</v>
      </c>
      <c r="B151" s="3">
        <v>0</v>
      </c>
      <c r="C151" s="3">
        <v>0</v>
      </c>
      <c r="D151" s="3">
        <v>0</v>
      </c>
      <c r="F151" s="14"/>
      <c r="G151" s="16">
        <f>_xlfn.XLOOKUP(F151,FX!$A$12:$A$910,FX!$B$12:$B$910,"",-1)</f>
        <v>1.198</v>
      </c>
      <c r="H151" s="3">
        <f t="shared" si="9"/>
        <v>0</v>
      </c>
      <c r="I151" s="3">
        <f t="shared" si="9"/>
        <v>0</v>
      </c>
      <c r="J151" s="3">
        <f t="shared" si="10"/>
        <v>0</v>
      </c>
      <c r="L151" t="s">
        <v>179</v>
      </c>
      <c r="M151" s="3">
        <v>0</v>
      </c>
      <c r="N151" s="3">
        <v>0</v>
      </c>
      <c r="O151" s="3">
        <v>0</v>
      </c>
      <c r="P151" s="3"/>
      <c r="Q151" s="3">
        <v>0</v>
      </c>
      <c r="S151" s="3">
        <f t="shared" si="11"/>
        <v>0</v>
      </c>
    </row>
    <row r="152" spans="1:19" x14ac:dyDescent="0.25">
      <c r="A152" t="s">
        <v>180</v>
      </c>
      <c r="B152" s="3">
        <v>0</v>
      </c>
      <c r="C152" s="3">
        <v>0</v>
      </c>
      <c r="D152" s="3">
        <v>0</v>
      </c>
      <c r="F152" s="14"/>
      <c r="G152" s="16">
        <f>_xlfn.XLOOKUP(F152,FX!$A$12:$A$910,FX!$B$12:$B$910,"",-1)</f>
        <v>1.198</v>
      </c>
      <c r="H152" s="3">
        <f t="shared" si="9"/>
        <v>0</v>
      </c>
      <c r="I152" s="3">
        <f t="shared" si="9"/>
        <v>0</v>
      </c>
      <c r="J152" s="3">
        <f t="shared" si="10"/>
        <v>0</v>
      </c>
      <c r="L152" t="s">
        <v>180</v>
      </c>
      <c r="M152" s="3">
        <v>0</v>
      </c>
      <c r="N152" s="3">
        <v>0</v>
      </c>
      <c r="O152" s="3">
        <v>0</v>
      </c>
      <c r="P152" s="3"/>
      <c r="Q152" s="3">
        <v>0</v>
      </c>
      <c r="S152" s="3">
        <f t="shared" si="11"/>
        <v>0</v>
      </c>
    </row>
    <row r="153" spans="1:19" x14ac:dyDescent="0.25">
      <c r="A153" t="s">
        <v>181</v>
      </c>
      <c r="B153" s="3">
        <v>0</v>
      </c>
      <c r="C153" s="3">
        <v>0</v>
      </c>
      <c r="D153" s="3">
        <v>0</v>
      </c>
      <c r="F153" s="14"/>
      <c r="G153" s="16">
        <f>_xlfn.XLOOKUP(F153,FX!$A$12:$A$910,FX!$B$12:$B$910,"",-1)</f>
        <v>1.198</v>
      </c>
      <c r="H153" s="3">
        <f t="shared" si="9"/>
        <v>0</v>
      </c>
      <c r="I153" s="3">
        <f t="shared" si="9"/>
        <v>0</v>
      </c>
      <c r="J153" s="3">
        <f t="shared" si="10"/>
        <v>0</v>
      </c>
      <c r="L153" t="s">
        <v>181</v>
      </c>
      <c r="M153" s="3">
        <v>0</v>
      </c>
      <c r="N153" s="3">
        <v>0</v>
      </c>
      <c r="O153" s="3">
        <v>0</v>
      </c>
      <c r="P153" s="3"/>
      <c r="Q153" s="3">
        <v>0</v>
      </c>
      <c r="S153" s="3">
        <f t="shared" si="11"/>
        <v>0</v>
      </c>
    </row>
    <row r="154" spans="1:19" x14ac:dyDescent="0.25">
      <c r="A154" t="s">
        <v>182</v>
      </c>
      <c r="B154" s="3">
        <v>0</v>
      </c>
      <c r="C154" s="3">
        <v>0</v>
      </c>
      <c r="D154" s="3">
        <v>0</v>
      </c>
      <c r="F154" s="14"/>
      <c r="G154" s="16">
        <f>_xlfn.XLOOKUP(F154,FX!$A$12:$A$910,FX!$B$12:$B$910,"",-1)</f>
        <v>1.198</v>
      </c>
      <c r="H154" s="3">
        <f t="shared" si="9"/>
        <v>0</v>
      </c>
      <c r="I154" s="3">
        <f t="shared" si="9"/>
        <v>0</v>
      </c>
      <c r="J154" s="3">
        <f t="shared" si="10"/>
        <v>0</v>
      </c>
      <c r="L154" t="s">
        <v>182</v>
      </c>
      <c r="M154" s="3">
        <v>0</v>
      </c>
      <c r="N154" s="3">
        <v>0</v>
      </c>
      <c r="O154" s="3">
        <v>0</v>
      </c>
      <c r="P154" s="3"/>
      <c r="Q154" s="3">
        <v>0</v>
      </c>
      <c r="S154" s="3">
        <f t="shared" si="11"/>
        <v>0</v>
      </c>
    </row>
    <row r="155" spans="1:19" x14ac:dyDescent="0.25">
      <c r="A155" t="s">
        <v>183</v>
      </c>
      <c r="B155" s="3">
        <v>0</v>
      </c>
      <c r="C155" s="3">
        <v>0</v>
      </c>
      <c r="D155" s="3">
        <v>0</v>
      </c>
      <c r="F155" s="14"/>
      <c r="G155" s="16">
        <f>_xlfn.XLOOKUP(F155,FX!$A$12:$A$910,FX!$B$12:$B$910,"",-1)</f>
        <v>1.198</v>
      </c>
      <c r="H155" s="3">
        <f t="shared" si="9"/>
        <v>0</v>
      </c>
      <c r="I155" s="3">
        <f t="shared" si="9"/>
        <v>0</v>
      </c>
      <c r="J155" s="3">
        <f t="shared" si="10"/>
        <v>0</v>
      </c>
      <c r="L155" t="s">
        <v>183</v>
      </c>
      <c r="M155" s="3">
        <v>0</v>
      </c>
      <c r="N155" s="3">
        <v>0</v>
      </c>
      <c r="O155" s="3">
        <v>0</v>
      </c>
      <c r="P155" s="3"/>
      <c r="Q155" s="3">
        <v>0</v>
      </c>
      <c r="S155" s="3">
        <f t="shared" si="11"/>
        <v>0</v>
      </c>
    </row>
    <row r="156" spans="1:19" x14ac:dyDescent="0.25">
      <c r="A156" t="s">
        <v>184</v>
      </c>
      <c r="B156" s="3">
        <v>0</v>
      </c>
      <c r="C156" s="3">
        <v>0</v>
      </c>
      <c r="D156" s="3">
        <v>0</v>
      </c>
      <c r="F156" s="14"/>
      <c r="G156" s="16">
        <f>_xlfn.XLOOKUP(F156,FX!$A$12:$A$910,FX!$B$12:$B$910,"",-1)</f>
        <v>1.198</v>
      </c>
      <c r="H156" s="3">
        <f t="shared" si="9"/>
        <v>0</v>
      </c>
      <c r="I156" s="3">
        <f t="shared" si="9"/>
        <v>0</v>
      </c>
      <c r="J156" s="3">
        <f t="shared" si="10"/>
        <v>0</v>
      </c>
      <c r="L156" t="s">
        <v>184</v>
      </c>
      <c r="M156" s="3">
        <v>0</v>
      </c>
      <c r="N156" s="3">
        <v>0</v>
      </c>
      <c r="O156" s="3">
        <v>0</v>
      </c>
      <c r="P156" s="3"/>
      <c r="Q156" s="3">
        <v>0</v>
      </c>
      <c r="S156" s="3">
        <f t="shared" si="11"/>
        <v>0</v>
      </c>
    </row>
    <row r="157" spans="1:19" x14ac:dyDescent="0.25">
      <c r="A157" t="s">
        <v>185</v>
      </c>
      <c r="B157" s="3">
        <v>0</v>
      </c>
      <c r="C157" s="3">
        <v>0</v>
      </c>
      <c r="D157" s="3">
        <v>0</v>
      </c>
      <c r="F157" s="14"/>
      <c r="G157" s="16">
        <f>_xlfn.XLOOKUP(F157,FX!$A$12:$A$910,FX!$B$12:$B$910,"",-1)</f>
        <v>1.198</v>
      </c>
      <c r="H157" s="3">
        <f t="shared" si="9"/>
        <v>0</v>
      </c>
      <c r="I157" s="3">
        <f t="shared" si="9"/>
        <v>0</v>
      </c>
      <c r="J157" s="3">
        <f t="shared" si="10"/>
        <v>0</v>
      </c>
      <c r="L157" t="s">
        <v>185</v>
      </c>
      <c r="M157" s="3">
        <v>0</v>
      </c>
      <c r="N157" s="3">
        <v>0</v>
      </c>
      <c r="O157" s="3">
        <v>0</v>
      </c>
      <c r="P157" s="3"/>
      <c r="Q157" s="3">
        <v>0</v>
      </c>
      <c r="S157" s="3">
        <f t="shared" si="11"/>
        <v>0</v>
      </c>
    </row>
    <row r="158" spans="1:19" x14ac:dyDescent="0.25">
      <c r="A158" t="s">
        <v>186</v>
      </c>
      <c r="B158" s="3">
        <v>0</v>
      </c>
      <c r="C158" s="3">
        <v>0</v>
      </c>
      <c r="D158" s="3">
        <v>0</v>
      </c>
      <c r="F158" s="14"/>
      <c r="G158" s="16">
        <f>_xlfn.XLOOKUP(F158,FX!$A$12:$A$910,FX!$B$12:$B$910,"",-1)</f>
        <v>1.198</v>
      </c>
      <c r="H158" s="3">
        <f t="shared" si="9"/>
        <v>0</v>
      </c>
      <c r="I158" s="3">
        <f t="shared" si="9"/>
        <v>0</v>
      </c>
      <c r="J158" s="3">
        <f t="shared" si="10"/>
        <v>0</v>
      </c>
      <c r="L158" t="s">
        <v>186</v>
      </c>
      <c r="M158" s="3">
        <v>0</v>
      </c>
      <c r="N158" s="3">
        <v>0</v>
      </c>
      <c r="O158" s="3">
        <v>0</v>
      </c>
      <c r="P158" s="3"/>
      <c r="Q158" s="3">
        <v>0</v>
      </c>
      <c r="S158" s="3">
        <f t="shared" si="11"/>
        <v>0</v>
      </c>
    </row>
    <row r="159" spans="1:19" x14ac:dyDescent="0.25">
      <c r="A159" t="s">
        <v>187</v>
      </c>
      <c r="B159" s="3">
        <v>0</v>
      </c>
      <c r="C159" s="3">
        <v>0</v>
      </c>
      <c r="D159" s="3">
        <v>0</v>
      </c>
      <c r="F159" s="14"/>
      <c r="G159" s="16">
        <f>_xlfn.XLOOKUP(F159,FX!$A$12:$A$910,FX!$B$12:$B$910,"",-1)</f>
        <v>1.198</v>
      </c>
      <c r="H159" s="3">
        <f t="shared" si="9"/>
        <v>0</v>
      </c>
      <c r="I159" s="3">
        <f t="shared" si="9"/>
        <v>0</v>
      </c>
      <c r="J159" s="3">
        <f t="shared" si="10"/>
        <v>0</v>
      </c>
      <c r="L159" t="s">
        <v>187</v>
      </c>
      <c r="M159" s="3">
        <v>0</v>
      </c>
      <c r="N159" s="3">
        <v>0</v>
      </c>
      <c r="O159" s="3">
        <v>0</v>
      </c>
      <c r="P159" s="3"/>
      <c r="Q159" s="3">
        <v>0</v>
      </c>
      <c r="S159" s="3">
        <f t="shared" si="11"/>
        <v>0</v>
      </c>
    </row>
    <row r="160" spans="1:19" x14ac:dyDescent="0.25">
      <c r="A160" t="s">
        <v>188</v>
      </c>
      <c r="B160" s="3">
        <v>0</v>
      </c>
      <c r="C160" s="3">
        <v>0</v>
      </c>
      <c r="D160" s="3">
        <v>0</v>
      </c>
      <c r="F160" s="14"/>
      <c r="G160" s="16">
        <f>_xlfn.XLOOKUP(F160,FX!$A$12:$A$910,FX!$B$12:$B$910,"",-1)</f>
        <v>1.198</v>
      </c>
      <c r="H160" s="3">
        <f t="shared" si="9"/>
        <v>0</v>
      </c>
      <c r="I160" s="3">
        <f t="shared" si="9"/>
        <v>0</v>
      </c>
      <c r="J160" s="3">
        <f t="shared" si="10"/>
        <v>0</v>
      </c>
      <c r="L160" t="s">
        <v>188</v>
      </c>
      <c r="M160" s="3">
        <v>0</v>
      </c>
      <c r="N160" s="3">
        <v>0</v>
      </c>
      <c r="O160" s="3">
        <v>0</v>
      </c>
      <c r="P160" s="3"/>
      <c r="Q160" s="3">
        <v>0</v>
      </c>
      <c r="S160" s="3">
        <f t="shared" si="11"/>
        <v>0</v>
      </c>
    </row>
    <row r="161" spans="1:19" x14ac:dyDescent="0.25">
      <c r="A161" t="s">
        <v>189</v>
      </c>
      <c r="B161" s="3">
        <v>0</v>
      </c>
      <c r="C161" s="3">
        <v>0</v>
      </c>
      <c r="D161" s="3">
        <v>0</v>
      </c>
      <c r="F161" s="14"/>
      <c r="G161" s="16">
        <f>_xlfn.XLOOKUP(F161,FX!$A$12:$A$910,FX!$B$12:$B$910,"",-1)</f>
        <v>1.198</v>
      </c>
      <c r="H161" s="3">
        <f t="shared" si="9"/>
        <v>0</v>
      </c>
      <c r="I161" s="3">
        <f t="shared" si="9"/>
        <v>0</v>
      </c>
      <c r="J161" s="3">
        <f t="shared" si="10"/>
        <v>0</v>
      </c>
      <c r="L161" t="s">
        <v>189</v>
      </c>
      <c r="M161" s="3">
        <v>0</v>
      </c>
      <c r="N161" s="3">
        <v>0</v>
      </c>
      <c r="O161" s="3">
        <v>0</v>
      </c>
      <c r="P161" s="3"/>
      <c r="Q161" s="3">
        <v>0</v>
      </c>
      <c r="S161" s="3">
        <f t="shared" si="11"/>
        <v>0</v>
      </c>
    </row>
    <row r="162" spans="1:19" x14ac:dyDescent="0.25">
      <c r="A162" t="s">
        <v>190</v>
      </c>
      <c r="B162" s="3">
        <v>0</v>
      </c>
      <c r="C162" s="3">
        <v>0</v>
      </c>
      <c r="D162" s="3">
        <v>0</v>
      </c>
      <c r="F162" s="14"/>
      <c r="G162" s="16">
        <f>_xlfn.XLOOKUP(F162,FX!$A$12:$A$910,FX!$B$12:$B$910,"",-1)</f>
        <v>1.198</v>
      </c>
      <c r="H162" s="3">
        <f t="shared" si="9"/>
        <v>0</v>
      </c>
      <c r="I162" s="3">
        <f t="shared" si="9"/>
        <v>0</v>
      </c>
      <c r="J162" s="3">
        <f t="shared" si="10"/>
        <v>0</v>
      </c>
      <c r="L162" t="s">
        <v>190</v>
      </c>
      <c r="M162" s="3">
        <v>0</v>
      </c>
      <c r="N162" s="3">
        <v>0</v>
      </c>
      <c r="O162" s="3">
        <v>0</v>
      </c>
      <c r="P162" s="3"/>
      <c r="Q162" s="3">
        <v>0</v>
      </c>
      <c r="S162" s="3">
        <f t="shared" si="11"/>
        <v>0</v>
      </c>
    </row>
    <row r="163" spans="1:19" x14ac:dyDescent="0.25">
      <c r="A163" t="s">
        <v>191</v>
      </c>
      <c r="B163" s="3">
        <v>0</v>
      </c>
      <c r="C163" s="3">
        <v>0</v>
      </c>
      <c r="D163" s="3">
        <v>0</v>
      </c>
      <c r="F163" s="14"/>
      <c r="G163" s="16">
        <f>_xlfn.XLOOKUP(F163,FX!$A$12:$A$910,FX!$B$12:$B$910,"",-1)</f>
        <v>1.198</v>
      </c>
      <c r="H163" s="3">
        <f t="shared" si="9"/>
        <v>0</v>
      </c>
      <c r="I163" s="3">
        <f t="shared" si="9"/>
        <v>0</v>
      </c>
      <c r="J163" s="3">
        <f t="shared" si="10"/>
        <v>0</v>
      </c>
      <c r="L163" t="s">
        <v>191</v>
      </c>
      <c r="M163" s="3">
        <v>0</v>
      </c>
      <c r="N163" s="3">
        <v>0</v>
      </c>
      <c r="O163" s="3">
        <v>0</v>
      </c>
      <c r="P163" s="3"/>
      <c r="Q163" s="3">
        <v>0</v>
      </c>
      <c r="S163" s="3">
        <f t="shared" si="11"/>
        <v>0</v>
      </c>
    </row>
    <row r="164" spans="1:19" x14ac:dyDescent="0.25">
      <c r="A164" t="s">
        <v>113</v>
      </c>
      <c r="B164" s="3">
        <v>750544.54</v>
      </c>
      <c r="C164" s="3">
        <v>141092.79999999999</v>
      </c>
      <c r="D164" s="3">
        <v>891637.34</v>
      </c>
      <c r="F164" s="14">
        <v>46202</v>
      </c>
      <c r="G164" s="16">
        <f>_xlfn.XLOOKUP(F164,FX!$A$12:$A$910,FX!$B$12:$B$910,"",-1)</f>
        <v>1.2201</v>
      </c>
      <c r="H164" s="3">
        <f t="shared" si="9"/>
        <v>615150.02049012377</v>
      </c>
      <c r="I164" s="3">
        <f t="shared" si="9"/>
        <v>115640.35734775837</v>
      </c>
      <c r="J164" s="3">
        <f t="shared" si="10"/>
        <v>730790.37783788214</v>
      </c>
      <c r="L164" t="s">
        <v>113</v>
      </c>
      <c r="M164" s="3">
        <v>1574105.8237000017</v>
      </c>
      <c r="N164" s="3">
        <v>7600973.0117000174</v>
      </c>
      <c r="O164" s="3">
        <v>1875562.9764000031</v>
      </c>
      <c r="P164" s="3"/>
      <c r="Q164" s="3">
        <v>11050641.811800031</v>
      </c>
      <c r="S164" s="3">
        <f t="shared" si="11"/>
        <v>10207326.365937904</v>
      </c>
    </row>
    <row r="165" spans="1:19" x14ac:dyDescent="0.25">
      <c r="A165" t="s">
        <v>114</v>
      </c>
      <c r="B165" s="3">
        <v>385191.33</v>
      </c>
      <c r="C165" s="3">
        <v>46445.21</v>
      </c>
      <c r="D165" s="3">
        <v>431636.54</v>
      </c>
      <c r="F165" s="14">
        <f t="shared" si="12"/>
        <v>46209</v>
      </c>
      <c r="G165" s="16">
        <f>_xlfn.XLOOKUP(F165,FX!$A$12:$A$910,FX!$B$12:$B$910,"",-1)</f>
        <v>1.2194</v>
      </c>
      <c r="H165" s="3">
        <f t="shared" si="9"/>
        <v>315885.95210759388</v>
      </c>
      <c r="I165" s="3">
        <f t="shared" si="9"/>
        <v>38088.576349024108</v>
      </c>
      <c r="J165" s="3">
        <f t="shared" si="10"/>
        <v>353974.52845661796</v>
      </c>
      <c r="L165" t="s">
        <v>114</v>
      </c>
      <c r="M165" s="3">
        <v>416030.62960000068</v>
      </c>
      <c r="N165" s="3">
        <v>2414126.5189</v>
      </c>
      <c r="O165" s="3">
        <v>284652.14989999979</v>
      </c>
      <c r="P165" s="3"/>
      <c r="Q165" s="3">
        <v>3114809.2984000002</v>
      </c>
      <c r="S165" s="3">
        <f t="shared" si="11"/>
        <v>3052753.1972566177</v>
      </c>
    </row>
    <row r="166" spans="1:19" x14ac:dyDescent="0.25">
      <c r="A166" t="s">
        <v>115</v>
      </c>
      <c r="B166" s="3">
        <v>496969.9</v>
      </c>
      <c r="C166" s="3">
        <v>93679.9</v>
      </c>
      <c r="D166" s="3">
        <v>590649.80000000005</v>
      </c>
      <c r="F166" s="14">
        <f t="shared" si="12"/>
        <v>46216</v>
      </c>
      <c r="G166" s="16">
        <f>_xlfn.XLOOKUP(F166,FX!$A$12:$A$910,FX!$B$12:$B$910,"",-1)</f>
        <v>1.2041999999999999</v>
      </c>
      <c r="H166" s="3">
        <f t="shared" si="9"/>
        <v>412697.14333167253</v>
      </c>
      <c r="I166" s="3">
        <f t="shared" si="9"/>
        <v>77794.303271881741</v>
      </c>
      <c r="J166" s="3">
        <f t="shared" si="10"/>
        <v>490491.4466035543</v>
      </c>
      <c r="L166" t="s">
        <v>115</v>
      </c>
      <c r="M166" s="3">
        <v>1617226.4406000029</v>
      </c>
      <c r="N166" s="3">
        <v>3960018.0135000008</v>
      </c>
      <c r="O166" s="3">
        <v>983733.03410000016</v>
      </c>
      <c r="P166" s="3"/>
      <c r="Q166" s="3">
        <v>6560977.4881999688</v>
      </c>
      <c r="S166" s="3">
        <f t="shared" si="11"/>
        <v>5434242.4942035545</v>
      </c>
    </row>
    <row r="167" spans="1:19" x14ac:dyDescent="0.25">
      <c r="A167" t="s">
        <v>116</v>
      </c>
      <c r="B167" s="3">
        <v>475442.57</v>
      </c>
      <c r="C167" s="3">
        <v>90305.29</v>
      </c>
      <c r="D167" s="3">
        <v>565747.86</v>
      </c>
      <c r="F167" s="14">
        <f t="shared" si="12"/>
        <v>46223</v>
      </c>
      <c r="G167" s="16">
        <f>_xlfn.XLOOKUP(F167,FX!$A$12:$A$910,FX!$B$12:$B$910,"",-1)</f>
        <v>1.1946000000000001</v>
      </c>
      <c r="H167" s="3">
        <f t="shared" si="9"/>
        <v>397993.11066465761</v>
      </c>
      <c r="I167" s="3">
        <f t="shared" si="9"/>
        <v>75594.58396115854</v>
      </c>
      <c r="J167" s="3">
        <f t="shared" si="10"/>
        <v>473587.69462581613</v>
      </c>
      <c r="L167" t="s">
        <v>116</v>
      </c>
      <c r="M167" s="3">
        <v>1133676.3416000009</v>
      </c>
      <c r="N167" s="3">
        <v>3745459.3185000024</v>
      </c>
      <c r="O167" s="3">
        <v>867387.79079999879</v>
      </c>
      <c r="P167" s="3"/>
      <c r="Q167" s="3">
        <v>5746523.4508999642</v>
      </c>
      <c r="S167" s="3">
        <f t="shared" si="11"/>
        <v>5086434.8039258169</v>
      </c>
    </row>
    <row r="168" spans="1:19" x14ac:dyDescent="0.25">
      <c r="A168" t="s">
        <v>117</v>
      </c>
      <c r="B168" s="3">
        <v>445342.39</v>
      </c>
      <c r="C168" s="3">
        <v>92485.71</v>
      </c>
      <c r="D168" s="3">
        <v>537828.1</v>
      </c>
      <c r="F168" s="14">
        <f t="shared" si="12"/>
        <v>46230</v>
      </c>
      <c r="G168" s="16">
        <f>_xlfn.XLOOKUP(F168,FX!$A$12:$A$910,FX!$B$12:$B$910,"",-1)</f>
        <v>1.2072000000000001</v>
      </c>
      <c r="H168" s="3">
        <f t="shared" si="9"/>
        <v>368905.22697150428</v>
      </c>
      <c r="I168" s="3">
        <f t="shared" si="9"/>
        <v>76611.75447316104</v>
      </c>
      <c r="J168" s="3">
        <f t="shared" si="10"/>
        <v>445516.98144466535</v>
      </c>
      <c r="L168" t="s">
        <v>117</v>
      </c>
      <c r="M168" s="3">
        <v>1036537.2923999984</v>
      </c>
      <c r="N168" s="3">
        <v>3882948.8084999919</v>
      </c>
      <c r="O168" s="3">
        <v>705368.75089999975</v>
      </c>
      <c r="P168" s="3"/>
      <c r="Q168" s="3">
        <v>5624854.8517999453</v>
      </c>
      <c r="S168" s="3">
        <f t="shared" si="11"/>
        <v>5033834.5408446565</v>
      </c>
    </row>
    <row r="169" spans="1:19" x14ac:dyDescent="0.25">
      <c r="A169" t="s">
        <v>118</v>
      </c>
      <c r="B169" s="3">
        <v>516876.56</v>
      </c>
      <c r="C169" s="3">
        <v>109678.41</v>
      </c>
      <c r="D169" s="3">
        <v>626554.97</v>
      </c>
      <c r="F169" s="14">
        <f t="shared" si="12"/>
        <v>46237</v>
      </c>
      <c r="G169" s="16">
        <f>_xlfn.XLOOKUP(F169,FX!$A$12:$A$910,FX!$B$12:$B$910,"",-1)</f>
        <v>1.198</v>
      </c>
      <c r="H169" s="3">
        <f t="shared" si="9"/>
        <v>431449.54924874794</v>
      </c>
      <c r="I169" s="3">
        <f t="shared" si="9"/>
        <v>91551.260434056763</v>
      </c>
      <c r="J169" s="3">
        <f t="shared" si="10"/>
        <v>523000.80968280468</v>
      </c>
      <c r="L169" t="s">
        <v>118</v>
      </c>
      <c r="M169" s="3">
        <v>782166.7299999994</v>
      </c>
      <c r="N169" s="3">
        <v>4139728.8028999921</v>
      </c>
      <c r="O169" s="3">
        <v>831940.1806999984</v>
      </c>
      <c r="P169" s="3"/>
      <c r="Q169" s="3">
        <v>5753835.7135999911</v>
      </c>
      <c r="S169" s="3">
        <f t="shared" si="11"/>
        <v>5494669.7932827957</v>
      </c>
    </row>
    <row r="170" spans="1:19" x14ac:dyDescent="0.25">
      <c r="A170" t="s">
        <v>119</v>
      </c>
      <c r="B170" s="3">
        <v>464725.38</v>
      </c>
      <c r="C170" s="3">
        <v>128454.54</v>
      </c>
      <c r="D170" s="3">
        <v>593179.92000000004</v>
      </c>
      <c r="F170" s="14">
        <f t="shared" si="12"/>
        <v>46244</v>
      </c>
      <c r="G170" s="16">
        <f>_xlfn.XLOOKUP(F170,FX!$A$12:$A$910,FX!$B$12:$B$910,"",-1)</f>
        <v>1.198</v>
      </c>
      <c r="H170" s="3">
        <f t="shared" si="9"/>
        <v>387917.67946577631</v>
      </c>
      <c r="I170" s="3">
        <f t="shared" si="9"/>
        <v>107224.15692821369</v>
      </c>
      <c r="J170" s="3">
        <f t="shared" si="10"/>
        <v>495141.83639398997</v>
      </c>
      <c r="L170" t="s">
        <v>119</v>
      </c>
      <c r="M170" s="3">
        <v>1399174.0269999988</v>
      </c>
      <c r="N170" s="3">
        <v>3922175.3760000025</v>
      </c>
      <c r="O170" s="3">
        <v>1114268.3917000017</v>
      </c>
      <c r="P170" s="3"/>
      <c r="Q170" s="3">
        <v>6435617.7947000097</v>
      </c>
      <c r="S170" s="3">
        <f t="shared" si="11"/>
        <v>5531585.604093994</v>
      </c>
    </row>
    <row r="171" spans="1:19" x14ac:dyDescent="0.25">
      <c r="A171" t="s">
        <v>192</v>
      </c>
      <c r="B171" s="3">
        <v>419504.39</v>
      </c>
      <c r="C171" s="3">
        <v>60103.94</v>
      </c>
      <c r="D171" s="3">
        <v>479608.33</v>
      </c>
      <c r="F171" s="14">
        <f t="shared" si="12"/>
        <v>46251</v>
      </c>
      <c r="G171" s="16">
        <f>_xlfn.XLOOKUP(F171,FX!$A$12:$A$910,FX!$B$12:$B$910,"",-1)</f>
        <v>1.198</v>
      </c>
      <c r="H171" s="3">
        <f t="shared" ref="H171:I171" si="13">B171/$G171</f>
        <v>350170.60934891488</v>
      </c>
      <c r="I171" s="3">
        <f t="shared" si="13"/>
        <v>50170.233722871453</v>
      </c>
      <c r="J171" s="3">
        <f t="shared" si="10"/>
        <v>400340.84307178634</v>
      </c>
      <c r="L171" t="s">
        <v>192</v>
      </c>
      <c r="M171" s="3">
        <v>570955.74709999934</v>
      </c>
      <c r="N171" s="3">
        <v>3682382.3065999798</v>
      </c>
      <c r="O171" s="3">
        <v>649923.68129999924</v>
      </c>
      <c r="P171" s="3"/>
      <c r="Q171" s="3">
        <v>4903261.7349999845</v>
      </c>
    </row>
    <row r="172" spans="1:19" x14ac:dyDescent="0.25">
      <c r="A172" t="s">
        <v>193</v>
      </c>
      <c r="B172" s="3">
        <v>407392.31</v>
      </c>
      <c r="C172" s="3">
        <v>78751.03</v>
      </c>
      <c r="D172" s="3">
        <v>486143.34</v>
      </c>
      <c r="F172" s="14">
        <f t="shared" si="12"/>
        <v>46258</v>
      </c>
      <c r="G172" s="16">
        <f>_xlfn.XLOOKUP(F172,FX!$A$12:$A$910,FX!$B$12:$B$910,"",-1)</f>
        <v>1.198</v>
      </c>
      <c r="H172" s="3">
        <f t="shared" ref="H172:J172" si="14">SUM(H120:H171)</f>
        <v>19416579.441879407</v>
      </c>
      <c r="I172" s="3">
        <f t="shared" si="14"/>
        <v>3687904.859209328</v>
      </c>
      <c r="J172" s="3">
        <f t="shared" si="14"/>
        <v>23104484.301088728</v>
      </c>
      <c r="L172" t="s">
        <v>193</v>
      </c>
      <c r="M172" s="3">
        <v>376597.69059999991</v>
      </c>
      <c r="N172" s="3">
        <v>3500684.4001000007</v>
      </c>
      <c r="O172" s="3">
        <v>444559.84099999932</v>
      </c>
      <c r="P172" s="3"/>
      <c r="Q172" s="3">
        <v>4321841.9317000052</v>
      </c>
    </row>
    <row r="173" spans="1:19" x14ac:dyDescent="0.25">
      <c r="A173" t="s">
        <v>194</v>
      </c>
      <c r="B173" s="3">
        <v>0</v>
      </c>
      <c r="C173" s="3">
        <v>111.34</v>
      </c>
      <c r="D173" s="3">
        <v>111.34</v>
      </c>
      <c r="F173" s="14">
        <f t="shared" si="12"/>
        <v>46265</v>
      </c>
      <c r="G173" s="16">
        <f>_xlfn.XLOOKUP(F173,FX!$A$12:$A$910,FX!$B$12:$B$910,"",-1)</f>
        <v>1.198</v>
      </c>
      <c r="H173" s="3">
        <f t="shared" ref="H173:I173" si="15">B173/$G173</f>
        <v>0</v>
      </c>
      <c r="I173" s="3">
        <f t="shared" si="15"/>
        <v>92.938230383973291</v>
      </c>
      <c r="J173" s="3">
        <f t="shared" ref="J173" si="16">H173+I173</f>
        <v>92.938230383973291</v>
      </c>
      <c r="L173" t="s">
        <v>194</v>
      </c>
      <c r="M173" s="3">
        <v>2157.2727</v>
      </c>
      <c r="N173" s="3">
        <v>0</v>
      </c>
      <c r="O173" s="3">
        <v>1212.7273</v>
      </c>
      <c r="P173" s="3"/>
      <c r="Q173" s="3">
        <v>3370.0000000000005</v>
      </c>
    </row>
    <row r="174" spans="1:19" x14ac:dyDescent="0.25">
      <c r="A174" t="s">
        <v>195</v>
      </c>
      <c r="B174" s="3">
        <v>0</v>
      </c>
      <c r="C174" s="3">
        <v>0</v>
      </c>
      <c r="D174" s="3">
        <v>0</v>
      </c>
      <c r="F174" s="14">
        <f t="shared" si="12"/>
        <v>46272</v>
      </c>
      <c r="G174" s="16">
        <f>_xlfn.XLOOKUP(F174,FX!$A$12:$A$910,FX!$B$12:$B$910,"",-1)</f>
        <v>1.198</v>
      </c>
      <c r="H174" s="3">
        <f t="shared" ref="H174:J174" si="17">SUM(H122:H173)</f>
        <v>36920889.768566824</v>
      </c>
      <c r="I174" s="3">
        <f t="shared" si="17"/>
        <v>6857046.6466323454</v>
      </c>
      <c r="J174" s="3">
        <f t="shared" si="17"/>
        <v>43777936.415199161</v>
      </c>
      <c r="L174" t="s">
        <v>195</v>
      </c>
      <c r="M174" s="3">
        <v>0</v>
      </c>
      <c r="N174" s="3">
        <v>0</v>
      </c>
      <c r="O174" s="3">
        <v>0</v>
      </c>
      <c r="P174" s="3"/>
      <c r="Q174" s="3">
        <v>0</v>
      </c>
    </row>
    <row r="175" spans="1:19" x14ac:dyDescent="0.25">
      <c r="A175" t="s">
        <v>196</v>
      </c>
      <c r="B175" s="3">
        <v>0</v>
      </c>
      <c r="C175" s="3">
        <v>0</v>
      </c>
      <c r="D175" s="3">
        <v>0</v>
      </c>
      <c r="F175" s="14">
        <f t="shared" si="12"/>
        <v>46279</v>
      </c>
      <c r="G175" s="16">
        <f>_xlfn.XLOOKUP(F175,FX!$A$12:$A$910,FX!$B$12:$B$910,"",-1)</f>
        <v>1.198</v>
      </c>
      <c r="H175" s="3">
        <f t="shared" ref="H175:I175" si="18">B175/$G175</f>
        <v>0</v>
      </c>
      <c r="I175" s="3">
        <f t="shared" si="18"/>
        <v>0</v>
      </c>
      <c r="J175" s="3">
        <f t="shared" ref="J175" si="19">H175+I175</f>
        <v>0</v>
      </c>
      <c r="L175" t="s">
        <v>196</v>
      </c>
      <c r="M175" s="3">
        <v>0</v>
      </c>
      <c r="N175" s="3">
        <v>0</v>
      </c>
      <c r="O175" s="3">
        <v>0</v>
      </c>
      <c r="P175" s="3"/>
      <c r="Q175" s="3">
        <v>0</v>
      </c>
    </row>
    <row r="176" spans="1:19" x14ac:dyDescent="0.25">
      <c r="A176" t="s">
        <v>197</v>
      </c>
      <c r="B176" s="3">
        <v>0</v>
      </c>
      <c r="C176" s="3">
        <v>0</v>
      </c>
      <c r="D176" s="3">
        <v>0</v>
      </c>
      <c r="F176" s="14">
        <f t="shared" si="12"/>
        <v>46286</v>
      </c>
      <c r="G176" s="16">
        <f>_xlfn.XLOOKUP(F176,FX!$A$12:$A$910,FX!$B$12:$B$910,"",-1)</f>
        <v>1.198</v>
      </c>
      <c r="H176" s="3">
        <f t="shared" ref="H176:J176" si="20">SUM(H124:H175)</f>
        <v>73037823.051323965</v>
      </c>
      <c r="I176" s="3">
        <f t="shared" si="20"/>
        <v>13556943.969391569</v>
      </c>
      <c r="J176" s="3">
        <f t="shared" si="20"/>
        <v>86594767.02071552</v>
      </c>
      <c r="L176" t="s">
        <v>197</v>
      </c>
      <c r="M176" s="3">
        <v>0</v>
      </c>
      <c r="N176" s="3">
        <v>0</v>
      </c>
      <c r="O176" s="3">
        <v>0</v>
      </c>
      <c r="P176" s="3"/>
      <c r="Q176" s="3">
        <v>0</v>
      </c>
    </row>
    <row r="177" spans="1:17" x14ac:dyDescent="0.25">
      <c r="A177" t="s">
        <v>198</v>
      </c>
      <c r="B177" s="3">
        <v>0</v>
      </c>
      <c r="C177" s="3">
        <v>0</v>
      </c>
      <c r="D177" s="3">
        <v>0</v>
      </c>
      <c r="F177" s="14">
        <f t="shared" si="12"/>
        <v>46293</v>
      </c>
      <c r="G177" s="16">
        <f>_xlfn.XLOOKUP(F177,FX!$A$12:$A$910,FX!$B$12:$B$910,"",-1)</f>
        <v>1.198</v>
      </c>
      <c r="H177" s="3">
        <f t="shared" ref="H177:I177" si="21">B177/$G177</f>
        <v>0</v>
      </c>
      <c r="I177" s="3">
        <f t="shared" si="21"/>
        <v>0</v>
      </c>
      <c r="J177" s="3">
        <f t="shared" ref="J177" si="22">H177+I177</f>
        <v>0</v>
      </c>
      <c r="L177" t="s">
        <v>198</v>
      </c>
      <c r="M177" s="3">
        <v>0</v>
      </c>
      <c r="N177" s="3">
        <v>0</v>
      </c>
      <c r="O177" s="3">
        <v>0</v>
      </c>
      <c r="P177" s="3"/>
      <c r="Q177" s="3">
        <v>0</v>
      </c>
    </row>
    <row r="178" spans="1:17" x14ac:dyDescent="0.25">
      <c r="A178" t="s">
        <v>199</v>
      </c>
      <c r="B178" s="3">
        <v>0</v>
      </c>
      <c r="C178" s="3">
        <v>0</v>
      </c>
      <c r="D178" s="3">
        <v>0</v>
      </c>
      <c r="F178" s="14">
        <f t="shared" si="12"/>
        <v>46300</v>
      </c>
      <c r="G178" s="16">
        <f>_xlfn.XLOOKUP(F178,FX!$A$12:$A$910,FX!$B$12:$B$910,"",-1)</f>
        <v>1.198</v>
      </c>
      <c r="H178" s="3">
        <f t="shared" ref="H178:J178" si="23">SUM(H126:H177)</f>
        <v>144664644.49162957</v>
      </c>
      <c r="I178" s="3">
        <f t="shared" si="23"/>
        <v>26878123.397881635</v>
      </c>
      <c r="J178" s="3">
        <f t="shared" si="23"/>
        <v>171542767.88951117</v>
      </c>
      <c r="L178" t="s">
        <v>199</v>
      </c>
      <c r="M178" s="3">
        <v>0</v>
      </c>
      <c r="N178" s="3">
        <v>0</v>
      </c>
      <c r="O178" s="3">
        <v>0</v>
      </c>
      <c r="P178" s="3"/>
      <c r="Q178" s="3">
        <v>0</v>
      </c>
    </row>
    <row r="179" spans="1:17" x14ac:dyDescent="0.25">
      <c r="A179" t="s">
        <v>200</v>
      </c>
      <c r="B179" s="3">
        <v>0</v>
      </c>
      <c r="C179" s="3">
        <v>0</v>
      </c>
      <c r="D179" s="3">
        <v>0</v>
      </c>
      <c r="F179" s="14">
        <f t="shared" si="12"/>
        <v>46307</v>
      </c>
      <c r="G179" s="16">
        <f>_xlfn.XLOOKUP(F179,FX!$A$12:$A$910,FX!$B$12:$B$910,"",-1)</f>
        <v>1.198</v>
      </c>
      <c r="H179" s="3">
        <f t="shared" ref="H179:I179" si="24">B179/$G179</f>
        <v>0</v>
      </c>
      <c r="I179" s="3">
        <f t="shared" si="24"/>
        <v>0</v>
      </c>
      <c r="J179" s="3">
        <f t="shared" ref="J179" si="25">H179+I179</f>
        <v>0</v>
      </c>
      <c r="L179" t="s">
        <v>200</v>
      </c>
      <c r="M179" s="3">
        <v>0</v>
      </c>
      <c r="N179" s="3">
        <v>0</v>
      </c>
      <c r="O179" s="3">
        <v>0</v>
      </c>
      <c r="P179" s="3"/>
      <c r="Q179" s="3">
        <v>0</v>
      </c>
    </row>
    <row r="180" spans="1:17" x14ac:dyDescent="0.25">
      <c r="A180" t="s">
        <v>201</v>
      </c>
      <c r="B180" s="3">
        <v>0</v>
      </c>
      <c r="C180" s="3">
        <v>0</v>
      </c>
      <c r="D180" s="3">
        <v>0</v>
      </c>
      <c r="F180" s="14">
        <f t="shared" si="12"/>
        <v>46314</v>
      </c>
      <c r="G180" s="16">
        <f>_xlfn.XLOOKUP(F180,FX!$A$12:$A$910,FX!$B$12:$B$910,"",-1)</f>
        <v>1.198</v>
      </c>
      <c r="H180" s="3">
        <f t="shared" ref="H180:J180" si="26">SUM(H128:H179)</f>
        <v>288342477.07173991</v>
      </c>
      <c r="I180" s="3">
        <f t="shared" si="26"/>
        <v>53571766.16971986</v>
      </c>
      <c r="J180" s="3">
        <f t="shared" si="26"/>
        <v>341914243.24145973</v>
      </c>
      <c r="L180" t="s">
        <v>201</v>
      </c>
      <c r="M180" s="3">
        <v>0</v>
      </c>
      <c r="N180" s="3">
        <v>0</v>
      </c>
      <c r="O180" s="3">
        <v>0</v>
      </c>
      <c r="P180" s="3"/>
      <c r="Q180" s="3">
        <v>0</v>
      </c>
    </row>
    <row r="181" spans="1:17" x14ac:dyDescent="0.25">
      <c r="A181" t="s">
        <v>202</v>
      </c>
      <c r="B181" s="3">
        <v>0</v>
      </c>
      <c r="C181" s="3">
        <v>0</v>
      </c>
      <c r="D181" s="3">
        <v>0</v>
      </c>
      <c r="F181" s="14">
        <f t="shared" si="12"/>
        <v>46321</v>
      </c>
      <c r="G181" s="16">
        <f>_xlfn.XLOOKUP(F181,FX!$A$12:$A$910,FX!$B$12:$B$910,"",-1)</f>
        <v>1.198</v>
      </c>
      <c r="H181" s="3">
        <f t="shared" ref="H181:I181" si="27">B181/$G181</f>
        <v>0</v>
      </c>
      <c r="I181" s="3">
        <f t="shared" si="27"/>
        <v>0</v>
      </c>
      <c r="J181" s="3">
        <f t="shared" ref="J181" si="28">H181+I181</f>
        <v>0</v>
      </c>
      <c r="L181" t="s">
        <v>202</v>
      </c>
      <c r="M181" s="3">
        <v>0</v>
      </c>
      <c r="N181" s="3">
        <v>0</v>
      </c>
      <c r="O181" s="3">
        <v>0</v>
      </c>
      <c r="P181" s="3"/>
      <c r="Q181" s="3">
        <v>0</v>
      </c>
    </row>
    <row r="182" spans="1:17" x14ac:dyDescent="0.25">
      <c r="A182" t="s">
        <v>203</v>
      </c>
      <c r="B182" s="3">
        <v>0</v>
      </c>
      <c r="C182" s="3">
        <v>0</v>
      </c>
      <c r="D182" s="3">
        <v>0</v>
      </c>
      <c r="F182" s="14">
        <f t="shared" si="12"/>
        <v>46328</v>
      </c>
      <c r="G182" s="16">
        <f>_xlfn.XLOOKUP(F182,FX!$A$12:$A$910,FX!$B$12:$B$910,"",-1)</f>
        <v>1.198</v>
      </c>
      <c r="H182" s="3">
        <f t="shared" ref="H182:J182" si="29">SUM(H130:H181)</f>
        <v>575242992.86635137</v>
      </c>
      <c r="I182" s="3">
        <f t="shared" si="29"/>
        <v>106924501.47967345</v>
      </c>
      <c r="J182" s="3">
        <f t="shared" si="29"/>
        <v>682167494.34602463</v>
      </c>
      <c r="L182" t="s">
        <v>203</v>
      </c>
      <c r="M182" s="3">
        <v>0</v>
      </c>
      <c r="N182" s="3">
        <v>0</v>
      </c>
      <c r="O182" s="3">
        <v>0</v>
      </c>
      <c r="P182" s="3"/>
      <c r="Q182" s="3">
        <v>0</v>
      </c>
    </row>
    <row r="183" spans="1:17" x14ac:dyDescent="0.25">
      <c r="A183" t="s">
        <v>204</v>
      </c>
      <c r="B183" s="3">
        <v>0</v>
      </c>
      <c r="C183" s="3">
        <v>0</v>
      </c>
      <c r="D183" s="3">
        <v>0</v>
      </c>
      <c r="F183" s="14">
        <f t="shared" si="12"/>
        <v>46335</v>
      </c>
      <c r="G183" s="16">
        <f>_xlfn.XLOOKUP(F183,FX!$A$12:$A$910,FX!$B$12:$B$910,"",-1)</f>
        <v>1.198</v>
      </c>
      <c r="H183" s="3">
        <f t="shared" ref="H183:I183" si="30">B183/$G183</f>
        <v>0</v>
      </c>
      <c r="I183" s="3">
        <f t="shared" si="30"/>
        <v>0</v>
      </c>
      <c r="J183" s="3">
        <f t="shared" ref="J183" si="31">H183+I183</f>
        <v>0</v>
      </c>
      <c r="L183" t="s">
        <v>204</v>
      </c>
      <c r="M183" s="3">
        <v>0</v>
      </c>
      <c r="N183" s="3">
        <v>0</v>
      </c>
      <c r="O183" s="3">
        <v>0</v>
      </c>
      <c r="P183" s="3"/>
      <c r="Q183" s="3">
        <v>0</v>
      </c>
    </row>
    <row r="184" spans="1:17" x14ac:dyDescent="0.25">
      <c r="A184" t="s">
        <v>205</v>
      </c>
      <c r="B184" s="3">
        <v>0</v>
      </c>
      <c r="C184" s="3">
        <v>0</v>
      </c>
      <c r="D184" s="3">
        <v>0</v>
      </c>
      <c r="F184" s="14">
        <f t="shared" si="12"/>
        <v>46342</v>
      </c>
      <c r="G184" s="16">
        <f>_xlfn.XLOOKUP(F184,FX!$A$12:$A$910,FX!$B$12:$B$910,"",-1)</f>
        <v>1.198</v>
      </c>
      <c r="H184" s="3">
        <f t="shared" ref="H184:J184" si="32">SUM(H132:H183)</f>
        <v>1149836923.8044891</v>
      </c>
      <c r="I184" s="3">
        <f t="shared" si="32"/>
        <v>213694082.24983102</v>
      </c>
      <c r="J184" s="3">
        <f t="shared" si="32"/>
        <v>1363531006.0543199</v>
      </c>
      <c r="L184" t="s">
        <v>205</v>
      </c>
      <c r="M184" s="3">
        <v>0</v>
      </c>
      <c r="N184" s="3">
        <v>0</v>
      </c>
      <c r="O184" s="3">
        <v>0</v>
      </c>
      <c r="P184" s="3"/>
      <c r="Q184" s="3">
        <v>0</v>
      </c>
    </row>
    <row r="185" spans="1:17" x14ac:dyDescent="0.25">
      <c r="A185" t="s">
        <v>206</v>
      </c>
      <c r="B185" s="3">
        <v>0</v>
      </c>
      <c r="C185" s="3">
        <v>0</v>
      </c>
      <c r="D185" s="3">
        <v>0</v>
      </c>
      <c r="F185" s="14">
        <f t="shared" si="12"/>
        <v>46349</v>
      </c>
      <c r="G185" s="16">
        <f>_xlfn.XLOOKUP(F185,FX!$A$12:$A$910,FX!$B$12:$B$910,"",-1)</f>
        <v>1.198</v>
      </c>
      <c r="H185" s="3">
        <f t="shared" ref="H185:I185" si="33">B185/$G185</f>
        <v>0</v>
      </c>
      <c r="I185" s="3">
        <f t="shared" si="33"/>
        <v>0</v>
      </c>
      <c r="J185" s="3">
        <f t="shared" ref="J185" si="34">H185+I185</f>
        <v>0</v>
      </c>
      <c r="L185" t="s">
        <v>206</v>
      </c>
      <c r="M185" s="3">
        <v>0</v>
      </c>
      <c r="N185" s="3">
        <v>0</v>
      </c>
      <c r="O185" s="3">
        <v>0</v>
      </c>
      <c r="P185" s="3"/>
      <c r="Q185" s="3">
        <v>0</v>
      </c>
    </row>
    <row r="186" spans="1:17" x14ac:dyDescent="0.25">
      <c r="A186" t="s">
        <v>207</v>
      </c>
      <c r="B186" s="3">
        <v>0</v>
      </c>
      <c r="C186" s="3">
        <v>0</v>
      </c>
      <c r="D186" s="3">
        <v>0</v>
      </c>
      <c r="F186" s="14">
        <f t="shared" si="12"/>
        <v>46356</v>
      </c>
      <c r="G186" s="16">
        <f>_xlfn.XLOOKUP(F186,FX!$A$12:$A$910,FX!$B$12:$B$910,"",-1)</f>
        <v>1.198</v>
      </c>
      <c r="H186" s="3">
        <f t="shared" ref="H186:J186" si="35">SUM(H134:H185)</f>
        <v>2298994625.263402</v>
      </c>
      <c r="I186" s="3">
        <f t="shared" si="35"/>
        <v>427290123.00550514</v>
      </c>
      <c r="J186" s="3">
        <f t="shared" si="35"/>
        <v>2726284748.2689066</v>
      </c>
      <c r="L186" t="s">
        <v>207</v>
      </c>
      <c r="M186" s="3">
        <v>0</v>
      </c>
      <c r="N186" s="3">
        <v>0</v>
      </c>
      <c r="O186" s="3">
        <v>0</v>
      </c>
      <c r="P186" s="3"/>
      <c r="Q186" s="3">
        <v>0</v>
      </c>
    </row>
    <row r="187" spans="1:17" x14ac:dyDescent="0.25">
      <c r="A187" t="s">
        <v>208</v>
      </c>
      <c r="B187" s="3">
        <v>0</v>
      </c>
      <c r="C187" s="3">
        <v>0</v>
      </c>
      <c r="D187" s="3">
        <v>0</v>
      </c>
      <c r="F187" s="14">
        <f t="shared" si="12"/>
        <v>46363</v>
      </c>
      <c r="G187" s="16">
        <f>_xlfn.XLOOKUP(F187,FX!$A$12:$A$910,FX!$B$12:$B$910,"",-1)</f>
        <v>1.198</v>
      </c>
      <c r="H187" s="3">
        <f t="shared" ref="H187:I187" si="36">B187/$G187</f>
        <v>0</v>
      </c>
      <c r="I187" s="3">
        <f t="shared" si="36"/>
        <v>0</v>
      </c>
      <c r="J187" s="3">
        <f t="shared" ref="J187" si="37">H187+I187</f>
        <v>0</v>
      </c>
      <c r="L187" t="s">
        <v>208</v>
      </c>
      <c r="M187" s="3">
        <v>0</v>
      </c>
      <c r="N187" s="3">
        <v>0</v>
      </c>
      <c r="O187" s="3">
        <v>0</v>
      </c>
      <c r="P187" s="3"/>
      <c r="Q187" s="3">
        <v>0</v>
      </c>
    </row>
    <row r="188" spans="1:17" x14ac:dyDescent="0.25">
      <c r="A188" t="s">
        <v>209</v>
      </c>
      <c r="B188" s="3">
        <v>0</v>
      </c>
      <c r="C188" s="3">
        <v>0</v>
      </c>
      <c r="D188" s="3">
        <v>0</v>
      </c>
      <c r="F188" s="14">
        <f t="shared" si="12"/>
        <v>46370</v>
      </c>
      <c r="G188" s="16">
        <f>_xlfn.XLOOKUP(F188,FX!$A$12:$A$910,FX!$B$12:$B$910,"",-1)</f>
        <v>1.198</v>
      </c>
      <c r="H188" s="3">
        <f t="shared" ref="H188:J188" si="38">SUM(H136:H187)</f>
        <v>4597298002.7638664</v>
      </c>
      <c r="I188" s="3">
        <f t="shared" si="38"/>
        <v>854474340.65207863</v>
      </c>
      <c r="J188" s="3">
        <f t="shared" si="38"/>
        <v>5451772343.4159431</v>
      </c>
      <c r="L188" t="s">
        <v>209</v>
      </c>
      <c r="M188" s="3">
        <v>0</v>
      </c>
      <c r="N188" s="3">
        <v>0</v>
      </c>
      <c r="O188" s="3">
        <v>0</v>
      </c>
      <c r="P188" s="3"/>
      <c r="Q188" s="3">
        <v>0</v>
      </c>
    </row>
    <row r="189" spans="1:17" x14ac:dyDescent="0.25">
      <c r="A189" t="s">
        <v>210</v>
      </c>
      <c r="B189" s="3">
        <v>0</v>
      </c>
      <c r="C189" s="3">
        <v>0</v>
      </c>
      <c r="D189" s="3">
        <v>0</v>
      </c>
      <c r="F189" s="14">
        <f t="shared" si="12"/>
        <v>46377</v>
      </c>
      <c r="G189" s="16">
        <f>_xlfn.XLOOKUP(F189,FX!$A$12:$A$910,FX!$B$12:$B$910,"",-1)</f>
        <v>1.198</v>
      </c>
      <c r="H189" s="3">
        <f t="shared" ref="H189:I189" si="39">B189/$G189</f>
        <v>0</v>
      </c>
      <c r="I189" s="3">
        <f t="shared" si="39"/>
        <v>0</v>
      </c>
      <c r="J189" s="3">
        <f t="shared" ref="J189" si="40">H189+I189</f>
        <v>0</v>
      </c>
      <c r="L189" t="s">
        <v>210</v>
      </c>
      <c r="M189" s="3">
        <v>0</v>
      </c>
      <c r="N189" s="3">
        <v>0</v>
      </c>
      <c r="O189" s="3">
        <v>0</v>
      </c>
      <c r="P189" s="3"/>
      <c r="Q189" s="3">
        <v>0</v>
      </c>
    </row>
    <row r="190" spans="1:17" x14ac:dyDescent="0.25">
      <c r="A190" t="s">
        <v>211</v>
      </c>
      <c r="B190" s="3">
        <v>0</v>
      </c>
      <c r="C190" s="3">
        <v>0</v>
      </c>
      <c r="D190" s="3">
        <v>0</v>
      </c>
      <c r="L190" t="s">
        <v>211</v>
      </c>
      <c r="M190" s="3">
        <v>0</v>
      </c>
      <c r="N190" s="3">
        <v>0</v>
      </c>
      <c r="O190" s="3">
        <v>0</v>
      </c>
      <c r="P190" s="3"/>
      <c r="Q190" s="3">
        <v>0</v>
      </c>
    </row>
    <row r="191" spans="1:17" x14ac:dyDescent="0.25">
      <c r="A191" t="s">
        <v>212</v>
      </c>
      <c r="B191" s="3">
        <v>0</v>
      </c>
      <c r="C191" s="3">
        <v>0</v>
      </c>
      <c r="D191" s="3">
        <v>0</v>
      </c>
      <c r="L191" t="s">
        <v>212</v>
      </c>
      <c r="M191" s="3">
        <v>0</v>
      </c>
      <c r="N191" s="3">
        <v>0</v>
      </c>
      <c r="O191" s="3">
        <v>0</v>
      </c>
      <c r="P191" s="3"/>
      <c r="Q191" s="3">
        <v>0</v>
      </c>
    </row>
    <row r="192" spans="1:17" x14ac:dyDescent="0.25">
      <c r="A192" t="s">
        <v>213</v>
      </c>
      <c r="B192" s="3">
        <v>0</v>
      </c>
      <c r="C192" s="3">
        <v>0</v>
      </c>
      <c r="D192" s="3">
        <v>0</v>
      </c>
      <c r="L192" t="s">
        <v>213</v>
      </c>
      <c r="M192" s="3">
        <v>0</v>
      </c>
      <c r="N192" s="3">
        <v>0</v>
      </c>
      <c r="O192" s="3">
        <v>0</v>
      </c>
      <c r="P192" s="3"/>
      <c r="Q192" s="3">
        <v>0</v>
      </c>
    </row>
    <row r="193" spans="1:17" x14ac:dyDescent="0.25">
      <c r="A193" t="s">
        <v>214</v>
      </c>
      <c r="B193" s="3">
        <v>0</v>
      </c>
      <c r="C193" s="3">
        <v>0</v>
      </c>
      <c r="D193" s="3">
        <v>0</v>
      </c>
      <c r="L193" t="s">
        <v>214</v>
      </c>
      <c r="M193" s="3">
        <v>0</v>
      </c>
      <c r="N193" s="3">
        <v>0</v>
      </c>
      <c r="O193" s="3">
        <v>0</v>
      </c>
      <c r="P193" s="3"/>
      <c r="Q193" s="3">
        <v>0</v>
      </c>
    </row>
    <row r="194" spans="1:17" x14ac:dyDescent="0.25">
      <c r="A194" t="s">
        <v>215</v>
      </c>
      <c r="B194" s="3">
        <v>0</v>
      </c>
      <c r="C194" s="3">
        <v>0</v>
      </c>
      <c r="D194" s="3">
        <v>0</v>
      </c>
      <c r="L194" t="s">
        <v>215</v>
      </c>
      <c r="M194" s="3">
        <v>0</v>
      </c>
      <c r="N194" s="3">
        <v>0</v>
      </c>
      <c r="O194" s="3">
        <v>0</v>
      </c>
      <c r="P194" s="3"/>
      <c r="Q194" s="3">
        <v>0</v>
      </c>
    </row>
    <row r="195" spans="1:17" x14ac:dyDescent="0.25">
      <c r="A195" t="s">
        <v>216</v>
      </c>
      <c r="B195" s="3">
        <v>0</v>
      </c>
      <c r="C195" s="3">
        <v>0</v>
      </c>
      <c r="D195" s="3">
        <v>0</v>
      </c>
      <c r="L195" t="s">
        <v>216</v>
      </c>
      <c r="M195" s="3">
        <v>0</v>
      </c>
      <c r="N195" s="3">
        <v>0</v>
      </c>
      <c r="O195" s="3">
        <v>0</v>
      </c>
      <c r="P195" s="3"/>
      <c r="Q195" s="3">
        <v>0</v>
      </c>
    </row>
    <row r="196" spans="1:17" x14ac:dyDescent="0.25">
      <c r="A196" t="s">
        <v>217</v>
      </c>
      <c r="B196" s="3">
        <v>0</v>
      </c>
      <c r="C196" s="3">
        <v>0</v>
      </c>
      <c r="D196" s="3">
        <v>0</v>
      </c>
      <c r="L196" t="s">
        <v>217</v>
      </c>
      <c r="M196" s="3">
        <v>0</v>
      </c>
      <c r="N196" s="3">
        <v>0</v>
      </c>
      <c r="O196" s="3">
        <v>0</v>
      </c>
      <c r="P196" s="3"/>
      <c r="Q196" s="3">
        <v>0</v>
      </c>
    </row>
    <row r="197" spans="1:17" x14ac:dyDescent="0.25">
      <c r="A197" t="s">
        <v>218</v>
      </c>
      <c r="B197" s="3">
        <v>0</v>
      </c>
      <c r="C197" s="3">
        <v>0</v>
      </c>
      <c r="D197" s="3">
        <v>0</v>
      </c>
      <c r="L197" t="s">
        <v>218</v>
      </c>
      <c r="M197" s="3">
        <v>0</v>
      </c>
      <c r="N197" s="3">
        <v>0</v>
      </c>
      <c r="O197" s="3">
        <v>0</v>
      </c>
      <c r="P197" s="3"/>
      <c r="Q197" s="3">
        <v>0</v>
      </c>
    </row>
    <row r="198" spans="1:17" x14ac:dyDescent="0.25">
      <c r="A198" t="s">
        <v>219</v>
      </c>
      <c r="B198" s="3">
        <v>0</v>
      </c>
      <c r="C198" s="3">
        <v>0</v>
      </c>
      <c r="D198" s="3">
        <v>0</v>
      </c>
      <c r="L198" t="s">
        <v>219</v>
      </c>
      <c r="M198" s="3">
        <v>0</v>
      </c>
      <c r="N198" s="3">
        <v>0</v>
      </c>
      <c r="O198" s="3">
        <v>0</v>
      </c>
      <c r="P198" s="3"/>
      <c r="Q198" s="3">
        <v>0</v>
      </c>
    </row>
    <row r="199" spans="1:17" x14ac:dyDescent="0.25">
      <c r="A199" t="s">
        <v>220</v>
      </c>
      <c r="B199" s="3">
        <v>0</v>
      </c>
      <c r="C199" s="3">
        <v>0</v>
      </c>
      <c r="D199" s="3">
        <v>0</v>
      </c>
      <c r="L199" t="s">
        <v>220</v>
      </c>
      <c r="M199" s="3">
        <v>0</v>
      </c>
      <c r="N199" s="3">
        <v>0</v>
      </c>
      <c r="O199" s="3">
        <v>0</v>
      </c>
      <c r="P199" s="3"/>
      <c r="Q199" s="3">
        <v>0</v>
      </c>
    </row>
    <row r="200" spans="1:17" x14ac:dyDescent="0.25">
      <c r="A200" t="s">
        <v>221</v>
      </c>
      <c r="B200" s="3">
        <v>0</v>
      </c>
      <c r="C200" s="3">
        <v>0</v>
      </c>
      <c r="D200" s="3">
        <v>0</v>
      </c>
      <c r="L200" t="s">
        <v>221</v>
      </c>
      <c r="M200" s="3">
        <v>0</v>
      </c>
      <c r="N200" s="3">
        <v>0</v>
      </c>
      <c r="O200" s="3">
        <v>0</v>
      </c>
      <c r="P200" s="3"/>
      <c r="Q200" s="3">
        <v>0</v>
      </c>
    </row>
    <row r="201" spans="1:17" x14ac:dyDescent="0.25">
      <c r="A201" t="s">
        <v>222</v>
      </c>
      <c r="B201" s="3">
        <v>0</v>
      </c>
      <c r="C201" s="3">
        <v>0</v>
      </c>
      <c r="D201" s="3">
        <v>0</v>
      </c>
      <c r="L201" t="s">
        <v>222</v>
      </c>
      <c r="M201" s="3">
        <v>0</v>
      </c>
      <c r="N201" s="3">
        <v>0</v>
      </c>
      <c r="O201" s="3">
        <v>0</v>
      </c>
      <c r="P201" s="3"/>
      <c r="Q201" s="3">
        <v>0</v>
      </c>
    </row>
    <row r="202" spans="1:17" x14ac:dyDescent="0.25">
      <c r="A202" t="s">
        <v>223</v>
      </c>
      <c r="B202" s="3">
        <v>0</v>
      </c>
      <c r="C202" s="3">
        <v>0</v>
      </c>
      <c r="D202" s="3">
        <v>0</v>
      </c>
      <c r="L202" t="s">
        <v>223</v>
      </c>
      <c r="M202" s="3">
        <v>0</v>
      </c>
      <c r="N202" s="3">
        <v>0</v>
      </c>
      <c r="O202" s="3">
        <v>0</v>
      </c>
      <c r="P202" s="3"/>
      <c r="Q202" s="3">
        <v>0</v>
      </c>
    </row>
    <row r="203" spans="1:17" x14ac:dyDescent="0.25">
      <c r="A203" t="s">
        <v>224</v>
      </c>
      <c r="B203" s="3">
        <v>0</v>
      </c>
      <c r="C203" s="3">
        <v>0</v>
      </c>
      <c r="D203" s="3">
        <v>0</v>
      </c>
      <c r="L203" t="s">
        <v>224</v>
      </c>
      <c r="M203" s="3">
        <v>0</v>
      </c>
      <c r="N203" s="3">
        <v>0</v>
      </c>
      <c r="O203" s="3">
        <v>0</v>
      </c>
      <c r="P203" s="3"/>
      <c r="Q203" s="3">
        <v>0</v>
      </c>
    </row>
    <row r="204" spans="1:17" x14ac:dyDescent="0.25">
      <c r="A204" t="s">
        <v>225</v>
      </c>
      <c r="B204" s="3">
        <v>0</v>
      </c>
      <c r="C204" s="3">
        <v>0</v>
      </c>
      <c r="D204" s="3">
        <v>0</v>
      </c>
      <c r="L204" t="s">
        <v>225</v>
      </c>
      <c r="M204" s="3">
        <v>0</v>
      </c>
      <c r="N204" s="3">
        <v>0</v>
      </c>
      <c r="O204" s="3">
        <v>0</v>
      </c>
      <c r="P204" s="3"/>
      <c r="Q204" s="3">
        <v>0</v>
      </c>
    </row>
    <row r="205" spans="1:17" x14ac:dyDescent="0.25">
      <c r="A205" t="s">
        <v>226</v>
      </c>
      <c r="B205" s="3">
        <v>0</v>
      </c>
      <c r="C205" s="3">
        <v>0</v>
      </c>
      <c r="D205" s="3">
        <v>0</v>
      </c>
      <c r="L205" t="s">
        <v>226</v>
      </c>
      <c r="M205" s="3">
        <v>0</v>
      </c>
      <c r="N205" s="3">
        <v>0</v>
      </c>
      <c r="O205" s="3">
        <v>0</v>
      </c>
      <c r="P205" s="3"/>
      <c r="Q205" s="3">
        <v>0</v>
      </c>
    </row>
    <row r="206" spans="1:17" x14ac:dyDescent="0.25">
      <c r="A206" t="s">
        <v>227</v>
      </c>
      <c r="B206" s="3">
        <v>0</v>
      </c>
      <c r="C206" s="3">
        <v>0</v>
      </c>
      <c r="D206" s="3">
        <v>0</v>
      </c>
      <c r="L206" t="s">
        <v>227</v>
      </c>
      <c r="M206" s="3">
        <v>0</v>
      </c>
      <c r="N206" s="3">
        <v>0</v>
      </c>
      <c r="O206" s="3">
        <v>0</v>
      </c>
      <c r="P206" s="3"/>
      <c r="Q206" s="3">
        <v>0</v>
      </c>
    </row>
    <row r="207" spans="1:17" x14ac:dyDescent="0.25">
      <c r="A207" t="s">
        <v>228</v>
      </c>
      <c r="B207" s="3">
        <v>0</v>
      </c>
      <c r="C207" s="3">
        <v>0</v>
      </c>
      <c r="D207" s="3">
        <v>0</v>
      </c>
      <c r="L207" t="s">
        <v>228</v>
      </c>
      <c r="M207" s="3">
        <v>0</v>
      </c>
      <c r="N207" s="3">
        <v>0</v>
      </c>
      <c r="O207" s="3">
        <v>0</v>
      </c>
      <c r="P207" s="3"/>
      <c r="Q207" s="3">
        <v>0</v>
      </c>
    </row>
    <row r="208" spans="1:17" x14ac:dyDescent="0.25">
      <c r="A208" t="s">
        <v>229</v>
      </c>
      <c r="B208" s="3">
        <v>0</v>
      </c>
      <c r="C208" s="3">
        <v>0</v>
      </c>
      <c r="D208" s="3">
        <v>0</v>
      </c>
      <c r="L208" t="s">
        <v>229</v>
      </c>
      <c r="M208" s="3">
        <v>0</v>
      </c>
      <c r="N208" s="3">
        <v>0</v>
      </c>
      <c r="O208" s="3">
        <v>0</v>
      </c>
      <c r="P208" s="3"/>
      <c r="Q208" s="3">
        <v>0</v>
      </c>
    </row>
    <row r="209" spans="1:17" x14ac:dyDescent="0.25">
      <c r="A209" t="s">
        <v>230</v>
      </c>
      <c r="B209" s="3">
        <v>0</v>
      </c>
      <c r="C209" s="3">
        <v>0</v>
      </c>
      <c r="D209" s="3">
        <v>0</v>
      </c>
      <c r="L209" t="s">
        <v>230</v>
      </c>
      <c r="M209" s="3">
        <v>0</v>
      </c>
      <c r="N209" s="3">
        <v>0</v>
      </c>
      <c r="O209" s="3">
        <v>0</v>
      </c>
      <c r="P209" s="3"/>
      <c r="Q209" s="3">
        <v>0</v>
      </c>
    </row>
    <row r="210" spans="1:17" x14ac:dyDescent="0.25">
      <c r="A210" t="s">
        <v>231</v>
      </c>
      <c r="B210" s="3">
        <v>0</v>
      </c>
      <c r="C210" s="3">
        <v>0</v>
      </c>
      <c r="D210" s="3">
        <v>0</v>
      </c>
      <c r="L210" t="s">
        <v>231</v>
      </c>
      <c r="M210" s="3">
        <v>0</v>
      </c>
      <c r="N210" s="3">
        <v>0</v>
      </c>
      <c r="O210" s="3">
        <v>0</v>
      </c>
      <c r="P210" s="3"/>
      <c r="Q210" s="3">
        <v>0</v>
      </c>
    </row>
    <row r="211" spans="1:17" x14ac:dyDescent="0.25">
      <c r="A211" t="s">
        <v>232</v>
      </c>
      <c r="B211" s="3">
        <v>0</v>
      </c>
      <c r="C211" s="3">
        <v>0</v>
      </c>
      <c r="D211" s="3">
        <v>0</v>
      </c>
      <c r="L211" t="s">
        <v>232</v>
      </c>
      <c r="M211" s="3">
        <v>0</v>
      </c>
      <c r="N211" s="3">
        <v>0</v>
      </c>
      <c r="O211" s="3">
        <v>0</v>
      </c>
      <c r="P211" s="3"/>
      <c r="Q211" s="3">
        <v>0</v>
      </c>
    </row>
    <row r="212" spans="1:17" x14ac:dyDescent="0.25">
      <c r="A212" t="s">
        <v>233</v>
      </c>
      <c r="B212" s="3">
        <v>0</v>
      </c>
      <c r="C212" s="3">
        <v>0</v>
      </c>
      <c r="D212" s="3">
        <v>0</v>
      </c>
      <c r="L212" t="s">
        <v>233</v>
      </c>
      <c r="M212" s="3">
        <v>0</v>
      </c>
      <c r="N212" s="3">
        <v>0</v>
      </c>
      <c r="O212" s="3">
        <v>0</v>
      </c>
      <c r="P212" s="3"/>
      <c r="Q212" s="3">
        <v>0</v>
      </c>
    </row>
    <row r="213" spans="1:17" x14ac:dyDescent="0.25">
      <c r="A213" t="s">
        <v>234</v>
      </c>
      <c r="B213" s="3">
        <v>0</v>
      </c>
      <c r="C213" s="3">
        <v>0</v>
      </c>
      <c r="D213" s="3">
        <v>0</v>
      </c>
      <c r="L213" t="s">
        <v>234</v>
      </c>
      <c r="M213" s="3">
        <v>0</v>
      </c>
      <c r="N213" s="3">
        <v>0</v>
      </c>
      <c r="O213" s="3">
        <v>0</v>
      </c>
      <c r="P213" s="3"/>
      <c r="Q213" s="3">
        <v>0</v>
      </c>
    </row>
    <row r="214" spans="1:17" x14ac:dyDescent="0.25">
      <c r="A214" t="s">
        <v>235</v>
      </c>
      <c r="B214" s="3">
        <v>0</v>
      </c>
      <c r="C214" s="3">
        <v>0</v>
      </c>
      <c r="D214" s="3">
        <v>0</v>
      </c>
      <c r="L214" t="s">
        <v>235</v>
      </c>
      <c r="M214" s="3">
        <v>0</v>
      </c>
      <c r="N214" s="3">
        <v>0</v>
      </c>
      <c r="O214" s="3">
        <v>0</v>
      </c>
      <c r="P214" s="3"/>
      <c r="Q214" s="3">
        <v>0</v>
      </c>
    </row>
    <row r="215" spans="1:17" x14ac:dyDescent="0.25">
      <c r="A215" t="s">
        <v>236</v>
      </c>
      <c r="B215" s="3">
        <v>0</v>
      </c>
      <c r="C215" s="3">
        <v>0</v>
      </c>
      <c r="D215" s="3">
        <v>0</v>
      </c>
      <c r="L215" t="s">
        <v>236</v>
      </c>
      <c r="M215" s="3">
        <v>0</v>
      </c>
      <c r="N215" s="3">
        <v>0</v>
      </c>
      <c r="O215" s="3">
        <v>0</v>
      </c>
      <c r="P215" s="3"/>
      <c r="Q215" s="3">
        <v>0</v>
      </c>
    </row>
    <row r="216" spans="1:17" x14ac:dyDescent="0.25">
      <c r="A216" t="s">
        <v>11</v>
      </c>
      <c r="B216" s="3">
        <v>81730482.890000015</v>
      </c>
      <c r="C216" s="3">
        <v>16875869.200000007</v>
      </c>
      <c r="D216" s="3">
        <v>98606352.089999944</v>
      </c>
      <c r="L216" t="s">
        <v>11</v>
      </c>
      <c r="M216" s="3">
        <v>97904077.675199956</v>
      </c>
      <c r="N216" s="3">
        <v>760895785.70419896</v>
      </c>
      <c r="O216" s="3">
        <v>157513055.20010006</v>
      </c>
      <c r="P216" s="3">
        <v>0</v>
      </c>
      <c r="Q216" s="3">
        <v>1016312918.5794983</v>
      </c>
    </row>
  </sheetData>
  <mergeCells count="1">
    <mergeCell ref="F6:J6"/>
  </mergeCells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B514-D975-4906-9FF9-97CD90D2FE16}">
  <dimension ref="B1:H151"/>
  <sheetViews>
    <sheetView workbookViewId="0">
      <selection activeCell="T31" sqref="T31"/>
    </sheetView>
  </sheetViews>
  <sheetFormatPr defaultRowHeight="15" x14ac:dyDescent="0.25"/>
  <cols>
    <col min="2" max="2" width="10.42578125" bestFit="1" customWidth="1"/>
    <col min="3" max="3" width="10.140625" bestFit="1" customWidth="1"/>
    <col min="4" max="4" width="11.140625" bestFit="1" customWidth="1"/>
    <col min="5" max="6" width="10.140625" bestFit="1" customWidth="1"/>
    <col min="7" max="7" width="9.140625" style="39"/>
  </cols>
  <sheetData>
    <row r="1" spans="2:8" x14ac:dyDescent="0.25">
      <c r="B1" s="37" t="s">
        <v>126</v>
      </c>
      <c r="C1" s="37" t="s">
        <v>21</v>
      </c>
      <c r="D1" s="37" t="s">
        <v>15</v>
      </c>
      <c r="E1" s="37" t="s">
        <v>16</v>
      </c>
      <c r="F1" s="15" t="s">
        <v>20</v>
      </c>
      <c r="G1" s="38" t="s">
        <v>278</v>
      </c>
      <c r="H1" s="40" t="s">
        <v>279</v>
      </c>
    </row>
    <row r="2" spans="2:8" x14ac:dyDescent="0.25">
      <c r="B2" s="1" t="s">
        <v>127</v>
      </c>
      <c r="C2" s="3">
        <v>376905.35710000049</v>
      </c>
      <c r="D2" s="3">
        <v>6851992.2859999985</v>
      </c>
      <c r="E2" s="3">
        <v>2155136.5704999967</v>
      </c>
      <c r="F2" s="3">
        <f>SUM(C2:E2)</f>
        <v>9384034.2135999948</v>
      </c>
      <c r="G2" s="39">
        <f>C2/F2</f>
        <v>4.0164533559965396E-2</v>
      </c>
    </row>
    <row r="3" spans="2:8" x14ac:dyDescent="0.25">
      <c r="B3" s="1" t="s">
        <v>128</v>
      </c>
      <c r="C3" s="3">
        <v>138197.54529999985</v>
      </c>
      <c r="D3" s="3">
        <v>3523042.4206999945</v>
      </c>
      <c r="E3" s="3">
        <v>487672.0327000001</v>
      </c>
      <c r="F3" s="3">
        <f t="shared" ref="F3:F66" si="0">SUM(C3:E3)</f>
        <v>4148911.9986999948</v>
      </c>
      <c r="G3" s="39">
        <f t="shared" ref="G3:G66" si="1">C3/F3</f>
        <v>3.3309346002832113E-2</v>
      </c>
    </row>
    <row r="4" spans="2:8" x14ac:dyDescent="0.25">
      <c r="B4" s="1" t="s">
        <v>129</v>
      </c>
      <c r="C4" s="3">
        <v>141073.46409999992</v>
      </c>
      <c r="D4" s="3">
        <v>3877218.1761000021</v>
      </c>
      <c r="E4" s="3">
        <v>622969.50149999978</v>
      </c>
      <c r="F4" s="3">
        <f t="shared" si="0"/>
        <v>4641261.1417000014</v>
      </c>
      <c r="G4" s="39">
        <f t="shared" si="1"/>
        <v>3.0395502384579793E-2</v>
      </c>
    </row>
    <row r="5" spans="2:8" x14ac:dyDescent="0.25">
      <c r="B5" s="1" t="s">
        <v>130</v>
      </c>
      <c r="C5" s="3">
        <v>242571.17139999976</v>
      </c>
      <c r="D5" s="3">
        <v>5286957.8099999968</v>
      </c>
      <c r="E5" s="3">
        <v>843955.33309999749</v>
      </c>
      <c r="F5" s="3">
        <f t="shared" si="0"/>
        <v>6373484.3144999938</v>
      </c>
      <c r="G5" s="39">
        <f t="shared" si="1"/>
        <v>3.8059428631233669E-2</v>
      </c>
    </row>
    <row r="6" spans="2:8" x14ac:dyDescent="0.25">
      <c r="B6" s="1" t="s">
        <v>131</v>
      </c>
      <c r="C6" s="3">
        <v>268468.50800000003</v>
      </c>
      <c r="D6" s="3">
        <v>5772565.3386999927</v>
      </c>
      <c r="E6" s="3">
        <v>1136353.2589000047</v>
      </c>
      <c r="F6" s="3">
        <f t="shared" si="0"/>
        <v>7177387.1055999976</v>
      </c>
      <c r="G6" s="39">
        <f t="shared" si="1"/>
        <v>3.7404769179933656E-2</v>
      </c>
    </row>
    <row r="7" spans="2:8" x14ac:dyDescent="0.25">
      <c r="B7" s="1" t="s">
        <v>132</v>
      </c>
      <c r="C7" s="3">
        <v>349721.10919999977</v>
      </c>
      <c r="D7" s="3">
        <v>5676214.1522999816</v>
      </c>
      <c r="E7" s="3">
        <v>1094373.2122999954</v>
      </c>
      <c r="F7" s="3">
        <f t="shared" si="0"/>
        <v>7120308.4737999765</v>
      </c>
      <c r="G7" s="39">
        <f t="shared" si="1"/>
        <v>4.9116005365054095E-2</v>
      </c>
    </row>
    <row r="8" spans="2:8" x14ac:dyDescent="0.25">
      <c r="B8" s="1" t="s">
        <v>133</v>
      </c>
      <c r="C8" s="3">
        <v>265584.27429999982</v>
      </c>
      <c r="D8" s="3">
        <v>4320967.4413999878</v>
      </c>
      <c r="E8" s="3">
        <v>869353.62589999766</v>
      </c>
      <c r="F8" s="3">
        <f t="shared" si="0"/>
        <v>5455905.341599985</v>
      </c>
      <c r="G8" s="39">
        <f t="shared" si="1"/>
        <v>4.8678314169966014E-2</v>
      </c>
    </row>
    <row r="9" spans="2:8" x14ac:dyDescent="0.25">
      <c r="B9" s="1" t="s">
        <v>134</v>
      </c>
      <c r="C9" s="3">
        <v>370461.4651999987</v>
      </c>
      <c r="D9" s="3">
        <v>12389581.555499978</v>
      </c>
      <c r="E9" s="3">
        <v>3860922.3535000025</v>
      </c>
      <c r="F9" s="3">
        <f t="shared" si="0"/>
        <v>16620965.374199981</v>
      </c>
      <c r="G9" s="39">
        <f t="shared" si="1"/>
        <v>2.2288805545257334E-2</v>
      </c>
    </row>
    <row r="10" spans="2:8" x14ac:dyDescent="0.25">
      <c r="B10" s="1" t="s">
        <v>135</v>
      </c>
      <c r="C10" s="3">
        <v>303091.62859999959</v>
      </c>
      <c r="D10" s="3">
        <v>6005461.4446999934</v>
      </c>
      <c r="E10" s="3">
        <v>2231137.42940001</v>
      </c>
      <c r="F10" s="3">
        <f t="shared" si="0"/>
        <v>8539690.5027000029</v>
      </c>
      <c r="G10" s="39">
        <f t="shared" si="1"/>
        <v>3.5492109287118871E-2</v>
      </c>
    </row>
    <row r="11" spans="2:8" x14ac:dyDescent="0.25">
      <c r="B11" s="1" t="s">
        <v>136</v>
      </c>
      <c r="C11" s="3">
        <v>145182.65309999991</v>
      </c>
      <c r="D11" s="3">
        <v>3073912.9037999995</v>
      </c>
      <c r="E11" s="3">
        <v>601991.75540000142</v>
      </c>
      <c r="F11" s="3">
        <f t="shared" si="0"/>
        <v>3821087.3123000008</v>
      </c>
      <c r="G11" s="39">
        <f t="shared" si="1"/>
        <v>3.7995115325593312E-2</v>
      </c>
    </row>
    <row r="12" spans="2:8" x14ac:dyDescent="0.25">
      <c r="B12" s="1" t="s">
        <v>137</v>
      </c>
      <c r="C12" s="3">
        <v>136993.79939999999</v>
      </c>
      <c r="D12" s="3">
        <v>3264059.7514999844</v>
      </c>
      <c r="E12" s="3">
        <v>586222.72440000158</v>
      </c>
      <c r="F12" s="3">
        <f t="shared" si="0"/>
        <v>3987276.2752999859</v>
      </c>
      <c r="G12" s="39">
        <f t="shared" si="1"/>
        <v>3.4357739454533569E-2</v>
      </c>
    </row>
    <row r="13" spans="2:8" x14ac:dyDescent="0.25">
      <c r="B13" s="1" t="s">
        <v>138</v>
      </c>
      <c r="C13" s="3">
        <v>172183.66350000011</v>
      </c>
      <c r="D13" s="3">
        <v>4131597.453100007</v>
      </c>
      <c r="E13" s="3">
        <v>883862.86110000056</v>
      </c>
      <c r="F13" s="3">
        <f t="shared" si="0"/>
        <v>5187643.9777000071</v>
      </c>
      <c r="G13" s="39">
        <f t="shared" si="1"/>
        <v>3.3191110307523343E-2</v>
      </c>
    </row>
    <row r="14" spans="2:8" x14ac:dyDescent="0.25">
      <c r="B14" s="1" t="s">
        <v>139</v>
      </c>
      <c r="C14" s="3">
        <v>472899.15529999987</v>
      </c>
      <c r="D14" s="3">
        <v>9467931.6934999786</v>
      </c>
      <c r="E14" s="3">
        <v>2540040.169199999</v>
      </c>
      <c r="F14" s="3">
        <f t="shared" si="0"/>
        <v>12480871.017999979</v>
      </c>
      <c r="G14" s="39">
        <f t="shared" si="1"/>
        <v>3.7889916065792381E-2</v>
      </c>
      <c r="H14" s="41">
        <f>AVERAGE(G2:G14)</f>
        <v>3.6795591944567968E-2</v>
      </c>
    </row>
    <row r="15" spans="2:8" x14ac:dyDescent="0.25">
      <c r="B15" s="1" t="s">
        <v>140</v>
      </c>
      <c r="C15" s="3">
        <v>239614.30160000009</v>
      </c>
      <c r="D15" s="3">
        <v>6514097.2448999919</v>
      </c>
      <c r="E15" s="3">
        <v>1270651.9957000017</v>
      </c>
      <c r="F15" s="3">
        <f t="shared" si="0"/>
        <v>8024363.5421999935</v>
      </c>
      <c r="G15" s="39">
        <f t="shared" si="1"/>
        <v>2.9860848195607352E-2</v>
      </c>
      <c r="H15" s="41">
        <f t="shared" ref="H15:H78" si="2">AVERAGE(G3:G15)</f>
        <v>3.6003000762694276E-2</v>
      </c>
    </row>
    <row r="16" spans="2:8" x14ac:dyDescent="0.25">
      <c r="B16" s="1" t="s">
        <v>141</v>
      </c>
      <c r="C16" s="3">
        <v>248546.66429999983</v>
      </c>
      <c r="D16" s="3">
        <v>5866689.5586000066</v>
      </c>
      <c r="E16" s="3">
        <v>1148658.4001000018</v>
      </c>
      <c r="F16" s="3">
        <f t="shared" si="0"/>
        <v>7263894.623000009</v>
      </c>
      <c r="G16" s="39">
        <f t="shared" si="1"/>
        <v>3.4216722185508433E-2</v>
      </c>
      <c r="H16" s="41">
        <f t="shared" si="2"/>
        <v>3.6072798930592447E-2</v>
      </c>
    </row>
    <row r="17" spans="2:8" x14ac:dyDescent="0.25">
      <c r="B17" s="1" t="s">
        <v>142</v>
      </c>
      <c r="C17" s="3">
        <v>235754.62039999978</v>
      </c>
      <c r="D17" s="3">
        <v>5354660.9815000053</v>
      </c>
      <c r="E17" s="3">
        <v>909050.64529999939</v>
      </c>
      <c r="F17" s="3">
        <f t="shared" si="0"/>
        <v>6499466.2472000038</v>
      </c>
      <c r="G17" s="39">
        <f t="shared" si="1"/>
        <v>3.6272920180416938E-2</v>
      </c>
      <c r="H17" s="41">
        <f t="shared" si="2"/>
        <v>3.6524907991810691E-2</v>
      </c>
    </row>
    <row r="18" spans="2:8" x14ac:dyDescent="0.25">
      <c r="B18" s="1" t="s">
        <v>143</v>
      </c>
      <c r="C18" s="3">
        <v>432990.32509999949</v>
      </c>
      <c r="D18" s="3">
        <v>8756099.532300014</v>
      </c>
      <c r="E18" s="3">
        <v>1579864.6656999988</v>
      </c>
      <c r="F18" s="3">
        <f t="shared" si="0"/>
        <v>10768954.523100011</v>
      </c>
      <c r="G18" s="39">
        <f t="shared" si="1"/>
        <v>4.0207275847549635E-2</v>
      </c>
      <c r="H18" s="41">
        <f t="shared" si="2"/>
        <v>3.6690127008450382E-2</v>
      </c>
    </row>
    <row r="19" spans="2:8" x14ac:dyDescent="0.25">
      <c r="B19" s="1" t="s">
        <v>144</v>
      </c>
      <c r="C19" s="3">
        <v>306095.55309999996</v>
      </c>
      <c r="D19" s="3">
        <v>5733066.8522999855</v>
      </c>
      <c r="E19" s="3">
        <v>1243801.6810999981</v>
      </c>
      <c r="F19" s="3">
        <f t="shared" si="0"/>
        <v>7282964.0864999834</v>
      </c>
      <c r="G19" s="39">
        <f t="shared" si="1"/>
        <v>4.2028980160343218E-2</v>
      </c>
      <c r="H19" s="41">
        <f t="shared" si="2"/>
        <v>3.7045835545404963E-2</v>
      </c>
    </row>
    <row r="20" spans="2:8" x14ac:dyDescent="0.25">
      <c r="B20" s="1" t="s">
        <v>145</v>
      </c>
      <c r="C20" s="3">
        <v>187854.15469999975</v>
      </c>
      <c r="D20" s="3">
        <v>3028157.1777999951</v>
      </c>
      <c r="E20" s="3">
        <v>449228.47160000051</v>
      </c>
      <c r="F20" s="3">
        <f t="shared" si="0"/>
        <v>3665239.8040999956</v>
      </c>
      <c r="G20" s="39">
        <f t="shared" si="1"/>
        <v>5.1252896056040616E-2</v>
      </c>
      <c r="H20" s="41">
        <f t="shared" si="2"/>
        <v>3.7210211752403924E-2</v>
      </c>
    </row>
    <row r="21" spans="2:8" x14ac:dyDescent="0.25">
      <c r="B21" s="1" t="s">
        <v>146</v>
      </c>
      <c r="C21" s="3">
        <v>539772.72849999822</v>
      </c>
      <c r="D21" s="3">
        <v>5624638.6955999499</v>
      </c>
      <c r="E21" s="3">
        <v>1470143.3501000032</v>
      </c>
      <c r="F21" s="3">
        <f t="shared" si="0"/>
        <v>7634554.7741999514</v>
      </c>
      <c r="G21" s="39">
        <f t="shared" si="1"/>
        <v>7.0701271320247047E-2</v>
      </c>
      <c r="H21" s="41">
        <f t="shared" si="2"/>
        <v>3.8904285379348619E-2</v>
      </c>
    </row>
    <row r="22" spans="2:8" x14ac:dyDescent="0.25">
      <c r="B22" s="1" t="s">
        <v>147</v>
      </c>
      <c r="C22" s="3">
        <v>176029.32740000001</v>
      </c>
      <c r="D22" s="3">
        <v>2784606.5171999917</v>
      </c>
      <c r="E22" s="3">
        <v>374787.26159999997</v>
      </c>
      <c r="F22" s="3">
        <f t="shared" si="0"/>
        <v>3335423.1061999914</v>
      </c>
      <c r="G22" s="39">
        <f t="shared" si="1"/>
        <v>5.277571144506106E-2</v>
      </c>
      <c r="H22" s="41">
        <f t="shared" si="2"/>
        <v>4.1249431987025832E-2</v>
      </c>
    </row>
    <row r="23" spans="2:8" x14ac:dyDescent="0.25">
      <c r="B23" s="1" t="s">
        <v>148</v>
      </c>
      <c r="C23" s="3">
        <v>232186.74419999958</v>
      </c>
      <c r="D23" s="3">
        <v>3831827.8050999898</v>
      </c>
      <c r="E23" s="3">
        <v>450150.79319999926</v>
      </c>
      <c r="F23" s="3">
        <f t="shared" si="0"/>
        <v>4514165.3424999882</v>
      </c>
      <c r="G23" s="39">
        <f t="shared" si="1"/>
        <v>5.1435143948762037E-2</v>
      </c>
      <c r="H23" s="41">
        <f t="shared" si="2"/>
        <v>4.2475819268690693E-2</v>
      </c>
    </row>
    <row r="24" spans="2:8" x14ac:dyDescent="0.25">
      <c r="B24" s="1" t="s">
        <v>149</v>
      </c>
      <c r="C24" s="3">
        <v>151659.33610000019</v>
      </c>
      <c r="D24" s="3">
        <v>3063403.4844000014</v>
      </c>
      <c r="E24" s="3">
        <v>416725.24120000022</v>
      </c>
      <c r="F24" s="3">
        <f t="shared" si="0"/>
        <v>3631788.0617000014</v>
      </c>
      <c r="G24" s="39">
        <f t="shared" si="1"/>
        <v>4.1758861894878874E-2</v>
      </c>
      <c r="H24" s="41">
        <f t="shared" si="2"/>
        <v>4.2765338235558809E-2</v>
      </c>
    </row>
    <row r="25" spans="2:8" x14ac:dyDescent="0.25">
      <c r="B25" s="1" t="s">
        <v>150</v>
      </c>
      <c r="C25" s="3">
        <v>170136.09930000003</v>
      </c>
      <c r="D25" s="3">
        <v>4409788.0632000081</v>
      </c>
      <c r="E25" s="3">
        <v>667906.65840000217</v>
      </c>
      <c r="F25" s="3">
        <f t="shared" si="0"/>
        <v>5247830.8209000099</v>
      </c>
      <c r="G25" s="39">
        <f t="shared" si="1"/>
        <v>3.2420271366678979E-2</v>
      </c>
      <c r="H25" s="41">
        <f t="shared" si="2"/>
        <v>4.2616302228800765E-2</v>
      </c>
    </row>
    <row r="26" spans="2:8" x14ac:dyDescent="0.25">
      <c r="B26" s="1" t="s">
        <v>151</v>
      </c>
      <c r="C26" s="3">
        <v>186129.23619999969</v>
      </c>
      <c r="D26" s="3">
        <v>3466156.6770000076</v>
      </c>
      <c r="E26" s="3">
        <v>538709.36779999896</v>
      </c>
      <c r="F26" s="3">
        <f t="shared" si="0"/>
        <v>4190995.281000006</v>
      </c>
      <c r="G26" s="39">
        <f t="shared" si="1"/>
        <v>4.4411702643479885E-2</v>
      </c>
      <c r="H26" s="41">
        <f t="shared" si="2"/>
        <v>4.347942471618204E-2</v>
      </c>
    </row>
    <row r="27" spans="2:8" x14ac:dyDescent="0.25">
      <c r="B27" s="1" t="s">
        <v>152</v>
      </c>
      <c r="C27" s="3">
        <v>175506.11700000011</v>
      </c>
      <c r="D27" s="3">
        <v>3078491.3299000124</v>
      </c>
      <c r="E27" s="3">
        <v>709650.51860000018</v>
      </c>
      <c r="F27" s="3">
        <f t="shared" si="0"/>
        <v>3963647.9655000125</v>
      </c>
      <c r="G27" s="39">
        <f t="shared" si="1"/>
        <v>4.427893660779738E-2</v>
      </c>
      <c r="H27" s="41">
        <f t="shared" si="2"/>
        <v>4.3970887834797807E-2</v>
      </c>
    </row>
    <row r="28" spans="2:8" x14ac:dyDescent="0.25">
      <c r="B28" s="1" t="s">
        <v>153</v>
      </c>
      <c r="C28" s="3">
        <v>274765.31799999997</v>
      </c>
      <c r="D28" s="3">
        <v>4286026.0176999839</v>
      </c>
      <c r="E28" s="3">
        <v>605343.90690000087</v>
      </c>
      <c r="F28" s="3">
        <f t="shared" si="0"/>
        <v>5166135.2425999846</v>
      </c>
      <c r="G28" s="39">
        <f t="shared" si="1"/>
        <v>5.3185854627707647E-2</v>
      </c>
      <c r="H28" s="41">
        <f t="shared" si="2"/>
        <v>4.5765119098805512E-2</v>
      </c>
    </row>
    <row r="29" spans="2:8" x14ac:dyDescent="0.25">
      <c r="B29" s="1" t="s">
        <v>154</v>
      </c>
      <c r="C29" s="3">
        <v>235413.90989999991</v>
      </c>
      <c r="D29" s="3">
        <v>3722821.6121000126</v>
      </c>
      <c r="E29" s="3">
        <v>641555.64420000033</v>
      </c>
      <c r="F29" s="3">
        <f t="shared" si="0"/>
        <v>4599791.1662000129</v>
      </c>
      <c r="G29" s="39">
        <f t="shared" si="1"/>
        <v>5.1179260404224054E-2</v>
      </c>
      <c r="H29" s="41">
        <f t="shared" si="2"/>
        <v>4.7069929731014412E-2</v>
      </c>
    </row>
    <row r="30" spans="2:8" x14ac:dyDescent="0.25">
      <c r="B30" s="1" t="s">
        <v>155</v>
      </c>
      <c r="C30" s="3">
        <v>290838.79769999965</v>
      </c>
      <c r="D30" s="3">
        <v>4399442.8873999901</v>
      </c>
      <c r="E30" s="3">
        <v>540104.20990000071</v>
      </c>
      <c r="F30" s="3">
        <f t="shared" si="0"/>
        <v>5230385.8949999912</v>
      </c>
      <c r="G30" s="39">
        <f t="shared" si="1"/>
        <v>5.5605609899267314E-2</v>
      </c>
      <c r="H30" s="41">
        <f t="shared" si="2"/>
        <v>4.8557059709387514E-2</v>
      </c>
    </row>
    <row r="31" spans="2:8" x14ac:dyDescent="0.25">
      <c r="B31" s="1" t="s">
        <v>156</v>
      </c>
      <c r="C31" s="3">
        <v>333149.16139999975</v>
      </c>
      <c r="D31" s="3">
        <v>4339266.1290000193</v>
      </c>
      <c r="E31" s="3">
        <v>873560.86969999946</v>
      </c>
      <c r="F31" s="3">
        <f t="shared" si="0"/>
        <v>5545976.1601000186</v>
      </c>
      <c r="G31" s="39">
        <f t="shared" si="1"/>
        <v>6.007042796123227E-2</v>
      </c>
      <c r="H31" s="41">
        <f t="shared" si="2"/>
        <v>5.0084994487363109E-2</v>
      </c>
    </row>
    <row r="32" spans="2:8" x14ac:dyDescent="0.25">
      <c r="B32" s="1" t="s">
        <v>157</v>
      </c>
      <c r="C32" s="3">
        <v>261632.53559999971</v>
      </c>
      <c r="D32" s="3">
        <v>5537169.5162999816</v>
      </c>
      <c r="E32" s="3">
        <v>806753.40460000001</v>
      </c>
      <c r="F32" s="3">
        <f t="shared" si="0"/>
        <v>6605555.4564999817</v>
      </c>
      <c r="G32" s="39">
        <f t="shared" si="1"/>
        <v>3.9607953838696294E-2</v>
      </c>
      <c r="H32" s="41">
        <f t="shared" si="2"/>
        <v>4.9898761693390262E-2</v>
      </c>
    </row>
    <row r="33" spans="2:8" x14ac:dyDescent="0.25">
      <c r="B33" s="1" t="s">
        <v>158</v>
      </c>
      <c r="C33" s="3">
        <v>235949.89839999998</v>
      </c>
      <c r="D33" s="3">
        <v>3145647.0681999894</v>
      </c>
      <c r="E33" s="3">
        <v>426337.72410000011</v>
      </c>
      <c r="F33" s="3">
        <f t="shared" si="0"/>
        <v>3807934.6906999894</v>
      </c>
      <c r="G33" s="39">
        <f t="shared" si="1"/>
        <v>6.1962695677594916E-2</v>
      </c>
      <c r="H33" s="41">
        <f t="shared" si="2"/>
        <v>5.0722592433509822E-2</v>
      </c>
    </row>
    <row r="34" spans="2:8" x14ac:dyDescent="0.25">
      <c r="B34" s="1" t="s">
        <v>159</v>
      </c>
      <c r="C34" s="3">
        <v>304883.72670000017</v>
      </c>
      <c r="D34" s="3">
        <v>4896887.6644999897</v>
      </c>
      <c r="E34" s="3">
        <v>947471.02139999857</v>
      </c>
      <c r="F34" s="3">
        <f t="shared" si="0"/>
        <v>6149242.4125999883</v>
      </c>
      <c r="G34" s="39">
        <f t="shared" si="1"/>
        <v>4.958069730269276E-2</v>
      </c>
      <c r="H34" s="41">
        <f t="shared" si="2"/>
        <v>4.9097932893697967E-2</v>
      </c>
    </row>
    <row r="35" spans="2:8" x14ac:dyDescent="0.25">
      <c r="B35" s="1" t="s">
        <v>160</v>
      </c>
      <c r="C35" s="3">
        <v>603104.62800000049</v>
      </c>
      <c r="D35" s="3">
        <v>7462656.6203999706</v>
      </c>
      <c r="E35" s="3">
        <v>1991408.8390999977</v>
      </c>
      <c r="F35" s="3">
        <f t="shared" si="0"/>
        <v>10057170.087499969</v>
      </c>
      <c r="G35" s="39">
        <f t="shared" si="1"/>
        <v>5.9967627349725119E-2</v>
      </c>
      <c r="H35" s="41">
        <f t="shared" si="2"/>
        <v>4.9651157194056737E-2</v>
      </c>
    </row>
    <row r="36" spans="2:8" x14ac:dyDescent="0.25">
      <c r="B36" s="1" t="s">
        <v>161</v>
      </c>
      <c r="C36" s="3">
        <v>486831.19919999968</v>
      </c>
      <c r="D36" s="3">
        <v>6435460.9035999654</v>
      </c>
      <c r="E36" s="3">
        <v>1495992.4904000042</v>
      </c>
      <c r="F36" s="3">
        <f t="shared" si="0"/>
        <v>8418284.5931999683</v>
      </c>
      <c r="G36" s="39">
        <f t="shared" si="1"/>
        <v>5.7830213959889992E-2</v>
      </c>
      <c r="H36" s="41">
        <f t="shared" si="2"/>
        <v>5.0143085656451196E-2</v>
      </c>
    </row>
    <row r="37" spans="2:8" x14ac:dyDescent="0.25">
      <c r="B37" s="1" t="s">
        <v>162</v>
      </c>
      <c r="C37" s="3">
        <v>407979.28170000098</v>
      </c>
      <c r="D37" s="3">
        <v>6182961.4966999656</v>
      </c>
      <c r="E37" s="3">
        <v>1120879.3270000014</v>
      </c>
      <c r="F37" s="3">
        <f t="shared" si="0"/>
        <v>7711820.1053999681</v>
      </c>
      <c r="G37" s="39">
        <f t="shared" si="1"/>
        <v>5.2903111862571309E-2</v>
      </c>
      <c r="H37" s="41">
        <f t="shared" si="2"/>
        <v>5.1000335653966E-2</v>
      </c>
    </row>
    <row r="38" spans="2:8" x14ac:dyDescent="0.25">
      <c r="B38" s="1" t="s">
        <v>163</v>
      </c>
      <c r="C38" s="3">
        <v>389434.49910000066</v>
      </c>
      <c r="D38" s="3">
        <v>6934444.3226999817</v>
      </c>
      <c r="E38" s="3">
        <v>1238711.7853000041</v>
      </c>
      <c r="F38" s="3">
        <f t="shared" si="0"/>
        <v>8562590.6070999857</v>
      </c>
      <c r="G38" s="39">
        <f t="shared" si="1"/>
        <v>4.548092008242071E-2</v>
      </c>
      <c r="H38" s="41">
        <f t="shared" si="2"/>
        <v>5.2005000939792281E-2</v>
      </c>
    </row>
    <row r="39" spans="2:8" x14ac:dyDescent="0.25">
      <c r="B39" s="1" t="s">
        <v>164</v>
      </c>
      <c r="C39" s="3">
        <v>445573.06480000081</v>
      </c>
      <c r="D39" s="3">
        <v>7611533.8645999637</v>
      </c>
      <c r="E39" s="3">
        <v>1469795.1285000015</v>
      </c>
      <c r="F39" s="3">
        <f t="shared" si="0"/>
        <v>9526902.0578999668</v>
      </c>
      <c r="G39" s="39">
        <f t="shared" si="1"/>
        <v>4.6769984837885414E-2</v>
      </c>
      <c r="H39" s="41">
        <f t="shared" si="2"/>
        <v>5.2186407262438866E-2</v>
      </c>
    </row>
    <row r="40" spans="2:8" x14ac:dyDescent="0.25">
      <c r="B40" s="1" t="s">
        <v>165</v>
      </c>
      <c r="C40" s="3">
        <v>879734.10010000051</v>
      </c>
      <c r="D40" s="3">
        <v>13298213.421499837</v>
      </c>
      <c r="E40" s="3">
        <v>2880357.254099993</v>
      </c>
      <c r="F40" s="3">
        <f t="shared" si="0"/>
        <v>17058304.775699832</v>
      </c>
      <c r="G40" s="39">
        <f t="shared" si="1"/>
        <v>5.1572187955816882E-2</v>
      </c>
      <c r="H40" s="41">
        <f t="shared" si="2"/>
        <v>5.2747426596901896E-2</v>
      </c>
    </row>
    <row r="41" spans="2:8" x14ac:dyDescent="0.25">
      <c r="B41" s="1" t="s">
        <v>166</v>
      </c>
      <c r="C41" s="3">
        <v>480308.59220000089</v>
      </c>
      <c r="D41" s="3">
        <v>4374888.2872999944</v>
      </c>
      <c r="E41" s="3">
        <v>946826.03690000041</v>
      </c>
      <c r="F41" s="3">
        <f t="shared" si="0"/>
        <v>5802022.9163999958</v>
      </c>
      <c r="G41" s="39">
        <f t="shared" si="1"/>
        <v>8.2782953311397789E-2</v>
      </c>
      <c r="H41" s="41">
        <f t="shared" si="2"/>
        <v>5.5024126495647287E-2</v>
      </c>
    </row>
    <row r="42" spans="2:8" x14ac:dyDescent="0.25">
      <c r="B42" s="1" t="s">
        <v>167</v>
      </c>
      <c r="C42" s="3">
        <v>411064.81879999995</v>
      </c>
      <c r="D42" s="3">
        <v>3212266.4441999989</v>
      </c>
      <c r="E42" s="3">
        <v>438706.33200000081</v>
      </c>
      <c r="F42" s="3">
        <f t="shared" si="0"/>
        <v>4062037.5949999997</v>
      </c>
      <c r="G42" s="39">
        <f t="shared" si="1"/>
        <v>0.10119670465531473</v>
      </c>
      <c r="H42" s="41">
        <f t="shared" si="2"/>
        <v>5.8871622207269644E-2</v>
      </c>
    </row>
    <row r="43" spans="2:8" x14ac:dyDescent="0.25">
      <c r="B43" s="1" t="s">
        <v>168</v>
      </c>
      <c r="C43" s="3">
        <v>797063.31049999723</v>
      </c>
      <c r="D43" s="3">
        <v>4937921.666699972</v>
      </c>
      <c r="E43" s="3">
        <v>1076143.1926999991</v>
      </c>
      <c r="F43" s="3">
        <f t="shared" si="0"/>
        <v>6811128.1698999684</v>
      </c>
      <c r="G43" s="39">
        <f t="shared" si="1"/>
        <v>0.11702368397975739</v>
      </c>
      <c r="H43" s="41">
        <f t="shared" si="2"/>
        <v>6.3596089444230425E-2</v>
      </c>
    </row>
    <row r="44" spans="2:8" x14ac:dyDescent="0.25">
      <c r="B44" s="1" t="s">
        <v>169</v>
      </c>
      <c r="C44" s="3">
        <v>715551.98439999868</v>
      </c>
      <c r="D44" s="3">
        <v>4730578.7612999957</v>
      </c>
      <c r="E44" s="3">
        <v>986634.2926999979</v>
      </c>
      <c r="F44" s="3">
        <f t="shared" si="0"/>
        <v>6432765.0383999925</v>
      </c>
      <c r="G44" s="39">
        <f t="shared" si="1"/>
        <v>0.11123552315816844</v>
      </c>
      <c r="H44" s="41">
        <f t="shared" si="2"/>
        <v>6.7531865997840904E-2</v>
      </c>
    </row>
    <row r="45" spans="2:8" x14ac:dyDescent="0.25">
      <c r="B45" s="1" t="s">
        <v>170</v>
      </c>
      <c r="C45" s="3">
        <v>535441.36739999964</v>
      </c>
      <c r="D45" s="3">
        <v>4662371.2223999891</v>
      </c>
      <c r="E45" s="3">
        <v>677002.16749999998</v>
      </c>
      <c r="F45" s="3">
        <f t="shared" si="0"/>
        <v>5874814.7572999895</v>
      </c>
      <c r="G45" s="39">
        <f t="shared" si="1"/>
        <v>9.1141829916367198E-2</v>
      </c>
      <c r="H45" s="41">
        <f t="shared" si="2"/>
        <v>7.1496010311507902E-2</v>
      </c>
    </row>
    <row r="46" spans="2:8" x14ac:dyDescent="0.25">
      <c r="B46" s="1" t="s">
        <v>171</v>
      </c>
      <c r="C46" s="3">
        <v>329496.46459999995</v>
      </c>
      <c r="D46" s="3">
        <v>5115734.4815999679</v>
      </c>
      <c r="E46" s="3">
        <v>860692.6813999993</v>
      </c>
      <c r="F46" s="3">
        <f t="shared" si="0"/>
        <v>6305923.6275999667</v>
      </c>
      <c r="G46" s="39">
        <f t="shared" si="1"/>
        <v>5.2251895845653658E-2</v>
      </c>
      <c r="H46" s="41">
        <f t="shared" si="2"/>
        <v>7.0749025709050881E-2</v>
      </c>
    </row>
    <row r="47" spans="2:8" x14ac:dyDescent="0.25">
      <c r="B47" s="1" t="s">
        <v>172</v>
      </c>
      <c r="C47" s="3">
        <v>351697.10159999976</v>
      </c>
      <c r="D47" s="3">
        <v>3387789.9011999983</v>
      </c>
      <c r="E47" s="3">
        <v>722741.70150000241</v>
      </c>
      <c r="F47" s="3">
        <f t="shared" si="0"/>
        <v>4462228.7043000003</v>
      </c>
      <c r="G47" s="39">
        <f t="shared" si="1"/>
        <v>7.881646704058197E-2</v>
      </c>
      <c r="H47" s="41">
        <f t="shared" si="2"/>
        <v>7.2997931073503899E-2</v>
      </c>
    </row>
    <row r="48" spans="2:8" x14ac:dyDescent="0.25">
      <c r="B48" s="1" t="s">
        <v>173</v>
      </c>
      <c r="C48" s="3">
        <v>335148.3187999996</v>
      </c>
      <c r="D48" s="3">
        <v>3838227.4342999938</v>
      </c>
      <c r="E48" s="3">
        <v>630649.42829999991</v>
      </c>
      <c r="F48" s="3">
        <f t="shared" si="0"/>
        <v>4804025.1813999936</v>
      </c>
      <c r="G48" s="39">
        <f t="shared" si="1"/>
        <v>6.9764063705913038E-2</v>
      </c>
      <c r="H48" s="41">
        <f t="shared" si="2"/>
        <v>7.3751503100902963E-2</v>
      </c>
    </row>
    <row r="49" spans="2:8" x14ac:dyDescent="0.25">
      <c r="B49" s="1" t="s">
        <v>174</v>
      </c>
      <c r="C49" s="3">
        <v>345281.98959999968</v>
      </c>
      <c r="D49" s="3">
        <v>4637102.9945999756</v>
      </c>
      <c r="E49" s="3">
        <v>691745.57900000038</v>
      </c>
      <c r="F49" s="3">
        <f t="shared" si="0"/>
        <v>5674130.5631999765</v>
      </c>
      <c r="G49" s="39">
        <f t="shared" si="1"/>
        <v>6.0851964147486032E-2</v>
      </c>
      <c r="H49" s="41">
        <f t="shared" si="2"/>
        <v>7.3983945423025749E-2</v>
      </c>
    </row>
    <row r="50" spans="2:8" x14ac:dyDescent="0.25">
      <c r="B50" s="1" t="s">
        <v>175</v>
      </c>
      <c r="C50" s="3">
        <v>284390.62499999988</v>
      </c>
      <c r="D50" s="3">
        <v>4733535.1984999906</v>
      </c>
      <c r="E50" s="3">
        <v>848933.34120000468</v>
      </c>
      <c r="F50" s="3">
        <f t="shared" si="0"/>
        <v>5866859.164699995</v>
      </c>
      <c r="G50" s="39">
        <f t="shared" si="1"/>
        <v>4.8474084176271914E-2</v>
      </c>
      <c r="H50" s="41">
        <f t="shared" si="2"/>
        <v>7.3643250985618108E-2</v>
      </c>
    </row>
    <row r="51" spans="2:8" x14ac:dyDescent="0.25">
      <c r="B51" s="1" t="s">
        <v>176</v>
      </c>
      <c r="C51" s="3">
        <v>305195.25159999932</v>
      </c>
      <c r="D51" s="3">
        <v>4782166.0079000033</v>
      </c>
      <c r="E51" s="3">
        <v>843311.69150000112</v>
      </c>
      <c r="F51" s="3">
        <f t="shared" si="0"/>
        <v>5930672.9510000031</v>
      </c>
      <c r="G51" s="39">
        <f t="shared" si="1"/>
        <v>5.1460475754026985E-2</v>
      </c>
      <c r="H51" s="41">
        <f t="shared" si="2"/>
        <v>7.4103216806510885E-2</v>
      </c>
    </row>
    <row r="52" spans="2:8" x14ac:dyDescent="0.25">
      <c r="B52" s="1" t="s">
        <v>177</v>
      </c>
      <c r="C52" s="3">
        <v>337827.47719999886</v>
      </c>
      <c r="D52" s="3">
        <v>4240874.9207999958</v>
      </c>
      <c r="E52" s="3">
        <v>637471.59290000168</v>
      </c>
      <c r="F52" s="3">
        <f t="shared" si="0"/>
        <v>5216173.9908999959</v>
      </c>
      <c r="G52" s="39">
        <f t="shared" si="1"/>
        <v>6.4765377418269418E-2</v>
      </c>
      <c r="H52" s="41">
        <f t="shared" si="2"/>
        <v>7.5487477774232731E-2</v>
      </c>
    </row>
    <row r="53" spans="2:8" x14ac:dyDescent="0.25">
      <c r="B53" s="1" t="s">
        <v>178</v>
      </c>
      <c r="C53" s="3">
        <v>411074.66909999878</v>
      </c>
      <c r="D53" s="3">
        <v>3998323.6270000059</v>
      </c>
      <c r="E53" s="3">
        <v>572565.53590000118</v>
      </c>
      <c r="F53" s="3">
        <f t="shared" si="0"/>
        <v>4981963.832000006</v>
      </c>
      <c r="G53" s="39">
        <f t="shared" si="1"/>
        <v>8.2512575956412176E-2</v>
      </c>
      <c r="H53" s="41">
        <f t="shared" si="2"/>
        <v>7.7867507620432361E-2</v>
      </c>
    </row>
    <row r="54" spans="2:8" x14ac:dyDescent="0.25">
      <c r="B54" s="1" t="s">
        <v>22</v>
      </c>
      <c r="C54" s="3">
        <v>431537.96329999925</v>
      </c>
      <c r="D54" s="3">
        <v>4388629.3198000137</v>
      </c>
      <c r="E54" s="3">
        <v>660083.60230000073</v>
      </c>
      <c r="F54" s="3">
        <f t="shared" si="0"/>
        <v>5480250.8854000131</v>
      </c>
      <c r="G54" s="39">
        <f t="shared" si="1"/>
        <v>7.8744198454429065E-2</v>
      </c>
      <c r="H54" s="41">
        <f t="shared" si="2"/>
        <v>7.755683416989631E-2</v>
      </c>
    </row>
    <row r="55" spans="2:8" x14ac:dyDescent="0.25">
      <c r="B55" s="1" t="s">
        <v>23</v>
      </c>
      <c r="C55" s="3">
        <v>496870.92340000026</v>
      </c>
      <c r="D55" s="3">
        <v>4583915.0949999942</v>
      </c>
      <c r="E55" s="3">
        <v>864820.33190000081</v>
      </c>
      <c r="F55" s="3">
        <f t="shared" si="0"/>
        <v>5945606.3502999954</v>
      </c>
      <c r="G55" s="39">
        <f t="shared" si="1"/>
        <v>8.3569428267804821E-2</v>
      </c>
      <c r="H55" s="41">
        <f t="shared" si="2"/>
        <v>7.6200889832395535E-2</v>
      </c>
    </row>
    <row r="56" spans="2:8" x14ac:dyDescent="0.25">
      <c r="B56" s="1" t="s">
        <v>24</v>
      </c>
      <c r="C56" s="3">
        <v>382413.24529999983</v>
      </c>
      <c r="D56" s="3">
        <v>3952360.5956999897</v>
      </c>
      <c r="E56" s="3">
        <v>734055.83549999958</v>
      </c>
      <c r="F56" s="3">
        <f t="shared" si="0"/>
        <v>5068829.6764999889</v>
      </c>
      <c r="G56" s="39">
        <f t="shared" si="1"/>
        <v>7.544409059016853E-2</v>
      </c>
      <c r="H56" s="41">
        <f t="shared" si="2"/>
        <v>7.3002459571657935E-2</v>
      </c>
    </row>
    <row r="57" spans="2:8" x14ac:dyDescent="0.25">
      <c r="B57" s="1" t="s">
        <v>25</v>
      </c>
      <c r="C57" s="3">
        <v>695779.86379999714</v>
      </c>
      <c r="D57" s="3">
        <v>6951189.2021999937</v>
      </c>
      <c r="E57" s="3">
        <v>1422808.7283000017</v>
      </c>
      <c r="F57" s="3">
        <f t="shared" si="0"/>
        <v>9069777.7942999918</v>
      </c>
      <c r="G57" s="39">
        <f t="shared" si="1"/>
        <v>7.6714102548054497E-2</v>
      </c>
      <c r="H57" s="41">
        <f t="shared" si="2"/>
        <v>7.0346965678572237E-2</v>
      </c>
    </row>
    <row r="58" spans="2:8" x14ac:dyDescent="0.25">
      <c r="B58" s="1" t="s">
        <v>26</v>
      </c>
      <c r="C58" s="3">
        <v>533868.94640000036</v>
      </c>
      <c r="D58" s="3">
        <v>4886511.6234000186</v>
      </c>
      <c r="E58" s="3">
        <v>1208223.3998000012</v>
      </c>
      <c r="F58" s="3">
        <f t="shared" si="0"/>
        <v>6628603.96960002</v>
      </c>
      <c r="G58" s="39">
        <f t="shared" si="1"/>
        <v>8.0540178421945288E-2</v>
      </c>
      <c r="H58" s="41">
        <f t="shared" si="2"/>
        <v>6.9531454025155176E-2</v>
      </c>
    </row>
    <row r="59" spans="2:8" x14ac:dyDescent="0.25">
      <c r="B59" s="1" t="s">
        <v>27</v>
      </c>
      <c r="C59" s="3">
        <v>552401.8536000005</v>
      </c>
      <c r="D59" s="3">
        <v>4722660.4241000218</v>
      </c>
      <c r="E59" s="3">
        <v>929385.22630000161</v>
      </c>
      <c r="F59" s="3">
        <f t="shared" si="0"/>
        <v>6204447.504000023</v>
      </c>
      <c r="G59" s="39">
        <f t="shared" si="1"/>
        <v>8.9033206138639354E-2</v>
      </c>
      <c r="H59" s="41">
        <f t="shared" si="2"/>
        <v>7.2360785586154094E-2</v>
      </c>
    </row>
    <row r="60" spans="2:8" x14ac:dyDescent="0.25">
      <c r="B60" s="1" t="s">
        <v>28</v>
      </c>
      <c r="C60" s="3">
        <v>698777.41999999899</v>
      </c>
      <c r="D60" s="3">
        <v>4453606.5604999848</v>
      </c>
      <c r="E60" s="3">
        <v>811783.19259999914</v>
      </c>
      <c r="F60" s="3">
        <f t="shared" si="0"/>
        <v>5964167.1730999826</v>
      </c>
      <c r="G60" s="39">
        <f t="shared" si="1"/>
        <v>0.11716261461477394</v>
      </c>
      <c r="H60" s="41">
        <f t="shared" si="2"/>
        <v>7.5310489245707324E-2</v>
      </c>
    </row>
    <row r="61" spans="2:8" x14ac:dyDescent="0.25">
      <c r="B61" s="1" t="s">
        <v>29</v>
      </c>
      <c r="C61" s="3">
        <v>755703.22969999979</v>
      </c>
      <c r="D61" s="3">
        <v>4768905.352600012</v>
      </c>
      <c r="E61" s="3">
        <v>910188.72120000084</v>
      </c>
      <c r="F61" s="3">
        <f t="shared" si="0"/>
        <v>6434797.3035000125</v>
      </c>
      <c r="G61" s="39">
        <f t="shared" si="1"/>
        <v>0.11744009858538325</v>
      </c>
      <c r="H61" s="41">
        <f t="shared" si="2"/>
        <v>7.8977876544128092E-2</v>
      </c>
    </row>
    <row r="62" spans="2:8" x14ac:dyDescent="0.25">
      <c r="B62" s="1" t="s">
        <v>30</v>
      </c>
      <c r="C62" s="3">
        <v>2178650.9423999987</v>
      </c>
      <c r="D62" s="3">
        <v>14899411.237100005</v>
      </c>
      <c r="E62" s="3">
        <v>4406228.1354999915</v>
      </c>
      <c r="F62" s="3">
        <f t="shared" si="0"/>
        <v>21484290.314999994</v>
      </c>
      <c r="G62" s="39">
        <f t="shared" si="1"/>
        <v>0.10140669812485725</v>
      </c>
      <c r="H62" s="41">
        <f t="shared" si="2"/>
        <v>8.2097471465464339E-2</v>
      </c>
    </row>
    <row r="63" spans="2:8" x14ac:dyDescent="0.25">
      <c r="B63" s="1" t="s">
        <v>31</v>
      </c>
      <c r="C63" s="3">
        <v>1990049.4615999965</v>
      </c>
      <c r="D63" s="3">
        <v>7773847.3356000083</v>
      </c>
      <c r="E63" s="3">
        <v>2675191.4007000094</v>
      </c>
      <c r="F63" s="3">
        <f t="shared" si="0"/>
        <v>12439088.197900016</v>
      </c>
      <c r="G63" s="39">
        <f t="shared" si="1"/>
        <v>0.15998354782434612</v>
      </c>
      <c r="H63" s="41">
        <f t="shared" si="2"/>
        <v>9.0675122515316203E-2</v>
      </c>
    </row>
    <row r="64" spans="2:8" x14ac:dyDescent="0.25">
      <c r="B64" s="1" t="s">
        <v>32</v>
      </c>
      <c r="C64" s="3">
        <v>567432.9165000004</v>
      </c>
      <c r="D64" s="3">
        <v>3704503.4672000031</v>
      </c>
      <c r="E64" s="3">
        <v>921785.42549999885</v>
      </c>
      <c r="F64" s="3">
        <f t="shared" si="0"/>
        <v>5193721.8092000028</v>
      </c>
      <c r="G64" s="39">
        <f t="shared" si="1"/>
        <v>0.10925362145790457</v>
      </c>
      <c r="H64" s="41">
        <f t="shared" si="2"/>
        <v>9.5120749107922176E-2</v>
      </c>
    </row>
    <row r="65" spans="2:8" x14ac:dyDescent="0.25">
      <c r="B65" s="1" t="s">
        <v>33</v>
      </c>
      <c r="C65" s="3">
        <v>244618.0633999999</v>
      </c>
      <c r="D65" s="3">
        <v>3559268.9495000034</v>
      </c>
      <c r="E65" s="3">
        <v>618084.33349999855</v>
      </c>
      <c r="F65" s="3">
        <f t="shared" si="0"/>
        <v>4421971.346400002</v>
      </c>
      <c r="G65" s="39">
        <f t="shared" si="1"/>
        <v>5.5318780751292609E-2</v>
      </c>
      <c r="H65" s="41">
        <f t="shared" si="2"/>
        <v>9.4394087825847045E-2</v>
      </c>
    </row>
    <row r="66" spans="2:8" x14ac:dyDescent="0.25">
      <c r="B66" s="1" t="s">
        <v>34</v>
      </c>
      <c r="C66" s="3">
        <v>610319.26829999953</v>
      </c>
      <c r="D66" s="3">
        <v>7782049.6248000432</v>
      </c>
      <c r="E66" s="3">
        <v>1602454.4590000007</v>
      </c>
      <c r="F66" s="3">
        <f t="shared" si="0"/>
        <v>9994823.3521000426</v>
      </c>
      <c r="G66" s="39">
        <f t="shared" si="1"/>
        <v>6.1063537273198881E-2</v>
      </c>
      <c r="H66" s="41">
        <f t="shared" si="2"/>
        <v>9.2744161773292172E-2</v>
      </c>
    </row>
    <row r="67" spans="2:8" x14ac:dyDescent="0.25">
      <c r="B67" s="1" t="s">
        <v>35</v>
      </c>
      <c r="C67" s="3">
        <v>621422.59299999999</v>
      </c>
      <c r="D67" s="3">
        <v>6448326.3389000185</v>
      </c>
      <c r="E67" s="3">
        <v>1592940.437399999</v>
      </c>
      <c r="F67" s="3">
        <f t="shared" ref="F67:F130" si="3">SUM(C67:E67)</f>
        <v>8662689.3693000171</v>
      </c>
      <c r="G67" s="39">
        <f t="shared" ref="G67:G130" si="4">C67/F67</f>
        <v>7.173552767599857E-2</v>
      </c>
      <c r="H67" s="41">
        <f t="shared" si="2"/>
        <v>9.2205033251874444E-2</v>
      </c>
    </row>
    <row r="68" spans="2:8" x14ac:dyDescent="0.25">
      <c r="B68" s="1" t="s">
        <v>36</v>
      </c>
      <c r="C68" s="3">
        <v>470332.75400000007</v>
      </c>
      <c r="D68" s="3">
        <v>4949045.9050000049</v>
      </c>
      <c r="E68" s="3">
        <v>798431.68449999893</v>
      </c>
      <c r="F68" s="3">
        <f t="shared" si="3"/>
        <v>6217810.3435000032</v>
      </c>
      <c r="G68" s="39">
        <f t="shared" si="4"/>
        <v>7.564282730039816E-2</v>
      </c>
      <c r="H68" s="41">
        <f t="shared" si="2"/>
        <v>9.1595294715920067E-2</v>
      </c>
    </row>
    <row r="69" spans="2:8" x14ac:dyDescent="0.25">
      <c r="B69" s="1" t="s">
        <v>37</v>
      </c>
      <c r="C69" s="3">
        <v>550595.64469999867</v>
      </c>
      <c r="D69" s="3">
        <v>4822503.3171000034</v>
      </c>
      <c r="E69" s="3">
        <v>850534.98049999808</v>
      </c>
      <c r="F69" s="3">
        <f t="shared" si="3"/>
        <v>6223633.9422999993</v>
      </c>
      <c r="G69" s="39">
        <f t="shared" si="4"/>
        <v>8.8468513701903423E-2</v>
      </c>
      <c r="H69" s="41">
        <f t="shared" si="2"/>
        <v>9.2597173416822776E-2</v>
      </c>
    </row>
    <row r="70" spans="2:8" x14ac:dyDescent="0.25">
      <c r="B70" s="1" t="s">
        <v>38</v>
      </c>
      <c r="C70" s="3">
        <v>855303.22139999527</v>
      </c>
      <c r="D70" s="3">
        <v>7282002.9904000089</v>
      </c>
      <c r="E70" s="3">
        <v>1471626.3038000001</v>
      </c>
      <c r="F70" s="3">
        <f t="shared" si="3"/>
        <v>9608932.5156000052</v>
      </c>
      <c r="G70" s="39">
        <f t="shared" si="4"/>
        <v>8.9011263219032827E-2</v>
      </c>
      <c r="H70" s="41">
        <f t="shared" si="2"/>
        <v>9.3543108853051851E-2</v>
      </c>
    </row>
    <row r="71" spans="2:8" x14ac:dyDescent="0.25">
      <c r="B71" s="1" t="s">
        <v>39</v>
      </c>
      <c r="C71" s="3">
        <v>752664.56709999545</v>
      </c>
      <c r="D71" s="3">
        <v>5954916.288000036</v>
      </c>
      <c r="E71" s="3">
        <v>1333571.7800999989</v>
      </c>
      <c r="F71" s="3">
        <f t="shared" si="3"/>
        <v>8041152.6352000311</v>
      </c>
      <c r="G71" s="39">
        <f t="shared" si="4"/>
        <v>9.3601576943735276E-2</v>
      </c>
      <c r="H71" s="41">
        <f t="shared" si="2"/>
        <v>9.454783181626647E-2</v>
      </c>
    </row>
    <row r="72" spans="2:8" x14ac:dyDescent="0.25">
      <c r="B72" s="1" t="s">
        <v>40</v>
      </c>
      <c r="C72" s="3">
        <v>404710.16109999962</v>
      </c>
      <c r="D72" s="3">
        <v>2978364.0958999917</v>
      </c>
      <c r="E72" s="3">
        <v>480059.37589999964</v>
      </c>
      <c r="F72" s="3">
        <f t="shared" si="3"/>
        <v>3863133.6328999912</v>
      </c>
      <c r="G72" s="39">
        <f t="shared" si="4"/>
        <v>0.10476214378227199</v>
      </c>
      <c r="H72" s="41">
        <f t="shared" si="2"/>
        <v>9.5757750096545913E-2</v>
      </c>
    </row>
    <row r="73" spans="2:8" x14ac:dyDescent="0.25">
      <c r="B73" s="1" t="s">
        <v>41</v>
      </c>
      <c r="C73" s="3">
        <v>899050.88229999901</v>
      </c>
      <c r="D73" s="3">
        <v>4385384.6649000021</v>
      </c>
      <c r="E73" s="3">
        <v>821126.91860000254</v>
      </c>
      <c r="F73" s="3">
        <f t="shared" si="3"/>
        <v>6105562.4658000031</v>
      </c>
      <c r="G73" s="39">
        <f t="shared" si="4"/>
        <v>0.14725111524711879</v>
      </c>
      <c r="H73" s="41">
        <f t="shared" si="2"/>
        <v>9.8072250145187834E-2</v>
      </c>
    </row>
    <row r="74" spans="2:8" x14ac:dyDescent="0.25">
      <c r="B74" s="1" t="s">
        <v>42</v>
      </c>
      <c r="C74" s="3">
        <v>668551.50809999765</v>
      </c>
      <c r="D74" s="3">
        <v>3580081.9478999968</v>
      </c>
      <c r="E74" s="3">
        <v>759597.18050000072</v>
      </c>
      <c r="F74" s="3">
        <f t="shared" si="3"/>
        <v>5008230.6364999954</v>
      </c>
      <c r="G74" s="39">
        <f t="shared" si="4"/>
        <v>0.13349055916626379</v>
      </c>
      <c r="H74" s="41">
        <f t="shared" si="2"/>
        <v>9.9306900959101718E-2</v>
      </c>
    </row>
    <row r="75" spans="2:8" x14ac:dyDescent="0.25">
      <c r="B75" s="1" t="s">
        <v>43</v>
      </c>
      <c r="C75" s="3">
        <v>489178.38090000045</v>
      </c>
      <c r="D75" s="3">
        <v>3994062.2156000007</v>
      </c>
      <c r="E75" s="3">
        <v>543526.32240000123</v>
      </c>
      <c r="F75" s="3">
        <f t="shared" si="3"/>
        <v>5026766.9189000018</v>
      </c>
      <c r="G75" s="39">
        <f t="shared" si="4"/>
        <v>9.7314713172944656E-2</v>
      </c>
      <c r="H75" s="41">
        <f t="shared" si="2"/>
        <v>9.8992132885877673E-2</v>
      </c>
    </row>
    <row r="76" spans="2:8" x14ac:dyDescent="0.25">
      <c r="B76" s="1" t="s">
        <v>44</v>
      </c>
      <c r="C76" s="3">
        <v>307252.54570000037</v>
      </c>
      <c r="D76" s="3">
        <v>3690619.1917000064</v>
      </c>
      <c r="E76" s="3">
        <v>685279.78990000056</v>
      </c>
      <c r="F76" s="3">
        <f t="shared" si="3"/>
        <v>4683151.5273000067</v>
      </c>
      <c r="G76" s="39">
        <f t="shared" si="4"/>
        <v>6.5608072664080919E-2</v>
      </c>
      <c r="H76" s="41">
        <f t="shared" si="2"/>
        <v>9.1732480950472636E-2</v>
      </c>
    </row>
    <row r="77" spans="2:8" x14ac:dyDescent="0.25">
      <c r="B77" s="1" t="s">
        <v>45</v>
      </c>
      <c r="C77" s="3">
        <v>293313.87150000094</v>
      </c>
      <c r="D77" s="3">
        <v>3442857.9817999951</v>
      </c>
      <c r="E77" s="3">
        <v>573036.5242000008</v>
      </c>
      <c r="F77" s="3">
        <f t="shared" si="3"/>
        <v>4309208.3774999967</v>
      </c>
      <c r="G77" s="39">
        <f t="shared" si="4"/>
        <v>6.806676442743019E-2</v>
      </c>
      <c r="H77" s="41">
        <f t="shared" si="2"/>
        <v>8.8564261178897694E-2</v>
      </c>
    </row>
    <row r="78" spans="2:8" x14ac:dyDescent="0.25">
      <c r="B78" s="1" t="s">
        <v>46</v>
      </c>
      <c r="C78" s="3">
        <v>676618.60790000006</v>
      </c>
      <c r="D78" s="3">
        <v>3712361.6915000039</v>
      </c>
      <c r="E78" s="3">
        <v>1436200.4539999962</v>
      </c>
      <c r="F78" s="3">
        <f t="shared" si="3"/>
        <v>5825180.7533999998</v>
      </c>
      <c r="G78" s="39">
        <f t="shared" si="4"/>
        <v>0.11615409659263812</v>
      </c>
      <c r="H78" s="41">
        <f t="shared" si="2"/>
        <v>9.3243900859001208E-2</v>
      </c>
    </row>
    <row r="79" spans="2:8" x14ac:dyDescent="0.25">
      <c r="B79" s="1" t="s">
        <v>47</v>
      </c>
      <c r="C79" s="3">
        <v>295758.65660000028</v>
      </c>
      <c r="D79" s="3">
        <v>3883735.1319000083</v>
      </c>
      <c r="E79" s="3">
        <v>524468.88230000017</v>
      </c>
      <c r="F79" s="3">
        <f t="shared" si="3"/>
        <v>4703962.6708000088</v>
      </c>
      <c r="G79" s="39">
        <f t="shared" si="4"/>
        <v>6.287436302076356E-2</v>
      </c>
      <c r="H79" s="41">
        <f t="shared" ref="H79:H142" si="5">AVERAGE(G67:G79)</f>
        <v>9.3383195147275389E-2</v>
      </c>
    </row>
    <row r="80" spans="2:8" x14ac:dyDescent="0.25">
      <c r="B80" s="1" t="s">
        <v>48</v>
      </c>
      <c r="C80" s="3">
        <v>323020.29690000036</v>
      </c>
      <c r="D80" s="3">
        <v>3805277.1298000086</v>
      </c>
      <c r="E80" s="3">
        <v>625630.81609999796</v>
      </c>
      <c r="F80" s="3">
        <f t="shared" si="3"/>
        <v>4753928.2428000066</v>
      </c>
      <c r="G80" s="39">
        <f t="shared" si="4"/>
        <v>6.7948080072354075E-2</v>
      </c>
      <c r="H80" s="41">
        <f t="shared" si="5"/>
        <v>9.309185302391812E-2</v>
      </c>
    </row>
    <row r="81" spans="2:8" x14ac:dyDescent="0.25">
      <c r="B81" s="1" t="s">
        <v>49</v>
      </c>
      <c r="C81" s="3">
        <v>451152.79670000012</v>
      </c>
      <c r="D81" s="3">
        <v>3485787.2009000131</v>
      </c>
      <c r="E81" s="3">
        <v>466862.17099999986</v>
      </c>
      <c r="F81" s="3">
        <f t="shared" si="3"/>
        <v>4403802.1686000135</v>
      </c>
      <c r="G81" s="39">
        <f t="shared" si="4"/>
        <v>0.10244619976728506</v>
      </c>
      <c r="H81" s="41">
        <f t="shared" si="5"/>
        <v>9.5153650905986348E-2</v>
      </c>
    </row>
    <row r="82" spans="2:8" x14ac:dyDescent="0.25">
      <c r="B82" s="1" t="s">
        <v>50</v>
      </c>
      <c r="C82" s="3">
        <v>520305.65999999957</v>
      </c>
      <c r="D82" s="3">
        <v>2720977.4599000099</v>
      </c>
      <c r="E82" s="3">
        <v>524329.01700000034</v>
      </c>
      <c r="F82" s="3">
        <f t="shared" si="3"/>
        <v>3765612.1369000101</v>
      </c>
      <c r="G82" s="39">
        <f t="shared" si="4"/>
        <v>0.13817292941602166</v>
      </c>
      <c r="H82" s="41">
        <f t="shared" si="5"/>
        <v>9.8977067499380053E-2</v>
      </c>
    </row>
    <row r="83" spans="2:8" x14ac:dyDescent="0.25">
      <c r="B83" s="1" t="s">
        <v>51</v>
      </c>
      <c r="C83" s="3">
        <v>549603.81560000009</v>
      </c>
      <c r="D83" s="3">
        <v>4247562.4125000201</v>
      </c>
      <c r="E83" s="3">
        <v>716665.86790000054</v>
      </c>
      <c r="F83" s="3">
        <f t="shared" si="3"/>
        <v>5513832.0960000213</v>
      </c>
      <c r="G83" s="39">
        <f t="shared" si="4"/>
        <v>9.9677285421641171E-2</v>
      </c>
      <c r="H83" s="41">
        <f t="shared" si="5"/>
        <v>9.9797530745734553E-2</v>
      </c>
    </row>
    <row r="84" spans="2:8" x14ac:dyDescent="0.25">
      <c r="B84" s="1" t="s">
        <v>52</v>
      </c>
      <c r="C84" s="3">
        <v>303510.79930000048</v>
      </c>
      <c r="D84" s="3">
        <v>2906916.5056999992</v>
      </c>
      <c r="E84" s="3">
        <v>452689.70159999991</v>
      </c>
      <c r="F84" s="3">
        <f t="shared" si="3"/>
        <v>3663117.0065999995</v>
      </c>
      <c r="G84" s="39">
        <f t="shared" si="4"/>
        <v>8.2855884415690709E-2</v>
      </c>
      <c r="H84" s="41">
        <f t="shared" si="5"/>
        <v>9.8970939012808054E-2</v>
      </c>
    </row>
    <row r="85" spans="2:8" x14ac:dyDescent="0.25">
      <c r="B85" s="1" t="s">
        <v>53</v>
      </c>
      <c r="C85" s="3">
        <v>1067020.318399997</v>
      </c>
      <c r="D85" s="3">
        <v>5358830.4803000148</v>
      </c>
      <c r="E85" s="3">
        <v>1162252.6997999994</v>
      </c>
      <c r="F85" s="3">
        <f t="shared" si="3"/>
        <v>7588103.4985000119</v>
      </c>
      <c r="G85" s="39">
        <f t="shared" si="4"/>
        <v>0.1406175230228372</v>
      </c>
      <c r="H85" s="41">
        <f t="shared" si="5"/>
        <v>0.10172904510823616</v>
      </c>
    </row>
    <row r="86" spans="2:8" x14ac:dyDescent="0.25">
      <c r="B86" s="1" t="s">
        <v>54</v>
      </c>
      <c r="C86" s="3">
        <v>874443.46069999749</v>
      </c>
      <c r="D86" s="3">
        <v>5206534.4134999923</v>
      </c>
      <c r="E86" s="3">
        <v>1345399.9411999986</v>
      </c>
      <c r="F86" s="3">
        <f t="shared" si="3"/>
        <v>7426377.8153999886</v>
      </c>
      <c r="G86" s="39">
        <f t="shared" si="4"/>
        <v>0.11774831316643691</v>
      </c>
      <c r="H86" s="41">
        <f t="shared" si="5"/>
        <v>9.9459598794337564E-2</v>
      </c>
    </row>
    <row r="87" spans="2:8" x14ac:dyDescent="0.25">
      <c r="B87" s="1" t="s">
        <v>55</v>
      </c>
      <c r="C87" s="3">
        <v>929418.0299000002</v>
      </c>
      <c r="D87" s="3">
        <v>6569028.0715000127</v>
      </c>
      <c r="E87" s="3">
        <v>1587108.8033999994</v>
      </c>
      <c r="F87" s="3">
        <f t="shared" si="3"/>
        <v>9085554.9048000127</v>
      </c>
      <c r="G87" s="39">
        <f t="shared" si="4"/>
        <v>0.10229623172592101</v>
      </c>
      <c r="H87" s="41">
        <f t="shared" si="5"/>
        <v>9.7060035145080409E-2</v>
      </c>
    </row>
    <row r="88" spans="2:8" x14ac:dyDescent="0.25">
      <c r="B88" s="1" t="s">
        <v>56</v>
      </c>
      <c r="C88" s="3">
        <v>676850.78540000087</v>
      </c>
      <c r="D88" s="3">
        <v>5181346.5826999871</v>
      </c>
      <c r="E88" s="3">
        <v>1006972.1646999975</v>
      </c>
      <c r="F88" s="3">
        <f t="shared" si="3"/>
        <v>6865169.5327999853</v>
      </c>
      <c r="G88" s="39">
        <f t="shared" si="4"/>
        <v>9.8591998663133479E-2</v>
      </c>
      <c r="H88" s="41">
        <f t="shared" si="5"/>
        <v>9.7158287875094937E-2</v>
      </c>
    </row>
    <row r="89" spans="2:8" x14ac:dyDescent="0.25">
      <c r="B89" s="1" t="s">
        <v>57</v>
      </c>
      <c r="C89" s="3">
        <v>739066.85459999938</v>
      </c>
      <c r="D89" s="3">
        <v>6122481.8837000355</v>
      </c>
      <c r="E89" s="3">
        <v>1183934.6098999968</v>
      </c>
      <c r="F89" s="3">
        <f t="shared" si="3"/>
        <v>8045483.3482000316</v>
      </c>
      <c r="G89" s="39">
        <f t="shared" si="4"/>
        <v>9.18610880930288E-2</v>
      </c>
      <c r="H89" s="41">
        <f t="shared" si="5"/>
        <v>9.9177750600398601E-2</v>
      </c>
    </row>
    <row r="90" spans="2:8" x14ac:dyDescent="0.25">
      <c r="B90" s="1" t="s">
        <v>58</v>
      </c>
      <c r="C90" s="3">
        <v>797621.46970000002</v>
      </c>
      <c r="D90" s="3">
        <v>6653221.9826000137</v>
      </c>
      <c r="E90" s="3">
        <v>1237810.9241000016</v>
      </c>
      <c r="F90" s="3">
        <f t="shared" si="3"/>
        <v>8688654.3764000162</v>
      </c>
      <c r="G90" s="39">
        <f t="shared" si="4"/>
        <v>9.180034504151606E-2</v>
      </c>
      <c r="H90" s="41">
        <f t="shared" si="5"/>
        <v>0.10100341064763599</v>
      </c>
    </row>
    <row r="91" spans="2:8" x14ac:dyDescent="0.25">
      <c r="B91" s="1" t="s">
        <v>59</v>
      </c>
      <c r="C91" s="3">
        <v>894202.92170000065</v>
      </c>
      <c r="D91" s="3">
        <v>7022166.9970000181</v>
      </c>
      <c r="E91" s="3">
        <v>1522591.2506000046</v>
      </c>
      <c r="F91" s="3">
        <f t="shared" si="3"/>
        <v>9438961.1693000235</v>
      </c>
      <c r="G91" s="39">
        <f t="shared" si="4"/>
        <v>9.4735310979811263E-2</v>
      </c>
      <c r="H91" s="41">
        <f t="shared" si="5"/>
        <v>9.9355811754341619E-2</v>
      </c>
    </row>
    <row r="92" spans="2:8" x14ac:dyDescent="0.25">
      <c r="B92" s="1" t="s">
        <v>60</v>
      </c>
      <c r="C92" s="3">
        <v>1506038.7895000044</v>
      </c>
      <c r="D92" s="3">
        <v>11370434.570899975</v>
      </c>
      <c r="E92" s="3">
        <v>2537940.0107999952</v>
      </c>
      <c r="F92" s="3">
        <f t="shared" si="3"/>
        <v>15414413.371199973</v>
      </c>
      <c r="G92" s="39">
        <f t="shared" si="4"/>
        <v>9.7703282845253231E-2</v>
      </c>
      <c r="H92" s="41">
        <f t="shared" si="5"/>
        <v>0.10203495943314853</v>
      </c>
    </row>
    <row r="93" spans="2:8" x14ac:dyDescent="0.25">
      <c r="B93" s="1" t="s">
        <v>61</v>
      </c>
      <c r="C93" s="3">
        <v>914224.24680000008</v>
      </c>
      <c r="D93" s="3">
        <v>4676621.2881000116</v>
      </c>
      <c r="E93" s="3">
        <v>1625108.3403000007</v>
      </c>
      <c r="F93" s="3">
        <f t="shared" si="3"/>
        <v>7215953.8752000127</v>
      </c>
      <c r="G93" s="39">
        <f t="shared" si="4"/>
        <v>0.12669485734131852</v>
      </c>
      <c r="H93" s="41">
        <f t="shared" si="5"/>
        <v>0.10655394229999193</v>
      </c>
    </row>
    <row r="94" spans="2:8" x14ac:dyDescent="0.25">
      <c r="B94" s="1" t="s">
        <v>62</v>
      </c>
      <c r="C94" s="3">
        <v>438420.89980000007</v>
      </c>
      <c r="D94" s="3">
        <v>2708098.1962000011</v>
      </c>
      <c r="E94" s="3">
        <v>417367.46480000013</v>
      </c>
      <c r="F94" s="3">
        <f t="shared" si="3"/>
        <v>3563886.5608000015</v>
      </c>
      <c r="G94" s="39">
        <f t="shared" si="4"/>
        <v>0.12301763603316986</v>
      </c>
      <c r="H94" s="41">
        <f t="shared" si="5"/>
        <v>0.10813636047429077</v>
      </c>
    </row>
    <row r="95" spans="2:8" x14ac:dyDescent="0.25">
      <c r="B95" s="1" t="s">
        <v>63</v>
      </c>
      <c r="C95" s="3">
        <v>1000660.8491000015</v>
      </c>
      <c r="D95" s="3">
        <v>4504473.2060000151</v>
      </c>
      <c r="E95" s="3">
        <v>888332.77020000003</v>
      </c>
      <c r="F95" s="3">
        <f t="shared" si="3"/>
        <v>6393466.8253000164</v>
      </c>
      <c r="G95" s="39">
        <f t="shared" si="4"/>
        <v>0.15651302750805232</v>
      </c>
      <c r="H95" s="41">
        <f t="shared" si="5"/>
        <v>0.10954713725060081</v>
      </c>
    </row>
    <row r="96" spans="2:8" x14ac:dyDescent="0.25">
      <c r="B96" s="1" t="s">
        <v>64</v>
      </c>
      <c r="C96" s="3">
        <v>948408.01780000085</v>
      </c>
      <c r="D96" s="3">
        <v>4538330.0849000197</v>
      </c>
      <c r="E96" s="3">
        <v>920306.0999999987</v>
      </c>
      <c r="F96" s="3">
        <f t="shared" si="3"/>
        <v>6407044.2027000189</v>
      </c>
      <c r="G96" s="39">
        <f t="shared" si="4"/>
        <v>0.14802582716696855</v>
      </c>
      <c r="H96" s="41">
        <f t="shared" si="5"/>
        <v>0.11326625584639521</v>
      </c>
    </row>
    <row r="97" spans="2:8" x14ac:dyDescent="0.25">
      <c r="B97" s="1" t="s">
        <v>65</v>
      </c>
      <c r="C97" s="3">
        <v>614677.78980000108</v>
      </c>
      <c r="D97" s="3">
        <v>4313149.2062000008</v>
      </c>
      <c r="E97" s="3">
        <v>687757.71430000255</v>
      </c>
      <c r="F97" s="3">
        <f t="shared" si="3"/>
        <v>5615584.710300005</v>
      </c>
      <c r="G97" s="39">
        <f t="shared" si="4"/>
        <v>0.10945926764715526</v>
      </c>
      <c r="H97" s="41">
        <f t="shared" si="5"/>
        <v>0.11531266994112327</v>
      </c>
    </row>
    <row r="98" spans="2:8" x14ac:dyDescent="0.25">
      <c r="B98" s="1" t="s">
        <v>66</v>
      </c>
      <c r="C98" s="3">
        <v>377712.07039999985</v>
      </c>
      <c r="D98" s="3">
        <v>4607218.3740000008</v>
      </c>
      <c r="E98" s="3">
        <v>663136.73410000186</v>
      </c>
      <c r="F98" s="3">
        <f t="shared" si="3"/>
        <v>5648067.1785000023</v>
      </c>
      <c r="G98" s="39">
        <f t="shared" si="4"/>
        <v>6.6874571152022236E-2</v>
      </c>
      <c r="H98" s="41">
        <f t="shared" si="5"/>
        <v>0.10964013518182981</v>
      </c>
    </row>
    <row r="99" spans="2:8" x14ac:dyDescent="0.25">
      <c r="B99" s="1" t="s">
        <v>67</v>
      </c>
      <c r="C99" s="3">
        <v>448175.728100001</v>
      </c>
      <c r="D99" s="3">
        <v>3756233.6407999992</v>
      </c>
      <c r="E99" s="3">
        <v>700462.26499999885</v>
      </c>
      <c r="F99" s="3">
        <f t="shared" si="3"/>
        <v>4904871.6338999989</v>
      </c>
      <c r="G99" s="39">
        <f t="shared" si="4"/>
        <v>9.1373589678155162E-2</v>
      </c>
      <c r="H99" s="41">
        <f t="shared" si="5"/>
        <v>0.10761131029811584</v>
      </c>
    </row>
    <row r="100" spans="2:8" x14ac:dyDescent="0.25">
      <c r="B100" s="1" t="s">
        <v>68</v>
      </c>
      <c r="C100" s="3">
        <v>1177884.6413999994</v>
      </c>
      <c r="D100" s="3">
        <v>3839145.6033999817</v>
      </c>
      <c r="E100" s="3">
        <v>1693751.494400003</v>
      </c>
      <c r="F100" s="3">
        <f t="shared" si="3"/>
        <v>6710781.7391999839</v>
      </c>
      <c r="G100" s="39">
        <f t="shared" si="4"/>
        <v>0.17552122646450713</v>
      </c>
      <c r="H100" s="41">
        <f t="shared" si="5"/>
        <v>0.11324400220108401</v>
      </c>
    </row>
    <row r="101" spans="2:8" x14ac:dyDescent="0.25">
      <c r="B101" s="1" t="s">
        <v>69</v>
      </c>
      <c r="C101" s="3">
        <v>304286.38260000007</v>
      </c>
      <c r="D101" s="3">
        <v>3054424.109199998</v>
      </c>
      <c r="E101" s="3">
        <v>446091.27110000089</v>
      </c>
      <c r="F101" s="3">
        <f t="shared" si="3"/>
        <v>3804801.762899999</v>
      </c>
      <c r="G101" s="39">
        <f t="shared" si="4"/>
        <v>7.9974306563628861E-2</v>
      </c>
      <c r="H101" s="41">
        <f t="shared" si="5"/>
        <v>0.11181187203958362</v>
      </c>
    </row>
    <row r="102" spans="2:8" x14ac:dyDescent="0.25">
      <c r="B102" s="1" t="s">
        <v>70</v>
      </c>
      <c r="C102" s="3">
        <v>1290266.1842000047</v>
      </c>
      <c r="D102" s="3">
        <v>6187030.1482999446</v>
      </c>
      <c r="E102" s="3">
        <v>2022596.5920000051</v>
      </c>
      <c r="F102" s="3">
        <f t="shared" si="3"/>
        <v>9499892.924499955</v>
      </c>
      <c r="G102" s="39">
        <f t="shared" si="4"/>
        <v>0.1358190239042005</v>
      </c>
      <c r="H102" s="41">
        <f t="shared" si="5"/>
        <v>0.11519325171736609</v>
      </c>
    </row>
    <row r="103" spans="2:8" x14ac:dyDescent="0.25">
      <c r="B103" s="1" t="s">
        <v>71</v>
      </c>
      <c r="C103" s="3">
        <v>662129.81129999796</v>
      </c>
      <c r="D103" s="3">
        <v>3987714.4369000075</v>
      </c>
      <c r="E103" s="3">
        <v>934952.48180000042</v>
      </c>
      <c r="F103" s="3">
        <f t="shared" si="3"/>
        <v>5584796.730000006</v>
      </c>
      <c r="G103" s="39">
        <f t="shared" si="4"/>
        <v>0.11855933945513487</v>
      </c>
      <c r="H103" s="41">
        <f t="shared" si="5"/>
        <v>0.11725163590302909</v>
      </c>
    </row>
    <row r="104" spans="2:8" x14ac:dyDescent="0.25">
      <c r="B104" s="1" t="s">
        <v>72</v>
      </c>
      <c r="C104" s="3">
        <v>452183.71919999935</v>
      </c>
      <c r="D104" s="3">
        <v>3224712.0412000092</v>
      </c>
      <c r="E104" s="3">
        <v>533444.77609999967</v>
      </c>
      <c r="F104" s="3">
        <f t="shared" si="3"/>
        <v>4210340.5365000078</v>
      </c>
      <c r="G104" s="39">
        <f t="shared" si="4"/>
        <v>0.10739837200339448</v>
      </c>
      <c r="H104" s="41">
        <f t="shared" si="5"/>
        <v>0.11822571752022777</v>
      </c>
    </row>
    <row r="105" spans="2:8" x14ac:dyDescent="0.25">
      <c r="B105" s="1" t="s">
        <v>73</v>
      </c>
      <c r="C105" s="3">
        <v>482691.81929999962</v>
      </c>
      <c r="D105" s="3">
        <v>3625364.1596999913</v>
      </c>
      <c r="E105" s="3">
        <v>544009.22560000094</v>
      </c>
      <c r="F105" s="3">
        <f t="shared" si="3"/>
        <v>4652065.2045999914</v>
      </c>
      <c r="G105" s="39">
        <f t="shared" si="4"/>
        <v>0.10375861000888614</v>
      </c>
      <c r="H105" s="41">
        <f t="shared" si="5"/>
        <v>0.11869151191743031</v>
      </c>
    </row>
    <row r="106" spans="2:8" x14ac:dyDescent="0.25">
      <c r="B106" s="1" t="s">
        <v>74</v>
      </c>
      <c r="C106" s="3">
        <v>579307.95770000026</v>
      </c>
      <c r="D106" s="3">
        <v>3840681.6392000108</v>
      </c>
      <c r="E106" s="3">
        <v>683906.73590000148</v>
      </c>
      <c r="F106" s="3">
        <f t="shared" si="3"/>
        <v>5103896.332800013</v>
      </c>
      <c r="G106" s="39">
        <f t="shared" si="4"/>
        <v>0.11350308076931299</v>
      </c>
      <c r="H106" s="41">
        <f t="shared" si="5"/>
        <v>0.11767675987342986</v>
      </c>
    </row>
    <row r="107" spans="2:8" x14ac:dyDescent="0.25">
      <c r="B107" s="1" t="s">
        <v>75</v>
      </c>
      <c r="C107" s="3">
        <v>465655.00040000083</v>
      </c>
      <c r="D107" s="3">
        <v>3468895.5508999899</v>
      </c>
      <c r="E107" s="3">
        <v>631955.25399999996</v>
      </c>
      <c r="F107" s="3">
        <f t="shared" si="3"/>
        <v>4566505.8052999908</v>
      </c>
      <c r="G107" s="39">
        <f t="shared" si="4"/>
        <v>0.10197184023275543</v>
      </c>
      <c r="H107" s="41">
        <f t="shared" si="5"/>
        <v>0.11605785250416721</v>
      </c>
    </row>
    <row r="108" spans="2:8" x14ac:dyDescent="0.25">
      <c r="B108" s="1" t="s">
        <v>76</v>
      </c>
      <c r="C108" s="3">
        <v>456844.35550000047</v>
      </c>
      <c r="D108" s="3">
        <v>4700267.8543999959</v>
      </c>
      <c r="E108" s="3">
        <v>783540.50319999992</v>
      </c>
      <c r="F108" s="3">
        <f t="shared" si="3"/>
        <v>5940652.7130999966</v>
      </c>
      <c r="G108" s="39">
        <f t="shared" si="4"/>
        <v>7.6901373899974451E-2</v>
      </c>
      <c r="H108" s="41">
        <f t="shared" si="5"/>
        <v>0.1099338791496997</v>
      </c>
    </row>
    <row r="109" spans="2:8" x14ac:dyDescent="0.25">
      <c r="B109" s="1" t="s">
        <v>77</v>
      </c>
      <c r="C109" s="3">
        <v>1157559.0750000004</v>
      </c>
      <c r="D109" s="3">
        <v>5858986.8566999845</v>
      </c>
      <c r="E109" s="3">
        <v>1663646.3871999981</v>
      </c>
      <c r="F109" s="3">
        <f t="shared" si="3"/>
        <v>8680192.3188999835</v>
      </c>
      <c r="G109" s="39">
        <f t="shared" si="4"/>
        <v>0.13335638571965358</v>
      </c>
      <c r="H109" s="41">
        <f t="shared" si="5"/>
        <v>0.10880546057682931</v>
      </c>
    </row>
    <row r="110" spans="2:8" x14ac:dyDescent="0.25">
      <c r="B110" s="1" t="s">
        <v>78</v>
      </c>
      <c r="C110" s="3">
        <v>560424.37890000083</v>
      </c>
      <c r="D110" s="3">
        <v>3884930.5517000016</v>
      </c>
      <c r="E110" s="3">
        <v>811458.9728000008</v>
      </c>
      <c r="F110" s="3">
        <f t="shared" si="3"/>
        <v>5256813.903400003</v>
      </c>
      <c r="G110" s="39">
        <f t="shared" si="4"/>
        <v>0.10660913420152261</v>
      </c>
      <c r="H110" s="41">
        <f t="shared" si="5"/>
        <v>0.10858621954254989</v>
      </c>
    </row>
    <row r="111" spans="2:8" x14ac:dyDescent="0.25">
      <c r="B111" s="1" t="s">
        <v>79</v>
      </c>
      <c r="C111" s="3">
        <v>653698.21880000003</v>
      </c>
      <c r="D111" s="3">
        <v>4711130.9912000103</v>
      </c>
      <c r="E111" s="3">
        <v>902261.49760000058</v>
      </c>
      <c r="F111" s="3">
        <f t="shared" si="3"/>
        <v>6267090.7076000106</v>
      </c>
      <c r="G111" s="39">
        <f t="shared" si="4"/>
        <v>0.10430648753930905</v>
      </c>
      <c r="H111" s="41">
        <f t="shared" si="5"/>
        <v>0.11146559772618735</v>
      </c>
    </row>
    <row r="112" spans="2:8" x14ac:dyDescent="0.25">
      <c r="B112" s="1" t="s">
        <v>80</v>
      </c>
      <c r="C112" s="3">
        <v>903662.75409999758</v>
      </c>
      <c r="D112" s="3">
        <v>4668630.5328999935</v>
      </c>
      <c r="E112" s="3">
        <v>854768.02129999897</v>
      </c>
      <c r="F112" s="3">
        <f t="shared" si="3"/>
        <v>6427061.3082999904</v>
      </c>
      <c r="G112" s="39">
        <f t="shared" si="4"/>
        <v>0.14060279041262541</v>
      </c>
      <c r="H112" s="41">
        <f t="shared" si="5"/>
        <v>0.1152524593211466</v>
      </c>
    </row>
    <row r="113" spans="2:8" x14ac:dyDescent="0.25">
      <c r="B113" s="1" t="s">
        <v>81</v>
      </c>
      <c r="C113" s="3">
        <v>942552.38179999928</v>
      </c>
      <c r="D113" s="3">
        <v>4959237.6591999736</v>
      </c>
      <c r="E113" s="3">
        <v>904686.60550000041</v>
      </c>
      <c r="F113" s="3">
        <f t="shared" si="3"/>
        <v>6806476.6464999737</v>
      </c>
      <c r="G113" s="39">
        <f t="shared" si="4"/>
        <v>0.1384787505712928</v>
      </c>
      <c r="H113" s="41">
        <f t="shared" si="5"/>
        <v>0.11240303809859163</v>
      </c>
    </row>
    <row r="114" spans="2:8" x14ac:dyDescent="0.25">
      <c r="B114" s="1" t="s">
        <v>82</v>
      </c>
      <c r="C114" s="3">
        <v>2559101.3727000044</v>
      </c>
      <c r="D114" s="3">
        <v>12075576.592299921</v>
      </c>
      <c r="E114" s="3">
        <v>3619227.9473999976</v>
      </c>
      <c r="F114" s="3">
        <f t="shared" si="3"/>
        <v>18253905.912399922</v>
      </c>
      <c r="G114" s="39">
        <f t="shared" si="4"/>
        <v>0.1401947279108961</v>
      </c>
      <c r="H114" s="41">
        <f t="shared" si="5"/>
        <v>0.11703537820222759</v>
      </c>
    </row>
    <row r="115" spans="2:8" x14ac:dyDescent="0.25">
      <c r="B115" s="1" t="s">
        <v>83</v>
      </c>
      <c r="C115" s="3">
        <v>2246396.2978999931</v>
      </c>
      <c r="D115" s="3">
        <v>6603591.8238999955</v>
      </c>
      <c r="E115" s="3">
        <v>2453448.0696</v>
      </c>
      <c r="F115" s="3">
        <f t="shared" si="3"/>
        <v>11303436.191399988</v>
      </c>
      <c r="G115" s="39">
        <f t="shared" si="4"/>
        <v>0.19873569946890332</v>
      </c>
      <c r="H115" s="41">
        <f t="shared" si="5"/>
        <v>0.12187512247643548</v>
      </c>
    </row>
    <row r="116" spans="2:8" x14ac:dyDescent="0.25">
      <c r="B116" s="1" t="s">
        <v>84</v>
      </c>
      <c r="C116" s="3">
        <v>667361.75740000221</v>
      </c>
      <c r="D116" s="3">
        <v>3293029.3273999812</v>
      </c>
      <c r="E116" s="3">
        <v>1033195.9395000035</v>
      </c>
      <c r="F116" s="3">
        <f t="shared" si="3"/>
        <v>4993587.0242999867</v>
      </c>
      <c r="G116" s="39">
        <f t="shared" si="4"/>
        <v>0.1336437623200438</v>
      </c>
      <c r="H116" s="41">
        <f t="shared" si="5"/>
        <v>0.12303546269681309</v>
      </c>
    </row>
    <row r="117" spans="2:8" x14ac:dyDescent="0.25">
      <c r="B117" s="1" t="s">
        <v>85</v>
      </c>
      <c r="C117" s="3">
        <v>386130.48230000044</v>
      </c>
      <c r="D117" s="3">
        <v>3492645.4396999893</v>
      </c>
      <c r="E117" s="3">
        <v>569689.69040000078</v>
      </c>
      <c r="F117" s="3">
        <f t="shared" si="3"/>
        <v>4448465.6123999907</v>
      </c>
      <c r="G117" s="39">
        <f t="shared" si="4"/>
        <v>8.6800824361476694E-2</v>
      </c>
      <c r="H117" s="41">
        <f t="shared" si="5"/>
        <v>0.12145103595512709</v>
      </c>
    </row>
    <row r="118" spans="2:8" x14ac:dyDescent="0.25">
      <c r="B118" s="1" t="s">
        <v>86</v>
      </c>
      <c r="C118" s="3">
        <v>1125790.5033999984</v>
      </c>
      <c r="D118" s="3">
        <v>7418097.8672000021</v>
      </c>
      <c r="E118" s="3">
        <v>1678600.2059000046</v>
      </c>
      <c r="F118" s="3">
        <f t="shared" si="3"/>
        <v>10222488.576500004</v>
      </c>
      <c r="G118" s="39">
        <f t="shared" si="4"/>
        <v>0.11012881012046567</v>
      </c>
      <c r="H118" s="41">
        <f t="shared" si="5"/>
        <v>0.12194105134832552</v>
      </c>
    </row>
    <row r="119" spans="2:8" x14ac:dyDescent="0.25">
      <c r="B119" s="1" t="s">
        <v>87</v>
      </c>
      <c r="C119" s="3">
        <v>894098.39349999896</v>
      </c>
      <c r="D119" s="3">
        <v>6027760.0365999909</v>
      </c>
      <c r="E119" s="3">
        <v>1148884.9475000028</v>
      </c>
      <c r="F119" s="3">
        <f t="shared" si="3"/>
        <v>8070743.3775999928</v>
      </c>
      <c r="G119" s="39">
        <f t="shared" si="4"/>
        <v>0.110782656772551</v>
      </c>
      <c r="H119" s="41">
        <f t="shared" si="5"/>
        <v>0.12173178796395921</v>
      </c>
    </row>
    <row r="120" spans="2:8" x14ac:dyDescent="0.25">
      <c r="B120" s="1" t="s">
        <v>88</v>
      </c>
      <c r="C120" s="3">
        <v>747710.11179999949</v>
      </c>
      <c r="D120" s="3">
        <v>4742366.7940999959</v>
      </c>
      <c r="E120" s="3">
        <v>919992.2346999998</v>
      </c>
      <c r="F120" s="3">
        <f t="shared" si="3"/>
        <v>6410069.1405999949</v>
      </c>
      <c r="G120" s="39">
        <f t="shared" si="4"/>
        <v>0.1166461851501983</v>
      </c>
      <c r="H120" s="41">
        <f t="shared" si="5"/>
        <v>0.12286058372683943</v>
      </c>
    </row>
    <row r="121" spans="2:8" x14ac:dyDescent="0.25">
      <c r="B121" s="1" t="s">
        <v>89</v>
      </c>
      <c r="C121" s="3">
        <v>858684.34409999987</v>
      </c>
      <c r="D121" s="3">
        <v>4836499.9708999991</v>
      </c>
      <c r="E121" s="3">
        <v>928506.20680000039</v>
      </c>
      <c r="F121" s="3">
        <f t="shared" si="3"/>
        <v>6623690.5218000002</v>
      </c>
      <c r="G121" s="39">
        <f t="shared" si="4"/>
        <v>0.1296383551245161</v>
      </c>
      <c r="H121" s="41">
        <f t="shared" si="5"/>
        <v>0.12691727459026572</v>
      </c>
    </row>
    <row r="122" spans="2:8" x14ac:dyDescent="0.25">
      <c r="B122" s="1" t="s">
        <v>90</v>
      </c>
      <c r="C122" s="3">
        <v>1203459.3809000005</v>
      </c>
      <c r="D122" s="3">
        <v>7303638.7318999823</v>
      </c>
      <c r="E122" s="3">
        <v>1270264.7423000019</v>
      </c>
      <c r="F122" s="3">
        <f t="shared" si="3"/>
        <v>9777362.8550999854</v>
      </c>
      <c r="G122" s="39">
        <f t="shared" si="4"/>
        <v>0.12308629624728125</v>
      </c>
      <c r="H122" s="41">
        <f t="shared" si="5"/>
        <v>0.12612726770777555</v>
      </c>
    </row>
    <row r="123" spans="2:8" x14ac:dyDescent="0.25">
      <c r="B123" t="s">
        <v>91</v>
      </c>
      <c r="C123" s="3">
        <v>1212613.5346999969</v>
      </c>
      <c r="D123" s="3">
        <v>6073361.407699991</v>
      </c>
      <c r="E123" s="3">
        <v>1339527.0511999989</v>
      </c>
      <c r="F123" s="3">
        <f t="shared" si="3"/>
        <v>8625501.9935999867</v>
      </c>
      <c r="G123" s="39">
        <f t="shared" si="4"/>
        <v>0.1405846912562006</v>
      </c>
      <c r="H123" s="41">
        <f t="shared" si="5"/>
        <v>0.12874077209659693</v>
      </c>
    </row>
    <row r="124" spans="2:8" x14ac:dyDescent="0.25">
      <c r="B124" t="s">
        <v>92</v>
      </c>
      <c r="C124" s="3">
        <v>499406.00059999962</v>
      </c>
      <c r="D124" s="3">
        <v>3140248.3222999987</v>
      </c>
      <c r="E124" s="3">
        <v>595736.96379999828</v>
      </c>
      <c r="F124" s="3">
        <f t="shared" si="3"/>
        <v>4235391.2866999963</v>
      </c>
      <c r="G124" s="39">
        <f t="shared" si="4"/>
        <v>0.11791260046462239</v>
      </c>
      <c r="H124" s="41">
        <f t="shared" si="5"/>
        <v>0.12978739616777488</v>
      </c>
    </row>
    <row r="125" spans="2:8" x14ac:dyDescent="0.25">
      <c r="B125" t="s">
        <v>93</v>
      </c>
      <c r="C125" s="3">
        <v>1082665.894699998</v>
      </c>
      <c r="D125" s="3">
        <v>3932626.4477999941</v>
      </c>
      <c r="E125" s="3">
        <v>751863.28160000045</v>
      </c>
      <c r="F125" s="3">
        <f t="shared" si="3"/>
        <v>5767155.6240999922</v>
      </c>
      <c r="G125" s="39">
        <f t="shared" si="4"/>
        <v>0.18772961322141468</v>
      </c>
      <c r="H125" s="41">
        <f t="shared" si="5"/>
        <v>0.1334125363838356</v>
      </c>
    </row>
    <row r="126" spans="2:8" x14ac:dyDescent="0.25">
      <c r="B126" t="s">
        <v>94</v>
      </c>
      <c r="C126" s="3">
        <v>884879.46809999936</v>
      </c>
      <c r="D126" s="3">
        <v>3452547.97930001</v>
      </c>
      <c r="E126" s="3">
        <v>662980.91779999994</v>
      </c>
      <c r="F126" s="3">
        <f t="shared" si="3"/>
        <v>5000408.3652000092</v>
      </c>
      <c r="G126" s="39">
        <f t="shared" si="4"/>
        <v>0.17696144064117961</v>
      </c>
      <c r="H126" s="41">
        <f t="shared" si="5"/>
        <v>0.13637274331228844</v>
      </c>
    </row>
    <row r="127" spans="2:8" x14ac:dyDescent="0.25">
      <c r="B127" t="s">
        <v>95</v>
      </c>
      <c r="C127" s="3">
        <v>587597.37149999978</v>
      </c>
      <c r="D127" s="3">
        <v>3877695.4717000038</v>
      </c>
      <c r="E127" s="3">
        <v>474097.00380000094</v>
      </c>
      <c r="F127" s="3">
        <f t="shared" si="3"/>
        <v>4939389.8470000047</v>
      </c>
      <c r="G127" s="39">
        <f t="shared" si="4"/>
        <v>0.1189615296020588</v>
      </c>
      <c r="H127" s="41">
        <f t="shared" si="5"/>
        <v>0.1347394203654548</v>
      </c>
    </row>
    <row r="128" spans="2:8" x14ac:dyDescent="0.25">
      <c r="B128" t="s">
        <v>96</v>
      </c>
      <c r="C128" s="3">
        <v>559102.61889999884</v>
      </c>
      <c r="D128" s="3">
        <v>4122250.6138000041</v>
      </c>
      <c r="E128" s="3">
        <v>490917.03039999987</v>
      </c>
      <c r="F128" s="3">
        <f t="shared" si="3"/>
        <v>5172270.2631000029</v>
      </c>
      <c r="G128" s="39">
        <f t="shared" si="4"/>
        <v>0.10809617256251038</v>
      </c>
      <c r="H128" s="41">
        <f t="shared" si="5"/>
        <v>0.12776714906496303</v>
      </c>
    </row>
    <row r="129" spans="2:8" x14ac:dyDescent="0.25">
      <c r="B129" t="s">
        <v>97</v>
      </c>
      <c r="C129" s="3">
        <v>469109.30790000025</v>
      </c>
      <c r="D129" s="3">
        <v>3296678.0424999986</v>
      </c>
      <c r="E129" s="3">
        <v>498930.15390000009</v>
      </c>
      <c r="F129" s="3">
        <f t="shared" si="3"/>
        <v>4264717.5042999992</v>
      </c>
      <c r="G129" s="39">
        <f t="shared" si="4"/>
        <v>0.10999774485109741</v>
      </c>
      <c r="H129" s="41">
        <f t="shared" si="5"/>
        <v>0.12594822464427485</v>
      </c>
    </row>
    <row r="130" spans="2:8" x14ac:dyDescent="0.25">
      <c r="B130" t="s">
        <v>98</v>
      </c>
      <c r="C130" s="3">
        <v>1560685.8064000069</v>
      </c>
      <c r="D130" s="3">
        <v>4050415.1564999903</v>
      </c>
      <c r="E130" s="3">
        <v>1305078.1565000005</v>
      </c>
      <c r="F130" s="3">
        <f t="shared" si="3"/>
        <v>6916179.1193999974</v>
      </c>
      <c r="G130" s="39">
        <f t="shared" si="4"/>
        <v>0.22565722770572225</v>
      </c>
      <c r="H130" s="41">
        <f t="shared" si="5"/>
        <v>0.13662948643998604</v>
      </c>
    </row>
    <row r="131" spans="2:8" x14ac:dyDescent="0.25">
      <c r="B131" t="s">
        <v>99</v>
      </c>
      <c r="C131" s="3">
        <v>557789.20299999963</v>
      </c>
      <c r="D131" s="3">
        <v>3202340.0216999948</v>
      </c>
      <c r="E131" s="3">
        <v>449673.67209999973</v>
      </c>
      <c r="F131" s="3">
        <f t="shared" ref="F131:F151" si="6">SUM(C131:E131)</f>
        <v>4209802.8967999946</v>
      </c>
      <c r="G131" s="39">
        <f t="shared" ref="G131:G151" si="7">C131/F131</f>
        <v>0.13249770040872769</v>
      </c>
      <c r="H131" s="41">
        <f t="shared" si="5"/>
        <v>0.1383501703083139</v>
      </c>
    </row>
    <row r="132" spans="2:8" x14ac:dyDescent="0.25">
      <c r="B132" t="s">
        <v>100</v>
      </c>
      <c r="C132" s="3">
        <v>612668.82780000148</v>
      </c>
      <c r="D132" s="3">
        <v>2786347.2227000003</v>
      </c>
      <c r="E132" s="3">
        <v>543045.34820000012</v>
      </c>
      <c r="F132" s="3">
        <f t="shared" si="6"/>
        <v>3942061.3987000016</v>
      </c>
      <c r="G132" s="39">
        <f t="shared" si="7"/>
        <v>0.15541838795358315</v>
      </c>
      <c r="H132" s="41">
        <f t="shared" si="5"/>
        <v>0.14178368809147021</v>
      </c>
    </row>
    <row r="133" spans="2:8" x14ac:dyDescent="0.25">
      <c r="B133" t="s">
        <v>101</v>
      </c>
      <c r="C133" s="3">
        <v>725605.71769999922</v>
      </c>
      <c r="D133" s="3">
        <v>4800431.9459999884</v>
      </c>
      <c r="E133" s="3">
        <v>841683.87549999915</v>
      </c>
      <c r="F133" s="3">
        <f t="shared" si="6"/>
        <v>6367721.5391999865</v>
      </c>
      <c r="G133" s="39">
        <f t="shared" si="7"/>
        <v>0.11395060434617579</v>
      </c>
      <c r="H133" s="41">
        <f t="shared" si="5"/>
        <v>0.14157633572193001</v>
      </c>
    </row>
    <row r="134" spans="2:8" x14ac:dyDescent="0.25">
      <c r="B134" t="s">
        <v>102</v>
      </c>
      <c r="C134" s="3">
        <v>645783.41860000032</v>
      </c>
      <c r="D134" s="3">
        <v>3659504.651999977</v>
      </c>
      <c r="E134" s="3">
        <v>653267.14660000114</v>
      </c>
      <c r="F134" s="3">
        <f t="shared" si="6"/>
        <v>4958555.2171999784</v>
      </c>
      <c r="G134" s="39">
        <f t="shared" si="7"/>
        <v>0.13023620597385713</v>
      </c>
      <c r="H134" s="41">
        <f t="shared" si="5"/>
        <v>0.14162232424880239</v>
      </c>
    </row>
    <row r="135" spans="2:8" x14ac:dyDescent="0.25">
      <c r="B135" t="s">
        <v>103</v>
      </c>
      <c r="C135" s="3">
        <v>619981.67210000101</v>
      </c>
      <c r="D135" s="3">
        <v>2786846.6117999847</v>
      </c>
      <c r="E135" s="3">
        <v>535128.3190999988</v>
      </c>
      <c r="F135" s="3">
        <f t="shared" si="6"/>
        <v>3941956.6029999843</v>
      </c>
      <c r="G135" s="39">
        <f t="shared" si="7"/>
        <v>0.15727765029888216</v>
      </c>
      <c r="H135" s="41">
        <f t="shared" si="5"/>
        <v>0.14425242840661784</v>
      </c>
    </row>
    <row r="136" spans="2:8" x14ac:dyDescent="0.25">
      <c r="B136" t="s">
        <v>104</v>
      </c>
      <c r="C136" s="3">
        <v>1600595.5227000087</v>
      </c>
      <c r="D136" s="3">
        <v>5618972.2146999678</v>
      </c>
      <c r="E136" s="3">
        <v>1254428.6563000039</v>
      </c>
      <c r="F136" s="3">
        <f t="shared" si="6"/>
        <v>8473996.3936999813</v>
      </c>
      <c r="G136" s="39">
        <f t="shared" si="7"/>
        <v>0.18888319611393467</v>
      </c>
      <c r="H136" s="41">
        <f t="shared" si="5"/>
        <v>0.14796769801105894</v>
      </c>
    </row>
    <row r="137" spans="2:8" x14ac:dyDescent="0.25">
      <c r="B137" t="s">
        <v>105</v>
      </c>
      <c r="C137" s="3">
        <v>706288.64660000044</v>
      </c>
      <c r="D137" s="3">
        <v>2813057.1372999945</v>
      </c>
      <c r="E137" s="3">
        <v>443004.78239999962</v>
      </c>
      <c r="F137" s="3">
        <f t="shared" si="6"/>
        <v>3962350.5662999945</v>
      </c>
      <c r="G137" s="39">
        <f t="shared" si="7"/>
        <v>0.17824991372722634</v>
      </c>
      <c r="H137" s="41">
        <f t="shared" si="5"/>
        <v>0.15260902980049001</v>
      </c>
    </row>
    <row r="138" spans="2:8" x14ac:dyDescent="0.25">
      <c r="B138" t="s">
        <v>106</v>
      </c>
      <c r="C138" s="3">
        <v>449136.59789999941</v>
      </c>
      <c r="D138" s="3">
        <v>4160312.0871999948</v>
      </c>
      <c r="E138" s="3">
        <v>662654.46410000056</v>
      </c>
      <c r="F138" s="3">
        <f t="shared" si="6"/>
        <v>5272103.1491999943</v>
      </c>
      <c r="G138" s="39">
        <f t="shared" si="7"/>
        <v>8.5191162841370585E-2</v>
      </c>
      <c r="H138" s="41">
        <f t="shared" si="5"/>
        <v>0.14472145669433278</v>
      </c>
    </row>
    <row r="139" spans="2:8" x14ac:dyDescent="0.25">
      <c r="B139" t="s">
        <v>107</v>
      </c>
      <c r="C139" s="3">
        <v>1145364.3841999972</v>
      </c>
      <c r="D139" s="3">
        <v>6689388.2079999931</v>
      </c>
      <c r="E139" s="3">
        <v>1282174.978099999</v>
      </c>
      <c r="F139" s="3">
        <f t="shared" si="6"/>
        <v>9116927.5702999905</v>
      </c>
      <c r="G139" s="39">
        <f t="shared" si="7"/>
        <v>0.12563052359121782</v>
      </c>
      <c r="H139" s="41">
        <f t="shared" si="5"/>
        <v>0.1407729246135665</v>
      </c>
    </row>
    <row r="140" spans="2:8" x14ac:dyDescent="0.25">
      <c r="B140" t="s">
        <v>108</v>
      </c>
      <c r="C140" s="3">
        <v>896738.51849999954</v>
      </c>
      <c r="D140" s="3">
        <v>5413472.1937000025</v>
      </c>
      <c r="E140" s="3">
        <v>886214.76940000115</v>
      </c>
      <c r="F140" s="3">
        <f t="shared" si="6"/>
        <v>7196425.4816000033</v>
      </c>
      <c r="G140" s="39">
        <f t="shared" si="7"/>
        <v>0.12460887989360864</v>
      </c>
      <c r="H140" s="41">
        <f t="shared" si="5"/>
        <v>0.14120733617445491</v>
      </c>
    </row>
    <row r="141" spans="2:8" x14ac:dyDescent="0.25">
      <c r="B141" t="s">
        <v>109</v>
      </c>
      <c r="C141" s="3">
        <v>932129.56290000037</v>
      </c>
      <c r="D141" s="3">
        <v>6271384.3671999844</v>
      </c>
      <c r="E141" s="3">
        <v>1054865.3451000021</v>
      </c>
      <c r="F141" s="3">
        <f t="shared" si="6"/>
        <v>8258379.275199987</v>
      </c>
      <c r="G141" s="39">
        <f t="shared" si="7"/>
        <v>0.11287076214811262</v>
      </c>
      <c r="H141" s="41">
        <f t="shared" si="5"/>
        <v>0.14157461229642435</v>
      </c>
    </row>
    <row r="142" spans="2:8" x14ac:dyDescent="0.25">
      <c r="B142" t="s">
        <v>110</v>
      </c>
      <c r="C142" s="3">
        <v>1025312.1705999988</v>
      </c>
      <c r="D142" s="3">
        <v>6777189.3236999605</v>
      </c>
      <c r="E142" s="3">
        <v>1277751.8358000058</v>
      </c>
      <c r="F142" s="3">
        <f t="shared" si="6"/>
        <v>9080253.3300999645</v>
      </c>
      <c r="G142" s="39">
        <f t="shared" si="7"/>
        <v>0.11291669222500768</v>
      </c>
      <c r="H142" s="41">
        <f t="shared" si="5"/>
        <v>0.14179914670980207</v>
      </c>
    </row>
    <row r="143" spans="2:8" x14ac:dyDescent="0.25">
      <c r="B143" t="s">
        <v>111</v>
      </c>
      <c r="C143" s="3">
        <v>834777.35750000062</v>
      </c>
      <c r="D143" s="3">
        <v>7372805.3019000003</v>
      </c>
      <c r="E143" s="3">
        <v>1111181.6849999987</v>
      </c>
      <c r="F143" s="3">
        <f t="shared" si="6"/>
        <v>9318764.3443999998</v>
      </c>
      <c r="G143" s="39">
        <f t="shared" si="7"/>
        <v>8.958026264519181E-2</v>
      </c>
      <c r="H143" s="41">
        <f t="shared" ref="H143:H151" si="8">AVERAGE(G131:G143)</f>
        <v>0.13133168785899202</v>
      </c>
    </row>
    <row r="144" spans="2:8" x14ac:dyDescent="0.25">
      <c r="B144" t="s">
        <v>112</v>
      </c>
      <c r="C144" s="3">
        <v>1357184.5668000013</v>
      </c>
      <c r="D144" s="3">
        <v>8581746.6442000046</v>
      </c>
      <c r="E144" s="3">
        <v>1584192.5866999996</v>
      </c>
      <c r="F144" s="3">
        <f t="shared" si="6"/>
        <v>11523123.797700007</v>
      </c>
      <c r="G144" s="39">
        <f t="shared" si="7"/>
        <v>0.11777922294568186</v>
      </c>
      <c r="H144" s="41">
        <f t="shared" si="8"/>
        <v>0.13019949728491156</v>
      </c>
    </row>
    <row r="145" spans="2:8" x14ac:dyDescent="0.25">
      <c r="B145" t="s">
        <v>113</v>
      </c>
      <c r="C145" s="3">
        <v>1574105.8237000017</v>
      </c>
      <c r="D145" s="3">
        <v>7600973.0117000202</v>
      </c>
      <c r="E145" s="3">
        <v>1875562.9764000026</v>
      </c>
      <c r="F145" s="3">
        <f t="shared" si="6"/>
        <v>11050641.811800025</v>
      </c>
      <c r="G145" s="39">
        <f t="shared" si="7"/>
        <v>0.14244474217046382</v>
      </c>
      <c r="H145" s="41">
        <f t="shared" si="8"/>
        <v>0.12920152453236391</v>
      </c>
    </row>
    <row r="146" spans="2:8" x14ac:dyDescent="0.25">
      <c r="B146" t="s">
        <v>114</v>
      </c>
      <c r="C146" s="3">
        <v>416030.62960000068</v>
      </c>
      <c r="D146" s="3">
        <v>2414126.5189</v>
      </c>
      <c r="E146" s="3">
        <v>284652.14989999979</v>
      </c>
      <c r="F146" s="3">
        <f t="shared" si="6"/>
        <v>3114809.2984000002</v>
      </c>
      <c r="G146" s="39">
        <f t="shared" si="7"/>
        <v>0.13356536138944533</v>
      </c>
      <c r="H146" s="41">
        <f t="shared" si="8"/>
        <v>0.13071035199723083</v>
      </c>
    </row>
    <row r="147" spans="2:8" x14ac:dyDescent="0.25">
      <c r="B147" t="s">
        <v>115</v>
      </c>
      <c r="C147" s="3">
        <v>1617226.4406000029</v>
      </c>
      <c r="D147" s="3">
        <v>3960018.0134999999</v>
      </c>
      <c r="E147" s="3">
        <v>983733.03410000016</v>
      </c>
      <c r="F147" s="3">
        <f t="shared" si="6"/>
        <v>6560977.4882000023</v>
      </c>
      <c r="G147" s="39">
        <f t="shared" si="7"/>
        <v>0.24649169174998761</v>
      </c>
      <c r="H147" s="41">
        <f t="shared" si="8"/>
        <v>0.13965308167231777</v>
      </c>
    </row>
    <row r="148" spans="2:8" x14ac:dyDescent="0.25">
      <c r="B148" t="s">
        <v>116</v>
      </c>
      <c r="C148" s="3">
        <v>1133676.3416000011</v>
      </c>
      <c r="D148" s="3">
        <v>3745459.3185000038</v>
      </c>
      <c r="E148" s="3">
        <v>867387.79079999879</v>
      </c>
      <c r="F148" s="3">
        <f t="shared" si="6"/>
        <v>5746523.4509000033</v>
      </c>
      <c r="G148" s="39">
        <f t="shared" si="7"/>
        <v>0.19728038200600193</v>
      </c>
      <c r="H148" s="41">
        <f t="shared" si="8"/>
        <v>0.14273021488055773</v>
      </c>
    </row>
    <row r="149" spans="2:8" x14ac:dyDescent="0.25">
      <c r="B149" t="s">
        <v>117</v>
      </c>
      <c r="C149" s="3">
        <v>1036537.2923999984</v>
      </c>
      <c r="D149" s="3">
        <v>3882948.8219999922</v>
      </c>
      <c r="E149" s="3">
        <v>705368.7490999999</v>
      </c>
      <c r="F149" s="3">
        <f t="shared" si="6"/>
        <v>5624854.8634999907</v>
      </c>
      <c r="G149" s="39">
        <f t="shared" si="7"/>
        <v>0.18427805117713331</v>
      </c>
      <c r="H149" s="41">
        <f t="shared" si="8"/>
        <v>0.14237597296234225</v>
      </c>
    </row>
    <row r="150" spans="2:8" x14ac:dyDescent="0.25">
      <c r="B150" t="s">
        <v>118</v>
      </c>
      <c r="C150" s="3">
        <v>782166.7299999994</v>
      </c>
      <c r="D150" s="3">
        <v>4139728.7785999915</v>
      </c>
      <c r="E150" s="3">
        <v>831940.18159999838</v>
      </c>
      <c r="F150" s="3">
        <f t="shared" si="6"/>
        <v>5753835.6901999898</v>
      </c>
      <c r="G150" s="39">
        <f t="shared" si="7"/>
        <v>0.13593831525849726</v>
      </c>
      <c r="H150" s="41">
        <f t="shared" si="8"/>
        <v>0.13912123461859388</v>
      </c>
    </row>
    <row r="151" spans="2:8" x14ac:dyDescent="0.25">
      <c r="B151" t="s">
        <v>119</v>
      </c>
      <c r="C151" s="3">
        <v>382377.67670000019</v>
      </c>
      <c r="D151" s="3">
        <v>1448008.1368000009</v>
      </c>
      <c r="E151" s="3">
        <v>441944.60719999979</v>
      </c>
      <c r="F151" s="3">
        <f t="shared" si="6"/>
        <v>2272330.4207000011</v>
      </c>
      <c r="G151" s="39">
        <f t="shared" si="7"/>
        <v>0.1682755611669394</v>
      </c>
      <c r="H151" s="41">
        <f t="shared" si="8"/>
        <v>0.14551234218209916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F284-D5B8-4D46-97BA-56DD5E42E6E5}">
  <dimension ref="A1:AE105"/>
  <sheetViews>
    <sheetView zoomScale="55" zoomScaleNormal="55" workbookViewId="0">
      <pane ySplit="6" topLeftCell="A7" activePane="bottomLeft" state="frozen"/>
      <selection pane="bottomLeft" activeCell="U16" sqref="U16"/>
    </sheetView>
  </sheetViews>
  <sheetFormatPr defaultRowHeight="15" x14ac:dyDescent="0.25"/>
  <cols>
    <col min="1" max="1" width="12.7109375" customWidth="1"/>
    <col min="2" max="4" width="19.140625" customWidth="1"/>
    <col min="5" max="5" width="15.42578125" customWidth="1"/>
    <col min="6" max="8" width="19.140625" customWidth="1"/>
    <col min="9" max="9" width="15.42578125" customWidth="1"/>
    <col min="10" max="10" width="17.140625" customWidth="1"/>
    <col min="14" max="14" width="12.7109375" customWidth="1"/>
    <col min="15" max="15" width="10" bestFit="1" customWidth="1"/>
    <col min="16" max="16" width="14.5703125" customWidth="1"/>
    <col min="17" max="17" width="18.140625" customWidth="1"/>
    <col min="18" max="18" width="14.5703125" customWidth="1"/>
    <col min="20" max="20" width="12.7109375" customWidth="1"/>
    <col min="21" max="21" width="18.140625" customWidth="1"/>
    <col min="22" max="22" width="14.5703125" customWidth="1"/>
    <col min="23" max="23" width="18.140625" customWidth="1"/>
    <col min="24" max="24" width="14.5703125" customWidth="1"/>
    <col min="26" max="27" width="12.7109375" customWidth="1"/>
    <col min="28" max="29" width="18.140625" customWidth="1"/>
  </cols>
  <sheetData>
    <row r="1" spans="1:31" ht="18.75" x14ac:dyDescent="0.3">
      <c r="A1" s="19" t="s">
        <v>242</v>
      </c>
      <c r="B1" s="20"/>
      <c r="C1" s="20"/>
      <c r="D1" s="20"/>
      <c r="E1" s="20"/>
      <c r="F1" s="20"/>
      <c r="G1" s="20"/>
      <c r="H1" s="20"/>
      <c r="I1" s="20"/>
    </row>
    <row r="2" spans="1:31" x14ac:dyDescent="0.25">
      <c r="A2" s="21" t="s">
        <v>243</v>
      </c>
      <c r="B2" s="20"/>
      <c r="C2" s="20"/>
      <c r="D2" s="20"/>
      <c r="E2" s="20"/>
      <c r="F2" s="20"/>
      <c r="G2" s="20"/>
      <c r="H2" s="20"/>
      <c r="I2" s="20"/>
    </row>
    <row r="3" spans="1:31" x14ac:dyDescent="0.25">
      <c r="A3" s="21" t="s">
        <v>244</v>
      </c>
      <c r="B3" s="20"/>
      <c r="C3" s="20"/>
      <c r="D3" s="20"/>
      <c r="E3" s="20"/>
      <c r="F3" s="20"/>
      <c r="G3" s="20"/>
      <c r="H3" s="20"/>
      <c r="I3" s="20"/>
    </row>
    <row r="4" spans="1:31" x14ac:dyDescent="0.25">
      <c r="A4" s="20"/>
      <c r="B4" s="20"/>
      <c r="C4" s="20"/>
      <c r="D4" s="20"/>
      <c r="E4" s="20"/>
      <c r="F4" s="20"/>
      <c r="G4" s="20"/>
      <c r="H4" s="20"/>
      <c r="I4" s="20"/>
      <c r="N4" s="35"/>
      <c r="O4" s="35"/>
      <c r="P4" s="35"/>
      <c r="Q4" s="35"/>
      <c r="R4" s="35"/>
      <c r="T4" s="35" t="s">
        <v>245</v>
      </c>
      <c r="U4" s="35"/>
      <c r="V4" s="35"/>
      <c r="W4" s="35"/>
      <c r="X4" s="35"/>
      <c r="Z4" s="55" t="s">
        <v>246</v>
      </c>
      <c r="AA4" s="55"/>
      <c r="AB4" s="55"/>
      <c r="AC4" s="55"/>
    </row>
    <row r="5" spans="1:31" x14ac:dyDescent="0.25">
      <c r="A5" s="22" t="s">
        <v>1</v>
      </c>
      <c r="B5" s="56" t="s">
        <v>247</v>
      </c>
      <c r="C5" s="56"/>
      <c r="D5" s="56"/>
      <c r="E5" s="56"/>
      <c r="F5" s="56" t="s">
        <v>248</v>
      </c>
      <c r="G5" s="56"/>
      <c r="H5" s="56"/>
      <c r="I5" s="56"/>
      <c r="N5" s="21"/>
      <c r="O5" s="20"/>
      <c r="P5" s="20"/>
      <c r="Q5" s="20"/>
      <c r="R5" s="20"/>
      <c r="T5" s="21"/>
      <c r="U5" s="20"/>
      <c r="V5" s="20"/>
      <c r="W5" s="20"/>
      <c r="X5" s="20"/>
      <c r="Z5" s="20"/>
      <c r="AA5" s="20"/>
      <c r="AB5" s="20"/>
      <c r="AC5" s="20"/>
    </row>
    <row r="6" spans="1:31" x14ac:dyDescent="0.25">
      <c r="A6" s="22" t="s">
        <v>249</v>
      </c>
      <c r="B6" s="22" t="s">
        <v>250</v>
      </c>
      <c r="C6" s="22" t="s">
        <v>251</v>
      </c>
      <c r="D6" s="22" t="s">
        <v>252</v>
      </c>
      <c r="E6" s="22" t="s">
        <v>253</v>
      </c>
      <c r="F6" s="22" t="s">
        <v>250</v>
      </c>
      <c r="G6" s="22" t="s">
        <v>251</v>
      </c>
      <c r="H6" s="22" t="s">
        <v>252</v>
      </c>
      <c r="I6" s="22" t="s">
        <v>253</v>
      </c>
      <c r="K6" s="30" t="s">
        <v>254</v>
      </c>
      <c r="N6" s="22"/>
      <c r="O6" s="22" t="s">
        <v>255</v>
      </c>
      <c r="P6" s="22"/>
      <c r="Q6" s="22" t="s">
        <v>256</v>
      </c>
      <c r="R6" s="22"/>
      <c r="T6" s="22" t="s">
        <v>1</v>
      </c>
      <c r="U6" s="22" t="s">
        <v>255</v>
      </c>
      <c r="V6" s="22" t="s">
        <v>257</v>
      </c>
      <c r="W6" s="22" t="s">
        <v>256</v>
      </c>
      <c r="X6" s="22" t="s">
        <v>258</v>
      </c>
      <c r="Z6" s="22" t="s">
        <v>259</v>
      </c>
      <c r="AA6" s="22" t="s">
        <v>260</v>
      </c>
      <c r="AB6" s="22" t="s">
        <v>261</v>
      </c>
      <c r="AC6" s="22" t="s">
        <v>262</v>
      </c>
    </row>
    <row r="7" spans="1:31" x14ac:dyDescent="0.25">
      <c r="A7" s="23" t="str">
        <f>'Delivered Sales'!A10</f>
        <v>202709</v>
      </c>
      <c r="B7" s="24">
        <f>_xlfn.XLOOKUP($A7,'Written Sales'!$A$8:$A$215,'Written Sales'!$D$8:$D$215)</f>
        <v>766569.56299999857</v>
      </c>
      <c r="C7" s="24">
        <f>_xlfn.XLOOKUP($A7,'Delivered Sales'!$A$10:$A$107,'Delivered Sales'!$D$10:$D$107)</f>
        <v>665512.6</v>
      </c>
      <c r="D7" s="24">
        <f>B7-C7</f>
        <v>101056.96299999859</v>
      </c>
      <c r="E7" s="25">
        <f>B7/C7</f>
        <v>1.1518483091078946</v>
      </c>
      <c r="F7" s="24">
        <f>_xlfn.XLOOKUP($A7,'Written Sales'!$A$8:$A$215,'Written Sales'!$Q$8:$Q$215)</f>
        <v>4321841.9317000052</v>
      </c>
      <c r="G7" s="24">
        <f>_xlfn.XLOOKUP($A7,'Delivered Sales'!$A$10:$A$107,'Delivered Sales'!$P$10:$P$107)</f>
        <v>0</v>
      </c>
      <c r="H7" s="24">
        <f>F7-G7</f>
        <v>4321841.9317000052</v>
      </c>
      <c r="I7" s="25" t="e">
        <f>F7/G7</f>
        <v>#DIV/0!</v>
      </c>
      <c r="K7">
        <f>VALUE($A7)</f>
        <v>202709</v>
      </c>
      <c r="N7" s="22"/>
      <c r="O7" s="22"/>
      <c r="P7" s="22"/>
      <c r="Q7" s="22"/>
      <c r="R7" s="22"/>
      <c r="T7" s="22"/>
      <c r="U7" s="22"/>
      <c r="V7" s="22"/>
      <c r="W7" s="22"/>
      <c r="X7" s="22"/>
      <c r="Z7" s="31"/>
      <c r="AA7" s="32"/>
      <c r="AB7" s="32"/>
      <c r="AC7" s="32"/>
    </row>
    <row r="8" spans="1:31" x14ac:dyDescent="0.25">
      <c r="A8" s="23" t="str">
        <f>'Delivered Sales'!A11</f>
        <v>Grand Total</v>
      </c>
      <c r="B8" s="24" t="e">
        <f>_xlfn.XLOOKUP($A8,'Written Sales'!$A$8:$A$215,'Written Sales'!$D$8:$D$215)</f>
        <v>#N/A</v>
      </c>
      <c r="C8" s="24">
        <f>_xlfn.XLOOKUP($A8,'Delivered Sales'!$A$10:$A$107,'Delivered Sales'!$D$10:$D$107)</f>
        <v>665512.6</v>
      </c>
      <c r="D8" s="24" t="e">
        <f t="shared" ref="D8:D71" si="0">B8-C8</f>
        <v>#N/A</v>
      </c>
      <c r="E8" s="25" t="e">
        <f t="shared" ref="E8:E71" si="1">B8/C8</f>
        <v>#N/A</v>
      </c>
      <c r="F8" s="24" t="e">
        <f>_xlfn.XLOOKUP($A8,'Written Sales'!$A$8:$A$215,'Written Sales'!$Q$8:$Q$215)</f>
        <v>#N/A</v>
      </c>
      <c r="G8" s="24">
        <f>_xlfn.XLOOKUP($A8,'Delivered Sales'!$A$10:$A$107,'Delivered Sales'!$P$10:$P$107)</f>
        <v>0</v>
      </c>
      <c r="H8" s="24" t="e">
        <f t="shared" ref="H8:H71" si="2">F8-G8</f>
        <v>#N/A</v>
      </c>
      <c r="I8" s="25" t="e">
        <f t="shared" ref="I8:I71" si="3">F8/G8</f>
        <v>#N/A</v>
      </c>
      <c r="K8" t="e">
        <f t="shared" ref="K8:K71" si="4">VALUE($A8)</f>
        <v>#VALUE!</v>
      </c>
      <c r="N8" t="s">
        <v>61</v>
      </c>
      <c r="O8" s="24">
        <v>55980.797599999234</v>
      </c>
      <c r="P8" s="25">
        <v>1.0508078792404489</v>
      </c>
      <c r="Q8" s="24">
        <v>-1675751.624799951</v>
      </c>
      <c r="R8" s="25">
        <v>0.81153766003609196</v>
      </c>
      <c r="T8" t="s">
        <v>61</v>
      </c>
      <c r="U8" s="24" t="str">
        <f t="shared" ref="U8:U39" si="5">IFERROR(_xlfn.XLOOKUP(VALUE($T8),$K$7:$K$104,$D$7:$D$104),"")</f>
        <v/>
      </c>
      <c r="V8" s="25" t="str">
        <f t="shared" ref="V8:V39" si="6">IFERROR(_xlfn.XLOOKUP(VALUE($T8),$K$7:$K$104,$E$7:$E$104),"")</f>
        <v/>
      </c>
      <c r="W8" s="24" t="str">
        <f t="shared" ref="W8:W39" si="7">IFERROR(_xlfn.XLOOKUP(VALUE($T8),$K$7:$K$104,$H$7:$H$104),"")</f>
        <v/>
      </c>
      <c r="X8" s="25" t="str">
        <f t="shared" ref="X8:X39" si="8">IFERROR(_xlfn.XLOOKUP(VALUE($T8),$K$7:$K$104,$I$7:$I$104),"")</f>
        <v/>
      </c>
      <c r="Z8" s="33" t="str">
        <f>$N8</f>
        <v>202540</v>
      </c>
      <c r="AA8" s="33" t="str">
        <f>IF($T8="","",$T8)</f>
        <v>202540</v>
      </c>
      <c r="AB8" s="34">
        <f t="shared" ref="AB8:AB39" si="9">IFERROR(AVERAGE($P8,$V8),"")</f>
        <v>1.0508078792404489</v>
      </c>
      <c r="AC8" s="34">
        <f>IFERROR(AVERAGE($R8,$X8),"")</f>
        <v>0.81153766003609196</v>
      </c>
      <c r="AD8" s="29"/>
      <c r="AE8" s="29"/>
    </row>
    <row r="9" spans="1:31" x14ac:dyDescent="0.25">
      <c r="A9" s="23">
        <f>'Delivered Sales'!A12</f>
        <v>0</v>
      </c>
      <c r="B9" s="24" t="e">
        <f>_xlfn.XLOOKUP($A9,'Written Sales'!$A$8:$A$215,'Written Sales'!$D$8:$D$215)</f>
        <v>#N/A</v>
      </c>
      <c r="C9" s="24" t="e">
        <f>_xlfn.XLOOKUP($A9,'Delivered Sales'!$A$10:$A$107,'Delivered Sales'!$D$10:$D$107)</f>
        <v>#N/A</v>
      </c>
      <c r="D9" s="24" t="e">
        <f t="shared" si="0"/>
        <v>#N/A</v>
      </c>
      <c r="E9" s="25" t="e">
        <f t="shared" si="1"/>
        <v>#N/A</v>
      </c>
      <c r="F9" s="24" t="e">
        <f>_xlfn.XLOOKUP($A9,'Written Sales'!$A$8:$A$215,'Written Sales'!$Q$8:$Q$215)</f>
        <v>#N/A</v>
      </c>
      <c r="G9" s="24" t="e">
        <f>_xlfn.XLOOKUP($A9,'Delivered Sales'!$A$10:$A$107,'Delivered Sales'!$P$10:$P$107)</f>
        <v>#N/A</v>
      </c>
      <c r="H9" s="24" t="e">
        <f t="shared" si="2"/>
        <v>#N/A</v>
      </c>
      <c r="I9" s="25" t="e">
        <f t="shared" si="3"/>
        <v>#N/A</v>
      </c>
      <c r="K9">
        <f t="shared" si="4"/>
        <v>0</v>
      </c>
      <c r="N9" t="s">
        <v>62</v>
      </c>
      <c r="O9" s="24">
        <v>-397921.02129999979</v>
      </c>
      <c r="P9" s="25">
        <v>0.61508967888335297</v>
      </c>
      <c r="Q9" s="24">
        <v>-2995646.7492000055</v>
      </c>
      <c r="R9" s="25">
        <v>0.54331404268758787</v>
      </c>
      <c r="T9" t="s">
        <v>62</v>
      </c>
      <c r="U9" s="24" t="str">
        <f t="shared" si="5"/>
        <v/>
      </c>
      <c r="V9" s="25" t="str">
        <f t="shared" si="6"/>
        <v/>
      </c>
      <c r="W9" s="24" t="str">
        <f t="shared" si="7"/>
        <v/>
      </c>
      <c r="X9" s="25" t="str">
        <f t="shared" si="8"/>
        <v/>
      </c>
      <c r="Z9" s="33" t="str">
        <f t="shared" ref="Z9:Z59" si="10">$N9</f>
        <v>202541</v>
      </c>
      <c r="AA9" s="33" t="str">
        <f t="shared" ref="AA9:AA59" si="11">IF($T9="","",$T9)</f>
        <v>202541</v>
      </c>
      <c r="AB9" s="34">
        <f t="shared" si="9"/>
        <v>0.61508967888335297</v>
      </c>
      <c r="AC9" s="34">
        <f t="shared" ref="AC9:AC59" si="12">IFERROR(AVERAGE($R9,$X9),"")</f>
        <v>0.54331404268758787</v>
      </c>
    </row>
    <row r="10" spans="1:31" x14ac:dyDescent="0.25">
      <c r="A10" s="23">
        <f>'Delivered Sales'!A13</f>
        <v>0</v>
      </c>
      <c r="B10" s="24" t="e">
        <f>_xlfn.XLOOKUP($A10,'Written Sales'!$A$8:$A$215,'Written Sales'!$D$8:$D$215)</f>
        <v>#N/A</v>
      </c>
      <c r="C10" s="24" t="e">
        <f>_xlfn.XLOOKUP($A10,'Delivered Sales'!$A$10:$A$107,'Delivered Sales'!$D$10:$D$107)</f>
        <v>#N/A</v>
      </c>
      <c r="D10" s="24" t="e">
        <f t="shared" si="0"/>
        <v>#N/A</v>
      </c>
      <c r="E10" s="25" t="e">
        <f t="shared" si="1"/>
        <v>#N/A</v>
      </c>
      <c r="F10" s="24" t="e">
        <f>_xlfn.XLOOKUP($A10,'Written Sales'!$A$8:$A$215,'Written Sales'!$Q$8:$Q$215)</f>
        <v>#N/A</v>
      </c>
      <c r="G10" s="24" t="e">
        <f>_xlfn.XLOOKUP($A10,'Delivered Sales'!$A$10:$A$107,'Delivered Sales'!$P$10:$P$107)</f>
        <v>#N/A</v>
      </c>
      <c r="H10" s="24" t="e">
        <f t="shared" si="2"/>
        <v>#N/A</v>
      </c>
      <c r="I10" s="25" t="e">
        <f t="shared" si="3"/>
        <v>#N/A</v>
      </c>
      <c r="K10">
        <f t="shared" si="4"/>
        <v>0</v>
      </c>
      <c r="N10" t="s">
        <v>63</v>
      </c>
      <c r="O10" s="24">
        <v>-135161.00270000147</v>
      </c>
      <c r="P10" s="25">
        <v>0.88493814777518209</v>
      </c>
      <c r="Q10" s="24">
        <v>404444.34529999085</v>
      </c>
      <c r="R10" s="25">
        <v>1.0675309445991579</v>
      </c>
      <c r="T10" t="s">
        <v>63</v>
      </c>
      <c r="U10" s="24" t="str">
        <f t="shared" si="5"/>
        <v/>
      </c>
      <c r="V10" s="25" t="str">
        <f t="shared" si="6"/>
        <v/>
      </c>
      <c r="W10" s="24" t="str">
        <f t="shared" si="7"/>
        <v/>
      </c>
      <c r="X10" s="25" t="str">
        <f t="shared" si="8"/>
        <v/>
      </c>
      <c r="Z10" s="33" t="str">
        <f t="shared" si="10"/>
        <v>202542</v>
      </c>
      <c r="AA10" s="33" t="str">
        <f t="shared" si="11"/>
        <v>202542</v>
      </c>
      <c r="AB10" s="34">
        <f t="shared" si="9"/>
        <v>0.88493814777518209</v>
      </c>
      <c r="AC10" s="34">
        <f t="shared" si="12"/>
        <v>1.0675309445991579</v>
      </c>
    </row>
    <row r="11" spans="1:31" x14ac:dyDescent="0.25">
      <c r="A11" s="23">
        <f>'Delivered Sales'!A14</f>
        <v>0</v>
      </c>
      <c r="B11" s="24" t="e">
        <f>_xlfn.XLOOKUP($A11,'Written Sales'!$A$8:$A$215,'Written Sales'!$D$8:$D$215)</f>
        <v>#N/A</v>
      </c>
      <c r="C11" s="24" t="e">
        <f>_xlfn.XLOOKUP($A11,'Delivered Sales'!$A$10:$A$107,'Delivered Sales'!$D$10:$D$107)</f>
        <v>#N/A</v>
      </c>
      <c r="D11" s="24" t="e">
        <f t="shared" si="0"/>
        <v>#N/A</v>
      </c>
      <c r="E11" s="25" t="e">
        <f t="shared" si="1"/>
        <v>#N/A</v>
      </c>
      <c r="F11" s="24" t="e">
        <f>_xlfn.XLOOKUP($A11,'Written Sales'!$A$8:$A$215,'Written Sales'!$Q$8:$Q$215)</f>
        <v>#N/A</v>
      </c>
      <c r="G11" s="24" t="e">
        <f>_xlfn.XLOOKUP($A11,'Delivered Sales'!$A$10:$A$107,'Delivered Sales'!$P$10:$P$107)</f>
        <v>#N/A</v>
      </c>
      <c r="H11" s="24" t="e">
        <f t="shared" si="2"/>
        <v>#N/A</v>
      </c>
      <c r="I11" s="25" t="e">
        <f t="shared" si="3"/>
        <v>#N/A</v>
      </c>
      <c r="K11">
        <f t="shared" si="4"/>
        <v>0</v>
      </c>
      <c r="N11" t="s">
        <v>64</v>
      </c>
      <c r="O11" s="24">
        <v>-122715.82890000043</v>
      </c>
      <c r="P11" s="25">
        <v>0.88276001244131241</v>
      </c>
      <c r="Q11" s="24">
        <v>-479072.94730001129</v>
      </c>
      <c r="R11" s="25">
        <v>0.93042916104033879</v>
      </c>
      <c r="T11" t="s">
        <v>64</v>
      </c>
      <c r="U11" s="24" t="str">
        <f t="shared" si="5"/>
        <v/>
      </c>
      <c r="V11" s="25" t="str">
        <f t="shared" si="6"/>
        <v/>
      </c>
      <c r="W11" s="24" t="str">
        <f t="shared" si="7"/>
        <v/>
      </c>
      <c r="X11" s="25" t="str">
        <f t="shared" si="8"/>
        <v/>
      </c>
      <c r="Z11" s="33" t="str">
        <f t="shared" si="10"/>
        <v>202543</v>
      </c>
      <c r="AA11" s="33" t="str">
        <f t="shared" si="11"/>
        <v>202543</v>
      </c>
      <c r="AB11" s="34">
        <f t="shared" si="9"/>
        <v>0.88276001244131241</v>
      </c>
      <c r="AC11" s="34">
        <f t="shared" si="12"/>
        <v>0.93042916104033879</v>
      </c>
    </row>
    <row r="12" spans="1:31" x14ac:dyDescent="0.25">
      <c r="A12" s="23">
        <f>'Delivered Sales'!A15</f>
        <v>0</v>
      </c>
      <c r="B12" s="24" t="e">
        <f>_xlfn.XLOOKUP($A12,'Written Sales'!$A$8:$A$215,'Written Sales'!$D$8:$D$215)</f>
        <v>#N/A</v>
      </c>
      <c r="C12" s="24" t="e">
        <f>_xlfn.XLOOKUP($A12,'Delivered Sales'!$A$10:$A$107,'Delivered Sales'!$D$10:$D$107)</f>
        <v>#N/A</v>
      </c>
      <c r="D12" s="24" t="e">
        <f t="shared" si="0"/>
        <v>#N/A</v>
      </c>
      <c r="E12" s="25" t="e">
        <f t="shared" si="1"/>
        <v>#N/A</v>
      </c>
      <c r="F12" s="24" t="e">
        <f>_xlfn.XLOOKUP($A12,'Written Sales'!$A$8:$A$215,'Written Sales'!$Q$8:$Q$215)</f>
        <v>#N/A</v>
      </c>
      <c r="G12" s="24" t="e">
        <f>_xlfn.XLOOKUP($A12,'Delivered Sales'!$A$10:$A$107,'Delivered Sales'!$P$10:$P$107)</f>
        <v>#N/A</v>
      </c>
      <c r="H12" s="24" t="e">
        <f t="shared" si="2"/>
        <v>#N/A</v>
      </c>
      <c r="I12" s="25" t="e">
        <f t="shared" si="3"/>
        <v>#N/A</v>
      </c>
      <c r="K12">
        <f t="shared" si="4"/>
        <v>0</v>
      </c>
      <c r="N12" t="s">
        <v>65</v>
      </c>
      <c r="O12" s="24">
        <v>-194170.62930000084</v>
      </c>
      <c r="P12" s="25">
        <v>0.82974065895719384</v>
      </c>
      <c r="Q12" s="24">
        <v>-499746.45970001165</v>
      </c>
      <c r="R12" s="25">
        <v>0.91827973893685111</v>
      </c>
      <c r="T12" t="s">
        <v>65</v>
      </c>
      <c r="U12" s="24" t="str">
        <f t="shared" si="5"/>
        <v/>
      </c>
      <c r="V12" s="25" t="str">
        <f t="shared" si="6"/>
        <v/>
      </c>
      <c r="W12" s="24" t="str">
        <f t="shared" si="7"/>
        <v/>
      </c>
      <c r="X12" s="25" t="str">
        <f t="shared" si="8"/>
        <v/>
      </c>
      <c r="Z12" s="33" t="str">
        <f t="shared" si="10"/>
        <v>202544</v>
      </c>
      <c r="AA12" s="33" t="str">
        <f t="shared" si="11"/>
        <v>202544</v>
      </c>
      <c r="AB12" s="34">
        <f t="shared" si="9"/>
        <v>0.82974065895719384</v>
      </c>
      <c r="AC12" s="34">
        <f t="shared" si="12"/>
        <v>0.91827973893685111</v>
      </c>
    </row>
    <row r="13" spans="1:31" x14ac:dyDescent="0.25">
      <c r="A13" s="23">
        <f>'Delivered Sales'!A16</f>
        <v>0</v>
      </c>
      <c r="B13" s="24" t="e">
        <f>_xlfn.XLOOKUP($A13,'Written Sales'!$A$8:$A$215,'Written Sales'!$D$8:$D$215)</f>
        <v>#N/A</v>
      </c>
      <c r="C13" s="24" t="e">
        <f>_xlfn.XLOOKUP($A13,'Delivered Sales'!$A$10:$A$107,'Delivered Sales'!$D$10:$D$107)</f>
        <v>#N/A</v>
      </c>
      <c r="D13" s="24" t="e">
        <f t="shared" si="0"/>
        <v>#N/A</v>
      </c>
      <c r="E13" s="25" t="e">
        <f t="shared" si="1"/>
        <v>#N/A</v>
      </c>
      <c r="F13" s="24" t="e">
        <f>_xlfn.XLOOKUP($A13,'Written Sales'!$A$8:$A$215,'Written Sales'!$Q$8:$Q$215)</f>
        <v>#N/A</v>
      </c>
      <c r="G13" s="24" t="e">
        <f>_xlfn.XLOOKUP($A13,'Delivered Sales'!$A$10:$A$107,'Delivered Sales'!$P$10:$P$107)</f>
        <v>#N/A</v>
      </c>
      <c r="H13" s="24" t="e">
        <f t="shared" si="2"/>
        <v>#N/A</v>
      </c>
      <c r="I13" s="25" t="e">
        <f t="shared" si="3"/>
        <v>#N/A</v>
      </c>
      <c r="K13">
        <f t="shared" si="4"/>
        <v>0</v>
      </c>
      <c r="N13" t="s">
        <v>66</v>
      </c>
      <c r="O13" s="24">
        <v>-138232.81749999954</v>
      </c>
      <c r="P13" s="25">
        <v>0.87291225069949518</v>
      </c>
      <c r="Q13" s="24">
        <v>-223785.02150001004</v>
      </c>
      <c r="R13" s="25">
        <v>0.96188851253783092</v>
      </c>
      <c r="T13" t="s">
        <v>66</v>
      </c>
      <c r="U13" s="24" t="str">
        <f t="shared" si="5"/>
        <v/>
      </c>
      <c r="V13" s="25" t="str">
        <f t="shared" si="6"/>
        <v/>
      </c>
      <c r="W13" s="24" t="str">
        <f t="shared" si="7"/>
        <v/>
      </c>
      <c r="X13" s="25" t="str">
        <f t="shared" si="8"/>
        <v/>
      </c>
      <c r="Z13" s="33" t="str">
        <f t="shared" si="10"/>
        <v>202545</v>
      </c>
      <c r="AA13" s="33" t="str">
        <f t="shared" si="11"/>
        <v>202545</v>
      </c>
      <c r="AB13" s="34">
        <f t="shared" si="9"/>
        <v>0.87291225069949518</v>
      </c>
      <c r="AC13" s="34">
        <f t="shared" si="12"/>
        <v>0.96188851253783092</v>
      </c>
    </row>
    <row r="14" spans="1:31" x14ac:dyDescent="0.25">
      <c r="A14" s="23">
        <f>'Delivered Sales'!A17</f>
        <v>0</v>
      </c>
      <c r="B14" s="24" t="e">
        <f>_xlfn.XLOOKUP($A14,'Written Sales'!$A$8:$A$215,'Written Sales'!$D$8:$D$215)</f>
        <v>#N/A</v>
      </c>
      <c r="C14" s="24" t="e">
        <f>_xlfn.XLOOKUP($A14,'Delivered Sales'!$A$10:$A$107,'Delivered Sales'!$D$10:$D$107)</f>
        <v>#N/A</v>
      </c>
      <c r="D14" s="24" t="e">
        <f t="shared" si="0"/>
        <v>#N/A</v>
      </c>
      <c r="E14" s="25" t="e">
        <f t="shared" si="1"/>
        <v>#N/A</v>
      </c>
      <c r="F14" s="24" t="e">
        <f>_xlfn.XLOOKUP($A14,'Written Sales'!$A$8:$A$215,'Written Sales'!$Q$8:$Q$215)</f>
        <v>#N/A</v>
      </c>
      <c r="G14" s="24" t="e">
        <f>_xlfn.XLOOKUP($A14,'Delivered Sales'!$A$10:$A$107,'Delivered Sales'!$P$10:$P$107)</f>
        <v>#N/A</v>
      </c>
      <c r="H14" s="24" t="e">
        <f t="shared" si="2"/>
        <v>#N/A</v>
      </c>
      <c r="I14" s="25" t="e">
        <f t="shared" si="3"/>
        <v>#N/A</v>
      </c>
      <c r="K14">
        <f t="shared" si="4"/>
        <v>0</v>
      </c>
      <c r="N14" t="s">
        <v>67</v>
      </c>
      <c r="O14" s="24">
        <v>-292807.59020000102</v>
      </c>
      <c r="P14" s="25">
        <v>0.71645398116082992</v>
      </c>
      <c r="Q14" s="24">
        <v>-571921.60610000417</v>
      </c>
      <c r="R14" s="25">
        <v>0.89557363569562032</v>
      </c>
      <c r="T14" t="s">
        <v>67</v>
      </c>
      <c r="U14" s="24" t="str">
        <f t="shared" si="5"/>
        <v/>
      </c>
      <c r="V14" s="25" t="str">
        <f t="shared" si="6"/>
        <v/>
      </c>
      <c r="W14" s="24" t="str">
        <f t="shared" si="7"/>
        <v/>
      </c>
      <c r="X14" s="25" t="str">
        <f t="shared" si="8"/>
        <v/>
      </c>
      <c r="Z14" s="33" t="str">
        <f t="shared" si="10"/>
        <v>202546</v>
      </c>
      <c r="AA14" s="33" t="str">
        <f t="shared" si="11"/>
        <v>202546</v>
      </c>
      <c r="AB14" s="34">
        <f t="shared" si="9"/>
        <v>0.71645398116082992</v>
      </c>
      <c r="AC14" s="34">
        <f t="shared" si="12"/>
        <v>0.89557363569562032</v>
      </c>
    </row>
    <row r="15" spans="1:31" x14ac:dyDescent="0.25">
      <c r="A15" s="23">
        <f>'Delivered Sales'!A18</f>
        <v>0</v>
      </c>
      <c r="B15" s="24" t="e">
        <f>_xlfn.XLOOKUP($A15,'Written Sales'!$A$8:$A$215,'Written Sales'!$D$8:$D$215)</f>
        <v>#N/A</v>
      </c>
      <c r="C15" s="24" t="e">
        <f>_xlfn.XLOOKUP($A15,'Delivered Sales'!$A$10:$A$107,'Delivered Sales'!$D$10:$D$107)</f>
        <v>#N/A</v>
      </c>
      <c r="D15" s="24" t="e">
        <f t="shared" si="0"/>
        <v>#N/A</v>
      </c>
      <c r="E15" s="25" t="e">
        <f t="shared" si="1"/>
        <v>#N/A</v>
      </c>
      <c r="F15" s="24" t="e">
        <f>_xlfn.XLOOKUP($A15,'Written Sales'!$A$8:$A$215,'Written Sales'!$Q$8:$Q$215)</f>
        <v>#N/A</v>
      </c>
      <c r="G15" s="24" t="e">
        <f>_xlfn.XLOOKUP($A15,'Delivered Sales'!$A$10:$A$107,'Delivered Sales'!$P$10:$P$107)</f>
        <v>#N/A</v>
      </c>
      <c r="H15" s="24" t="e">
        <f t="shared" si="2"/>
        <v>#N/A</v>
      </c>
      <c r="I15" s="25" t="e">
        <f t="shared" si="3"/>
        <v>#N/A</v>
      </c>
      <c r="K15">
        <f t="shared" si="4"/>
        <v>0</v>
      </c>
      <c r="N15" t="s">
        <v>68</v>
      </c>
      <c r="O15" s="24">
        <v>-593.39440000010654</v>
      </c>
      <c r="P15" s="25">
        <v>0.99946424942102674</v>
      </c>
      <c r="Q15" s="24">
        <v>144578.27919999417</v>
      </c>
      <c r="R15" s="25">
        <v>1.0220185500008849</v>
      </c>
      <c r="T15" t="s">
        <v>68</v>
      </c>
      <c r="U15" s="24" t="str">
        <f t="shared" si="5"/>
        <v/>
      </c>
      <c r="V15" s="25" t="str">
        <f t="shared" si="6"/>
        <v/>
      </c>
      <c r="W15" s="24" t="str">
        <f t="shared" si="7"/>
        <v/>
      </c>
      <c r="X15" s="25" t="str">
        <f t="shared" si="8"/>
        <v/>
      </c>
      <c r="Z15" s="33" t="str">
        <f t="shared" si="10"/>
        <v>202547</v>
      </c>
      <c r="AA15" s="33" t="str">
        <f t="shared" si="11"/>
        <v>202547</v>
      </c>
      <c r="AB15" s="34">
        <f t="shared" si="9"/>
        <v>0.99946424942102674</v>
      </c>
      <c r="AC15" s="34">
        <f t="shared" si="12"/>
        <v>1.0220185500008849</v>
      </c>
    </row>
    <row r="16" spans="1:31" x14ac:dyDescent="0.25">
      <c r="A16" s="23">
        <f>'Delivered Sales'!A19</f>
        <v>0</v>
      </c>
      <c r="B16" s="24" t="e">
        <f>_xlfn.XLOOKUP($A16,'Written Sales'!$A$8:$A$215,'Written Sales'!$D$8:$D$215)</f>
        <v>#N/A</v>
      </c>
      <c r="C16" s="24" t="e">
        <f>_xlfn.XLOOKUP($A16,'Delivered Sales'!$A$10:$A$107,'Delivered Sales'!$D$10:$D$107)</f>
        <v>#N/A</v>
      </c>
      <c r="D16" s="24" t="e">
        <f t="shared" si="0"/>
        <v>#N/A</v>
      </c>
      <c r="E16" s="25" t="e">
        <f t="shared" si="1"/>
        <v>#N/A</v>
      </c>
      <c r="F16" s="24" t="e">
        <f>_xlfn.XLOOKUP($A16,'Written Sales'!$A$8:$A$215,'Written Sales'!$Q$8:$Q$215)</f>
        <v>#N/A</v>
      </c>
      <c r="G16" s="24" t="e">
        <f>_xlfn.XLOOKUP($A16,'Delivered Sales'!$A$10:$A$107,'Delivered Sales'!$P$10:$P$107)</f>
        <v>#N/A</v>
      </c>
      <c r="H16" s="24" t="e">
        <f t="shared" si="2"/>
        <v>#N/A</v>
      </c>
      <c r="I16" s="25" t="e">
        <f t="shared" si="3"/>
        <v>#N/A</v>
      </c>
      <c r="K16">
        <f t="shared" si="4"/>
        <v>0</v>
      </c>
      <c r="N16" t="s">
        <v>69</v>
      </c>
      <c r="O16" s="24">
        <v>-451248.62839999946</v>
      </c>
      <c r="P16" s="25">
        <v>0.56855303559166748</v>
      </c>
      <c r="Q16" s="24">
        <v>-2320465.4470999963</v>
      </c>
      <c r="R16" s="25">
        <v>0.62116502553363773</v>
      </c>
      <c r="T16" t="s">
        <v>69</v>
      </c>
      <c r="U16" s="24" t="str">
        <f t="shared" si="5"/>
        <v/>
      </c>
      <c r="V16" s="25" t="str">
        <f t="shared" si="6"/>
        <v/>
      </c>
      <c r="W16" s="24" t="str">
        <f t="shared" si="7"/>
        <v/>
      </c>
      <c r="X16" s="25" t="str">
        <f t="shared" si="8"/>
        <v/>
      </c>
      <c r="Z16" s="33" t="str">
        <f t="shared" si="10"/>
        <v>202548</v>
      </c>
      <c r="AA16" s="33" t="str">
        <f t="shared" si="11"/>
        <v>202548</v>
      </c>
      <c r="AB16" s="34">
        <f t="shared" si="9"/>
        <v>0.56855303559166748</v>
      </c>
      <c r="AC16" s="34">
        <f t="shared" si="12"/>
        <v>0.62116502553363773</v>
      </c>
    </row>
    <row r="17" spans="1:29" x14ac:dyDescent="0.25">
      <c r="A17" s="23">
        <f>'Delivered Sales'!A20</f>
        <v>0</v>
      </c>
      <c r="B17" s="24" t="e">
        <f>_xlfn.XLOOKUP($A17,'Written Sales'!$A$8:$A$215,'Written Sales'!$D$8:$D$215)</f>
        <v>#N/A</v>
      </c>
      <c r="C17" s="24" t="e">
        <f>_xlfn.XLOOKUP($A17,'Delivered Sales'!$A$10:$A$107,'Delivered Sales'!$D$10:$D$107)</f>
        <v>#N/A</v>
      </c>
      <c r="D17" s="24" t="e">
        <f t="shared" si="0"/>
        <v>#N/A</v>
      </c>
      <c r="E17" s="25" t="e">
        <f t="shared" si="1"/>
        <v>#N/A</v>
      </c>
      <c r="F17" s="24" t="e">
        <f>_xlfn.XLOOKUP($A17,'Written Sales'!$A$8:$A$215,'Written Sales'!$Q$8:$Q$215)</f>
        <v>#N/A</v>
      </c>
      <c r="G17" s="24" t="e">
        <f>_xlfn.XLOOKUP($A17,'Delivered Sales'!$A$10:$A$107,'Delivered Sales'!$P$10:$P$107)</f>
        <v>#N/A</v>
      </c>
      <c r="H17" s="24" t="e">
        <f t="shared" si="2"/>
        <v>#N/A</v>
      </c>
      <c r="I17" s="25" t="e">
        <f t="shared" si="3"/>
        <v>#N/A</v>
      </c>
      <c r="K17">
        <f t="shared" si="4"/>
        <v>0</v>
      </c>
      <c r="N17" t="s">
        <v>70</v>
      </c>
      <c r="O17" s="24">
        <v>566209.45680000004</v>
      </c>
      <c r="P17" s="25">
        <v>1.504167622694804</v>
      </c>
      <c r="Q17" s="24">
        <v>4032295.814499815</v>
      </c>
      <c r="R17" s="25">
        <v>1.7374895650458442</v>
      </c>
      <c r="T17" t="s">
        <v>70</v>
      </c>
      <c r="U17" s="24" t="str">
        <f t="shared" si="5"/>
        <v/>
      </c>
      <c r="V17" s="25" t="str">
        <f t="shared" si="6"/>
        <v/>
      </c>
      <c r="W17" s="24" t="str">
        <f t="shared" si="7"/>
        <v/>
      </c>
      <c r="X17" s="25" t="str">
        <f t="shared" si="8"/>
        <v/>
      </c>
      <c r="Z17" s="33" t="str">
        <f t="shared" si="10"/>
        <v>202549</v>
      </c>
      <c r="AA17" s="33" t="str">
        <f t="shared" si="11"/>
        <v>202549</v>
      </c>
      <c r="AB17" s="34">
        <f t="shared" si="9"/>
        <v>1.504167622694804</v>
      </c>
      <c r="AC17" s="34">
        <f t="shared" si="12"/>
        <v>1.7374895650458442</v>
      </c>
    </row>
    <row r="18" spans="1:29" x14ac:dyDescent="0.25">
      <c r="A18" s="23">
        <f>'Delivered Sales'!A21</f>
        <v>0</v>
      </c>
      <c r="B18" s="24" t="e">
        <f>_xlfn.XLOOKUP($A18,'Written Sales'!$A$8:$A$215,'Written Sales'!$D$8:$D$215)</f>
        <v>#N/A</v>
      </c>
      <c r="C18" s="24" t="e">
        <f>_xlfn.XLOOKUP($A18,'Delivered Sales'!$A$10:$A$107,'Delivered Sales'!$D$10:$D$107)</f>
        <v>#N/A</v>
      </c>
      <c r="D18" s="24" t="e">
        <f t="shared" si="0"/>
        <v>#N/A</v>
      </c>
      <c r="E18" s="25" t="e">
        <f t="shared" si="1"/>
        <v>#N/A</v>
      </c>
      <c r="F18" s="24" t="e">
        <f>_xlfn.XLOOKUP($A18,'Written Sales'!$A$8:$A$215,'Written Sales'!$Q$8:$Q$215)</f>
        <v>#N/A</v>
      </c>
      <c r="G18" s="24" t="e">
        <f>_xlfn.XLOOKUP($A18,'Delivered Sales'!$A$10:$A$107,'Delivered Sales'!$P$10:$P$107)</f>
        <v>#N/A</v>
      </c>
      <c r="H18" s="24" t="e">
        <f t="shared" si="2"/>
        <v>#N/A</v>
      </c>
      <c r="I18" s="25" t="e">
        <f t="shared" si="3"/>
        <v>#N/A</v>
      </c>
      <c r="K18">
        <f t="shared" si="4"/>
        <v>0</v>
      </c>
      <c r="N18" t="s">
        <v>71</v>
      </c>
      <c r="O18" s="24">
        <v>-217469.63110000163</v>
      </c>
      <c r="P18" s="25">
        <v>0.8122924890896267</v>
      </c>
      <c r="Q18" s="24">
        <v>-1905298.0600000024</v>
      </c>
      <c r="R18" s="25">
        <v>0.7456243060443295</v>
      </c>
      <c r="T18" t="s">
        <v>71</v>
      </c>
      <c r="U18" s="24" t="str">
        <f t="shared" si="5"/>
        <v/>
      </c>
      <c r="V18" s="25" t="str">
        <f t="shared" si="6"/>
        <v/>
      </c>
      <c r="W18" s="24" t="str">
        <f t="shared" si="7"/>
        <v/>
      </c>
      <c r="X18" s="25" t="str">
        <f t="shared" si="8"/>
        <v/>
      </c>
      <c r="Z18" s="33" t="str">
        <f t="shared" si="10"/>
        <v>202550</v>
      </c>
      <c r="AA18" s="33" t="str">
        <f t="shared" si="11"/>
        <v>202550</v>
      </c>
      <c r="AB18" s="34">
        <f t="shared" si="9"/>
        <v>0.8122924890896267</v>
      </c>
      <c r="AC18" s="34">
        <f t="shared" si="12"/>
        <v>0.7456243060443295</v>
      </c>
    </row>
    <row r="19" spans="1:29" x14ac:dyDescent="0.25">
      <c r="A19" s="23">
        <f>'Delivered Sales'!A22</f>
        <v>0</v>
      </c>
      <c r="B19" s="24" t="e">
        <f>_xlfn.XLOOKUP($A19,'Written Sales'!$A$8:$A$215,'Written Sales'!$D$8:$D$215)</f>
        <v>#N/A</v>
      </c>
      <c r="C19" s="24" t="e">
        <f>_xlfn.XLOOKUP($A19,'Delivered Sales'!$A$10:$A$107,'Delivered Sales'!$D$10:$D$107)</f>
        <v>#N/A</v>
      </c>
      <c r="D19" s="24" t="e">
        <f t="shared" si="0"/>
        <v>#N/A</v>
      </c>
      <c r="E19" s="25" t="e">
        <f t="shared" si="1"/>
        <v>#N/A</v>
      </c>
      <c r="F19" s="24" t="e">
        <f>_xlfn.XLOOKUP($A19,'Written Sales'!$A$8:$A$215,'Written Sales'!$Q$8:$Q$215)</f>
        <v>#N/A</v>
      </c>
      <c r="G19" s="24" t="e">
        <f>_xlfn.XLOOKUP($A19,'Delivered Sales'!$A$10:$A$107,'Delivered Sales'!$P$10:$P$107)</f>
        <v>#N/A</v>
      </c>
      <c r="H19" s="24" t="e">
        <f t="shared" si="2"/>
        <v>#N/A</v>
      </c>
      <c r="I19" s="25" t="e">
        <f t="shared" si="3"/>
        <v>#N/A</v>
      </c>
      <c r="K19">
        <f t="shared" si="4"/>
        <v>0</v>
      </c>
      <c r="N19" t="s">
        <v>72</v>
      </c>
      <c r="O19" s="24">
        <v>-433039.55830000248</v>
      </c>
      <c r="P19" s="25">
        <v>0.66124553496103322</v>
      </c>
      <c r="Q19" s="24">
        <v>-2178837.4134999989</v>
      </c>
      <c r="R19" s="25">
        <v>0.65898000798365641</v>
      </c>
      <c r="T19" t="s">
        <v>72</v>
      </c>
      <c r="U19" s="24" t="str">
        <f t="shared" si="5"/>
        <v/>
      </c>
      <c r="V19" s="25" t="str">
        <f t="shared" si="6"/>
        <v/>
      </c>
      <c r="W19" s="24" t="str">
        <f t="shared" si="7"/>
        <v/>
      </c>
      <c r="X19" s="25" t="str">
        <f t="shared" si="8"/>
        <v/>
      </c>
      <c r="Z19" s="33" t="str">
        <f t="shared" si="10"/>
        <v>202551</v>
      </c>
      <c r="AA19" s="33" t="str">
        <f t="shared" si="11"/>
        <v>202551</v>
      </c>
      <c r="AB19" s="34">
        <f t="shared" si="9"/>
        <v>0.66124553496103322</v>
      </c>
      <c r="AC19" s="34">
        <f t="shared" si="12"/>
        <v>0.65898000798365641</v>
      </c>
    </row>
    <row r="20" spans="1:29" x14ac:dyDescent="0.25">
      <c r="A20" s="23">
        <f>'Delivered Sales'!A23</f>
        <v>0</v>
      </c>
      <c r="B20" s="24" t="e">
        <f>_xlfn.XLOOKUP($A20,'Written Sales'!$A$8:$A$215,'Written Sales'!$D$8:$D$215)</f>
        <v>#N/A</v>
      </c>
      <c r="C20" s="24" t="e">
        <f>_xlfn.XLOOKUP($A20,'Delivered Sales'!$A$10:$A$107,'Delivered Sales'!$D$10:$D$107)</f>
        <v>#N/A</v>
      </c>
      <c r="D20" s="24" t="e">
        <f t="shared" si="0"/>
        <v>#N/A</v>
      </c>
      <c r="E20" s="25" t="e">
        <f t="shared" si="1"/>
        <v>#N/A</v>
      </c>
      <c r="F20" s="24" t="e">
        <f>_xlfn.XLOOKUP($A20,'Written Sales'!$A$8:$A$215,'Written Sales'!$Q$8:$Q$215)</f>
        <v>#N/A</v>
      </c>
      <c r="G20" s="24" t="e">
        <f>_xlfn.XLOOKUP($A20,'Delivered Sales'!$A$10:$A$107,'Delivered Sales'!$P$10:$P$107)</f>
        <v>#N/A</v>
      </c>
      <c r="H20" s="24" t="e">
        <f t="shared" si="2"/>
        <v>#N/A</v>
      </c>
      <c r="I20" s="25" t="e">
        <f t="shared" si="3"/>
        <v>#N/A</v>
      </c>
      <c r="K20">
        <f t="shared" si="4"/>
        <v>0</v>
      </c>
      <c r="N20" t="s">
        <v>73</v>
      </c>
      <c r="O20" s="24">
        <v>-638885.3213999992</v>
      </c>
      <c r="P20" s="25">
        <v>0.52371732623181522</v>
      </c>
      <c r="Q20" s="24">
        <v>-2459064.6954000071</v>
      </c>
      <c r="R20" s="25">
        <v>0.65419494089117869</v>
      </c>
      <c r="T20" t="s">
        <v>73</v>
      </c>
      <c r="U20" s="24" t="str">
        <f t="shared" si="5"/>
        <v/>
      </c>
      <c r="V20" s="25" t="str">
        <f t="shared" si="6"/>
        <v/>
      </c>
      <c r="W20" s="24" t="str">
        <f t="shared" si="7"/>
        <v/>
      </c>
      <c r="X20" s="25" t="str">
        <f t="shared" si="8"/>
        <v/>
      </c>
      <c r="Z20" s="33" t="str">
        <f t="shared" si="10"/>
        <v>202552</v>
      </c>
      <c r="AA20" s="33" t="str">
        <f t="shared" si="11"/>
        <v>202552</v>
      </c>
      <c r="AB20" s="34">
        <f t="shared" si="9"/>
        <v>0.52371732623181522</v>
      </c>
      <c r="AC20" s="34">
        <f t="shared" si="12"/>
        <v>0.65419494089117869</v>
      </c>
    </row>
    <row r="21" spans="1:29" x14ac:dyDescent="0.25">
      <c r="A21" s="23">
        <f>'Delivered Sales'!A24</f>
        <v>0</v>
      </c>
      <c r="B21" s="24" t="e">
        <f>_xlfn.XLOOKUP($A21,'Written Sales'!$A$8:$A$215,'Written Sales'!$D$8:$D$215)</f>
        <v>#N/A</v>
      </c>
      <c r="C21" s="24" t="e">
        <f>_xlfn.XLOOKUP($A21,'Delivered Sales'!$A$10:$A$107,'Delivered Sales'!$D$10:$D$107)</f>
        <v>#N/A</v>
      </c>
      <c r="D21" s="24" t="e">
        <f t="shared" si="0"/>
        <v>#N/A</v>
      </c>
      <c r="E21" s="25" t="e">
        <f t="shared" si="1"/>
        <v>#N/A</v>
      </c>
      <c r="F21" s="24" t="e">
        <f>_xlfn.XLOOKUP($A21,'Written Sales'!$A$8:$A$215,'Written Sales'!$Q$8:$Q$215)</f>
        <v>#N/A</v>
      </c>
      <c r="G21" s="24" t="e">
        <f>_xlfn.XLOOKUP($A21,'Delivered Sales'!$A$10:$A$107,'Delivered Sales'!$P$10:$P$107)</f>
        <v>#N/A</v>
      </c>
      <c r="H21" s="24" t="e">
        <f t="shared" si="2"/>
        <v>#N/A</v>
      </c>
      <c r="I21" s="25" t="e">
        <f t="shared" si="3"/>
        <v>#N/A</v>
      </c>
      <c r="K21">
        <f t="shared" si="4"/>
        <v>0</v>
      </c>
      <c r="N21" s="23" t="s">
        <v>22</v>
      </c>
      <c r="O21" s="24">
        <v>26377.22440000088</v>
      </c>
      <c r="P21" s="25">
        <v>1.030987072660867</v>
      </c>
      <c r="Q21" s="24">
        <v>587286.73539998569</v>
      </c>
      <c r="R21" s="25">
        <v>1.1200267807807227</v>
      </c>
      <c r="T21" s="23" t="s">
        <v>74</v>
      </c>
      <c r="U21" s="24" t="str">
        <f t="shared" si="5"/>
        <v/>
      </c>
      <c r="V21" s="25" t="str">
        <f t="shared" si="6"/>
        <v/>
      </c>
      <c r="W21" s="24" t="str">
        <f t="shared" si="7"/>
        <v/>
      </c>
      <c r="X21" s="25" t="str">
        <f t="shared" si="8"/>
        <v/>
      </c>
      <c r="Z21" s="33" t="str">
        <f t="shared" si="10"/>
        <v>202501</v>
      </c>
      <c r="AA21" s="33" t="str">
        <f t="shared" si="11"/>
        <v>202601</v>
      </c>
      <c r="AB21" s="34">
        <f t="shared" si="9"/>
        <v>1.030987072660867</v>
      </c>
      <c r="AC21" s="34">
        <f t="shared" si="12"/>
        <v>1.1200267807807227</v>
      </c>
    </row>
    <row r="22" spans="1:29" x14ac:dyDescent="0.25">
      <c r="A22" s="23">
        <f>'Delivered Sales'!A25</f>
        <v>0</v>
      </c>
      <c r="B22" s="24" t="e">
        <f>_xlfn.XLOOKUP($A22,'Written Sales'!$A$8:$A$215,'Written Sales'!$D$8:$D$215)</f>
        <v>#N/A</v>
      </c>
      <c r="C22" s="24" t="e">
        <f>_xlfn.XLOOKUP($A22,'Delivered Sales'!$A$10:$A$107,'Delivered Sales'!$D$10:$D$107)</f>
        <v>#N/A</v>
      </c>
      <c r="D22" s="24" t="e">
        <f t="shared" si="0"/>
        <v>#N/A</v>
      </c>
      <c r="E22" s="25" t="e">
        <f t="shared" si="1"/>
        <v>#N/A</v>
      </c>
      <c r="F22" s="24" t="e">
        <f>_xlfn.XLOOKUP($A22,'Written Sales'!$A$8:$A$215,'Written Sales'!$Q$8:$Q$215)</f>
        <v>#N/A</v>
      </c>
      <c r="G22" s="24" t="e">
        <f>_xlfn.XLOOKUP($A22,'Delivered Sales'!$A$10:$A$107,'Delivered Sales'!$P$10:$P$107)</f>
        <v>#N/A</v>
      </c>
      <c r="H22" s="24" t="e">
        <f t="shared" si="2"/>
        <v>#N/A</v>
      </c>
      <c r="I22" s="25" t="e">
        <f t="shared" si="3"/>
        <v>#N/A</v>
      </c>
      <c r="K22">
        <f t="shared" si="4"/>
        <v>0</v>
      </c>
      <c r="N22" s="23" t="s">
        <v>23</v>
      </c>
      <c r="O22" s="24">
        <v>-42640.992199999979</v>
      </c>
      <c r="P22" s="25">
        <v>0.95891310204768043</v>
      </c>
      <c r="Q22" s="24">
        <v>-127787.08969999757</v>
      </c>
      <c r="R22" s="25">
        <v>0.97895952387039864</v>
      </c>
      <c r="T22" s="23" t="s">
        <v>75</v>
      </c>
      <c r="U22" s="24" t="str">
        <f t="shared" si="5"/>
        <v/>
      </c>
      <c r="V22" s="25" t="str">
        <f t="shared" si="6"/>
        <v/>
      </c>
      <c r="W22" s="24" t="str">
        <f t="shared" si="7"/>
        <v/>
      </c>
      <c r="X22" s="25" t="str">
        <f t="shared" si="8"/>
        <v/>
      </c>
      <c r="Z22" s="33" t="str">
        <f t="shared" si="10"/>
        <v>202502</v>
      </c>
      <c r="AA22" s="33" t="str">
        <f t="shared" si="11"/>
        <v>202602</v>
      </c>
      <c r="AB22" s="34">
        <f t="shared" si="9"/>
        <v>0.95891310204768043</v>
      </c>
      <c r="AC22" s="34">
        <f t="shared" si="12"/>
        <v>0.97895952387039864</v>
      </c>
    </row>
    <row r="23" spans="1:29" x14ac:dyDescent="0.25">
      <c r="A23" s="23">
        <f>'Delivered Sales'!A26</f>
        <v>0</v>
      </c>
      <c r="B23" s="24" t="e">
        <f>_xlfn.XLOOKUP($A23,'Written Sales'!$A$8:$A$215,'Written Sales'!$D$8:$D$215)</f>
        <v>#N/A</v>
      </c>
      <c r="C23" s="24" t="e">
        <f>_xlfn.XLOOKUP($A23,'Delivered Sales'!$A$10:$A$107,'Delivered Sales'!$D$10:$D$107)</f>
        <v>#N/A</v>
      </c>
      <c r="D23" s="24" t="e">
        <f t="shared" si="0"/>
        <v>#N/A</v>
      </c>
      <c r="E23" s="25" t="e">
        <f t="shared" si="1"/>
        <v>#N/A</v>
      </c>
      <c r="F23" s="24" t="e">
        <f>_xlfn.XLOOKUP($A23,'Written Sales'!$A$8:$A$215,'Written Sales'!$Q$8:$Q$215)</f>
        <v>#N/A</v>
      </c>
      <c r="G23" s="24" t="e">
        <f>_xlfn.XLOOKUP($A23,'Delivered Sales'!$A$10:$A$107,'Delivered Sales'!$P$10:$P$107)</f>
        <v>#N/A</v>
      </c>
      <c r="H23" s="24" t="e">
        <f t="shared" si="2"/>
        <v>#N/A</v>
      </c>
      <c r="I23" s="25" t="e">
        <f t="shared" si="3"/>
        <v>#N/A</v>
      </c>
      <c r="K23">
        <f t="shared" si="4"/>
        <v>0</v>
      </c>
      <c r="N23" s="23" t="s">
        <v>24</v>
      </c>
      <c r="O23" s="24">
        <v>-73688.289600000251</v>
      </c>
      <c r="P23" s="25">
        <v>0.92336316966221788</v>
      </c>
      <c r="Q23" s="24">
        <v>-1594316.8735000016</v>
      </c>
      <c r="R23" s="25">
        <v>0.76072612818338781</v>
      </c>
      <c r="T23" s="23" t="s">
        <v>76</v>
      </c>
      <c r="U23" s="24" t="str">
        <f t="shared" si="5"/>
        <v/>
      </c>
      <c r="V23" s="25" t="str">
        <f t="shared" si="6"/>
        <v/>
      </c>
      <c r="W23" s="24" t="str">
        <f t="shared" si="7"/>
        <v/>
      </c>
      <c r="X23" s="25" t="str">
        <f t="shared" si="8"/>
        <v/>
      </c>
      <c r="Z23" s="33" t="str">
        <f t="shared" si="10"/>
        <v>202503</v>
      </c>
      <c r="AA23" s="33" t="str">
        <f t="shared" si="11"/>
        <v>202603</v>
      </c>
      <c r="AB23" s="34">
        <f t="shared" si="9"/>
        <v>0.92336316966221788</v>
      </c>
      <c r="AC23" s="34">
        <f t="shared" si="12"/>
        <v>0.76072612818338781</v>
      </c>
    </row>
    <row r="24" spans="1:29" x14ac:dyDescent="0.25">
      <c r="A24" s="23">
        <f>'Delivered Sales'!A27</f>
        <v>0</v>
      </c>
      <c r="B24" s="24" t="e">
        <f>_xlfn.XLOOKUP($A24,'Written Sales'!$A$8:$A$215,'Written Sales'!$D$8:$D$215)</f>
        <v>#N/A</v>
      </c>
      <c r="C24" s="24" t="e">
        <f>_xlfn.XLOOKUP($A24,'Delivered Sales'!$A$10:$A$107,'Delivered Sales'!$D$10:$D$107)</f>
        <v>#N/A</v>
      </c>
      <c r="D24" s="24" t="e">
        <f t="shared" si="0"/>
        <v>#N/A</v>
      </c>
      <c r="E24" s="25" t="e">
        <f t="shared" si="1"/>
        <v>#N/A</v>
      </c>
      <c r="F24" s="24" t="e">
        <f>_xlfn.XLOOKUP($A24,'Written Sales'!$A$8:$A$215,'Written Sales'!$Q$8:$Q$215)</f>
        <v>#N/A</v>
      </c>
      <c r="G24" s="24" t="e">
        <f>_xlfn.XLOOKUP($A24,'Delivered Sales'!$A$10:$A$107,'Delivered Sales'!$P$10:$P$107)</f>
        <v>#N/A</v>
      </c>
      <c r="H24" s="24" t="e">
        <f t="shared" si="2"/>
        <v>#N/A</v>
      </c>
      <c r="I24" s="25" t="e">
        <f t="shared" si="3"/>
        <v>#N/A</v>
      </c>
      <c r="K24">
        <f t="shared" si="4"/>
        <v>0</v>
      </c>
      <c r="N24" s="23" t="s">
        <v>25</v>
      </c>
      <c r="O24" s="24">
        <v>94276.718899999745</v>
      </c>
      <c r="P24" s="25">
        <v>1.0677006971669494</v>
      </c>
      <c r="Q24" s="24">
        <v>2579085.6843000548</v>
      </c>
      <c r="R24" s="25">
        <v>1.3973514134689182</v>
      </c>
      <c r="T24" s="23" t="s">
        <v>77</v>
      </c>
      <c r="U24" s="24" t="str">
        <f t="shared" si="5"/>
        <v/>
      </c>
      <c r="V24" s="25" t="str">
        <f t="shared" si="6"/>
        <v/>
      </c>
      <c r="W24" s="24" t="str">
        <f t="shared" si="7"/>
        <v/>
      </c>
      <c r="X24" s="25" t="str">
        <f t="shared" si="8"/>
        <v/>
      </c>
      <c r="Z24" s="33" t="str">
        <f t="shared" si="10"/>
        <v>202504</v>
      </c>
      <c r="AA24" s="33" t="str">
        <f t="shared" si="11"/>
        <v>202604</v>
      </c>
      <c r="AB24" s="34">
        <f t="shared" si="9"/>
        <v>1.0677006971669494</v>
      </c>
      <c r="AC24" s="34">
        <f t="shared" si="12"/>
        <v>1.3973514134689182</v>
      </c>
    </row>
    <row r="25" spans="1:29" x14ac:dyDescent="0.25">
      <c r="A25" s="23">
        <f>'Delivered Sales'!A28</f>
        <v>0</v>
      </c>
      <c r="B25" s="24" t="e">
        <f>_xlfn.XLOOKUP($A25,'Written Sales'!$A$8:$A$215,'Written Sales'!$D$8:$D$215)</f>
        <v>#N/A</v>
      </c>
      <c r="C25" s="24" t="e">
        <f>_xlfn.XLOOKUP($A25,'Delivered Sales'!$A$10:$A$107,'Delivered Sales'!$D$10:$D$107)</f>
        <v>#N/A</v>
      </c>
      <c r="D25" s="24" t="e">
        <f t="shared" si="0"/>
        <v>#N/A</v>
      </c>
      <c r="E25" s="25" t="e">
        <f t="shared" si="1"/>
        <v>#N/A</v>
      </c>
      <c r="F25" s="24" t="e">
        <f>_xlfn.XLOOKUP($A25,'Written Sales'!$A$8:$A$215,'Written Sales'!$Q$8:$Q$215)</f>
        <v>#N/A</v>
      </c>
      <c r="G25" s="24" t="e">
        <f>_xlfn.XLOOKUP($A25,'Delivered Sales'!$A$10:$A$107,'Delivered Sales'!$P$10:$P$107)</f>
        <v>#N/A</v>
      </c>
      <c r="H25" s="24" t="e">
        <f t="shared" si="2"/>
        <v>#N/A</v>
      </c>
      <c r="I25" s="25" t="e">
        <f t="shared" si="3"/>
        <v>#N/A</v>
      </c>
      <c r="K25">
        <f t="shared" si="4"/>
        <v>0</v>
      </c>
      <c r="N25" s="23" t="s">
        <v>26</v>
      </c>
      <c r="O25" s="24">
        <v>95846.938900001347</v>
      </c>
      <c r="P25" s="25">
        <v>1.0815984362056301</v>
      </c>
      <c r="Q25" s="24">
        <v>-232739.69039999787</v>
      </c>
      <c r="R25" s="25">
        <v>0.9660795753815955</v>
      </c>
      <c r="T25" s="23" t="s">
        <v>78</v>
      </c>
      <c r="U25" s="24" t="str">
        <f t="shared" si="5"/>
        <v/>
      </c>
      <c r="V25" s="25" t="str">
        <f t="shared" si="6"/>
        <v/>
      </c>
      <c r="W25" s="24" t="str">
        <f t="shared" si="7"/>
        <v/>
      </c>
      <c r="X25" s="25" t="str">
        <f t="shared" si="8"/>
        <v/>
      </c>
      <c r="Z25" s="33" t="str">
        <f t="shared" si="10"/>
        <v>202505</v>
      </c>
      <c r="AA25" s="33" t="str">
        <f t="shared" si="11"/>
        <v>202605</v>
      </c>
      <c r="AB25" s="34">
        <f t="shared" si="9"/>
        <v>1.0815984362056301</v>
      </c>
      <c r="AC25" s="34">
        <f t="shared" si="12"/>
        <v>0.9660795753815955</v>
      </c>
    </row>
    <row r="26" spans="1:29" x14ac:dyDescent="0.25">
      <c r="A26" s="23">
        <f>'Delivered Sales'!A29</f>
        <v>0</v>
      </c>
      <c r="B26" s="24" t="e">
        <f>_xlfn.XLOOKUP($A26,'Written Sales'!$A$8:$A$215,'Written Sales'!$D$8:$D$215)</f>
        <v>#N/A</v>
      </c>
      <c r="C26" s="24" t="e">
        <f>_xlfn.XLOOKUP($A26,'Delivered Sales'!$A$10:$A$107,'Delivered Sales'!$D$10:$D$107)</f>
        <v>#N/A</v>
      </c>
      <c r="D26" s="24" t="e">
        <f t="shared" si="0"/>
        <v>#N/A</v>
      </c>
      <c r="E26" s="25" t="e">
        <f t="shared" si="1"/>
        <v>#N/A</v>
      </c>
      <c r="F26" s="24" t="e">
        <f>_xlfn.XLOOKUP($A26,'Written Sales'!$A$8:$A$215,'Written Sales'!$Q$8:$Q$215)</f>
        <v>#N/A</v>
      </c>
      <c r="G26" s="24" t="e">
        <f>_xlfn.XLOOKUP($A26,'Delivered Sales'!$A$10:$A$107,'Delivered Sales'!$P$10:$P$107)</f>
        <v>#N/A</v>
      </c>
      <c r="H26" s="24" t="e">
        <f t="shared" si="2"/>
        <v>#N/A</v>
      </c>
      <c r="I26" s="25" t="e">
        <f t="shared" si="3"/>
        <v>#N/A</v>
      </c>
      <c r="K26">
        <f t="shared" si="4"/>
        <v>0</v>
      </c>
      <c r="N26" s="23" t="s">
        <v>27</v>
      </c>
      <c r="O26" s="24">
        <v>-371890.22849999834</v>
      </c>
      <c r="P26" s="25">
        <v>0.70836621638346264</v>
      </c>
      <c r="Q26" s="24">
        <v>-375658.21599998884</v>
      </c>
      <c r="R26" s="25">
        <v>0.94291000297180805</v>
      </c>
      <c r="T26" s="23" t="s">
        <v>79</v>
      </c>
      <c r="U26" s="24" t="str">
        <f t="shared" si="5"/>
        <v/>
      </c>
      <c r="V26" s="25" t="str">
        <f t="shared" si="6"/>
        <v/>
      </c>
      <c r="W26" s="24" t="str">
        <f t="shared" si="7"/>
        <v/>
      </c>
      <c r="X26" s="25" t="str">
        <f t="shared" si="8"/>
        <v/>
      </c>
      <c r="Z26" s="33" t="str">
        <f t="shared" si="10"/>
        <v>202506</v>
      </c>
      <c r="AA26" s="33" t="str">
        <f t="shared" si="11"/>
        <v>202606</v>
      </c>
      <c r="AB26" s="34">
        <f t="shared" si="9"/>
        <v>0.70836621638346264</v>
      </c>
      <c r="AC26" s="34">
        <f t="shared" si="12"/>
        <v>0.94291000297180805</v>
      </c>
    </row>
    <row r="27" spans="1:29" x14ac:dyDescent="0.25">
      <c r="A27" s="23">
        <f>'Delivered Sales'!A30</f>
        <v>0</v>
      </c>
      <c r="B27" s="24" t="e">
        <f>_xlfn.XLOOKUP($A27,'Written Sales'!$A$8:$A$215,'Written Sales'!$D$8:$D$215)</f>
        <v>#N/A</v>
      </c>
      <c r="C27" s="24" t="e">
        <f>_xlfn.XLOOKUP($A27,'Delivered Sales'!$A$10:$A$107,'Delivered Sales'!$D$10:$D$107)</f>
        <v>#N/A</v>
      </c>
      <c r="D27" s="24" t="e">
        <f t="shared" si="0"/>
        <v>#N/A</v>
      </c>
      <c r="E27" s="25" t="e">
        <f t="shared" si="1"/>
        <v>#N/A</v>
      </c>
      <c r="F27" s="24" t="e">
        <f>_xlfn.XLOOKUP($A27,'Written Sales'!$A$8:$A$215,'Written Sales'!$Q$8:$Q$215)</f>
        <v>#N/A</v>
      </c>
      <c r="G27" s="24" t="e">
        <f>_xlfn.XLOOKUP($A27,'Delivered Sales'!$A$10:$A$107,'Delivered Sales'!$P$10:$P$107)</f>
        <v>#N/A</v>
      </c>
      <c r="H27" s="24" t="e">
        <f t="shared" si="2"/>
        <v>#N/A</v>
      </c>
      <c r="I27" s="25" t="e">
        <f t="shared" si="3"/>
        <v>#N/A</v>
      </c>
      <c r="K27">
        <f t="shared" si="4"/>
        <v>0</v>
      </c>
      <c r="N27" s="23" t="s">
        <v>28</v>
      </c>
      <c r="O27" s="24">
        <v>-231752.50560000213</v>
      </c>
      <c r="P27" s="25">
        <v>0.80260221251269193</v>
      </c>
      <c r="Q27" s="24">
        <v>-1459088.2869000304</v>
      </c>
      <c r="R27" s="25">
        <v>0.80344361112691243</v>
      </c>
      <c r="T27" s="23" t="s">
        <v>80</v>
      </c>
      <c r="U27" s="24" t="str">
        <f t="shared" si="5"/>
        <v/>
      </c>
      <c r="V27" s="25" t="str">
        <f t="shared" si="6"/>
        <v/>
      </c>
      <c r="W27" s="24" t="str">
        <f t="shared" si="7"/>
        <v/>
      </c>
      <c r="X27" s="25" t="str">
        <f t="shared" si="8"/>
        <v/>
      </c>
      <c r="Z27" s="33" t="str">
        <f t="shared" si="10"/>
        <v>202507</v>
      </c>
      <c r="AA27" s="33" t="str">
        <f t="shared" si="11"/>
        <v>202607</v>
      </c>
      <c r="AB27" s="34">
        <f t="shared" si="9"/>
        <v>0.80260221251269193</v>
      </c>
      <c r="AC27" s="34">
        <f t="shared" si="12"/>
        <v>0.80344361112691243</v>
      </c>
    </row>
    <row r="28" spans="1:29" x14ac:dyDescent="0.25">
      <c r="A28" s="23">
        <f>'Delivered Sales'!A31</f>
        <v>0</v>
      </c>
      <c r="B28" s="24" t="e">
        <f>_xlfn.XLOOKUP($A28,'Written Sales'!$A$8:$A$215,'Written Sales'!$D$8:$D$215)</f>
        <v>#N/A</v>
      </c>
      <c r="C28" s="24" t="e">
        <f>_xlfn.XLOOKUP($A28,'Delivered Sales'!$A$10:$A$107,'Delivered Sales'!$D$10:$D$107)</f>
        <v>#N/A</v>
      </c>
      <c r="D28" s="24" t="e">
        <f t="shared" si="0"/>
        <v>#N/A</v>
      </c>
      <c r="E28" s="25" t="e">
        <f t="shared" si="1"/>
        <v>#N/A</v>
      </c>
      <c r="F28" s="24" t="e">
        <f>_xlfn.XLOOKUP($A28,'Written Sales'!$A$8:$A$215,'Written Sales'!$Q$8:$Q$215)</f>
        <v>#N/A</v>
      </c>
      <c r="G28" s="24" t="e">
        <f>_xlfn.XLOOKUP($A28,'Delivered Sales'!$A$10:$A$107,'Delivered Sales'!$P$10:$P$107)</f>
        <v>#N/A</v>
      </c>
      <c r="H28" s="24" t="e">
        <f t="shared" si="2"/>
        <v>#N/A</v>
      </c>
      <c r="I28" s="25" t="e">
        <f t="shared" si="3"/>
        <v>#N/A</v>
      </c>
      <c r="K28">
        <f t="shared" si="4"/>
        <v>0</v>
      </c>
      <c r="N28" s="23" t="s">
        <v>29</v>
      </c>
      <c r="O28" s="24">
        <v>-155887.56959999795</v>
      </c>
      <c r="P28" s="25">
        <v>0.89527921104281383</v>
      </c>
      <c r="Q28" s="24">
        <v>-888679.4165000245</v>
      </c>
      <c r="R28" s="25">
        <v>0.87865334314874088</v>
      </c>
      <c r="T28" s="23" t="s">
        <v>81</v>
      </c>
      <c r="U28" s="24" t="str">
        <f t="shared" si="5"/>
        <v/>
      </c>
      <c r="V28" s="25" t="str">
        <f t="shared" si="6"/>
        <v/>
      </c>
      <c r="W28" s="24" t="str">
        <f t="shared" si="7"/>
        <v/>
      </c>
      <c r="X28" s="25" t="str">
        <f t="shared" si="8"/>
        <v/>
      </c>
      <c r="Z28" s="33" t="str">
        <f t="shared" si="10"/>
        <v>202508</v>
      </c>
      <c r="AA28" s="33" t="str">
        <f t="shared" si="11"/>
        <v>202608</v>
      </c>
      <c r="AB28" s="34">
        <f t="shared" si="9"/>
        <v>0.89527921104281383</v>
      </c>
      <c r="AC28" s="34">
        <f t="shared" si="12"/>
        <v>0.87865334314874088</v>
      </c>
    </row>
    <row r="29" spans="1:29" x14ac:dyDescent="0.25">
      <c r="A29" s="23">
        <f>'Delivered Sales'!A32</f>
        <v>0</v>
      </c>
      <c r="B29" s="24" t="e">
        <f>_xlfn.XLOOKUP($A29,'Written Sales'!$A$8:$A$215,'Written Sales'!$D$8:$D$215)</f>
        <v>#N/A</v>
      </c>
      <c r="C29" s="24" t="e">
        <f>_xlfn.XLOOKUP($A29,'Delivered Sales'!$A$10:$A$107,'Delivered Sales'!$D$10:$D$107)</f>
        <v>#N/A</v>
      </c>
      <c r="D29" s="24" t="e">
        <f t="shared" si="0"/>
        <v>#N/A</v>
      </c>
      <c r="E29" s="25" t="e">
        <f t="shared" si="1"/>
        <v>#N/A</v>
      </c>
      <c r="F29" s="24" t="e">
        <f>_xlfn.XLOOKUP($A29,'Written Sales'!$A$8:$A$215,'Written Sales'!$Q$8:$Q$215)</f>
        <v>#N/A</v>
      </c>
      <c r="G29" s="24" t="e">
        <f>_xlfn.XLOOKUP($A29,'Delivered Sales'!$A$10:$A$107,'Delivered Sales'!$P$10:$P$107)</f>
        <v>#N/A</v>
      </c>
      <c r="H29" s="24" t="e">
        <f t="shared" si="2"/>
        <v>#N/A</v>
      </c>
      <c r="I29" s="25" t="e">
        <f t="shared" si="3"/>
        <v>#N/A</v>
      </c>
      <c r="K29">
        <f t="shared" si="4"/>
        <v>0</v>
      </c>
      <c r="N29" s="23" t="s">
        <v>30</v>
      </c>
      <c r="O29" s="24">
        <v>1361780.8414</v>
      </c>
      <c r="P29" s="25">
        <v>1.7546839576810864</v>
      </c>
      <c r="Q29" s="24">
        <v>13129287.09499998</v>
      </c>
      <c r="R29" s="25">
        <v>2.5714281310594131</v>
      </c>
      <c r="T29" s="23" t="s">
        <v>82</v>
      </c>
      <c r="U29" s="24" t="str">
        <f t="shared" si="5"/>
        <v/>
      </c>
      <c r="V29" s="25" t="str">
        <f t="shared" si="6"/>
        <v/>
      </c>
      <c r="W29" s="24" t="str">
        <f t="shared" si="7"/>
        <v/>
      </c>
      <c r="X29" s="25" t="str">
        <f t="shared" si="8"/>
        <v/>
      </c>
      <c r="Z29" s="33" t="str">
        <f t="shared" si="10"/>
        <v>202509</v>
      </c>
      <c r="AA29" s="33" t="str">
        <f t="shared" si="11"/>
        <v>202609</v>
      </c>
      <c r="AB29" s="34">
        <f t="shared" si="9"/>
        <v>1.7546839576810864</v>
      </c>
      <c r="AC29" s="34">
        <f t="shared" si="12"/>
        <v>2.5714281310594131</v>
      </c>
    </row>
    <row r="30" spans="1:29" x14ac:dyDescent="0.25">
      <c r="A30" s="23">
        <f>'Delivered Sales'!A33</f>
        <v>0</v>
      </c>
      <c r="B30" s="24" t="e">
        <f>_xlfn.XLOOKUP($A30,'Written Sales'!$A$8:$A$215,'Written Sales'!$D$8:$D$215)</f>
        <v>#N/A</v>
      </c>
      <c r="C30" s="24" t="e">
        <f>_xlfn.XLOOKUP($A30,'Delivered Sales'!$A$10:$A$107,'Delivered Sales'!$D$10:$D$107)</f>
        <v>#N/A</v>
      </c>
      <c r="D30" s="24" t="e">
        <f t="shared" si="0"/>
        <v>#N/A</v>
      </c>
      <c r="E30" s="25" t="e">
        <f t="shared" si="1"/>
        <v>#N/A</v>
      </c>
      <c r="F30" s="24" t="e">
        <f>_xlfn.XLOOKUP($A30,'Written Sales'!$A$8:$A$215,'Written Sales'!$Q$8:$Q$215)</f>
        <v>#N/A</v>
      </c>
      <c r="G30" s="24" t="e">
        <f>_xlfn.XLOOKUP($A30,'Delivered Sales'!$A$10:$A$107,'Delivered Sales'!$P$10:$P$107)</f>
        <v>#N/A</v>
      </c>
      <c r="H30" s="24" t="e">
        <f t="shared" si="2"/>
        <v>#N/A</v>
      </c>
      <c r="I30" s="25" t="e">
        <f t="shared" si="3"/>
        <v>#N/A</v>
      </c>
      <c r="K30">
        <f t="shared" si="4"/>
        <v>0</v>
      </c>
      <c r="N30" s="23" t="s">
        <v>31</v>
      </c>
      <c r="O30" s="24">
        <v>82107.528900004923</v>
      </c>
      <c r="P30" s="25">
        <v>1.047436810703724</v>
      </c>
      <c r="Q30" s="24">
        <v>4298151.5078999801</v>
      </c>
      <c r="R30" s="25">
        <v>1.5279676862221097</v>
      </c>
      <c r="T30" s="23" t="s">
        <v>83</v>
      </c>
      <c r="U30" s="24" t="str">
        <f t="shared" si="5"/>
        <v/>
      </c>
      <c r="V30" s="25" t="str">
        <f t="shared" si="6"/>
        <v/>
      </c>
      <c r="W30" s="24" t="str">
        <f t="shared" si="7"/>
        <v/>
      </c>
      <c r="X30" s="25" t="str">
        <f t="shared" si="8"/>
        <v/>
      </c>
      <c r="Z30" s="33" t="str">
        <f t="shared" si="10"/>
        <v>202510</v>
      </c>
      <c r="AA30" s="33" t="str">
        <f t="shared" si="11"/>
        <v>202610</v>
      </c>
      <c r="AB30" s="34">
        <f t="shared" si="9"/>
        <v>1.047436810703724</v>
      </c>
      <c r="AC30" s="34">
        <f t="shared" si="12"/>
        <v>1.5279676862221097</v>
      </c>
    </row>
    <row r="31" spans="1:29" x14ac:dyDescent="0.25">
      <c r="A31" s="23">
        <f>'Delivered Sales'!A34</f>
        <v>0</v>
      </c>
      <c r="B31" s="24" t="e">
        <f>_xlfn.XLOOKUP($A31,'Written Sales'!$A$8:$A$215,'Written Sales'!$D$8:$D$215)</f>
        <v>#N/A</v>
      </c>
      <c r="C31" s="24" t="e">
        <f>_xlfn.XLOOKUP($A31,'Delivered Sales'!$A$10:$A$107,'Delivered Sales'!$D$10:$D$107)</f>
        <v>#N/A</v>
      </c>
      <c r="D31" s="24" t="e">
        <f t="shared" si="0"/>
        <v>#N/A</v>
      </c>
      <c r="E31" s="25" t="e">
        <f t="shared" si="1"/>
        <v>#N/A</v>
      </c>
      <c r="F31" s="24" t="e">
        <f>_xlfn.XLOOKUP($A31,'Written Sales'!$A$8:$A$215,'Written Sales'!$Q$8:$Q$215)</f>
        <v>#N/A</v>
      </c>
      <c r="G31" s="24" t="e">
        <f>_xlfn.XLOOKUP($A31,'Delivered Sales'!$A$10:$A$107,'Delivered Sales'!$P$10:$P$107)</f>
        <v>#N/A</v>
      </c>
      <c r="H31" s="24" t="e">
        <f t="shared" si="2"/>
        <v>#N/A</v>
      </c>
      <c r="I31" s="25" t="e">
        <f t="shared" si="3"/>
        <v>#N/A</v>
      </c>
      <c r="K31">
        <f t="shared" si="4"/>
        <v>0</v>
      </c>
      <c r="N31" s="23" t="s">
        <v>32</v>
      </c>
      <c r="O31" s="24">
        <v>-641686.77760000015</v>
      </c>
      <c r="P31" s="25">
        <v>0.56626229118659455</v>
      </c>
      <c r="Q31" s="24">
        <v>-8211819.3208000055</v>
      </c>
      <c r="R31" s="25">
        <v>0.38743097043483504</v>
      </c>
      <c r="T31" s="23" t="s">
        <v>84</v>
      </c>
      <c r="U31" s="24" t="str">
        <f t="shared" si="5"/>
        <v/>
      </c>
      <c r="V31" s="25" t="str">
        <f t="shared" si="6"/>
        <v/>
      </c>
      <c r="W31" s="24" t="str">
        <f t="shared" si="7"/>
        <v/>
      </c>
      <c r="X31" s="25" t="str">
        <f t="shared" si="8"/>
        <v/>
      </c>
      <c r="Z31" s="33" t="str">
        <f t="shared" si="10"/>
        <v>202511</v>
      </c>
      <c r="AA31" s="33" t="str">
        <f t="shared" si="11"/>
        <v>202611</v>
      </c>
      <c r="AB31" s="34">
        <f t="shared" si="9"/>
        <v>0.56626229118659455</v>
      </c>
      <c r="AC31" s="34">
        <f t="shared" si="12"/>
        <v>0.38743097043483504</v>
      </c>
    </row>
    <row r="32" spans="1:29" x14ac:dyDescent="0.25">
      <c r="A32" s="23">
        <f>'Delivered Sales'!A35</f>
        <v>0</v>
      </c>
      <c r="B32" s="24" t="e">
        <f>_xlfn.XLOOKUP($A32,'Written Sales'!$A$8:$A$215,'Written Sales'!$D$8:$D$215)</f>
        <v>#N/A</v>
      </c>
      <c r="C32" s="24" t="e">
        <f>_xlfn.XLOOKUP($A32,'Delivered Sales'!$A$10:$A$107,'Delivered Sales'!$D$10:$D$107)</f>
        <v>#N/A</v>
      </c>
      <c r="D32" s="24" t="e">
        <f t="shared" si="0"/>
        <v>#N/A</v>
      </c>
      <c r="E32" s="25" t="e">
        <f t="shared" si="1"/>
        <v>#N/A</v>
      </c>
      <c r="F32" s="24" t="e">
        <f>_xlfn.XLOOKUP($A32,'Written Sales'!$A$8:$A$215,'Written Sales'!$Q$8:$Q$215)</f>
        <v>#N/A</v>
      </c>
      <c r="G32" s="24" t="e">
        <f>_xlfn.XLOOKUP($A32,'Delivered Sales'!$A$10:$A$107,'Delivered Sales'!$P$10:$P$107)</f>
        <v>#N/A</v>
      </c>
      <c r="H32" s="24" t="e">
        <f t="shared" si="2"/>
        <v>#N/A</v>
      </c>
      <c r="I32" s="25" t="e">
        <f t="shared" si="3"/>
        <v>#N/A</v>
      </c>
      <c r="K32">
        <f t="shared" si="4"/>
        <v>0</v>
      </c>
      <c r="N32" s="23" t="s">
        <v>33</v>
      </c>
      <c r="O32" s="24">
        <v>-978547.39569999999</v>
      </c>
      <c r="P32" s="25">
        <v>0.44807189252875568</v>
      </c>
      <c r="Q32" s="24">
        <v>-7059963.5535999872</v>
      </c>
      <c r="R32" s="25">
        <v>0.38512423079493446</v>
      </c>
      <c r="T32" s="23" t="s">
        <v>85</v>
      </c>
      <c r="U32" s="24" t="str">
        <f t="shared" si="5"/>
        <v/>
      </c>
      <c r="V32" s="25" t="str">
        <f t="shared" si="6"/>
        <v/>
      </c>
      <c r="W32" s="24" t="str">
        <f t="shared" si="7"/>
        <v/>
      </c>
      <c r="X32" s="25" t="str">
        <f t="shared" si="8"/>
        <v/>
      </c>
      <c r="Z32" s="33" t="str">
        <f t="shared" si="10"/>
        <v>202512</v>
      </c>
      <c r="AA32" s="33" t="str">
        <f t="shared" si="11"/>
        <v>202612</v>
      </c>
      <c r="AB32" s="34">
        <f t="shared" si="9"/>
        <v>0.44807189252875568</v>
      </c>
      <c r="AC32" s="34">
        <f t="shared" si="12"/>
        <v>0.38512423079493446</v>
      </c>
    </row>
    <row r="33" spans="1:29" x14ac:dyDescent="0.25">
      <c r="A33" s="23">
        <f>'Delivered Sales'!A36</f>
        <v>0</v>
      </c>
      <c r="B33" s="24" t="e">
        <f>_xlfn.XLOOKUP($A33,'Written Sales'!$A$8:$A$215,'Written Sales'!$D$8:$D$215)</f>
        <v>#N/A</v>
      </c>
      <c r="C33" s="24" t="e">
        <f>_xlfn.XLOOKUP($A33,'Delivered Sales'!$A$10:$A$107,'Delivered Sales'!$D$10:$D$107)</f>
        <v>#N/A</v>
      </c>
      <c r="D33" s="24" t="e">
        <f t="shared" si="0"/>
        <v>#N/A</v>
      </c>
      <c r="E33" s="25" t="e">
        <f t="shared" si="1"/>
        <v>#N/A</v>
      </c>
      <c r="F33" s="24" t="e">
        <f>_xlfn.XLOOKUP($A33,'Written Sales'!$A$8:$A$215,'Written Sales'!$Q$8:$Q$215)</f>
        <v>#N/A</v>
      </c>
      <c r="G33" s="24" t="e">
        <f>_xlfn.XLOOKUP($A33,'Delivered Sales'!$A$10:$A$107,'Delivered Sales'!$P$10:$P$107)</f>
        <v>#N/A</v>
      </c>
      <c r="H33" s="24" t="e">
        <f t="shared" si="2"/>
        <v>#N/A</v>
      </c>
      <c r="I33" s="25" t="e">
        <f t="shared" si="3"/>
        <v>#N/A</v>
      </c>
      <c r="K33">
        <f t="shared" si="4"/>
        <v>0</v>
      </c>
      <c r="N33" s="23" t="s">
        <v>34</v>
      </c>
      <c r="O33" s="24">
        <v>456958.82049999619</v>
      </c>
      <c r="P33" s="25">
        <v>1.3953017419792677</v>
      </c>
      <c r="Q33" s="24">
        <v>4111671.0821000785</v>
      </c>
      <c r="R33" s="25">
        <v>1.6988891147806513</v>
      </c>
      <c r="T33" s="23" t="s">
        <v>86</v>
      </c>
      <c r="U33" s="24" t="str">
        <f t="shared" si="5"/>
        <v/>
      </c>
      <c r="V33" s="25" t="str">
        <f t="shared" si="6"/>
        <v/>
      </c>
      <c r="W33" s="24" t="str">
        <f t="shared" si="7"/>
        <v/>
      </c>
      <c r="X33" s="25" t="str">
        <f t="shared" si="8"/>
        <v/>
      </c>
      <c r="Z33" s="33" t="str">
        <f t="shared" si="10"/>
        <v>202513</v>
      </c>
      <c r="AA33" s="33" t="str">
        <f t="shared" si="11"/>
        <v>202613</v>
      </c>
      <c r="AB33" s="34">
        <f t="shared" si="9"/>
        <v>1.3953017419792677</v>
      </c>
      <c r="AC33" s="34">
        <f t="shared" si="12"/>
        <v>1.6988891147806513</v>
      </c>
    </row>
    <row r="34" spans="1:29" x14ac:dyDescent="0.25">
      <c r="A34" s="23">
        <f>'Delivered Sales'!A37</f>
        <v>0</v>
      </c>
      <c r="B34" s="24" t="e">
        <f>_xlfn.XLOOKUP($A34,'Written Sales'!$A$8:$A$215,'Written Sales'!$D$8:$D$215)</f>
        <v>#N/A</v>
      </c>
      <c r="C34" s="24" t="e">
        <f>_xlfn.XLOOKUP($A34,'Delivered Sales'!$A$10:$A$107,'Delivered Sales'!$D$10:$D$107)</f>
        <v>#N/A</v>
      </c>
      <c r="D34" s="24" t="e">
        <f t="shared" si="0"/>
        <v>#N/A</v>
      </c>
      <c r="E34" s="25" t="e">
        <f t="shared" si="1"/>
        <v>#N/A</v>
      </c>
      <c r="F34" s="24" t="e">
        <f>_xlfn.XLOOKUP($A34,'Written Sales'!$A$8:$A$215,'Written Sales'!$Q$8:$Q$215)</f>
        <v>#N/A</v>
      </c>
      <c r="G34" s="24" t="e">
        <f>_xlfn.XLOOKUP($A34,'Delivered Sales'!$A$10:$A$107,'Delivered Sales'!$P$10:$P$107)</f>
        <v>#N/A</v>
      </c>
      <c r="H34" s="24" t="e">
        <f t="shared" si="2"/>
        <v>#N/A</v>
      </c>
      <c r="I34" s="25" t="e">
        <f t="shared" si="3"/>
        <v>#N/A</v>
      </c>
      <c r="K34">
        <f t="shared" si="4"/>
        <v>0</v>
      </c>
      <c r="N34" s="23" t="s">
        <v>35</v>
      </c>
      <c r="O34" s="24">
        <v>533915.80549999513</v>
      </c>
      <c r="P34" s="25">
        <v>1.6195478795496201</v>
      </c>
      <c r="Q34" s="24">
        <v>1382800.3893000036</v>
      </c>
      <c r="R34" s="25">
        <v>1.1899480051274083</v>
      </c>
      <c r="T34" s="23" t="s">
        <v>87</v>
      </c>
      <c r="U34" s="24" t="str">
        <f t="shared" si="5"/>
        <v/>
      </c>
      <c r="V34" s="25" t="str">
        <f t="shared" si="6"/>
        <v/>
      </c>
      <c r="W34" s="24" t="str">
        <f t="shared" si="7"/>
        <v/>
      </c>
      <c r="X34" s="25" t="str">
        <f t="shared" si="8"/>
        <v/>
      </c>
      <c r="Z34" s="33" t="str">
        <f t="shared" si="10"/>
        <v>202514</v>
      </c>
      <c r="AA34" s="33" t="str">
        <f t="shared" si="11"/>
        <v>202614</v>
      </c>
      <c r="AB34" s="34">
        <f t="shared" si="9"/>
        <v>1.6195478795496201</v>
      </c>
      <c r="AC34" s="34">
        <f t="shared" si="12"/>
        <v>1.1899480051274083</v>
      </c>
    </row>
    <row r="35" spans="1:29" x14ac:dyDescent="0.25">
      <c r="A35" s="23">
        <f>'Delivered Sales'!A38</f>
        <v>0</v>
      </c>
      <c r="B35" s="24" t="e">
        <f>_xlfn.XLOOKUP($A35,'Written Sales'!$A$8:$A$215,'Written Sales'!$D$8:$D$215)</f>
        <v>#N/A</v>
      </c>
      <c r="C35" s="24" t="e">
        <f>_xlfn.XLOOKUP($A35,'Delivered Sales'!$A$10:$A$107,'Delivered Sales'!$D$10:$D$107)</f>
        <v>#N/A</v>
      </c>
      <c r="D35" s="24" t="e">
        <f t="shared" si="0"/>
        <v>#N/A</v>
      </c>
      <c r="E35" s="25" t="e">
        <f t="shared" si="1"/>
        <v>#N/A</v>
      </c>
      <c r="F35" s="24" t="e">
        <f>_xlfn.XLOOKUP($A35,'Written Sales'!$A$8:$A$215,'Written Sales'!$Q$8:$Q$215)</f>
        <v>#N/A</v>
      </c>
      <c r="G35" s="24" t="e">
        <f>_xlfn.XLOOKUP($A35,'Delivered Sales'!$A$10:$A$107,'Delivered Sales'!$P$10:$P$107)</f>
        <v>#N/A</v>
      </c>
      <c r="H35" s="24" t="e">
        <f t="shared" si="2"/>
        <v>#N/A</v>
      </c>
      <c r="I35" s="25" t="e">
        <f t="shared" si="3"/>
        <v>#N/A</v>
      </c>
      <c r="K35">
        <f t="shared" si="4"/>
        <v>0</v>
      </c>
      <c r="N35" s="23" t="s">
        <v>36</v>
      </c>
      <c r="O35" s="24">
        <v>-242678.4220999995</v>
      </c>
      <c r="P35" s="25">
        <v>0.80395002543140526</v>
      </c>
      <c r="Q35" s="24">
        <v>-1765848.0664999923</v>
      </c>
      <c r="R35" s="25">
        <v>0.77881718182128579</v>
      </c>
      <c r="T35" s="23" t="s">
        <v>88</v>
      </c>
      <c r="U35" s="24" t="str">
        <f t="shared" si="5"/>
        <v/>
      </c>
      <c r="V35" s="25" t="str">
        <f t="shared" si="6"/>
        <v/>
      </c>
      <c r="W35" s="24" t="str">
        <f t="shared" si="7"/>
        <v/>
      </c>
      <c r="X35" s="25" t="str">
        <f t="shared" si="8"/>
        <v/>
      </c>
      <c r="Z35" s="33" t="str">
        <f t="shared" si="10"/>
        <v>202515</v>
      </c>
      <c r="AA35" s="33" t="str">
        <f t="shared" si="11"/>
        <v>202615</v>
      </c>
      <c r="AB35" s="34">
        <f t="shared" si="9"/>
        <v>0.80395002543140526</v>
      </c>
      <c r="AC35" s="34">
        <f t="shared" si="12"/>
        <v>0.77881718182128579</v>
      </c>
    </row>
    <row r="36" spans="1:29" x14ac:dyDescent="0.25">
      <c r="A36" s="23">
        <f>'Delivered Sales'!A39</f>
        <v>0</v>
      </c>
      <c r="B36" s="24" t="e">
        <f>_xlfn.XLOOKUP($A36,'Written Sales'!$A$8:$A$215,'Written Sales'!$D$8:$D$215)</f>
        <v>#N/A</v>
      </c>
      <c r="C36" s="24" t="e">
        <f>_xlfn.XLOOKUP($A36,'Delivered Sales'!$A$10:$A$107,'Delivered Sales'!$D$10:$D$107)</f>
        <v>#N/A</v>
      </c>
      <c r="D36" s="24" t="e">
        <f t="shared" si="0"/>
        <v>#N/A</v>
      </c>
      <c r="E36" s="25" t="e">
        <f t="shared" si="1"/>
        <v>#N/A</v>
      </c>
      <c r="F36" s="24" t="e">
        <f>_xlfn.XLOOKUP($A36,'Written Sales'!$A$8:$A$215,'Written Sales'!$Q$8:$Q$215)</f>
        <v>#N/A</v>
      </c>
      <c r="G36" s="24" t="e">
        <f>_xlfn.XLOOKUP($A36,'Delivered Sales'!$A$10:$A$107,'Delivered Sales'!$P$10:$P$107)</f>
        <v>#N/A</v>
      </c>
      <c r="H36" s="24" t="e">
        <f t="shared" si="2"/>
        <v>#N/A</v>
      </c>
      <c r="I36" s="25" t="e">
        <f t="shared" si="3"/>
        <v>#N/A</v>
      </c>
      <c r="K36">
        <f t="shared" si="4"/>
        <v>0</v>
      </c>
      <c r="N36" s="23" t="s">
        <v>37</v>
      </c>
      <c r="O36" s="24">
        <v>-199852.55769999861</v>
      </c>
      <c r="P36" s="25">
        <v>0.83973902124303768</v>
      </c>
      <c r="Q36" s="24">
        <v>-876534.64770002663</v>
      </c>
      <c r="R36" s="25">
        <v>0.87654734720883198</v>
      </c>
      <c r="T36" s="23" t="s">
        <v>89</v>
      </c>
      <c r="U36" s="24" t="str">
        <f t="shared" si="5"/>
        <v/>
      </c>
      <c r="V36" s="25" t="str">
        <f t="shared" si="6"/>
        <v/>
      </c>
      <c r="W36" s="24" t="str">
        <f t="shared" si="7"/>
        <v/>
      </c>
      <c r="X36" s="25" t="str">
        <f t="shared" si="8"/>
        <v/>
      </c>
      <c r="Z36" s="33" t="str">
        <f t="shared" si="10"/>
        <v>202516</v>
      </c>
      <c r="AA36" s="33" t="str">
        <f t="shared" si="11"/>
        <v>202616</v>
      </c>
      <c r="AB36" s="34">
        <f t="shared" si="9"/>
        <v>0.83973902124303768</v>
      </c>
      <c r="AC36" s="34">
        <f t="shared" si="12"/>
        <v>0.87654734720883198</v>
      </c>
    </row>
    <row r="37" spans="1:29" x14ac:dyDescent="0.25">
      <c r="A37" s="23">
        <f>'Delivered Sales'!A40</f>
        <v>0</v>
      </c>
      <c r="B37" s="24" t="e">
        <f>_xlfn.XLOOKUP($A37,'Written Sales'!$A$8:$A$215,'Written Sales'!$D$8:$D$215)</f>
        <v>#N/A</v>
      </c>
      <c r="C37" s="24" t="e">
        <f>_xlfn.XLOOKUP($A37,'Delivered Sales'!$A$10:$A$107,'Delivered Sales'!$D$10:$D$107)</f>
        <v>#N/A</v>
      </c>
      <c r="D37" s="24" t="e">
        <f t="shared" si="0"/>
        <v>#N/A</v>
      </c>
      <c r="E37" s="25" t="e">
        <f t="shared" si="1"/>
        <v>#N/A</v>
      </c>
      <c r="F37" s="24" t="e">
        <f>_xlfn.XLOOKUP($A37,'Written Sales'!$A$8:$A$215,'Written Sales'!$Q$8:$Q$215)</f>
        <v>#N/A</v>
      </c>
      <c r="G37" s="24" t="e">
        <f>_xlfn.XLOOKUP($A37,'Delivered Sales'!$A$10:$A$107,'Delivered Sales'!$P$10:$P$107)</f>
        <v>#N/A</v>
      </c>
      <c r="H37" s="24" t="e">
        <f t="shared" si="2"/>
        <v>#N/A</v>
      </c>
      <c r="I37" s="25" t="e">
        <f t="shared" si="3"/>
        <v>#N/A</v>
      </c>
      <c r="K37">
        <f t="shared" si="4"/>
        <v>0</v>
      </c>
      <c r="N37" s="23" t="s">
        <v>38</v>
      </c>
      <c r="O37" s="24">
        <v>204276.34780000872</v>
      </c>
      <c r="P37" s="25">
        <v>1.1683981183061696</v>
      </c>
      <c r="Q37" s="24">
        <v>1922747.2756000143</v>
      </c>
      <c r="R37" s="25">
        <v>1.250156249890227</v>
      </c>
      <c r="T37" s="23" t="s">
        <v>90</v>
      </c>
      <c r="U37" s="24" t="str">
        <f t="shared" si="5"/>
        <v/>
      </c>
      <c r="V37" s="25" t="str">
        <f t="shared" si="6"/>
        <v/>
      </c>
      <c r="W37" s="24" t="str">
        <f t="shared" si="7"/>
        <v/>
      </c>
      <c r="X37" s="25" t="str">
        <f t="shared" si="8"/>
        <v/>
      </c>
      <c r="Z37" s="33" t="str">
        <f t="shared" si="10"/>
        <v>202517</v>
      </c>
      <c r="AA37" s="33" t="str">
        <f t="shared" si="11"/>
        <v>202617</v>
      </c>
      <c r="AB37" s="34">
        <f t="shared" si="9"/>
        <v>1.1683981183061696</v>
      </c>
      <c r="AC37" s="34">
        <f t="shared" si="12"/>
        <v>1.250156249890227</v>
      </c>
    </row>
    <row r="38" spans="1:29" x14ac:dyDescent="0.25">
      <c r="A38" s="23">
        <f>'Delivered Sales'!A41</f>
        <v>0</v>
      </c>
      <c r="B38" s="24" t="e">
        <f>_xlfn.XLOOKUP($A38,'Written Sales'!$A$8:$A$215,'Written Sales'!$D$8:$D$215)</f>
        <v>#N/A</v>
      </c>
      <c r="C38" s="24" t="e">
        <f>_xlfn.XLOOKUP($A38,'Delivered Sales'!$A$10:$A$107,'Delivered Sales'!$D$10:$D$107)</f>
        <v>#N/A</v>
      </c>
      <c r="D38" s="24" t="e">
        <f t="shared" si="0"/>
        <v>#N/A</v>
      </c>
      <c r="E38" s="25" t="e">
        <f t="shared" si="1"/>
        <v>#N/A</v>
      </c>
      <c r="F38" s="24" t="e">
        <f>_xlfn.XLOOKUP($A38,'Written Sales'!$A$8:$A$215,'Written Sales'!$Q$8:$Q$215)</f>
        <v>#N/A</v>
      </c>
      <c r="G38" s="24" t="e">
        <f>_xlfn.XLOOKUP($A38,'Delivered Sales'!$A$10:$A$107,'Delivered Sales'!$P$10:$P$107)</f>
        <v>#N/A</v>
      </c>
      <c r="H38" s="24" t="e">
        <f t="shared" si="2"/>
        <v>#N/A</v>
      </c>
      <c r="I38" s="25" t="e">
        <f t="shared" si="3"/>
        <v>#N/A</v>
      </c>
      <c r="K38">
        <f t="shared" si="4"/>
        <v>0</v>
      </c>
      <c r="N38" s="23" t="s">
        <v>39</v>
      </c>
      <c r="O38" s="24">
        <v>163197.43470000429</v>
      </c>
      <c r="P38" s="25">
        <v>1.1336918844653965</v>
      </c>
      <c r="Q38" s="24">
        <v>1175644.1252000537</v>
      </c>
      <c r="R38" s="25">
        <v>1.1712391913122913</v>
      </c>
      <c r="T38" s="23" t="s">
        <v>91</v>
      </c>
      <c r="U38" s="24" t="str">
        <f t="shared" si="5"/>
        <v/>
      </c>
      <c r="V38" s="25" t="str">
        <f t="shared" si="6"/>
        <v/>
      </c>
      <c r="W38" s="24" t="str">
        <f t="shared" si="7"/>
        <v/>
      </c>
      <c r="X38" s="25" t="str">
        <f t="shared" si="8"/>
        <v/>
      </c>
      <c r="Z38" s="33" t="str">
        <f t="shared" si="10"/>
        <v>202518</v>
      </c>
      <c r="AA38" s="33" t="str">
        <f t="shared" si="11"/>
        <v>202618</v>
      </c>
      <c r="AB38" s="34">
        <f t="shared" si="9"/>
        <v>1.1336918844653965</v>
      </c>
      <c r="AC38" s="34">
        <f t="shared" si="12"/>
        <v>1.1712391913122913</v>
      </c>
    </row>
    <row r="39" spans="1:29" x14ac:dyDescent="0.25">
      <c r="A39" s="23">
        <f>'Delivered Sales'!A42</f>
        <v>0</v>
      </c>
      <c r="B39" s="24" t="e">
        <f>_xlfn.XLOOKUP($A39,'Written Sales'!$A$8:$A$215,'Written Sales'!$D$8:$D$215)</f>
        <v>#N/A</v>
      </c>
      <c r="C39" s="24" t="e">
        <f>_xlfn.XLOOKUP($A39,'Delivered Sales'!$A$10:$A$107,'Delivered Sales'!$D$10:$D$107)</f>
        <v>#N/A</v>
      </c>
      <c r="D39" s="24" t="e">
        <f t="shared" si="0"/>
        <v>#N/A</v>
      </c>
      <c r="E39" s="25" t="e">
        <f t="shared" si="1"/>
        <v>#N/A</v>
      </c>
      <c r="F39" s="24" t="e">
        <f>_xlfn.XLOOKUP($A39,'Written Sales'!$A$8:$A$215,'Written Sales'!$Q$8:$Q$215)</f>
        <v>#N/A</v>
      </c>
      <c r="G39" s="24" t="e">
        <f>_xlfn.XLOOKUP($A39,'Delivered Sales'!$A$10:$A$107,'Delivered Sales'!$P$10:$P$107)</f>
        <v>#N/A</v>
      </c>
      <c r="H39" s="24" t="e">
        <f t="shared" si="2"/>
        <v>#N/A</v>
      </c>
      <c r="I39" s="25" t="e">
        <f t="shared" si="3"/>
        <v>#N/A</v>
      </c>
      <c r="K39">
        <f t="shared" si="4"/>
        <v>0</v>
      </c>
      <c r="N39" s="23" t="s">
        <v>40</v>
      </c>
      <c r="O39" s="24">
        <v>145192.19450000185</v>
      </c>
      <c r="P39" s="25">
        <v>1.1608584480900903</v>
      </c>
      <c r="Q39" s="24">
        <v>-1920908.9170999997</v>
      </c>
      <c r="R39" s="25">
        <v>0.66789509231739663</v>
      </c>
      <c r="T39" s="23" t="s">
        <v>92</v>
      </c>
      <c r="U39" s="24" t="str">
        <f t="shared" si="5"/>
        <v/>
      </c>
      <c r="V39" s="25" t="str">
        <f t="shared" si="6"/>
        <v/>
      </c>
      <c r="W39" s="24" t="str">
        <f t="shared" si="7"/>
        <v/>
      </c>
      <c r="X39" s="25" t="str">
        <f t="shared" si="8"/>
        <v/>
      </c>
      <c r="Z39" s="33" t="str">
        <f t="shared" si="10"/>
        <v>202519</v>
      </c>
      <c r="AA39" s="33" t="str">
        <f t="shared" si="11"/>
        <v>202619</v>
      </c>
      <c r="AB39" s="34">
        <f t="shared" si="9"/>
        <v>1.1608584480900903</v>
      </c>
      <c r="AC39" s="34">
        <f t="shared" si="12"/>
        <v>0.66789509231739663</v>
      </c>
    </row>
    <row r="40" spans="1:29" x14ac:dyDescent="0.25">
      <c r="A40" s="23">
        <f>'Delivered Sales'!A43</f>
        <v>0</v>
      </c>
      <c r="B40" s="24" t="e">
        <f>_xlfn.XLOOKUP($A40,'Written Sales'!$A$8:$A$215,'Written Sales'!$D$8:$D$215)</f>
        <v>#N/A</v>
      </c>
      <c r="C40" s="24" t="e">
        <f>_xlfn.XLOOKUP($A40,'Delivered Sales'!$A$10:$A$107,'Delivered Sales'!$D$10:$D$107)</f>
        <v>#N/A</v>
      </c>
      <c r="D40" s="24" t="e">
        <f t="shared" si="0"/>
        <v>#N/A</v>
      </c>
      <c r="E40" s="25" t="e">
        <f t="shared" si="1"/>
        <v>#N/A</v>
      </c>
      <c r="F40" s="24" t="e">
        <f>_xlfn.XLOOKUP($A40,'Written Sales'!$A$8:$A$215,'Written Sales'!$Q$8:$Q$215)</f>
        <v>#N/A</v>
      </c>
      <c r="G40" s="24" t="e">
        <f>_xlfn.XLOOKUP($A40,'Delivered Sales'!$A$10:$A$107,'Delivered Sales'!$P$10:$P$107)</f>
        <v>#N/A</v>
      </c>
      <c r="H40" s="24" t="e">
        <f t="shared" si="2"/>
        <v>#N/A</v>
      </c>
      <c r="I40" s="25" t="e">
        <f t="shared" si="3"/>
        <v>#N/A</v>
      </c>
      <c r="K40">
        <f t="shared" si="4"/>
        <v>0</v>
      </c>
      <c r="N40" s="23" t="s">
        <v>41</v>
      </c>
      <c r="O40" s="24">
        <v>-284311.62170000037</v>
      </c>
      <c r="P40" s="25">
        <v>0.71179900792359119</v>
      </c>
      <c r="Q40" s="24">
        <v>-671600.5242000185</v>
      </c>
      <c r="R40" s="25">
        <v>0.90090240928379706</v>
      </c>
      <c r="T40" s="23" t="s">
        <v>93</v>
      </c>
      <c r="U40" s="24" t="str">
        <f t="shared" ref="U40:U59" si="13">IFERROR(_xlfn.XLOOKUP(VALUE($T40),$K$7:$K$104,$D$7:$D$104),"")</f>
        <v/>
      </c>
      <c r="V40" s="25" t="str">
        <f t="shared" ref="V40:V59" si="14">IFERROR(_xlfn.XLOOKUP(VALUE($T40),$K$7:$K$104,$E$7:$E$104),"")</f>
        <v/>
      </c>
      <c r="W40" s="24" t="str">
        <f t="shared" ref="W40:W59" si="15">IFERROR(_xlfn.XLOOKUP(VALUE($T40),$K$7:$K$104,$H$7:$H$104),"")</f>
        <v/>
      </c>
      <c r="X40" s="25" t="str">
        <f t="shared" ref="X40:X59" si="16">IFERROR(_xlfn.XLOOKUP(VALUE($T40),$K$7:$K$104,$I$7:$I$104),"")</f>
        <v/>
      </c>
      <c r="Z40" s="33" t="str">
        <f t="shared" si="10"/>
        <v>202520</v>
      </c>
      <c r="AA40" s="33" t="str">
        <f t="shared" si="11"/>
        <v>202620</v>
      </c>
      <c r="AB40" s="34">
        <f t="shared" ref="AB40:AB59" si="17">IFERROR(AVERAGE($P40,$V40),"")</f>
        <v>0.71179900792359119</v>
      </c>
      <c r="AC40" s="34">
        <f t="shared" si="12"/>
        <v>0.90090240928379706</v>
      </c>
    </row>
    <row r="41" spans="1:29" x14ac:dyDescent="0.25">
      <c r="A41" s="23">
        <f>'Delivered Sales'!A44</f>
        <v>0</v>
      </c>
      <c r="B41" s="24" t="e">
        <f>_xlfn.XLOOKUP($A41,'Written Sales'!$A$8:$A$215,'Written Sales'!$D$8:$D$215)</f>
        <v>#N/A</v>
      </c>
      <c r="C41" s="24" t="e">
        <f>_xlfn.XLOOKUP($A41,'Delivered Sales'!$A$10:$A$107,'Delivered Sales'!$D$10:$D$107)</f>
        <v>#N/A</v>
      </c>
      <c r="D41" s="24" t="e">
        <f t="shared" si="0"/>
        <v>#N/A</v>
      </c>
      <c r="E41" s="25" t="e">
        <f t="shared" si="1"/>
        <v>#N/A</v>
      </c>
      <c r="F41" s="24" t="e">
        <f>_xlfn.XLOOKUP($A41,'Written Sales'!$A$8:$A$215,'Written Sales'!$Q$8:$Q$215)</f>
        <v>#N/A</v>
      </c>
      <c r="G41" s="24" t="e">
        <f>_xlfn.XLOOKUP($A41,'Delivered Sales'!$A$10:$A$107,'Delivered Sales'!$P$10:$P$107)</f>
        <v>#N/A</v>
      </c>
      <c r="H41" s="24" t="e">
        <f t="shared" si="2"/>
        <v>#N/A</v>
      </c>
      <c r="I41" s="25" t="e">
        <f t="shared" si="3"/>
        <v>#N/A</v>
      </c>
      <c r="K41">
        <f t="shared" si="4"/>
        <v>0</v>
      </c>
      <c r="N41" s="23" t="s">
        <v>42</v>
      </c>
      <c r="O41" s="24">
        <v>-182875.61469999969</v>
      </c>
      <c r="P41" s="25">
        <v>0.78970098346011741</v>
      </c>
      <c r="Q41" s="24">
        <v>-1728012.8934999974</v>
      </c>
      <c r="R41" s="25">
        <v>0.74347529364040121</v>
      </c>
      <c r="T41" s="23" t="s">
        <v>94</v>
      </c>
      <c r="U41" s="24" t="str">
        <f t="shared" si="13"/>
        <v/>
      </c>
      <c r="V41" s="25" t="str">
        <f t="shared" si="14"/>
        <v/>
      </c>
      <c r="W41" s="24" t="str">
        <f t="shared" si="15"/>
        <v/>
      </c>
      <c r="X41" s="25" t="str">
        <f t="shared" si="16"/>
        <v/>
      </c>
      <c r="Z41" s="33" t="str">
        <f t="shared" si="10"/>
        <v>202521</v>
      </c>
      <c r="AA41" s="33" t="str">
        <f t="shared" si="11"/>
        <v>202621</v>
      </c>
      <c r="AB41" s="34">
        <f t="shared" si="17"/>
        <v>0.78970098346011741</v>
      </c>
      <c r="AC41" s="34">
        <f t="shared" si="12"/>
        <v>0.74347529364040121</v>
      </c>
    </row>
    <row r="42" spans="1:29" x14ac:dyDescent="0.25">
      <c r="A42" s="23">
        <f>'Delivered Sales'!A45</f>
        <v>0</v>
      </c>
      <c r="B42" s="24" t="e">
        <f>_xlfn.XLOOKUP($A42,'Written Sales'!$A$8:$A$215,'Written Sales'!$D$8:$D$215)</f>
        <v>#N/A</v>
      </c>
      <c r="C42" s="24" t="e">
        <f>_xlfn.XLOOKUP($A42,'Delivered Sales'!$A$10:$A$107,'Delivered Sales'!$D$10:$D$107)</f>
        <v>#N/A</v>
      </c>
      <c r="D42" s="24" t="e">
        <f t="shared" si="0"/>
        <v>#N/A</v>
      </c>
      <c r="E42" s="25" t="e">
        <f t="shared" si="1"/>
        <v>#N/A</v>
      </c>
      <c r="F42" s="24" t="e">
        <f>_xlfn.XLOOKUP($A42,'Written Sales'!$A$8:$A$215,'Written Sales'!$Q$8:$Q$215)</f>
        <v>#N/A</v>
      </c>
      <c r="G42" s="24" t="e">
        <f>_xlfn.XLOOKUP($A42,'Delivered Sales'!$A$10:$A$107,'Delivered Sales'!$P$10:$P$107)</f>
        <v>#N/A</v>
      </c>
      <c r="H42" s="24" t="e">
        <f t="shared" si="2"/>
        <v>#N/A</v>
      </c>
      <c r="I42" s="25" t="e">
        <f t="shared" si="3"/>
        <v>#N/A</v>
      </c>
      <c r="K42">
        <f t="shared" si="4"/>
        <v>0</v>
      </c>
      <c r="N42" s="23" t="s">
        <v>43</v>
      </c>
      <c r="O42" s="24">
        <v>143274.43210000021</v>
      </c>
      <c r="P42" s="25">
        <v>1.1827276623522747</v>
      </c>
      <c r="Q42" s="24">
        <v>-557302.56110000052</v>
      </c>
      <c r="R42" s="25">
        <v>0.9001977745627906</v>
      </c>
      <c r="T42" s="23" t="s">
        <v>95</v>
      </c>
      <c r="U42" s="24" t="str">
        <f t="shared" si="13"/>
        <v/>
      </c>
      <c r="V42" s="25" t="str">
        <f t="shared" si="14"/>
        <v/>
      </c>
      <c r="W42" s="24" t="str">
        <f t="shared" si="15"/>
        <v/>
      </c>
      <c r="X42" s="25" t="str">
        <f t="shared" si="16"/>
        <v/>
      </c>
      <c r="Z42" s="33" t="str">
        <f t="shared" si="10"/>
        <v>202522</v>
      </c>
      <c r="AA42" s="33" t="str">
        <f t="shared" si="11"/>
        <v>202622</v>
      </c>
      <c r="AB42" s="34">
        <f t="shared" si="17"/>
        <v>1.1827276623522747</v>
      </c>
      <c r="AC42" s="34">
        <f t="shared" si="12"/>
        <v>0.9001977745627906</v>
      </c>
    </row>
    <row r="43" spans="1:29" x14ac:dyDescent="0.25">
      <c r="A43" s="23">
        <f>'Delivered Sales'!A46</f>
        <v>0</v>
      </c>
      <c r="B43" s="24" t="e">
        <f>_xlfn.XLOOKUP($A43,'Written Sales'!$A$8:$A$215,'Written Sales'!$D$8:$D$215)</f>
        <v>#N/A</v>
      </c>
      <c r="C43" s="24" t="e">
        <f>_xlfn.XLOOKUP($A43,'Delivered Sales'!$A$10:$A$107,'Delivered Sales'!$D$10:$D$107)</f>
        <v>#N/A</v>
      </c>
      <c r="D43" s="24" t="e">
        <f t="shared" si="0"/>
        <v>#N/A</v>
      </c>
      <c r="E43" s="25" t="e">
        <f t="shared" si="1"/>
        <v>#N/A</v>
      </c>
      <c r="F43" s="24" t="e">
        <f>_xlfn.XLOOKUP($A43,'Written Sales'!$A$8:$A$215,'Written Sales'!$Q$8:$Q$215)</f>
        <v>#N/A</v>
      </c>
      <c r="G43" s="24" t="e">
        <f>_xlfn.XLOOKUP($A43,'Delivered Sales'!$A$10:$A$107,'Delivered Sales'!$P$10:$P$107)</f>
        <v>#N/A</v>
      </c>
      <c r="H43" s="24" t="e">
        <f t="shared" si="2"/>
        <v>#N/A</v>
      </c>
      <c r="I43" s="25" t="e">
        <f t="shared" si="3"/>
        <v>#N/A</v>
      </c>
      <c r="K43">
        <f t="shared" si="4"/>
        <v>0</v>
      </c>
      <c r="N43" s="23" t="s">
        <v>44</v>
      </c>
      <c r="O43" s="24">
        <v>3617.3214999996126</v>
      </c>
      <c r="P43" s="25">
        <v>1.0039475221340326</v>
      </c>
      <c r="Q43" s="24">
        <v>-667496.57269999199</v>
      </c>
      <c r="R43" s="25">
        <v>0.87524939778790689</v>
      </c>
      <c r="T43" s="23" t="s">
        <v>96</v>
      </c>
      <c r="U43" s="24" t="str">
        <f t="shared" si="13"/>
        <v/>
      </c>
      <c r="V43" s="25" t="str">
        <f t="shared" si="14"/>
        <v/>
      </c>
      <c r="W43" s="24" t="str">
        <f t="shared" si="15"/>
        <v/>
      </c>
      <c r="X43" s="25" t="str">
        <f t="shared" si="16"/>
        <v/>
      </c>
      <c r="Z43" s="33" t="str">
        <f t="shared" si="10"/>
        <v>202523</v>
      </c>
      <c r="AA43" s="33" t="str">
        <f t="shared" si="11"/>
        <v>202623</v>
      </c>
      <c r="AB43" s="34">
        <f t="shared" si="17"/>
        <v>1.0039475221340326</v>
      </c>
      <c r="AC43" s="34">
        <f t="shared" si="12"/>
        <v>0.87524939778790689</v>
      </c>
    </row>
    <row r="44" spans="1:29" x14ac:dyDescent="0.25">
      <c r="A44" s="23">
        <f>'Delivered Sales'!A47</f>
        <v>0</v>
      </c>
      <c r="B44" s="24" t="e">
        <f>_xlfn.XLOOKUP($A44,'Written Sales'!$A$8:$A$215,'Written Sales'!$D$8:$D$215)</f>
        <v>#N/A</v>
      </c>
      <c r="C44" s="24" t="e">
        <f>_xlfn.XLOOKUP($A44,'Delivered Sales'!$A$10:$A$107,'Delivered Sales'!$D$10:$D$107)</f>
        <v>#N/A</v>
      </c>
      <c r="D44" s="24" t="e">
        <f t="shared" si="0"/>
        <v>#N/A</v>
      </c>
      <c r="E44" s="25" t="e">
        <f t="shared" si="1"/>
        <v>#N/A</v>
      </c>
      <c r="F44" s="24" t="e">
        <f>_xlfn.XLOOKUP($A44,'Written Sales'!$A$8:$A$215,'Written Sales'!$Q$8:$Q$215)</f>
        <v>#N/A</v>
      </c>
      <c r="G44" s="24" t="e">
        <f>_xlfn.XLOOKUP($A44,'Delivered Sales'!$A$10:$A$107,'Delivered Sales'!$P$10:$P$107)</f>
        <v>#N/A</v>
      </c>
      <c r="H44" s="24" t="e">
        <f t="shared" si="2"/>
        <v>#N/A</v>
      </c>
      <c r="I44" s="25" t="e">
        <f t="shared" si="3"/>
        <v>#N/A</v>
      </c>
      <c r="K44">
        <f t="shared" si="4"/>
        <v>0</v>
      </c>
      <c r="N44" s="23" t="s">
        <v>45</v>
      </c>
      <c r="O44" s="24">
        <v>-313777.23460000008</v>
      </c>
      <c r="P44" s="25">
        <v>0.69288535053049582</v>
      </c>
      <c r="Q44" s="24">
        <v>-460708.76250000019</v>
      </c>
      <c r="R44" s="25">
        <v>0.90341367596586797</v>
      </c>
      <c r="T44" s="23" t="s">
        <v>97</v>
      </c>
      <c r="U44" s="24" t="str">
        <f t="shared" si="13"/>
        <v/>
      </c>
      <c r="V44" s="25" t="str">
        <f t="shared" si="14"/>
        <v/>
      </c>
      <c r="W44" s="24" t="str">
        <f t="shared" si="15"/>
        <v/>
      </c>
      <c r="X44" s="25" t="str">
        <f t="shared" si="16"/>
        <v/>
      </c>
      <c r="Z44" s="33" t="str">
        <f t="shared" si="10"/>
        <v>202524</v>
      </c>
      <c r="AA44" s="33" t="str">
        <f t="shared" si="11"/>
        <v>202624</v>
      </c>
      <c r="AB44" s="34">
        <f t="shared" si="17"/>
        <v>0.69288535053049582</v>
      </c>
      <c r="AC44" s="34">
        <f t="shared" si="12"/>
        <v>0.90341367596586797</v>
      </c>
    </row>
    <row r="45" spans="1:29" x14ac:dyDescent="0.25">
      <c r="A45" s="23">
        <f>'Delivered Sales'!A48</f>
        <v>0</v>
      </c>
      <c r="B45" s="24" t="e">
        <f>_xlfn.XLOOKUP($A45,'Written Sales'!$A$8:$A$215,'Written Sales'!$D$8:$D$215)</f>
        <v>#N/A</v>
      </c>
      <c r="C45" s="24" t="e">
        <f>_xlfn.XLOOKUP($A45,'Delivered Sales'!$A$10:$A$107,'Delivered Sales'!$D$10:$D$107)</f>
        <v>#N/A</v>
      </c>
      <c r="D45" s="24" t="e">
        <f t="shared" si="0"/>
        <v>#N/A</v>
      </c>
      <c r="E45" s="25" t="e">
        <f t="shared" si="1"/>
        <v>#N/A</v>
      </c>
      <c r="F45" s="24" t="e">
        <f>_xlfn.XLOOKUP($A45,'Written Sales'!$A$8:$A$215,'Written Sales'!$Q$8:$Q$215)</f>
        <v>#N/A</v>
      </c>
      <c r="G45" s="24" t="e">
        <f>_xlfn.XLOOKUP($A45,'Delivered Sales'!$A$10:$A$107,'Delivered Sales'!$P$10:$P$107)</f>
        <v>#N/A</v>
      </c>
      <c r="H45" s="24" t="e">
        <f t="shared" si="2"/>
        <v>#N/A</v>
      </c>
      <c r="I45" s="25" t="e">
        <f t="shared" si="3"/>
        <v>#N/A</v>
      </c>
      <c r="K45">
        <f t="shared" si="4"/>
        <v>0</v>
      </c>
      <c r="N45" s="23" t="s">
        <v>46</v>
      </c>
      <c r="O45" s="24">
        <v>198951.83099999907</v>
      </c>
      <c r="P45" s="25">
        <v>1.2314231458424887</v>
      </c>
      <c r="Q45" s="24">
        <v>1080141.8934000246</v>
      </c>
      <c r="R45" s="25">
        <v>1.2276360479374504</v>
      </c>
      <c r="T45" s="23" t="s">
        <v>98</v>
      </c>
      <c r="U45" s="24" t="str">
        <f t="shared" si="13"/>
        <v/>
      </c>
      <c r="V45" s="25" t="str">
        <f t="shared" si="14"/>
        <v/>
      </c>
      <c r="W45" s="24" t="str">
        <f t="shared" si="15"/>
        <v/>
      </c>
      <c r="X45" s="25" t="str">
        <f t="shared" si="16"/>
        <v/>
      </c>
      <c r="Z45" s="33" t="str">
        <f t="shared" si="10"/>
        <v>202525</v>
      </c>
      <c r="AA45" s="33" t="str">
        <f t="shared" si="11"/>
        <v>202625</v>
      </c>
      <c r="AB45" s="34">
        <f t="shared" si="17"/>
        <v>1.2314231458424887</v>
      </c>
      <c r="AC45" s="34">
        <f t="shared" si="12"/>
        <v>1.2276360479374504</v>
      </c>
    </row>
    <row r="46" spans="1:29" x14ac:dyDescent="0.25">
      <c r="A46" s="23">
        <f>'Delivered Sales'!A49</f>
        <v>0</v>
      </c>
      <c r="B46" s="24" t="e">
        <f>_xlfn.XLOOKUP($A46,'Written Sales'!$A$8:$A$215,'Written Sales'!$D$8:$D$215)</f>
        <v>#N/A</v>
      </c>
      <c r="C46" s="24" t="e">
        <f>_xlfn.XLOOKUP($A46,'Delivered Sales'!$A$10:$A$107,'Delivered Sales'!$D$10:$D$107)</f>
        <v>#N/A</v>
      </c>
      <c r="D46" s="24" t="e">
        <f t="shared" si="0"/>
        <v>#N/A</v>
      </c>
      <c r="E46" s="25" t="e">
        <f t="shared" si="1"/>
        <v>#N/A</v>
      </c>
      <c r="F46" s="24" t="e">
        <f>_xlfn.XLOOKUP($A46,'Written Sales'!$A$8:$A$215,'Written Sales'!$Q$8:$Q$215)</f>
        <v>#N/A</v>
      </c>
      <c r="G46" s="24" t="e">
        <f>_xlfn.XLOOKUP($A46,'Delivered Sales'!$A$10:$A$107,'Delivered Sales'!$P$10:$P$107)</f>
        <v>#N/A</v>
      </c>
      <c r="H46" s="24" t="e">
        <f t="shared" si="2"/>
        <v>#N/A</v>
      </c>
      <c r="I46" s="25" t="e">
        <f t="shared" si="3"/>
        <v>#N/A</v>
      </c>
      <c r="K46">
        <f t="shared" si="4"/>
        <v>0</v>
      </c>
      <c r="N46" s="23" t="s">
        <v>47</v>
      </c>
      <c r="O46" s="24">
        <v>-116320.08049999957</v>
      </c>
      <c r="P46" s="25">
        <v>0.86992567283896105</v>
      </c>
      <c r="Q46" s="24">
        <v>-1882712.6491999999</v>
      </c>
      <c r="R46" s="25">
        <v>0.71416343485411093</v>
      </c>
      <c r="T46" s="23" t="s">
        <v>99</v>
      </c>
      <c r="U46" s="24" t="str">
        <f t="shared" si="13"/>
        <v/>
      </c>
      <c r="V46" s="25" t="str">
        <f t="shared" si="14"/>
        <v/>
      </c>
      <c r="W46" s="24" t="str">
        <f t="shared" si="15"/>
        <v/>
      </c>
      <c r="X46" s="25" t="str">
        <f t="shared" si="16"/>
        <v/>
      </c>
      <c r="Z46" s="33" t="str">
        <f t="shared" si="10"/>
        <v>202526</v>
      </c>
      <c r="AA46" s="33" t="str">
        <f t="shared" si="11"/>
        <v>202626</v>
      </c>
      <c r="AB46" s="34">
        <f t="shared" si="17"/>
        <v>0.86992567283896105</v>
      </c>
      <c r="AC46" s="34">
        <f t="shared" si="12"/>
        <v>0.71416343485411093</v>
      </c>
    </row>
    <row r="47" spans="1:29" x14ac:dyDescent="0.25">
      <c r="A47" s="23">
        <f>'Delivered Sales'!A50</f>
        <v>0</v>
      </c>
      <c r="B47" s="24" t="e">
        <f>_xlfn.XLOOKUP($A47,'Written Sales'!$A$8:$A$215,'Written Sales'!$D$8:$D$215)</f>
        <v>#N/A</v>
      </c>
      <c r="C47" s="24" t="e">
        <f>_xlfn.XLOOKUP($A47,'Delivered Sales'!$A$10:$A$107,'Delivered Sales'!$D$10:$D$107)</f>
        <v>#N/A</v>
      </c>
      <c r="D47" s="24" t="e">
        <f t="shared" si="0"/>
        <v>#N/A</v>
      </c>
      <c r="E47" s="25" t="e">
        <f t="shared" si="1"/>
        <v>#N/A</v>
      </c>
      <c r="F47" s="24" t="e">
        <f>_xlfn.XLOOKUP($A47,'Written Sales'!$A$8:$A$215,'Written Sales'!$Q$8:$Q$215)</f>
        <v>#N/A</v>
      </c>
      <c r="G47" s="24" t="e">
        <f>_xlfn.XLOOKUP($A47,'Delivered Sales'!$A$10:$A$107,'Delivered Sales'!$P$10:$P$107)</f>
        <v>#N/A</v>
      </c>
      <c r="H47" s="24" t="e">
        <f t="shared" si="2"/>
        <v>#N/A</v>
      </c>
      <c r="I47" s="25" t="e">
        <f t="shared" si="3"/>
        <v>#N/A</v>
      </c>
      <c r="K47">
        <f t="shared" si="4"/>
        <v>0</v>
      </c>
      <c r="N47" s="23" t="s">
        <v>48</v>
      </c>
      <c r="O47" s="24">
        <v>-111810.87279999943</v>
      </c>
      <c r="P47" s="25">
        <v>0.88920835274310739</v>
      </c>
      <c r="Q47" s="24">
        <v>-1552972.7771999901</v>
      </c>
      <c r="R47" s="25">
        <v>0.75376610917543929</v>
      </c>
      <c r="T47" s="23" t="s">
        <v>100</v>
      </c>
      <c r="U47" s="24" t="str">
        <f t="shared" si="13"/>
        <v/>
      </c>
      <c r="V47" s="25" t="str">
        <f t="shared" si="14"/>
        <v/>
      </c>
      <c r="W47" s="24" t="str">
        <f t="shared" si="15"/>
        <v/>
      </c>
      <c r="X47" s="25" t="str">
        <f t="shared" si="16"/>
        <v/>
      </c>
      <c r="Z47" s="33" t="str">
        <f t="shared" si="10"/>
        <v>202527</v>
      </c>
      <c r="AA47" s="33" t="str">
        <f t="shared" si="11"/>
        <v>202627</v>
      </c>
      <c r="AB47" s="34">
        <f t="shared" si="17"/>
        <v>0.88920835274310739</v>
      </c>
      <c r="AC47" s="34">
        <f t="shared" si="12"/>
        <v>0.75376610917543929</v>
      </c>
    </row>
    <row r="48" spans="1:29" x14ac:dyDescent="0.25">
      <c r="A48" s="23">
        <f>'Delivered Sales'!A51</f>
        <v>0</v>
      </c>
      <c r="B48" s="24" t="e">
        <f>_xlfn.XLOOKUP($A48,'Written Sales'!$A$8:$A$215,'Written Sales'!$D$8:$D$215)</f>
        <v>#N/A</v>
      </c>
      <c r="C48" s="24" t="e">
        <f>_xlfn.XLOOKUP($A48,'Delivered Sales'!$A$10:$A$107,'Delivered Sales'!$D$10:$D$107)</f>
        <v>#N/A</v>
      </c>
      <c r="D48" s="24" t="e">
        <f t="shared" si="0"/>
        <v>#N/A</v>
      </c>
      <c r="E48" s="25" t="e">
        <f t="shared" si="1"/>
        <v>#N/A</v>
      </c>
      <c r="F48" s="24" t="e">
        <f>_xlfn.XLOOKUP($A48,'Written Sales'!$A$8:$A$215,'Written Sales'!$Q$8:$Q$215)</f>
        <v>#N/A</v>
      </c>
      <c r="G48" s="24" t="e">
        <f>_xlfn.XLOOKUP($A48,'Delivered Sales'!$A$10:$A$107,'Delivered Sales'!$P$10:$P$107)</f>
        <v>#N/A</v>
      </c>
      <c r="H48" s="24" t="e">
        <f t="shared" si="2"/>
        <v>#N/A</v>
      </c>
      <c r="I48" s="25" t="e">
        <f t="shared" si="3"/>
        <v>#N/A</v>
      </c>
      <c r="K48">
        <f t="shared" si="4"/>
        <v>0</v>
      </c>
      <c r="N48" s="23" t="s">
        <v>49</v>
      </c>
      <c r="O48" s="24">
        <v>-453528.92310000164</v>
      </c>
      <c r="P48" s="25">
        <v>0.64856986658098648</v>
      </c>
      <c r="Q48" s="24">
        <v>-1150621.8713999903</v>
      </c>
      <c r="R48" s="25">
        <v>0.79284587148661589</v>
      </c>
      <c r="T48" s="23" t="s">
        <v>101</v>
      </c>
      <c r="U48" s="24" t="str">
        <f t="shared" si="13"/>
        <v/>
      </c>
      <c r="V48" s="25" t="str">
        <f t="shared" si="14"/>
        <v/>
      </c>
      <c r="W48" s="24" t="str">
        <f t="shared" si="15"/>
        <v/>
      </c>
      <c r="X48" s="25" t="str">
        <f t="shared" si="16"/>
        <v/>
      </c>
      <c r="Z48" s="33" t="str">
        <f t="shared" si="10"/>
        <v>202528</v>
      </c>
      <c r="AA48" s="33" t="str">
        <f t="shared" si="11"/>
        <v>202628</v>
      </c>
      <c r="AB48" s="34">
        <f t="shared" si="17"/>
        <v>0.64856986658098648</v>
      </c>
      <c r="AC48" s="34">
        <f t="shared" si="12"/>
        <v>0.79284587148661589</v>
      </c>
    </row>
    <row r="49" spans="1:29" x14ac:dyDescent="0.25">
      <c r="A49" s="23">
        <f>'Delivered Sales'!A52</f>
        <v>0</v>
      </c>
      <c r="B49" s="24" t="e">
        <f>_xlfn.XLOOKUP($A49,'Written Sales'!$A$8:$A$215,'Written Sales'!$D$8:$D$215)</f>
        <v>#N/A</v>
      </c>
      <c r="C49" s="24" t="e">
        <f>_xlfn.XLOOKUP($A49,'Delivered Sales'!$A$10:$A$107,'Delivered Sales'!$D$10:$D$107)</f>
        <v>#N/A</v>
      </c>
      <c r="D49" s="24" t="e">
        <f t="shared" si="0"/>
        <v>#N/A</v>
      </c>
      <c r="E49" s="25" t="e">
        <f t="shared" si="1"/>
        <v>#N/A</v>
      </c>
      <c r="F49" s="24" t="e">
        <f>_xlfn.XLOOKUP($A49,'Written Sales'!$A$8:$A$215,'Written Sales'!$Q$8:$Q$215)</f>
        <v>#N/A</v>
      </c>
      <c r="G49" s="24" t="e">
        <f>_xlfn.XLOOKUP($A49,'Delivered Sales'!$A$10:$A$107,'Delivered Sales'!$P$10:$P$107)</f>
        <v>#N/A</v>
      </c>
      <c r="H49" s="24" t="e">
        <f t="shared" si="2"/>
        <v>#N/A</v>
      </c>
      <c r="I49" s="25" t="e">
        <f t="shared" si="3"/>
        <v>#N/A</v>
      </c>
      <c r="K49">
        <f t="shared" si="4"/>
        <v>0</v>
      </c>
      <c r="N49" s="23" t="s">
        <v>50</v>
      </c>
      <c r="O49" s="24">
        <v>-143883.16560000007</v>
      </c>
      <c r="P49" s="25">
        <v>0.83333942339164779</v>
      </c>
      <c r="Q49" s="24">
        <v>-494006.17309998721</v>
      </c>
      <c r="R49" s="25">
        <v>0.88402571846866085</v>
      </c>
      <c r="T49" s="23" t="s">
        <v>102</v>
      </c>
      <c r="U49" s="24" t="str">
        <f t="shared" si="13"/>
        <v/>
      </c>
      <c r="V49" s="25" t="str">
        <f t="shared" si="14"/>
        <v/>
      </c>
      <c r="W49" s="24" t="str">
        <f t="shared" si="15"/>
        <v/>
      </c>
      <c r="X49" s="25" t="str">
        <f t="shared" si="16"/>
        <v/>
      </c>
      <c r="Z49" s="33" t="str">
        <f t="shared" si="10"/>
        <v>202529</v>
      </c>
      <c r="AA49" s="33" t="str">
        <f t="shared" si="11"/>
        <v>202629</v>
      </c>
      <c r="AB49" s="34">
        <f t="shared" si="17"/>
        <v>0.83333942339164779</v>
      </c>
      <c r="AC49" s="34">
        <f t="shared" si="12"/>
        <v>0.88402571846866085</v>
      </c>
    </row>
    <row r="50" spans="1:29" x14ac:dyDescent="0.25">
      <c r="A50" s="23">
        <f>'Delivered Sales'!A53</f>
        <v>0</v>
      </c>
      <c r="B50" s="24" t="e">
        <f>_xlfn.XLOOKUP($A50,'Written Sales'!$A$8:$A$215,'Written Sales'!$D$8:$D$215)</f>
        <v>#N/A</v>
      </c>
      <c r="C50" s="24" t="e">
        <f>_xlfn.XLOOKUP($A50,'Delivered Sales'!$A$10:$A$107,'Delivered Sales'!$D$10:$D$107)</f>
        <v>#N/A</v>
      </c>
      <c r="D50" s="24" t="e">
        <f t="shared" si="0"/>
        <v>#N/A</v>
      </c>
      <c r="E50" s="25" t="e">
        <f t="shared" si="1"/>
        <v>#N/A</v>
      </c>
      <c r="F50" s="24" t="e">
        <f>_xlfn.XLOOKUP($A50,'Written Sales'!$A$8:$A$215,'Written Sales'!$Q$8:$Q$215)</f>
        <v>#N/A</v>
      </c>
      <c r="G50" s="24" t="e">
        <f>_xlfn.XLOOKUP($A50,'Delivered Sales'!$A$10:$A$107,'Delivered Sales'!$P$10:$P$107)</f>
        <v>#N/A</v>
      </c>
      <c r="H50" s="24" t="e">
        <f t="shared" si="2"/>
        <v>#N/A</v>
      </c>
      <c r="I50" s="25" t="e">
        <f t="shared" si="3"/>
        <v>#N/A</v>
      </c>
      <c r="K50">
        <f t="shared" si="4"/>
        <v>0</v>
      </c>
      <c r="N50" s="23" t="s">
        <v>51</v>
      </c>
      <c r="O50" s="24">
        <v>549722.26050000172</v>
      </c>
      <c r="P50" s="25">
        <v>1.5957447067565722</v>
      </c>
      <c r="Q50" s="24">
        <v>344971.19600001257</v>
      </c>
      <c r="R50" s="25">
        <v>1.066740274631885</v>
      </c>
      <c r="T50" s="23" t="s">
        <v>103</v>
      </c>
      <c r="U50" s="24" t="str">
        <f t="shared" si="13"/>
        <v/>
      </c>
      <c r="V50" s="25" t="str">
        <f t="shared" si="14"/>
        <v/>
      </c>
      <c r="W50" s="24" t="str">
        <f t="shared" si="15"/>
        <v/>
      </c>
      <c r="X50" s="25" t="str">
        <f t="shared" si="16"/>
        <v/>
      </c>
      <c r="Z50" s="33" t="str">
        <f t="shared" si="10"/>
        <v>202530</v>
      </c>
      <c r="AA50" s="33" t="str">
        <f t="shared" si="11"/>
        <v>202630</v>
      </c>
      <c r="AB50" s="34">
        <f t="shared" si="17"/>
        <v>1.5957447067565722</v>
      </c>
      <c r="AC50" s="34">
        <f t="shared" si="12"/>
        <v>1.066740274631885</v>
      </c>
    </row>
    <row r="51" spans="1:29" x14ac:dyDescent="0.25">
      <c r="A51" s="23">
        <f>'Delivered Sales'!A54</f>
        <v>0</v>
      </c>
      <c r="B51" s="24" t="e">
        <f>_xlfn.XLOOKUP($A51,'Written Sales'!$A$8:$A$215,'Written Sales'!$D$8:$D$215)</f>
        <v>#N/A</v>
      </c>
      <c r="C51" s="24" t="e">
        <f>_xlfn.XLOOKUP($A51,'Delivered Sales'!$A$10:$A$107,'Delivered Sales'!$D$10:$D$107)</f>
        <v>#N/A</v>
      </c>
      <c r="D51" s="24" t="e">
        <f t="shared" si="0"/>
        <v>#N/A</v>
      </c>
      <c r="E51" s="25" t="e">
        <f t="shared" si="1"/>
        <v>#N/A</v>
      </c>
      <c r="F51" s="24" t="e">
        <f>_xlfn.XLOOKUP($A51,'Written Sales'!$A$8:$A$215,'Written Sales'!$Q$8:$Q$215)</f>
        <v>#N/A</v>
      </c>
      <c r="G51" s="24" t="e">
        <f>_xlfn.XLOOKUP($A51,'Delivered Sales'!$A$10:$A$107,'Delivered Sales'!$P$10:$P$107)</f>
        <v>#N/A</v>
      </c>
      <c r="H51" s="24" t="e">
        <f t="shared" si="2"/>
        <v>#N/A</v>
      </c>
      <c r="I51" s="25" t="e">
        <f t="shared" si="3"/>
        <v>#N/A</v>
      </c>
      <c r="K51">
        <f t="shared" si="4"/>
        <v>0</v>
      </c>
      <c r="N51" s="23" t="s">
        <v>52</v>
      </c>
      <c r="O51" s="24">
        <v>-387536.95010000025</v>
      </c>
      <c r="P51" s="25">
        <v>0.65169977706327442</v>
      </c>
      <c r="Q51" s="24">
        <v>-2294266.4233999923</v>
      </c>
      <c r="R51" s="25">
        <v>0.61488689617549219</v>
      </c>
      <c r="T51" s="23" t="s">
        <v>104</v>
      </c>
      <c r="U51" s="24" t="str">
        <f t="shared" si="13"/>
        <v/>
      </c>
      <c r="V51" s="25" t="str">
        <f t="shared" si="14"/>
        <v/>
      </c>
      <c r="W51" s="24" t="str">
        <f t="shared" si="15"/>
        <v/>
      </c>
      <c r="X51" s="25" t="str">
        <f t="shared" si="16"/>
        <v/>
      </c>
      <c r="Z51" s="33" t="str">
        <f t="shared" si="10"/>
        <v>202531</v>
      </c>
      <c r="AA51" s="33" t="str">
        <f t="shared" si="11"/>
        <v>202631</v>
      </c>
      <c r="AB51" s="34">
        <f t="shared" si="17"/>
        <v>0.65169977706327442</v>
      </c>
      <c r="AC51" s="34">
        <f t="shared" si="12"/>
        <v>0.61488689617549219</v>
      </c>
    </row>
    <row r="52" spans="1:29" x14ac:dyDescent="0.25">
      <c r="A52" s="23">
        <f>'Delivered Sales'!A55</f>
        <v>0</v>
      </c>
      <c r="B52" s="24" t="e">
        <f>_xlfn.XLOOKUP($A52,'Written Sales'!$A$8:$A$215,'Written Sales'!$D$8:$D$215)</f>
        <v>#N/A</v>
      </c>
      <c r="C52" s="24" t="e">
        <f>_xlfn.XLOOKUP($A52,'Delivered Sales'!$A$10:$A$107,'Delivered Sales'!$D$10:$D$107)</f>
        <v>#N/A</v>
      </c>
      <c r="D52" s="24" t="e">
        <f t="shared" si="0"/>
        <v>#N/A</v>
      </c>
      <c r="E52" s="25" t="e">
        <f t="shared" si="1"/>
        <v>#N/A</v>
      </c>
      <c r="F52" s="24" t="e">
        <f>_xlfn.XLOOKUP($A52,'Written Sales'!$A$8:$A$215,'Written Sales'!$Q$8:$Q$215)</f>
        <v>#N/A</v>
      </c>
      <c r="G52" s="24" t="e">
        <f>_xlfn.XLOOKUP($A52,'Delivered Sales'!$A$10:$A$107,'Delivered Sales'!$P$10:$P$107)</f>
        <v>#N/A</v>
      </c>
      <c r="H52" s="24" t="e">
        <f t="shared" si="2"/>
        <v>#N/A</v>
      </c>
      <c r="I52" s="25" t="e">
        <f t="shared" si="3"/>
        <v>#N/A</v>
      </c>
      <c r="K52">
        <f t="shared" si="4"/>
        <v>0</v>
      </c>
      <c r="N52" s="23" t="s">
        <v>53</v>
      </c>
      <c r="O52" s="24">
        <v>-47486.147800001781</v>
      </c>
      <c r="P52" s="25">
        <v>0.96196099930737466</v>
      </c>
      <c r="Q52" s="24">
        <v>1290504.2885000017</v>
      </c>
      <c r="R52" s="25">
        <v>1.2049200410294134</v>
      </c>
      <c r="T52" s="23" t="s">
        <v>105</v>
      </c>
      <c r="U52" s="24" t="str">
        <f t="shared" si="13"/>
        <v/>
      </c>
      <c r="V52" s="25" t="str">
        <f t="shared" si="14"/>
        <v/>
      </c>
      <c r="W52" s="24" t="str">
        <f t="shared" si="15"/>
        <v/>
      </c>
      <c r="X52" s="25" t="str">
        <f t="shared" si="16"/>
        <v/>
      </c>
      <c r="Z52" s="33" t="str">
        <f t="shared" si="10"/>
        <v>202532</v>
      </c>
      <c r="AA52" s="33" t="str">
        <f t="shared" si="11"/>
        <v>202632</v>
      </c>
      <c r="AB52" s="34">
        <f t="shared" si="17"/>
        <v>0.96196099930737466</v>
      </c>
      <c r="AC52" s="34">
        <f t="shared" si="12"/>
        <v>1.2049200410294134</v>
      </c>
    </row>
    <row r="53" spans="1:29" x14ac:dyDescent="0.25">
      <c r="A53" s="23">
        <f>'Delivered Sales'!A56</f>
        <v>0</v>
      </c>
      <c r="B53" s="24" t="e">
        <f>_xlfn.XLOOKUP($A53,'Written Sales'!$A$8:$A$215,'Written Sales'!$D$8:$D$215)</f>
        <v>#N/A</v>
      </c>
      <c r="C53" s="24" t="e">
        <f>_xlfn.XLOOKUP($A53,'Delivered Sales'!$A$10:$A$107,'Delivered Sales'!$D$10:$D$107)</f>
        <v>#N/A</v>
      </c>
      <c r="D53" s="24" t="e">
        <f t="shared" si="0"/>
        <v>#N/A</v>
      </c>
      <c r="E53" s="25" t="e">
        <f t="shared" si="1"/>
        <v>#N/A</v>
      </c>
      <c r="F53" s="24" t="e">
        <f>_xlfn.XLOOKUP($A53,'Written Sales'!$A$8:$A$215,'Written Sales'!$Q$8:$Q$215)</f>
        <v>#N/A</v>
      </c>
      <c r="G53" s="24" t="e">
        <f>_xlfn.XLOOKUP($A53,'Delivered Sales'!$A$10:$A$107,'Delivered Sales'!$P$10:$P$107)</f>
        <v>#N/A</v>
      </c>
      <c r="H53" s="24" t="e">
        <f t="shared" si="2"/>
        <v>#N/A</v>
      </c>
      <c r="I53" s="25" t="e">
        <f t="shared" si="3"/>
        <v>#N/A</v>
      </c>
      <c r="K53">
        <f t="shared" si="4"/>
        <v>0</v>
      </c>
      <c r="N53" s="23" t="s">
        <v>54</v>
      </c>
      <c r="O53" s="24">
        <v>-32267.361999998102</v>
      </c>
      <c r="P53" s="25">
        <v>0.97477853753364541</v>
      </c>
      <c r="Q53" s="24">
        <v>-609839.14459996112</v>
      </c>
      <c r="R53" s="25">
        <v>0.92411365352187291</v>
      </c>
      <c r="T53" s="23" t="s">
        <v>106</v>
      </c>
      <c r="U53" s="24" t="str">
        <f t="shared" si="13"/>
        <v/>
      </c>
      <c r="V53" s="25" t="str">
        <f t="shared" si="14"/>
        <v/>
      </c>
      <c r="W53" s="24" t="str">
        <f t="shared" si="15"/>
        <v/>
      </c>
      <c r="X53" s="25" t="str">
        <f t="shared" si="16"/>
        <v/>
      </c>
      <c r="Z53" s="33" t="str">
        <f t="shared" si="10"/>
        <v>202533</v>
      </c>
      <c r="AA53" s="33" t="str">
        <f t="shared" si="11"/>
        <v>202633</v>
      </c>
      <c r="AB53" s="34">
        <f t="shared" si="17"/>
        <v>0.97477853753364541</v>
      </c>
      <c r="AC53" s="34">
        <f t="shared" si="12"/>
        <v>0.92411365352187291</v>
      </c>
    </row>
    <row r="54" spans="1:29" x14ac:dyDescent="0.25">
      <c r="A54" s="23">
        <f>'Delivered Sales'!A57</f>
        <v>0</v>
      </c>
      <c r="B54" s="24" t="e">
        <f>_xlfn.XLOOKUP($A54,'Written Sales'!$A$8:$A$215,'Written Sales'!$D$8:$D$215)</f>
        <v>#N/A</v>
      </c>
      <c r="C54" s="24" t="e">
        <f>_xlfn.XLOOKUP($A54,'Delivered Sales'!$A$10:$A$107,'Delivered Sales'!$D$10:$D$107)</f>
        <v>#N/A</v>
      </c>
      <c r="D54" s="24" t="e">
        <f t="shared" si="0"/>
        <v>#N/A</v>
      </c>
      <c r="E54" s="25" t="e">
        <f t="shared" si="1"/>
        <v>#N/A</v>
      </c>
      <c r="F54" s="24" t="e">
        <f>_xlfn.XLOOKUP($A54,'Written Sales'!$A$8:$A$215,'Written Sales'!$Q$8:$Q$215)</f>
        <v>#N/A</v>
      </c>
      <c r="G54" s="24" t="e">
        <f>_xlfn.XLOOKUP($A54,'Delivered Sales'!$A$10:$A$107,'Delivered Sales'!$P$10:$P$107)</f>
        <v>#N/A</v>
      </c>
      <c r="H54" s="24" t="e">
        <f t="shared" si="2"/>
        <v>#N/A</v>
      </c>
      <c r="I54" s="25" t="e">
        <f t="shared" si="3"/>
        <v>#N/A</v>
      </c>
      <c r="K54">
        <f t="shared" si="4"/>
        <v>0</v>
      </c>
      <c r="N54" s="23" t="s">
        <v>55</v>
      </c>
      <c r="O54" s="24">
        <v>222837.66650000121</v>
      </c>
      <c r="P54" s="25">
        <v>1.1723324076852715</v>
      </c>
      <c r="Q54" s="24">
        <v>1063419.3547999663</v>
      </c>
      <c r="R54" s="25">
        <v>1.1325606315390628</v>
      </c>
      <c r="T54" s="23" t="s">
        <v>107</v>
      </c>
      <c r="U54" s="24" t="str">
        <f t="shared" si="13"/>
        <v/>
      </c>
      <c r="V54" s="25" t="str">
        <f t="shared" si="14"/>
        <v/>
      </c>
      <c r="W54" s="24" t="str">
        <f t="shared" si="15"/>
        <v/>
      </c>
      <c r="X54" s="25" t="str">
        <f t="shared" si="16"/>
        <v/>
      </c>
      <c r="Z54" s="33" t="str">
        <f t="shared" si="10"/>
        <v>202534</v>
      </c>
      <c r="AA54" s="33" t="str">
        <f t="shared" si="11"/>
        <v>202634</v>
      </c>
      <c r="AB54" s="34">
        <f t="shared" si="17"/>
        <v>1.1723324076852715</v>
      </c>
      <c r="AC54" s="34">
        <f t="shared" si="12"/>
        <v>1.1325606315390628</v>
      </c>
    </row>
    <row r="55" spans="1:29" x14ac:dyDescent="0.25">
      <c r="A55" s="23">
        <f>'Delivered Sales'!A58</f>
        <v>0</v>
      </c>
      <c r="B55" s="24" t="e">
        <f>_xlfn.XLOOKUP($A55,'Written Sales'!$A$8:$A$215,'Written Sales'!$D$8:$D$215)</f>
        <v>#N/A</v>
      </c>
      <c r="C55" s="24" t="e">
        <f>_xlfn.XLOOKUP($A55,'Delivered Sales'!$A$10:$A$107,'Delivered Sales'!$D$10:$D$107)</f>
        <v>#N/A</v>
      </c>
      <c r="D55" s="24" t="e">
        <f t="shared" si="0"/>
        <v>#N/A</v>
      </c>
      <c r="E55" s="25" t="e">
        <f t="shared" si="1"/>
        <v>#N/A</v>
      </c>
      <c r="F55" s="24" t="e">
        <f>_xlfn.XLOOKUP($A55,'Written Sales'!$A$8:$A$215,'Written Sales'!$Q$8:$Q$215)</f>
        <v>#N/A</v>
      </c>
      <c r="G55" s="24" t="e">
        <f>_xlfn.XLOOKUP($A55,'Delivered Sales'!$A$10:$A$107,'Delivered Sales'!$P$10:$P$107)</f>
        <v>#N/A</v>
      </c>
      <c r="H55" s="24" t="e">
        <f t="shared" si="2"/>
        <v>#N/A</v>
      </c>
      <c r="I55" s="25" t="e">
        <f t="shared" si="3"/>
        <v>#N/A</v>
      </c>
      <c r="K55">
        <f t="shared" si="4"/>
        <v>0</v>
      </c>
      <c r="N55" s="23" t="s">
        <v>56</v>
      </c>
      <c r="O55" s="24">
        <v>224192.80200000294</v>
      </c>
      <c r="P55" s="25">
        <v>1.1672845689476257</v>
      </c>
      <c r="Q55" s="24">
        <v>-655766.30719993636</v>
      </c>
      <c r="R55" s="25">
        <v>0.91280788439754379</v>
      </c>
      <c r="T55" s="23" t="s">
        <v>108</v>
      </c>
      <c r="U55" s="24" t="str">
        <f t="shared" si="13"/>
        <v/>
      </c>
      <c r="V55" s="25" t="str">
        <f t="shared" si="14"/>
        <v/>
      </c>
      <c r="W55" s="24" t="str">
        <f t="shared" si="15"/>
        <v/>
      </c>
      <c r="X55" s="25" t="str">
        <f t="shared" si="16"/>
        <v/>
      </c>
      <c r="Z55" s="33" t="str">
        <f t="shared" si="10"/>
        <v>202535</v>
      </c>
      <c r="AA55" s="33" t="str">
        <f t="shared" si="11"/>
        <v>202635</v>
      </c>
      <c r="AB55" s="34">
        <f t="shared" si="17"/>
        <v>1.1672845689476257</v>
      </c>
      <c r="AC55" s="34">
        <f t="shared" si="12"/>
        <v>0.91280788439754379</v>
      </c>
    </row>
    <row r="56" spans="1:29" x14ac:dyDescent="0.25">
      <c r="A56" s="23">
        <f>'Delivered Sales'!A59</f>
        <v>0</v>
      </c>
      <c r="B56" s="24" t="e">
        <f>_xlfn.XLOOKUP($A56,'Written Sales'!$A$8:$A$215,'Written Sales'!$D$8:$D$215)</f>
        <v>#N/A</v>
      </c>
      <c r="C56" s="24" t="e">
        <f>_xlfn.XLOOKUP($A56,'Delivered Sales'!$A$10:$A$107,'Delivered Sales'!$D$10:$D$107)</f>
        <v>#N/A</v>
      </c>
      <c r="D56" s="24" t="e">
        <f t="shared" si="0"/>
        <v>#N/A</v>
      </c>
      <c r="E56" s="25" t="e">
        <f t="shared" si="1"/>
        <v>#N/A</v>
      </c>
      <c r="F56" s="24" t="e">
        <f>_xlfn.XLOOKUP($A56,'Written Sales'!$A$8:$A$215,'Written Sales'!$Q$8:$Q$215)</f>
        <v>#N/A</v>
      </c>
      <c r="G56" s="24" t="e">
        <f>_xlfn.XLOOKUP($A56,'Delivered Sales'!$A$10:$A$107,'Delivered Sales'!$P$10:$P$107)</f>
        <v>#N/A</v>
      </c>
      <c r="H56" s="24" t="e">
        <f t="shared" si="2"/>
        <v>#N/A</v>
      </c>
      <c r="I56" s="25" t="e">
        <f t="shared" si="3"/>
        <v>#N/A</v>
      </c>
      <c r="K56">
        <f t="shared" si="4"/>
        <v>0</v>
      </c>
      <c r="N56" s="23" t="s">
        <v>57</v>
      </c>
      <c r="O56" s="24">
        <v>436601.10600000038</v>
      </c>
      <c r="P56" s="25">
        <v>1.413160842872103</v>
      </c>
      <c r="Q56" s="24">
        <v>719270.1982000554</v>
      </c>
      <c r="R56" s="25">
        <v>1.0981776237564225</v>
      </c>
      <c r="T56" s="23" t="s">
        <v>109</v>
      </c>
      <c r="U56" s="24" t="str">
        <f t="shared" si="13"/>
        <v/>
      </c>
      <c r="V56" s="25" t="str">
        <f t="shared" si="14"/>
        <v/>
      </c>
      <c r="W56" s="24" t="str">
        <f t="shared" si="15"/>
        <v/>
      </c>
      <c r="X56" s="25" t="str">
        <f t="shared" si="16"/>
        <v/>
      </c>
      <c r="Z56" s="33" t="str">
        <f t="shared" si="10"/>
        <v>202536</v>
      </c>
      <c r="AA56" s="33" t="str">
        <f t="shared" si="11"/>
        <v>202636</v>
      </c>
      <c r="AB56" s="34">
        <f t="shared" si="17"/>
        <v>1.413160842872103</v>
      </c>
      <c r="AC56" s="34">
        <f t="shared" si="12"/>
        <v>1.0981776237564225</v>
      </c>
    </row>
    <row r="57" spans="1:29" x14ac:dyDescent="0.25">
      <c r="A57" s="23">
        <f>'Delivered Sales'!A60</f>
        <v>0</v>
      </c>
      <c r="B57" s="24" t="e">
        <f>_xlfn.XLOOKUP($A57,'Written Sales'!$A$8:$A$215,'Written Sales'!$D$8:$D$215)</f>
        <v>#N/A</v>
      </c>
      <c r="C57" s="24" t="e">
        <f>_xlfn.XLOOKUP($A57,'Delivered Sales'!$A$10:$A$107,'Delivered Sales'!$D$10:$D$107)</f>
        <v>#N/A</v>
      </c>
      <c r="D57" s="24" t="e">
        <f t="shared" si="0"/>
        <v>#N/A</v>
      </c>
      <c r="E57" s="25" t="e">
        <f t="shared" si="1"/>
        <v>#N/A</v>
      </c>
      <c r="F57" s="24" t="e">
        <f>_xlfn.XLOOKUP($A57,'Written Sales'!$A$8:$A$215,'Written Sales'!$Q$8:$Q$215)</f>
        <v>#N/A</v>
      </c>
      <c r="G57" s="24" t="e">
        <f>_xlfn.XLOOKUP($A57,'Delivered Sales'!$A$10:$A$107,'Delivered Sales'!$P$10:$P$107)</f>
        <v>#N/A</v>
      </c>
      <c r="H57" s="24" t="e">
        <f t="shared" si="2"/>
        <v>#N/A</v>
      </c>
      <c r="I57" s="25" t="e">
        <f t="shared" si="3"/>
        <v>#N/A</v>
      </c>
      <c r="K57">
        <f t="shared" si="4"/>
        <v>0</v>
      </c>
      <c r="N57" s="23" t="s">
        <v>58</v>
      </c>
      <c r="O57" s="24">
        <v>-285232.41660000151</v>
      </c>
      <c r="P57" s="25">
        <v>0.80161554879682928</v>
      </c>
      <c r="Q57" s="24">
        <v>1451426.6763999918</v>
      </c>
      <c r="R57" s="25">
        <v>1.2005500913561131</v>
      </c>
      <c r="T57" s="23" t="s">
        <v>110</v>
      </c>
      <c r="U57" s="24" t="str">
        <f t="shared" si="13"/>
        <v/>
      </c>
      <c r="V57" s="25" t="str">
        <f t="shared" si="14"/>
        <v/>
      </c>
      <c r="W57" s="24" t="str">
        <f t="shared" si="15"/>
        <v/>
      </c>
      <c r="X57" s="25" t="str">
        <f t="shared" si="16"/>
        <v/>
      </c>
      <c r="Z57" s="33" t="str">
        <f t="shared" si="10"/>
        <v>202537</v>
      </c>
      <c r="AA57" s="33" t="str">
        <f t="shared" si="11"/>
        <v>202637</v>
      </c>
      <c r="AB57" s="34">
        <f t="shared" si="17"/>
        <v>0.80161554879682928</v>
      </c>
      <c r="AC57" s="34">
        <f t="shared" si="12"/>
        <v>1.2005500913561131</v>
      </c>
    </row>
    <row r="58" spans="1:29" x14ac:dyDescent="0.25">
      <c r="A58" s="23">
        <f>'Delivered Sales'!A61</f>
        <v>0</v>
      </c>
      <c r="B58" s="24" t="e">
        <f>_xlfn.XLOOKUP($A58,'Written Sales'!$A$8:$A$215,'Written Sales'!$D$8:$D$215)</f>
        <v>#N/A</v>
      </c>
      <c r="C58" s="24" t="e">
        <f>_xlfn.XLOOKUP($A58,'Delivered Sales'!$A$10:$A$107,'Delivered Sales'!$D$10:$D$107)</f>
        <v>#N/A</v>
      </c>
      <c r="D58" s="24" t="e">
        <f t="shared" si="0"/>
        <v>#N/A</v>
      </c>
      <c r="E58" s="25" t="e">
        <f t="shared" si="1"/>
        <v>#N/A</v>
      </c>
      <c r="F58" s="24" t="e">
        <f>_xlfn.XLOOKUP($A58,'Written Sales'!$A$8:$A$215,'Written Sales'!$Q$8:$Q$215)</f>
        <v>#N/A</v>
      </c>
      <c r="G58" s="24" t="e">
        <f>_xlfn.XLOOKUP($A58,'Delivered Sales'!$A$10:$A$107,'Delivered Sales'!$P$10:$P$107)</f>
        <v>#N/A</v>
      </c>
      <c r="H58" s="24" t="e">
        <f t="shared" si="2"/>
        <v>#N/A</v>
      </c>
      <c r="I58" s="25" t="e">
        <f t="shared" si="3"/>
        <v>#N/A</v>
      </c>
      <c r="K58">
        <f t="shared" si="4"/>
        <v>0</v>
      </c>
      <c r="N58" s="23" t="s">
        <v>59</v>
      </c>
      <c r="O58" s="24">
        <v>533579.84380000457</v>
      </c>
      <c r="P58" s="25">
        <v>1.4150415848330022</v>
      </c>
      <c r="Q58" s="24">
        <v>2610528.2593000028</v>
      </c>
      <c r="R58" s="25">
        <v>1.3823026884363139</v>
      </c>
      <c r="T58" s="23" t="s">
        <v>111</v>
      </c>
      <c r="U58" s="24" t="str">
        <f t="shared" si="13"/>
        <v/>
      </c>
      <c r="V58" s="25" t="str">
        <f t="shared" si="14"/>
        <v/>
      </c>
      <c r="W58" s="24" t="str">
        <f t="shared" si="15"/>
        <v/>
      </c>
      <c r="X58" s="25" t="str">
        <f t="shared" si="16"/>
        <v/>
      </c>
      <c r="Z58" s="33" t="str">
        <f t="shared" si="10"/>
        <v>202538</v>
      </c>
      <c r="AA58" s="33" t="str">
        <f t="shared" si="11"/>
        <v>202638</v>
      </c>
      <c r="AB58" s="34">
        <f t="shared" si="17"/>
        <v>1.4150415848330022</v>
      </c>
      <c r="AC58" s="34">
        <f t="shared" si="12"/>
        <v>1.3823026884363139</v>
      </c>
    </row>
    <row r="59" spans="1:29" x14ac:dyDescent="0.25">
      <c r="A59" s="23">
        <f>'Delivered Sales'!A62</f>
        <v>0</v>
      </c>
      <c r="B59" s="24" t="e">
        <f>_xlfn.XLOOKUP($A59,'Written Sales'!$A$8:$A$215,'Written Sales'!$D$8:$D$215)</f>
        <v>#N/A</v>
      </c>
      <c r="C59" s="24" t="e">
        <f>_xlfn.XLOOKUP($A59,'Delivered Sales'!$A$10:$A$107,'Delivered Sales'!$D$10:$D$107)</f>
        <v>#N/A</v>
      </c>
      <c r="D59" s="24" t="e">
        <f t="shared" si="0"/>
        <v>#N/A</v>
      </c>
      <c r="E59" s="25" t="e">
        <f t="shared" si="1"/>
        <v>#N/A</v>
      </c>
      <c r="F59" s="24" t="e">
        <f>_xlfn.XLOOKUP($A59,'Written Sales'!$A$8:$A$215,'Written Sales'!$Q$8:$Q$215)</f>
        <v>#N/A</v>
      </c>
      <c r="G59" s="24" t="e">
        <f>_xlfn.XLOOKUP($A59,'Delivered Sales'!$A$10:$A$107,'Delivered Sales'!$P$10:$P$107)</f>
        <v>#N/A</v>
      </c>
      <c r="H59" s="24" t="e">
        <f t="shared" si="2"/>
        <v>#N/A</v>
      </c>
      <c r="I59" s="25" t="e">
        <f t="shared" si="3"/>
        <v>#N/A</v>
      </c>
      <c r="K59">
        <f t="shared" si="4"/>
        <v>0</v>
      </c>
      <c r="N59" s="23" t="s">
        <v>60</v>
      </c>
      <c r="O59" s="24">
        <v>646727.93240000098</v>
      </c>
      <c r="P59" s="25">
        <v>1.4698102677593659</v>
      </c>
      <c r="Q59" s="24">
        <v>7698465.0611999752</v>
      </c>
      <c r="R59" s="25">
        <v>1.9977341412749789</v>
      </c>
      <c r="T59" s="23" t="s">
        <v>112</v>
      </c>
      <c r="U59" s="24" t="str">
        <f t="shared" si="13"/>
        <v/>
      </c>
      <c r="V59" s="25" t="str">
        <f t="shared" si="14"/>
        <v/>
      </c>
      <c r="W59" s="24" t="str">
        <f t="shared" si="15"/>
        <v/>
      </c>
      <c r="X59" s="25" t="str">
        <f t="shared" si="16"/>
        <v/>
      </c>
      <c r="Z59" s="33" t="str">
        <f t="shared" si="10"/>
        <v>202539</v>
      </c>
      <c r="AA59" s="33" t="str">
        <f t="shared" si="11"/>
        <v>202639</v>
      </c>
      <c r="AB59" s="34">
        <f t="shared" si="17"/>
        <v>1.4698102677593659</v>
      </c>
      <c r="AC59" s="34">
        <f t="shared" si="12"/>
        <v>1.9977341412749789</v>
      </c>
    </row>
    <row r="60" spans="1:29" x14ac:dyDescent="0.25">
      <c r="A60" s="23">
        <f>'Delivered Sales'!A63</f>
        <v>0</v>
      </c>
      <c r="B60" s="24" t="e">
        <f>_xlfn.XLOOKUP($A60,'Written Sales'!$A$8:$A$215,'Written Sales'!$D$8:$D$215)</f>
        <v>#N/A</v>
      </c>
      <c r="C60" s="24" t="e">
        <f>_xlfn.XLOOKUP($A60,'Delivered Sales'!$A$10:$A$107,'Delivered Sales'!$D$10:$D$107)</f>
        <v>#N/A</v>
      </c>
      <c r="D60" s="24" t="e">
        <f t="shared" si="0"/>
        <v>#N/A</v>
      </c>
      <c r="E60" s="25" t="e">
        <f t="shared" si="1"/>
        <v>#N/A</v>
      </c>
      <c r="F60" s="24" t="e">
        <f>_xlfn.XLOOKUP($A60,'Written Sales'!$A$8:$A$215,'Written Sales'!$Q$8:$Q$215)</f>
        <v>#N/A</v>
      </c>
      <c r="G60" s="24" t="e">
        <f>_xlfn.XLOOKUP($A60,'Delivered Sales'!$A$10:$A$107,'Delivered Sales'!$P$10:$P$107)</f>
        <v>#N/A</v>
      </c>
      <c r="H60" s="24" t="e">
        <f t="shared" si="2"/>
        <v>#N/A</v>
      </c>
      <c r="I60" s="25" t="e">
        <f t="shared" si="3"/>
        <v>#N/A</v>
      </c>
      <c r="K60">
        <f t="shared" si="4"/>
        <v>0</v>
      </c>
    </row>
    <row r="61" spans="1:29" x14ac:dyDescent="0.25">
      <c r="A61" s="23">
        <f>'Delivered Sales'!A64</f>
        <v>0</v>
      </c>
      <c r="B61" s="24" t="e">
        <f>_xlfn.XLOOKUP($A61,'Written Sales'!$A$8:$A$215,'Written Sales'!$D$8:$D$215)</f>
        <v>#N/A</v>
      </c>
      <c r="C61" s="24" t="e">
        <f>_xlfn.XLOOKUP($A61,'Delivered Sales'!$A$10:$A$107,'Delivered Sales'!$D$10:$D$107)</f>
        <v>#N/A</v>
      </c>
      <c r="D61" s="24" t="e">
        <f t="shared" si="0"/>
        <v>#N/A</v>
      </c>
      <c r="E61" s="25" t="e">
        <f t="shared" si="1"/>
        <v>#N/A</v>
      </c>
      <c r="F61" s="24" t="e">
        <f>_xlfn.XLOOKUP($A61,'Written Sales'!$A$8:$A$215,'Written Sales'!$Q$8:$Q$215)</f>
        <v>#N/A</v>
      </c>
      <c r="G61" s="24" t="e">
        <f>_xlfn.XLOOKUP($A61,'Delivered Sales'!$A$10:$A$107,'Delivered Sales'!$P$10:$P$107)</f>
        <v>#N/A</v>
      </c>
      <c r="H61" s="24" t="e">
        <f t="shared" si="2"/>
        <v>#N/A</v>
      </c>
      <c r="I61" s="25" t="e">
        <f t="shared" si="3"/>
        <v>#N/A</v>
      </c>
      <c r="K61">
        <f t="shared" si="4"/>
        <v>0</v>
      </c>
    </row>
    <row r="62" spans="1:29" x14ac:dyDescent="0.25">
      <c r="A62" s="23">
        <f>'Delivered Sales'!A65</f>
        <v>0</v>
      </c>
      <c r="B62" s="24" t="e">
        <f>_xlfn.XLOOKUP($A62,'Written Sales'!$A$8:$A$215,'Written Sales'!$D$8:$D$215)</f>
        <v>#N/A</v>
      </c>
      <c r="C62" s="24" t="e">
        <f>_xlfn.XLOOKUP($A62,'Delivered Sales'!$A$10:$A$107,'Delivered Sales'!$D$10:$D$107)</f>
        <v>#N/A</v>
      </c>
      <c r="D62" s="24" t="e">
        <f t="shared" si="0"/>
        <v>#N/A</v>
      </c>
      <c r="E62" s="25" t="e">
        <f t="shared" si="1"/>
        <v>#N/A</v>
      </c>
      <c r="F62" s="24" t="e">
        <f>_xlfn.XLOOKUP($A62,'Written Sales'!$A$8:$A$215,'Written Sales'!$Q$8:$Q$215)</f>
        <v>#N/A</v>
      </c>
      <c r="G62" s="24" t="e">
        <f>_xlfn.XLOOKUP($A62,'Delivered Sales'!$A$10:$A$107,'Delivered Sales'!$P$10:$P$107)</f>
        <v>#N/A</v>
      </c>
      <c r="H62" s="24" t="e">
        <f t="shared" si="2"/>
        <v>#N/A</v>
      </c>
      <c r="I62" s="25" t="e">
        <f t="shared" si="3"/>
        <v>#N/A</v>
      </c>
      <c r="K62">
        <f t="shared" si="4"/>
        <v>0</v>
      </c>
    </row>
    <row r="63" spans="1:29" x14ac:dyDescent="0.25">
      <c r="A63" s="23">
        <f>'Delivered Sales'!A66</f>
        <v>0</v>
      </c>
      <c r="B63" s="24" t="e">
        <f>_xlfn.XLOOKUP($A63,'Written Sales'!$A$8:$A$215,'Written Sales'!$D$8:$D$215)</f>
        <v>#N/A</v>
      </c>
      <c r="C63" s="24" t="e">
        <f>_xlfn.XLOOKUP($A63,'Delivered Sales'!$A$10:$A$107,'Delivered Sales'!$D$10:$D$107)</f>
        <v>#N/A</v>
      </c>
      <c r="D63" s="24" t="e">
        <f t="shared" si="0"/>
        <v>#N/A</v>
      </c>
      <c r="E63" s="25" t="e">
        <f t="shared" si="1"/>
        <v>#N/A</v>
      </c>
      <c r="F63" s="24" t="e">
        <f>_xlfn.XLOOKUP($A63,'Written Sales'!$A$8:$A$215,'Written Sales'!$Q$8:$Q$215)</f>
        <v>#N/A</v>
      </c>
      <c r="G63" s="24" t="e">
        <f>_xlfn.XLOOKUP($A63,'Delivered Sales'!$A$10:$A$107,'Delivered Sales'!$P$10:$P$107)</f>
        <v>#N/A</v>
      </c>
      <c r="H63" s="24" t="e">
        <f t="shared" si="2"/>
        <v>#N/A</v>
      </c>
      <c r="I63" s="25" t="e">
        <f t="shared" si="3"/>
        <v>#N/A</v>
      </c>
      <c r="K63">
        <f t="shared" si="4"/>
        <v>0</v>
      </c>
    </row>
    <row r="64" spans="1:29" x14ac:dyDescent="0.25">
      <c r="A64" s="23">
        <f>'Delivered Sales'!A67</f>
        <v>0</v>
      </c>
      <c r="B64" s="24" t="e">
        <f>_xlfn.XLOOKUP($A64,'Written Sales'!$A$8:$A$215,'Written Sales'!$D$8:$D$215)</f>
        <v>#N/A</v>
      </c>
      <c r="C64" s="24" t="e">
        <f>_xlfn.XLOOKUP($A64,'Delivered Sales'!$A$10:$A$107,'Delivered Sales'!$D$10:$D$107)</f>
        <v>#N/A</v>
      </c>
      <c r="D64" s="24" t="e">
        <f t="shared" si="0"/>
        <v>#N/A</v>
      </c>
      <c r="E64" s="25" t="e">
        <f t="shared" si="1"/>
        <v>#N/A</v>
      </c>
      <c r="F64" s="24" t="e">
        <f>_xlfn.XLOOKUP($A64,'Written Sales'!$A$8:$A$215,'Written Sales'!$Q$8:$Q$215)</f>
        <v>#N/A</v>
      </c>
      <c r="G64" s="24" t="e">
        <f>_xlfn.XLOOKUP($A64,'Delivered Sales'!$A$10:$A$107,'Delivered Sales'!$P$10:$P$107)</f>
        <v>#N/A</v>
      </c>
      <c r="H64" s="24" t="e">
        <f t="shared" si="2"/>
        <v>#N/A</v>
      </c>
      <c r="I64" s="25" t="e">
        <f t="shared" si="3"/>
        <v>#N/A</v>
      </c>
      <c r="K64">
        <f t="shared" si="4"/>
        <v>0</v>
      </c>
    </row>
    <row r="65" spans="1:11" x14ac:dyDescent="0.25">
      <c r="A65" s="23">
        <f>'Delivered Sales'!A68</f>
        <v>0</v>
      </c>
      <c r="B65" s="24" t="e">
        <f>_xlfn.XLOOKUP($A65,'Written Sales'!$A$8:$A$215,'Written Sales'!$D$8:$D$215)</f>
        <v>#N/A</v>
      </c>
      <c r="C65" s="24" t="e">
        <f>_xlfn.XLOOKUP($A65,'Delivered Sales'!$A$10:$A$107,'Delivered Sales'!$D$10:$D$107)</f>
        <v>#N/A</v>
      </c>
      <c r="D65" s="24" t="e">
        <f t="shared" si="0"/>
        <v>#N/A</v>
      </c>
      <c r="E65" s="25" t="e">
        <f t="shared" si="1"/>
        <v>#N/A</v>
      </c>
      <c r="F65" s="24" t="e">
        <f>_xlfn.XLOOKUP($A65,'Written Sales'!$A$8:$A$215,'Written Sales'!$Q$8:$Q$215)</f>
        <v>#N/A</v>
      </c>
      <c r="G65" s="24" t="e">
        <f>_xlfn.XLOOKUP($A65,'Delivered Sales'!$A$10:$A$107,'Delivered Sales'!$P$10:$P$107)</f>
        <v>#N/A</v>
      </c>
      <c r="H65" s="24" t="e">
        <f t="shared" si="2"/>
        <v>#N/A</v>
      </c>
      <c r="I65" s="25" t="e">
        <f t="shared" si="3"/>
        <v>#N/A</v>
      </c>
      <c r="K65">
        <f t="shared" si="4"/>
        <v>0</v>
      </c>
    </row>
    <row r="66" spans="1:11" x14ac:dyDescent="0.25">
      <c r="A66" s="23">
        <f>'Delivered Sales'!A69</f>
        <v>0</v>
      </c>
      <c r="B66" s="24" t="e">
        <f>_xlfn.XLOOKUP($A66,'Written Sales'!$A$8:$A$215,'Written Sales'!$D$8:$D$215)</f>
        <v>#N/A</v>
      </c>
      <c r="C66" s="24" t="e">
        <f>_xlfn.XLOOKUP($A66,'Delivered Sales'!$A$10:$A$107,'Delivered Sales'!$D$10:$D$107)</f>
        <v>#N/A</v>
      </c>
      <c r="D66" s="24" t="e">
        <f t="shared" si="0"/>
        <v>#N/A</v>
      </c>
      <c r="E66" s="25" t="e">
        <f t="shared" si="1"/>
        <v>#N/A</v>
      </c>
      <c r="F66" s="24" t="e">
        <f>_xlfn.XLOOKUP($A66,'Written Sales'!$A$8:$A$215,'Written Sales'!$Q$8:$Q$215)</f>
        <v>#N/A</v>
      </c>
      <c r="G66" s="24" t="e">
        <f>_xlfn.XLOOKUP($A66,'Delivered Sales'!$A$10:$A$107,'Delivered Sales'!$P$10:$P$107)</f>
        <v>#N/A</v>
      </c>
      <c r="H66" s="24" t="e">
        <f t="shared" si="2"/>
        <v>#N/A</v>
      </c>
      <c r="I66" s="25" t="e">
        <f t="shared" si="3"/>
        <v>#N/A</v>
      </c>
      <c r="K66">
        <f t="shared" si="4"/>
        <v>0</v>
      </c>
    </row>
    <row r="67" spans="1:11" x14ac:dyDescent="0.25">
      <c r="A67" s="23">
        <f>'Delivered Sales'!A70</f>
        <v>0</v>
      </c>
      <c r="B67" s="24" t="e">
        <f>_xlfn.XLOOKUP($A67,'Written Sales'!$A$8:$A$215,'Written Sales'!$D$8:$D$215)</f>
        <v>#N/A</v>
      </c>
      <c r="C67" s="24" t="e">
        <f>_xlfn.XLOOKUP($A67,'Delivered Sales'!$A$10:$A$107,'Delivered Sales'!$D$10:$D$107)</f>
        <v>#N/A</v>
      </c>
      <c r="D67" s="24" t="e">
        <f t="shared" si="0"/>
        <v>#N/A</v>
      </c>
      <c r="E67" s="25" t="e">
        <f t="shared" si="1"/>
        <v>#N/A</v>
      </c>
      <c r="F67" s="24" t="e">
        <f>_xlfn.XLOOKUP($A67,'Written Sales'!$A$8:$A$215,'Written Sales'!$Q$8:$Q$215)</f>
        <v>#N/A</v>
      </c>
      <c r="G67" s="24" t="e">
        <f>_xlfn.XLOOKUP($A67,'Delivered Sales'!$A$10:$A$107,'Delivered Sales'!$P$10:$P$107)</f>
        <v>#N/A</v>
      </c>
      <c r="H67" s="24" t="e">
        <f t="shared" si="2"/>
        <v>#N/A</v>
      </c>
      <c r="I67" s="25" t="e">
        <f t="shared" si="3"/>
        <v>#N/A</v>
      </c>
      <c r="K67">
        <f t="shared" si="4"/>
        <v>0</v>
      </c>
    </row>
    <row r="68" spans="1:11" x14ac:dyDescent="0.25">
      <c r="A68" s="23">
        <f>'Delivered Sales'!A71</f>
        <v>0</v>
      </c>
      <c r="B68" s="24" t="e">
        <f>_xlfn.XLOOKUP($A68,'Written Sales'!$A$8:$A$215,'Written Sales'!$D$8:$D$215)</f>
        <v>#N/A</v>
      </c>
      <c r="C68" s="24" t="e">
        <f>_xlfn.XLOOKUP($A68,'Delivered Sales'!$A$10:$A$107,'Delivered Sales'!$D$10:$D$107)</f>
        <v>#N/A</v>
      </c>
      <c r="D68" s="24" t="e">
        <f t="shared" si="0"/>
        <v>#N/A</v>
      </c>
      <c r="E68" s="25" t="e">
        <f t="shared" si="1"/>
        <v>#N/A</v>
      </c>
      <c r="F68" s="24" t="e">
        <f>_xlfn.XLOOKUP($A68,'Written Sales'!$A$8:$A$215,'Written Sales'!$Q$8:$Q$215)</f>
        <v>#N/A</v>
      </c>
      <c r="G68" s="24" t="e">
        <f>_xlfn.XLOOKUP($A68,'Delivered Sales'!$A$10:$A$107,'Delivered Sales'!$P$10:$P$107)</f>
        <v>#N/A</v>
      </c>
      <c r="H68" s="24" t="e">
        <f t="shared" si="2"/>
        <v>#N/A</v>
      </c>
      <c r="I68" s="25" t="e">
        <f t="shared" si="3"/>
        <v>#N/A</v>
      </c>
      <c r="K68">
        <f t="shared" si="4"/>
        <v>0</v>
      </c>
    </row>
    <row r="69" spans="1:11" x14ac:dyDescent="0.25">
      <c r="A69" s="23">
        <f>'Delivered Sales'!A72</f>
        <v>0</v>
      </c>
      <c r="B69" s="24" t="e">
        <f>_xlfn.XLOOKUP($A69,'Written Sales'!$A$8:$A$215,'Written Sales'!$D$8:$D$215)</f>
        <v>#N/A</v>
      </c>
      <c r="C69" s="24" t="e">
        <f>_xlfn.XLOOKUP($A69,'Delivered Sales'!$A$10:$A$107,'Delivered Sales'!$D$10:$D$107)</f>
        <v>#N/A</v>
      </c>
      <c r="D69" s="24" t="e">
        <f t="shared" si="0"/>
        <v>#N/A</v>
      </c>
      <c r="E69" s="25" t="e">
        <f t="shared" si="1"/>
        <v>#N/A</v>
      </c>
      <c r="F69" s="24" t="e">
        <f>_xlfn.XLOOKUP($A69,'Written Sales'!$A$8:$A$215,'Written Sales'!$Q$8:$Q$215)</f>
        <v>#N/A</v>
      </c>
      <c r="G69" s="24" t="e">
        <f>_xlfn.XLOOKUP($A69,'Delivered Sales'!$A$10:$A$107,'Delivered Sales'!$P$10:$P$107)</f>
        <v>#N/A</v>
      </c>
      <c r="H69" s="24" t="e">
        <f t="shared" si="2"/>
        <v>#N/A</v>
      </c>
      <c r="I69" s="25" t="e">
        <f t="shared" si="3"/>
        <v>#N/A</v>
      </c>
      <c r="K69">
        <f t="shared" si="4"/>
        <v>0</v>
      </c>
    </row>
    <row r="70" spans="1:11" x14ac:dyDescent="0.25">
      <c r="A70" s="23">
        <f>'Delivered Sales'!A73</f>
        <v>0</v>
      </c>
      <c r="B70" s="24" t="e">
        <f>_xlfn.XLOOKUP($A70,'Written Sales'!$A$8:$A$215,'Written Sales'!$D$8:$D$215)</f>
        <v>#N/A</v>
      </c>
      <c r="C70" s="24" t="e">
        <f>_xlfn.XLOOKUP($A70,'Delivered Sales'!$A$10:$A$107,'Delivered Sales'!$D$10:$D$107)</f>
        <v>#N/A</v>
      </c>
      <c r="D70" s="24" t="e">
        <f t="shared" si="0"/>
        <v>#N/A</v>
      </c>
      <c r="E70" s="25" t="e">
        <f t="shared" si="1"/>
        <v>#N/A</v>
      </c>
      <c r="F70" s="24" t="e">
        <f>_xlfn.XLOOKUP($A70,'Written Sales'!$A$8:$A$215,'Written Sales'!$Q$8:$Q$215)</f>
        <v>#N/A</v>
      </c>
      <c r="G70" s="24" t="e">
        <f>_xlfn.XLOOKUP($A70,'Delivered Sales'!$A$10:$A$107,'Delivered Sales'!$P$10:$P$107)</f>
        <v>#N/A</v>
      </c>
      <c r="H70" s="24" t="e">
        <f t="shared" si="2"/>
        <v>#N/A</v>
      </c>
      <c r="I70" s="25" t="e">
        <f t="shared" si="3"/>
        <v>#N/A</v>
      </c>
      <c r="K70">
        <f t="shared" si="4"/>
        <v>0</v>
      </c>
    </row>
    <row r="71" spans="1:11" x14ac:dyDescent="0.25">
      <c r="A71" s="23">
        <f>'Delivered Sales'!A74</f>
        <v>0</v>
      </c>
      <c r="B71" s="24" t="e">
        <f>_xlfn.XLOOKUP($A71,'Written Sales'!$A$8:$A$215,'Written Sales'!$D$8:$D$215)</f>
        <v>#N/A</v>
      </c>
      <c r="C71" s="24" t="e">
        <f>_xlfn.XLOOKUP($A71,'Delivered Sales'!$A$10:$A$107,'Delivered Sales'!$D$10:$D$107)</f>
        <v>#N/A</v>
      </c>
      <c r="D71" s="24" t="e">
        <f t="shared" si="0"/>
        <v>#N/A</v>
      </c>
      <c r="E71" s="25" t="e">
        <f t="shared" si="1"/>
        <v>#N/A</v>
      </c>
      <c r="F71" s="24" t="e">
        <f>_xlfn.XLOOKUP($A71,'Written Sales'!$A$8:$A$215,'Written Sales'!$Q$8:$Q$215)</f>
        <v>#N/A</v>
      </c>
      <c r="G71" s="24" t="e">
        <f>_xlfn.XLOOKUP($A71,'Delivered Sales'!$A$10:$A$107,'Delivered Sales'!$P$10:$P$107)</f>
        <v>#N/A</v>
      </c>
      <c r="H71" s="24" t="e">
        <f t="shared" si="2"/>
        <v>#N/A</v>
      </c>
      <c r="I71" s="25" t="e">
        <f t="shared" si="3"/>
        <v>#N/A</v>
      </c>
      <c r="K71">
        <f t="shared" si="4"/>
        <v>0</v>
      </c>
    </row>
    <row r="72" spans="1:11" x14ac:dyDescent="0.25">
      <c r="A72" s="23">
        <f>'Delivered Sales'!A75</f>
        <v>0</v>
      </c>
      <c r="B72" s="24" t="e">
        <f>_xlfn.XLOOKUP($A72,'Written Sales'!$A$8:$A$215,'Written Sales'!$D$8:$D$215)</f>
        <v>#N/A</v>
      </c>
      <c r="C72" s="24" t="e">
        <f>_xlfn.XLOOKUP($A72,'Delivered Sales'!$A$10:$A$107,'Delivered Sales'!$D$10:$D$107)</f>
        <v>#N/A</v>
      </c>
      <c r="D72" s="24" t="e">
        <f t="shared" ref="D72:D104" si="18">B72-C72</f>
        <v>#N/A</v>
      </c>
      <c r="E72" s="25" t="e">
        <f t="shared" ref="E72:E104" si="19">B72/C72</f>
        <v>#N/A</v>
      </c>
      <c r="F72" s="24" t="e">
        <f>_xlfn.XLOOKUP($A72,'Written Sales'!$A$8:$A$215,'Written Sales'!$Q$8:$Q$215)</f>
        <v>#N/A</v>
      </c>
      <c r="G72" s="24" t="e">
        <f>_xlfn.XLOOKUP($A72,'Delivered Sales'!$A$10:$A$107,'Delivered Sales'!$P$10:$P$107)</f>
        <v>#N/A</v>
      </c>
      <c r="H72" s="24" t="e">
        <f t="shared" ref="H72:H104" si="20">F72-G72</f>
        <v>#N/A</v>
      </c>
      <c r="I72" s="25" t="e">
        <f t="shared" ref="I72:I104" si="21">F72/G72</f>
        <v>#N/A</v>
      </c>
      <c r="K72">
        <f t="shared" ref="K72:K104" si="22">VALUE($A72)</f>
        <v>0</v>
      </c>
    </row>
    <row r="73" spans="1:11" x14ac:dyDescent="0.25">
      <c r="A73" s="23">
        <f>'Delivered Sales'!A76</f>
        <v>0</v>
      </c>
      <c r="B73" s="24" t="e">
        <f>_xlfn.XLOOKUP($A73,'Written Sales'!$A$8:$A$215,'Written Sales'!$D$8:$D$215)</f>
        <v>#N/A</v>
      </c>
      <c r="C73" s="24" t="e">
        <f>_xlfn.XLOOKUP($A73,'Delivered Sales'!$A$10:$A$107,'Delivered Sales'!$D$10:$D$107)</f>
        <v>#N/A</v>
      </c>
      <c r="D73" s="24" t="e">
        <f t="shared" si="18"/>
        <v>#N/A</v>
      </c>
      <c r="E73" s="25" t="e">
        <f t="shared" si="19"/>
        <v>#N/A</v>
      </c>
      <c r="F73" s="24" t="e">
        <f>_xlfn.XLOOKUP($A73,'Written Sales'!$A$8:$A$215,'Written Sales'!$Q$8:$Q$215)</f>
        <v>#N/A</v>
      </c>
      <c r="G73" s="24" t="e">
        <f>_xlfn.XLOOKUP($A73,'Delivered Sales'!$A$10:$A$107,'Delivered Sales'!$P$10:$P$107)</f>
        <v>#N/A</v>
      </c>
      <c r="H73" s="24" t="e">
        <f t="shared" si="20"/>
        <v>#N/A</v>
      </c>
      <c r="I73" s="25" t="e">
        <f t="shared" si="21"/>
        <v>#N/A</v>
      </c>
      <c r="K73">
        <f t="shared" si="22"/>
        <v>0</v>
      </c>
    </row>
    <row r="74" spans="1:11" x14ac:dyDescent="0.25">
      <c r="A74" s="23">
        <f>'Delivered Sales'!A77</f>
        <v>0</v>
      </c>
      <c r="B74" s="24" t="e">
        <f>_xlfn.XLOOKUP($A74,'Written Sales'!$A$8:$A$215,'Written Sales'!$D$8:$D$215)</f>
        <v>#N/A</v>
      </c>
      <c r="C74" s="24" t="e">
        <f>_xlfn.XLOOKUP($A74,'Delivered Sales'!$A$10:$A$107,'Delivered Sales'!$D$10:$D$107)</f>
        <v>#N/A</v>
      </c>
      <c r="D74" s="24" t="e">
        <f t="shared" si="18"/>
        <v>#N/A</v>
      </c>
      <c r="E74" s="25" t="e">
        <f t="shared" si="19"/>
        <v>#N/A</v>
      </c>
      <c r="F74" s="24" t="e">
        <f>_xlfn.XLOOKUP($A74,'Written Sales'!$A$8:$A$215,'Written Sales'!$Q$8:$Q$215)</f>
        <v>#N/A</v>
      </c>
      <c r="G74" s="24" t="e">
        <f>_xlfn.XLOOKUP($A74,'Delivered Sales'!$A$10:$A$107,'Delivered Sales'!$P$10:$P$107)</f>
        <v>#N/A</v>
      </c>
      <c r="H74" s="24" t="e">
        <f t="shared" si="20"/>
        <v>#N/A</v>
      </c>
      <c r="I74" s="25" t="e">
        <f t="shared" si="21"/>
        <v>#N/A</v>
      </c>
      <c r="K74">
        <f t="shared" si="22"/>
        <v>0</v>
      </c>
    </row>
    <row r="75" spans="1:11" x14ac:dyDescent="0.25">
      <c r="A75" s="23">
        <f>'Delivered Sales'!A78</f>
        <v>0</v>
      </c>
      <c r="B75" s="24" t="e">
        <f>_xlfn.XLOOKUP($A75,'Written Sales'!$A$8:$A$215,'Written Sales'!$D$8:$D$215)</f>
        <v>#N/A</v>
      </c>
      <c r="C75" s="24" t="e">
        <f>_xlfn.XLOOKUP($A75,'Delivered Sales'!$A$10:$A$107,'Delivered Sales'!$D$10:$D$107)</f>
        <v>#N/A</v>
      </c>
      <c r="D75" s="24" t="e">
        <f t="shared" si="18"/>
        <v>#N/A</v>
      </c>
      <c r="E75" s="25" t="e">
        <f t="shared" si="19"/>
        <v>#N/A</v>
      </c>
      <c r="F75" s="24" t="e">
        <f>_xlfn.XLOOKUP($A75,'Written Sales'!$A$8:$A$215,'Written Sales'!$Q$8:$Q$215)</f>
        <v>#N/A</v>
      </c>
      <c r="G75" s="24" t="e">
        <f>_xlfn.XLOOKUP($A75,'Delivered Sales'!$A$10:$A$107,'Delivered Sales'!$P$10:$P$107)</f>
        <v>#N/A</v>
      </c>
      <c r="H75" s="24" t="e">
        <f t="shared" si="20"/>
        <v>#N/A</v>
      </c>
      <c r="I75" s="25" t="e">
        <f t="shared" si="21"/>
        <v>#N/A</v>
      </c>
      <c r="K75">
        <f t="shared" si="22"/>
        <v>0</v>
      </c>
    </row>
    <row r="76" spans="1:11" x14ac:dyDescent="0.25">
      <c r="A76" s="23">
        <f>'Delivered Sales'!A79</f>
        <v>0</v>
      </c>
      <c r="B76" s="24" t="e">
        <f>_xlfn.XLOOKUP($A76,'Written Sales'!$A$8:$A$215,'Written Sales'!$D$8:$D$215)</f>
        <v>#N/A</v>
      </c>
      <c r="C76" s="24" t="e">
        <f>_xlfn.XLOOKUP($A76,'Delivered Sales'!$A$10:$A$107,'Delivered Sales'!$D$10:$D$107)</f>
        <v>#N/A</v>
      </c>
      <c r="D76" s="24" t="e">
        <f t="shared" si="18"/>
        <v>#N/A</v>
      </c>
      <c r="E76" s="25" t="e">
        <f t="shared" si="19"/>
        <v>#N/A</v>
      </c>
      <c r="F76" s="24" t="e">
        <f>_xlfn.XLOOKUP($A76,'Written Sales'!$A$8:$A$215,'Written Sales'!$Q$8:$Q$215)</f>
        <v>#N/A</v>
      </c>
      <c r="G76" s="24" t="e">
        <f>_xlfn.XLOOKUP($A76,'Delivered Sales'!$A$10:$A$107,'Delivered Sales'!$P$10:$P$107)</f>
        <v>#N/A</v>
      </c>
      <c r="H76" s="24" t="e">
        <f t="shared" si="20"/>
        <v>#N/A</v>
      </c>
      <c r="I76" s="25" t="e">
        <f t="shared" si="21"/>
        <v>#N/A</v>
      </c>
      <c r="K76">
        <f t="shared" si="22"/>
        <v>0</v>
      </c>
    </row>
    <row r="77" spans="1:11" x14ac:dyDescent="0.25">
      <c r="A77" s="23">
        <f>'Delivered Sales'!A80</f>
        <v>0</v>
      </c>
      <c r="B77" s="24" t="e">
        <f>_xlfn.XLOOKUP($A77,'Written Sales'!$A$8:$A$215,'Written Sales'!$D$8:$D$215)</f>
        <v>#N/A</v>
      </c>
      <c r="C77" s="24" t="e">
        <f>_xlfn.XLOOKUP($A77,'Delivered Sales'!$A$10:$A$107,'Delivered Sales'!$D$10:$D$107)</f>
        <v>#N/A</v>
      </c>
      <c r="D77" s="24" t="e">
        <f t="shared" si="18"/>
        <v>#N/A</v>
      </c>
      <c r="E77" s="25" t="e">
        <f t="shared" si="19"/>
        <v>#N/A</v>
      </c>
      <c r="F77" s="24" t="e">
        <f>_xlfn.XLOOKUP($A77,'Written Sales'!$A$8:$A$215,'Written Sales'!$Q$8:$Q$215)</f>
        <v>#N/A</v>
      </c>
      <c r="G77" s="24" t="e">
        <f>_xlfn.XLOOKUP($A77,'Delivered Sales'!$A$10:$A$107,'Delivered Sales'!$P$10:$P$107)</f>
        <v>#N/A</v>
      </c>
      <c r="H77" s="24" t="e">
        <f t="shared" si="20"/>
        <v>#N/A</v>
      </c>
      <c r="I77" s="25" t="e">
        <f t="shared" si="21"/>
        <v>#N/A</v>
      </c>
      <c r="K77">
        <f t="shared" si="22"/>
        <v>0</v>
      </c>
    </row>
    <row r="78" spans="1:11" x14ac:dyDescent="0.25">
      <c r="A78" s="23">
        <f>'Delivered Sales'!A81</f>
        <v>0</v>
      </c>
      <c r="B78" s="24" t="e">
        <f>_xlfn.XLOOKUP($A78,'Written Sales'!$A$8:$A$215,'Written Sales'!$D$8:$D$215)</f>
        <v>#N/A</v>
      </c>
      <c r="C78" s="24" t="e">
        <f>_xlfn.XLOOKUP($A78,'Delivered Sales'!$A$10:$A$107,'Delivered Sales'!$D$10:$D$107)</f>
        <v>#N/A</v>
      </c>
      <c r="D78" s="24" t="e">
        <f t="shared" si="18"/>
        <v>#N/A</v>
      </c>
      <c r="E78" s="25" t="e">
        <f t="shared" si="19"/>
        <v>#N/A</v>
      </c>
      <c r="F78" s="24" t="e">
        <f>_xlfn.XLOOKUP($A78,'Written Sales'!$A$8:$A$215,'Written Sales'!$Q$8:$Q$215)</f>
        <v>#N/A</v>
      </c>
      <c r="G78" s="24" t="e">
        <f>_xlfn.XLOOKUP($A78,'Delivered Sales'!$A$10:$A$107,'Delivered Sales'!$P$10:$P$107)</f>
        <v>#N/A</v>
      </c>
      <c r="H78" s="24" t="e">
        <f t="shared" si="20"/>
        <v>#N/A</v>
      </c>
      <c r="I78" s="25" t="e">
        <f t="shared" si="21"/>
        <v>#N/A</v>
      </c>
      <c r="K78">
        <f t="shared" si="22"/>
        <v>0</v>
      </c>
    </row>
    <row r="79" spans="1:11" x14ac:dyDescent="0.25">
      <c r="A79" s="23">
        <f>'Delivered Sales'!A82</f>
        <v>0</v>
      </c>
      <c r="B79" s="24" t="e">
        <f>_xlfn.XLOOKUP($A79,'Written Sales'!$A$8:$A$215,'Written Sales'!$D$8:$D$215)</f>
        <v>#N/A</v>
      </c>
      <c r="C79" s="24" t="e">
        <f>_xlfn.XLOOKUP($A79,'Delivered Sales'!$A$10:$A$107,'Delivered Sales'!$D$10:$D$107)</f>
        <v>#N/A</v>
      </c>
      <c r="D79" s="24" t="e">
        <f t="shared" si="18"/>
        <v>#N/A</v>
      </c>
      <c r="E79" s="25" t="e">
        <f t="shared" si="19"/>
        <v>#N/A</v>
      </c>
      <c r="F79" s="24" t="e">
        <f>_xlfn.XLOOKUP($A79,'Written Sales'!$A$8:$A$215,'Written Sales'!$Q$8:$Q$215)</f>
        <v>#N/A</v>
      </c>
      <c r="G79" s="24" t="e">
        <f>_xlfn.XLOOKUP($A79,'Delivered Sales'!$A$10:$A$107,'Delivered Sales'!$P$10:$P$107)</f>
        <v>#N/A</v>
      </c>
      <c r="H79" s="24" t="e">
        <f t="shared" si="20"/>
        <v>#N/A</v>
      </c>
      <c r="I79" s="25" t="e">
        <f t="shared" si="21"/>
        <v>#N/A</v>
      </c>
      <c r="K79">
        <f t="shared" si="22"/>
        <v>0</v>
      </c>
    </row>
    <row r="80" spans="1:11" x14ac:dyDescent="0.25">
      <c r="A80" s="23">
        <f>'Delivered Sales'!A83</f>
        <v>0</v>
      </c>
      <c r="B80" s="24" t="e">
        <f>_xlfn.XLOOKUP($A80,'Written Sales'!$A$8:$A$215,'Written Sales'!$D$8:$D$215)</f>
        <v>#N/A</v>
      </c>
      <c r="C80" s="24" t="e">
        <f>_xlfn.XLOOKUP($A80,'Delivered Sales'!$A$10:$A$107,'Delivered Sales'!$D$10:$D$107)</f>
        <v>#N/A</v>
      </c>
      <c r="D80" s="24" t="e">
        <f t="shared" si="18"/>
        <v>#N/A</v>
      </c>
      <c r="E80" s="25" t="e">
        <f t="shared" si="19"/>
        <v>#N/A</v>
      </c>
      <c r="F80" s="24" t="e">
        <f>_xlfn.XLOOKUP($A80,'Written Sales'!$A$8:$A$215,'Written Sales'!$Q$8:$Q$215)</f>
        <v>#N/A</v>
      </c>
      <c r="G80" s="24" t="e">
        <f>_xlfn.XLOOKUP($A80,'Delivered Sales'!$A$10:$A$107,'Delivered Sales'!$P$10:$P$107)</f>
        <v>#N/A</v>
      </c>
      <c r="H80" s="24" t="e">
        <f t="shared" si="20"/>
        <v>#N/A</v>
      </c>
      <c r="I80" s="25" t="e">
        <f t="shared" si="21"/>
        <v>#N/A</v>
      </c>
      <c r="K80">
        <f t="shared" si="22"/>
        <v>0</v>
      </c>
    </row>
    <row r="81" spans="1:11" x14ac:dyDescent="0.25">
      <c r="A81" s="23">
        <f>'Delivered Sales'!A84</f>
        <v>0</v>
      </c>
      <c r="B81" s="24" t="e">
        <f>_xlfn.XLOOKUP($A81,'Written Sales'!$A$8:$A$215,'Written Sales'!$D$8:$D$215)</f>
        <v>#N/A</v>
      </c>
      <c r="C81" s="24" t="e">
        <f>_xlfn.XLOOKUP($A81,'Delivered Sales'!$A$10:$A$107,'Delivered Sales'!$D$10:$D$107)</f>
        <v>#N/A</v>
      </c>
      <c r="D81" s="24" t="e">
        <f t="shared" si="18"/>
        <v>#N/A</v>
      </c>
      <c r="E81" s="25" t="e">
        <f t="shared" si="19"/>
        <v>#N/A</v>
      </c>
      <c r="F81" s="24" t="e">
        <f>_xlfn.XLOOKUP($A81,'Written Sales'!$A$8:$A$215,'Written Sales'!$Q$8:$Q$215)</f>
        <v>#N/A</v>
      </c>
      <c r="G81" s="24" t="e">
        <f>_xlfn.XLOOKUP($A81,'Delivered Sales'!$A$10:$A$107,'Delivered Sales'!$P$10:$P$107)</f>
        <v>#N/A</v>
      </c>
      <c r="H81" s="24" t="e">
        <f t="shared" si="20"/>
        <v>#N/A</v>
      </c>
      <c r="I81" s="25" t="e">
        <f t="shared" si="21"/>
        <v>#N/A</v>
      </c>
      <c r="K81">
        <f t="shared" si="22"/>
        <v>0</v>
      </c>
    </row>
    <row r="82" spans="1:11" x14ac:dyDescent="0.25">
      <c r="A82" s="23">
        <f>'Delivered Sales'!A85</f>
        <v>0</v>
      </c>
      <c r="B82" s="24" t="e">
        <f>_xlfn.XLOOKUP($A82,'Written Sales'!$A$8:$A$215,'Written Sales'!$D$8:$D$215)</f>
        <v>#N/A</v>
      </c>
      <c r="C82" s="24" t="e">
        <f>_xlfn.XLOOKUP($A82,'Delivered Sales'!$A$10:$A$107,'Delivered Sales'!$D$10:$D$107)</f>
        <v>#N/A</v>
      </c>
      <c r="D82" s="24" t="e">
        <f t="shared" si="18"/>
        <v>#N/A</v>
      </c>
      <c r="E82" s="25" t="e">
        <f t="shared" si="19"/>
        <v>#N/A</v>
      </c>
      <c r="F82" s="24" t="e">
        <f>_xlfn.XLOOKUP($A82,'Written Sales'!$A$8:$A$215,'Written Sales'!$Q$8:$Q$215)</f>
        <v>#N/A</v>
      </c>
      <c r="G82" s="24" t="e">
        <f>_xlfn.XLOOKUP($A82,'Delivered Sales'!$A$10:$A$107,'Delivered Sales'!$P$10:$P$107)</f>
        <v>#N/A</v>
      </c>
      <c r="H82" s="24" t="e">
        <f t="shared" si="20"/>
        <v>#N/A</v>
      </c>
      <c r="I82" s="25" t="e">
        <f t="shared" si="21"/>
        <v>#N/A</v>
      </c>
      <c r="K82">
        <f t="shared" si="22"/>
        <v>0</v>
      </c>
    </row>
    <row r="83" spans="1:11" x14ac:dyDescent="0.25">
      <c r="A83" s="23">
        <f>'Delivered Sales'!A86</f>
        <v>0</v>
      </c>
      <c r="B83" s="24" t="e">
        <f>_xlfn.XLOOKUP($A83,'Written Sales'!$A$8:$A$215,'Written Sales'!$D$8:$D$215)</f>
        <v>#N/A</v>
      </c>
      <c r="C83" s="24" t="e">
        <f>_xlfn.XLOOKUP($A83,'Delivered Sales'!$A$10:$A$107,'Delivered Sales'!$D$10:$D$107)</f>
        <v>#N/A</v>
      </c>
      <c r="D83" s="24" t="e">
        <f t="shared" si="18"/>
        <v>#N/A</v>
      </c>
      <c r="E83" s="25" t="e">
        <f t="shared" si="19"/>
        <v>#N/A</v>
      </c>
      <c r="F83" s="24" t="e">
        <f>_xlfn.XLOOKUP($A83,'Written Sales'!$A$8:$A$215,'Written Sales'!$Q$8:$Q$215)</f>
        <v>#N/A</v>
      </c>
      <c r="G83" s="24" t="e">
        <f>_xlfn.XLOOKUP($A83,'Delivered Sales'!$A$10:$A$107,'Delivered Sales'!$P$10:$P$107)</f>
        <v>#N/A</v>
      </c>
      <c r="H83" s="24" t="e">
        <f t="shared" si="20"/>
        <v>#N/A</v>
      </c>
      <c r="I83" s="25" t="e">
        <f t="shared" si="21"/>
        <v>#N/A</v>
      </c>
      <c r="K83">
        <f t="shared" si="22"/>
        <v>0</v>
      </c>
    </row>
    <row r="84" spans="1:11" x14ac:dyDescent="0.25">
      <c r="A84" s="23">
        <f>'Delivered Sales'!A87</f>
        <v>0</v>
      </c>
      <c r="B84" s="24" t="e">
        <f>_xlfn.XLOOKUP($A84,'Written Sales'!$A$8:$A$215,'Written Sales'!$D$8:$D$215)</f>
        <v>#N/A</v>
      </c>
      <c r="C84" s="24" t="e">
        <f>_xlfn.XLOOKUP($A84,'Delivered Sales'!$A$10:$A$107,'Delivered Sales'!$D$10:$D$107)</f>
        <v>#N/A</v>
      </c>
      <c r="D84" s="24" t="e">
        <f t="shared" si="18"/>
        <v>#N/A</v>
      </c>
      <c r="E84" s="25" t="e">
        <f t="shared" si="19"/>
        <v>#N/A</v>
      </c>
      <c r="F84" s="24" t="e">
        <f>_xlfn.XLOOKUP($A84,'Written Sales'!$A$8:$A$215,'Written Sales'!$Q$8:$Q$215)</f>
        <v>#N/A</v>
      </c>
      <c r="G84" s="24" t="e">
        <f>_xlfn.XLOOKUP($A84,'Delivered Sales'!$A$10:$A$107,'Delivered Sales'!$P$10:$P$107)</f>
        <v>#N/A</v>
      </c>
      <c r="H84" s="24" t="e">
        <f t="shared" si="20"/>
        <v>#N/A</v>
      </c>
      <c r="I84" s="25" t="e">
        <f t="shared" si="21"/>
        <v>#N/A</v>
      </c>
      <c r="K84">
        <f t="shared" si="22"/>
        <v>0</v>
      </c>
    </row>
    <row r="85" spans="1:11" x14ac:dyDescent="0.25">
      <c r="A85" s="23">
        <f>'Delivered Sales'!A88</f>
        <v>0</v>
      </c>
      <c r="B85" s="24" t="e">
        <f>_xlfn.XLOOKUP($A85,'Written Sales'!$A$8:$A$215,'Written Sales'!$D$8:$D$215)</f>
        <v>#N/A</v>
      </c>
      <c r="C85" s="24" t="e">
        <f>_xlfn.XLOOKUP($A85,'Delivered Sales'!$A$10:$A$107,'Delivered Sales'!$D$10:$D$107)</f>
        <v>#N/A</v>
      </c>
      <c r="D85" s="24" t="e">
        <f t="shared" si="18"/>
        <v>#N/A</v>
      </c>
      <c r="E85" s="25" t="e">
        <f t="shared" si="19"/>
        <v>#N/A</v>
      </c>
      <c r="F85" s="24" t="e">
        <f>_xlfn.XLOOKUP($A85,'Written Sales'!$A$8:$A$215,'Written Sales'!$Q$8:$Q$215)</f>
        <v>#N/A</v>
      </c>
      <c r="G85" s="24" t="e">
        <f>_xlfn.XLOOKUP($A85,'Delivered Sales'!$A$10:$A$107,'Delivered Sales'!$P$10:$P$107)</f>
        <v>#N/A</v>
      </c>
      <c r="H85" s="24" t="e">
        <f t="shared" si="20"/>
        <v>#N/A</v>
      </c>
      <c r="I85" s="25" t="e">
        <f t="shared" si="21"/>
        <v>#N/A</v>
      </c>
      <c r="K85">
        <f t="shared" si="22"/>
        <v>0</v>
      </c>
    </row>
    <row r="86" spans="1:11" x14ac:dyDescent="0.25">
      <c r="A86" s="23">
        <f>'Delivered Sales'!A89</f>
        <v>0</v>
      </c>
      <c r="B86" s="24" t="e">
        <f>_xlfn.XLOOKUP($A86,'Written Sales'!$A$8:$A$215,'Written Sales'!$D$8:$D$215)</f>
        <v>#N/A</v>
      </c>
      <c r="C86" s="24" t="e">
        <f>_xlfn.XLOOKUP($A86,'Delivered Sales'!$A$10:$A$107,'Delivered Sales'!$D$10:$D$107)</f>
        <v>#N/A</v>
      </c>
      <c r="D86" s="24" t="e">
        <f t="shared" si="18"/>
        <v>#N/A</v>
      </c>
      <c r="E86" s="25" t="e">
        <f t="shared" si="19"/>
        <v>#N/A</v>
      </c>
      <c r="F86" s="24" t="e">
        <f>_xlfn.XLOOKUP($A86,'Written Sales'!$A$8:$A$215,'Written Sales'!$Q$8:$Q$215)</f>
        <v>#N/A</v>
      </c>
      <c r="G86" s="24" t="e">
        <f>_xlfn.XLOOKUP($A86,'Delivered Sales'!$A$10:$A$107,'Delivered Sales'!$P$10:$P$107)</f>
        <v>#N/A</v>
      </c>
      <c r="H86" s="24" t="e">
        <f t="shared" si="20"/>
        <v>#N/A</v>
      </c>
      <c r="I86" s="25" t="e">
        <f t="shared" si="21"/>
        <v>#N/A</v>
      </c>
      <c r="K86">
        <f t="shared" si="22"/>
        <v>0</v>
      </c>
    </row>
    <row r="87" spans="1:11" x14ac:dyDescent="0.25">
      <c r="A87" s="23">
        <f>'Delivered Sales'!A90</f>
        <v>0</v>
      </c>
      <c r="B87" s="24" t="e">
        <f>_xlfn.XLOOKUP($A87,'Written Sales'!$A$8:$A$215,'Written Sales'!$D$8:$D$215)</f>
        <v>#N/A</v>
      </c>
      <c r="C87" s="24" t="e">
        <f>_xlfn.XLOOKUP($A87,'Delivered Sales'!$A$10:$A$107,'Delivered Sales'!$D$10:$D$107)</f>
        <v>#N/A</v>
      </c>
      <c r="D87" s="24" t="e">
        <f t="shared" si="18"/>
        <v>#N/A</v>
      </c>
      <c r="E87" s="25" t="e">
        <f t="shared" si="19"/>
        <v>#N/A</v>
      </c>
      <c r="F87" s="24" t="e">
        <f>_xlfn.XLOOKUP($A87,'Written Sales'!$A$8:$A$215,'Written Sales'!$Q$8:$Q$215)</f>
        <v>#N/A</v>
      </c>
      <c r="G87" s="24" t="e">
        <f>_xlfn.XLOOKUP($A87,'Delivered Sales'!$A$10:$A$107,'Delivered Sales'!$P$10:$P$107)</f>
        <v>#N/A</v>
      </c>
      <c r="H87" s="24" t="e">
        <f t="shared" si="20"/>
        <v>#N/A</v>
      </c>
      <c r="I87" s="25" t="e">
        <f t="shared" si="21"/>
        <v>#N/A</v>
      </c>
      <c r="K87">
        <f t="shared" si="22"/>
        <v>0</v>
      </c>
    </row>
    <row r="88" spans="1:11" x14ac:dyDescent="0.25">
      <c r="A88" s="23">
        <f>'Delivered Sales'!A91</f>
        <v>0</v>
      </c>
      <c r="B88" s="24" t="e">
        <f>_xlfn.XLOOKUP($A88,'Written Sales'!$A$8:$A$215,'Written Sales'!$D$8:$D$215)</f>
        <v>#N/A</v>
      </c>
      <c r="C88" s="24" t="e">
        <f>_xlfn.XLOOKUP($A88,'Delivered Sales'!$A$10:$A$107,'Delivered Sales'!$D$10:$D$107)</f>
        <v>#N/A</v>
      </c>
      <c r="D88" s="24" t="e">
        <f t="shared" si="18"/>
        <v>#N/A</v>
      </c>
      <c r="E88" s="25" t="e">
        <f t="shared" si="19"/>
        <v>#N/A</v>
      </c>
      <c r="F88" s="24" t="e">
        <f>_xlfn.XLOOKUP($A88,'Written Sales'!$A$8:$A$215,'Written Sales'!$Q$8:$Q$215)</f>
        <v>#N/A</v>
      </c>
      <c r="G88" s="24" t="e">
        <f>_xlfn.XLOOKUP($A88,'Delivered Sales'!$A$10:$A$107,'Delivered Sales'!$P$10:$P$107)</f>
        <v>#N/A</v>
      </c>
      <c r="H88" s="24" t="e">
        <f t="shared" si="20"/>
        <v>#N/A</v>
      </c>
      <c r="I88" s="25" t="e">
        <f t="shared" si="21"/>
        <v>#N/A</v>
      </c>
      <c r="K88">
        <f t="shared" si="22"/>
        <v>0</v>
      </c>
    </row>
    <row r="89" spans="1:11" x14ac:dyDescent="0.25">
      <c r="A89" s="23">
        <f>'Delivered Sales'!A92</f>
        <v>0</v>
      </c>
      <c r="B89" s="24" t="e">
        <f>_xlfn.XLOOKUP($A89,'Written Sales'!$A$8:$A$215,'Written Sales'!$D$8:$D$215)</f>
        <v>#N/A</v>
      </c>
      <c r="C89" s="24" t="e">
        <f>_xlfn.XLOOKUP($A89,'Delivered Sales'!$A$10:$A$107,'Delivered Sales'!$D$10:$D$107)</f>
        <v>#N/A</v>
      </c>
      <c r="D89" s="24" t="e">
        <f t="shared" si="18"/>
        <v>#N/A</v>
      </c>
      <c r="E89" s="25" t="e">
        <f t="shared" si="19"/>
        <v>#N/A</v>
      </c>
      <c r="F89" s="24" t="e">
        <f>_xlfn.XLOOKUP($A89,'Written Sales'!$A$8:$A$215,'Written Sales'!$Q$8:$Q$215)</f>
        <v>#N/A</v>
      </c>
      <c r="G89" s="24" t="e">
        <f>_xlfn.XLOOKUP($A89,'Delivered Sales'!$A$10:$A$107,'Delivered Sales'!$P$10:$P$107)</f>
        <v>#N/A</v>
      </c>
      <c r="H89" s="24" t="e">
        <f t="shared" si="20"/>
        <v>#N/A</v>
      </c>
      <c r="I89" s="25" t="e">
        <f t="shared" si="21"/>
        <v>#N/A</v>
      </c>
      <c r="K89">
        <f t="shared" si="22"/>
        <v>0</v>
      </c>
    </row>
    <row r="90" spans="1:11" x14ac:dyDescent="0.25">
      <c r="A90" s="23">
        <f>'Delivered Sales'!A93</f>
        <v>0</v>
      </c>
      <c r="B90" s="24" t="e">
        <f>_xlfn.XLOOKUP($A90,'Written Sales'!$A$8:$A$215,'Written Sales'!$D$8:$D$215)</f>
        <v>#N/A</v>
      </c>
      <c r="C90" s="24" t="e">
        <f>_xlfn.XLOOKUP($A90,'Delivered Sales'!$A$10:$A$107,'Delivered Sales'!$D$10:$D$107)</f>
        <v>#N/A</v>
      </c>
      <c r="D90" s="24" t="e">
        <f t="shared" si="18"/>
        <v>#N/A</v>
      </c>
      <c r="E90" s="25" t="e">
        <f t="shared" si="19"/>
        <v>#N/A</v>
      </c>
      <c r="F90" s="24" t="e">
        <f>_xlfn.XLOOKUP($A90,'Written Sales'!$A$8:$A$215,'Written Sales'!$Q$8:$Q$215)</f>
        <v>#N/A</v>
      </c>
      <c r="G90" s="24" t="e">
        <f>_xlfn.XLOOKUP($A90,'Delivered Sales'!$A$10:$A$107,'Delivered Sales'!$P$10:$P$107)</f>
        <v>#N/A</v>
      </c>
      <c r="H90" s="24" t="e">
        <f t="shared" si="20"/>
        <v>#N/A</v>
      </c>
      <c r="I90" s="25" t="e">
        <f t="shared" si="21"/>
        <v>#N/A</v>
      </c>
      <c r="K90">
        <f t="shared" si="22"/>
        <v>0</v>
      </c>
    </row>
    <row r="91" spans="1:11" x14ac:dyDescent="0.25">
      <c r="A91" s="23">
        <f>'Delivered Sales'!A94</f>
        <v>0</v>
      </c>
      <c r="B91" s="24" t="e">
        <f>_xlfn.XLOOKUP($A91,'Written Sales'!$A$8:$A$215,'Written Sales'!$D$8:$D$215)</f>
        <v>#N/A</v>
      </c>
      <c r="C91" s="24" t="e">
        <f>_xlfn.XLOOKUP($A91,'Delivered Sales'!$A$10:$A$107,'Delivered Sales'!$D$10:$D$107)</f>
        <v>#N/A</v>
      </c>
      <c r="D91" s="24" t="e">
        <f t="shared" si="18"/>
        <v>#N/A</v>
      </c>
      <c r="E91" s="25" t="e">
        <f t="shared" si="19"/>
        <v>#N/A</v>
      </c>
      <c r="F91" s="24" t="e">
        <f>_xlfn.XLOOKUP($A91,'Written Sales'!$A$8:$A$215,'Written Sales'!$Q$8:$Q$215)</f>
        <v>#N/A</v>
      </c>
      <c r="G91" s="24" t="e">
        <f>_xlfn.XLOOKUP($A91,'Delivered Sales'!$A$10:$A$107,'Delivered Sales'!$P$10:$P$107)</f>
        <v>#N/A</v>
      </c>
      <c r="H91" s="24" t="e">
        <f t="shared" si="20"/>
        <v>#N/A</v>
      </c>
      <c r="I91" s="25" t="e">
        <f t="shared" si="21"/>
        <v>#N/A</v>
      </c>
      <c r="K91">
        <f t="shared" si="22"/>
        <v>0</v>
      </c>
    </row>
    <row r="92" spans="1:11" x14ac:dyDescent="0.25">
      <c r="A92" s="23">
        <f>'Delivered Sales'!A95</f>
        <v>0</v>
      </c>
      <c r="B92" s="24" t="e">
        <f>_xlfn.XLOOKUP($A92,'Written Sales'!$A$8:$A$215,'Written Sales'!$D$8:$D$215)</f>
        <v>#N/A</v>
      </c>
      <c r="C92" s="24" t="e">
        <f>_xlfn.XLOOKUP($A92,'Delivered Sales'!$A$10:$A$107,'Delivered Sales'!$D$10:$D$107)</f>
        <v>#N/A</v>
      </c>
      <c r="D92" s="24" t="e">
        <f t="shared" si="18"/>
        <v>#N/A</v>
      </c>
      <c r="E92" s="25" t="e">
        <f t="shared" si="19"/>
        <v>#N/A</v>
      </c>
      <c r="F92" s="24" t="e">
        <f>_xlfn.XLOOKUP($A92,'Written Sales'!$A$8:$A$215,'Written Sales'!$Q$8:$Q$215)</f>
        <v>#N/A</v>
      </c>
      <c r="G92" s="24" t="e">
        <f>_xlfn.XLOOKUP($A92,'Delivered Sales'!$A$10:$A$107,'Delivered Sales'!$P$10:$P$107)</f>
        <v>#N/A</v>
      </c>
      <c r="H92" s="24" t="e">
        <f t="shared" si="20"/>
        <v>#N/A</v>
      </c>
      <c r="I92" s="25" t="e">
        <f t="shared" si="21"/>
        <v>#N/A</v>
      </c>
      <c r="K92">
        <f t="shared" si="22"/>
        <v>0</v>
      </c>
    </row>
    <row r="93" spans="1:11" x14ac:dyDescent="0.25">
      <c r="A93" s="23">
        <f>'Delivered Sales'!A96</f>
        <v>0</v>
      </c>
      <c r="B93" s="24" t="e">
        <f>_xlfn.XLOOKUP($A93,'Written Sales'!$A$8:$A$215,'Written Sales'!$D$8:$D$215)</f>
        <v>#N/A</v>
      </c>
      <c r="C93" s="24" t="e">
        <f>_xlfn.XLOOKUP($A93,'Delivered Sales'!$A$10:$A$107,'Delivered Sales'!$D$10:$D$107)</f>
        <v>#N/A</v>
      </c>
      <c r="D93" s="24" t="e">
        <f t="shared" si="18"/>
        <v>#N/A</v>
      </c>
      <c r="E93" s="25" t="e">
        <f t="shared" si="19"/>
        <v>#N/A</v>
      </c>
      <c r="F93" s="24" t="e">
        <f>_xlfn.XLOOKUP($A93,'Written Sales'!$A$8:$A$215,'Written Sales'!$Q$8:$Q$215)</f>
        <v>#N/A</v>
      </c>
      <c r="G93" s="24" t="e">
        <f>_xlfn.XLOOKUP($A93,'Delivered Sales'!$A$10:$A$107,'Delivered Sales'!$P$10:$P$107)</f>
        <v>#N/A</v>
      </c>
      <c r="H93" s="24" t="e">
        <f t="shared" si="20"/>
        <v>#N/A</v>
      </c>
      <c r="I93" s="25" t="e">
        <f t="shared" si="21"/>
        <v>#N/A</v>
      </c>
      <c r="K93">
        <f t="shared" si="22"/>
        <v>0</v>
      </c>
    </row>
    <row r="94" spans="1:11" x14ac:dyDescent="0.25">
      <c r="A94" s="23">
        <f>'Delivered Sales'!A97</f>
        <v>0</v>
      </c>
      <c r="B94" s="24" t="e">
        <f>_xlfn.XLOOKUP($A94,'Written Sales'!$A$8:$A$215,'Written Sales'!$D$8:$D$215)</f>
        <v>#N/A</v>
      </c>
      <c r="C94" s="24" t="e">
        <f>_xlfn.XLOOKUP($A94,'Delivered Sales'!$A$10:$A$107,'Delivered Sales'!$D$10:$D$107)</f>
        <v>#N/A</v>
      </c>
      <c r="D94" s="24" t="e">
        <f t="shared" si="18"/>
        <v>#N/A</v>
      </c>
      <c r="E94" s="25" t="e">
        <f t="shared" si="19"/>
        <v>#N/A</v>
      </c>
      <c r="F94" s="24" t="e">
        <f>_xlfn.XLOOKUP($A94,'Written Sales'!$A$8:$A$215,'Written Sales'!$Q$8:$Q$215)</f>
        <v>#N/A</v>
      </c>
      <c r="G94" s="24" t="e">
        <f>_xlfn.XLOOKUP($A94,'Delivered Sales'!$A$10:$A$107,'Delivered Sales'!$P$10:$P$107)</f>
        <v>#N/A</v>
      </c>
      <c r="H94" s="24" t="e">
        <f t="shared" si="20"/>
        <v>#N/A</v>
      </c>
      <c r="I94" s="25" t="e">
        <f t="shared" si="21"/>
        <v>#N/A</v>
      </c>
      <c r="K94">
        <f t="shared" si="22"/>
        <v>0</v>
      </c>
    </row>
    <row r="95" spans="1:11" x14ac:dyDescent="0.25">
      <c r="A95" s="23">
        <f>'Delivered Sales'!A98</f>
        <v>0</v>
      </c>
      <c r="B95" s="24" t="e">
        <f>_xlfn.XLOOKUP($A95,'Written Sales'!$A$8:$A$215,'Written Sales'!$D$8:$D$215)</f>
        <v>#N/A</v>
      </c>
      <c r="C95" s="24" t="e">
        <f>_xlfn.XLOOKUP($A95,'Delivered Sales'!$A$10:$A$107,'Delivered Sales'!$D$10:$D$107)</f>
        <v>#N/A</v>
      </c>
      <c r="D95" s="24" t="e">
        <f t="shared" si="18"/>
        <v>#N/A</v>
      </c>
      <c r="E95" s="25" t="e">
        <f t="shared" si="19"/>
        <v>#N/A</v>
      </c>
      <c r="F95" s="24" t="e">
        <f>_xlfn.XLOOKUP($A95,'Written Sales'!$A$8:$A$215,'Written Sales'!$Q$8:$Q$215)</f>
        <v>#N/A</v>
      </c>
      <c r="G95" s="24" t="e">
        <f>_xlfn.XLOOKUP($A95,'Delivered Sales'!$A$10:$A$107,'Delivered Sales'!$P$10:$P$107)</f>
        <v>#N/A</v>
      </c>
      <c r="H95" s="24" t="e">
        <f t="shared" si="20"/>
        <v>#N/A</v>
      </c>
      <c r="I95" s="25" t="e">
        <f t="shared" si="21"/>
        <v>#N/A</v>
      </c>
      <c r="K95">
        <f t="shared" si="22"/>
        <v>0</v>
      </c>
    </row>
    <row r="96" spans="1:11" x14ac:dyDescent="0.25">
      <c r="A96" s="23">
        <f>'Delivered Sales'!A99</f>
        <v>0</v>
      </c>
      <c r="B96" s="24" t="e">
        <f>_xlfn.XLOOKUP($A96,'Written Sales'!$A$8:$A$215,'Written Sales'!$D$8:$D$215)</f>
        <v>#N/A</v>
      </c>
      <c r="C96" s="24" t="e">
        <f>_xlfn.XLOOKUP($A96,'Delivered Sales'!$A$10:$A$107,'Delivered Sales'!$D$10:$D$107)</f>
        <v>#N/A</v>
      </c>
      <c r="D96" s="24" t="e">
        <f t="shared" si="18"/>
        <v>#N/A</v>
      </c>
      <c r="E96" s="25" t="e">
        <f t="shared" si="19"/>
        <v>#N/A</v>
      </c>
      <c r="F96" s="24" t="e">
        <f>_xlfn.XLOOKUP($A96,'Written Sales'!$A$8:$A$215,'Written Sales'!$Q$8:$Q$215)</f>
        <v>#N/A</v>
      </c>
      <c r="G96" s="24" t="e">
        <f>_xlfn.XLOOKUP($A96,'Delivered Sales'!$A$10:$A$107,'Delivered Sales'!$P$10:$P$107)</f>
        <v>#N/A</v>
      </c>
      <c r="H96" s="24" t="e">
        <f t="shared" si="20"/>
        <v>#N/A</v>
      </c>
      <c r="I96" s="25" t="e">
        <f t="shared" si="21"/>
        <v>#N/A</v>
      </c>
      <c r="K96">
        <f t="shared" si="22"/>
        <v>0</v>
      </c>
    </row>
    <row r="97" spans="1:11" x14ac:dyDescent="0.25">
      <c r="A97" s="23">
        <f>'Delivered Sales'!A100</f>
        <v>0</v>
      </c>
      <c r="B97" s="24" t="e">
        <f>_xlfn.XLOOKUP($A97,'Written Sales'!$A$8:$A$215,'Written Sales'!$D$8:$D$215)</f>
        <v>#N/A</v>
      </c>
      <c r="C97" s="24" t="e">
        <f>_xlfn.XLOOKUP($A97,'Delivered Sales'!$A$10:$A$107,'Delivered Sales'!$D$10:$D$107)</f>
        <v>#N/A</v>
      </c>
      <c r="D97" s="24" t="e">
        <f t="shared" si="18"/>
        <v>#N/A</v>
      </c>
      <c r="E97" s="25" t="e">
        <f t="shared" si="19"/>
        <v>#N/A</v>
      </c>
      <c r="F97" s="24" t="e">
        <f>_xlfn.XLOOKUP($A97,'Written Sales'!$A$8:$A$215,'Written Sales'!$Q$8:$Q$215)</f>
        <v>#N/A</v>
      </c>
      <c r="G97" s="24" t="e">
        <f>_xlfn.XLOOKUP($A97,'Delivered Sales'!$A$10:$A$107,'Delivered Sales'!$P$10:$P$107)</f>
        <v>#N/A</v>
      </c>
      <c r="H97" s="24" t="e">
        <f t="shared" si="20"/>
        <v>#N/A</v>
      </c>
      <c r="I97" s="25" t="e">
        <f t="shared" si="21"/>
        <v>#N/A</v>
      </c>
      <c r="K97">
        <f t="shared" si="22"/>
        <v>0</v>
      </c>
    </row>
    <row r="98" spans="1:11" x14ac:dyDescent="0.25">
      <c r="A98" s="23">
        <f>'Delivered Sales'!A101</f>
        <v>0</v>
      </c>
      <c r="B98" s="24" t="e">
        <f>_xlfn.XLOOKUP($A98,'Written Sales'!$A$8:$A$215,'Written Sales'!$D$8:$D$215)</f>
        <v>#N/A</v>
      </c>
      <c r="C98" s="24" t="e">
        <f>_xlfn.XLOOKUP($A98,'Delivered Sales'!$A$10:$A$107,'Delivered Sales'!$D$10:$D$107)</f>
        <v>#N/A</v>
      </c>
      <c r="D98" s="24" t="e">
        <f t="shared" si="18"/>
        <v>#N/A</v>
      </c>
      <c r="E98" s="25" t="e">
        <f t="shared" si="19"/>
        <v>#N/A</v>
      </c>
      <c r="F98" s="24" t="e">
        <f>_xlfn.XLOOKUP($A98,'Written Sales'!$A$8:$A$215,'Written Sales'!$Q$8:$Q$215)</f>
        <v>#N/A</v>
      </c>
      <c r="G98" s="24" t="e">
        <f>_xlfn.XLOOKUP($A98,'Delivered Sales'!$A$10:$A$107,'Delivered Sales'!$P$10:$P$107)</f>
        <v>#N/A</v>
      </c>
      <c r="H98" s="24" t="e">
        <f t="shared" si="20"/>
        <v>#N/A</v>
      </c>
      <c r="I98" s="25" t="e">
        <f t="shared" si="21"/>
        <v>#N/A</v>
      </c>
      <c r="K98">
        <f t="shared" si="22"/>
        <v>0</v>
      </c>
    </row>
    <row r="99" spans="1:11" x14ac:dyDescent="0.25">
      <c r="A99" s="23">
        <f>'Delivered Sales'!A102</f>
        <v>0</v>
      </c>
      <c r="B99" s="24" t="e">
        <f>_xlfn.XLOOKUP($A99,'Written Sales'!$A$8:$A$215,'Written Sales'!$D$8:$D$215)</f>
        <v>#N/A</v>
      </c>
      <c r="C99" s="24" t="e">
        <f>_xlfn.XLOOKUP($A99,'Delivered Sales'!$A$10:$A$107,'Delivered Sales'!$D$10:$D$107)</f>
        <v>#N/A</v>
      </c>
      <c r="D99" s="24" t="e">
        <f t="shared" si="18"/>
        <v>#N/A</v>
      </c>
      <c r="E99" s="25" t="e">
        <f t="shared" si="19"/>
        <v>#N/A</v>
      </c>
      <c r="F99" s="24" t="e">
        <f>_xlfn.XLOOKUP($A99,'Written Sales'!$A$8:$A$215,'Written Sales'!$Q$8:$Q$215)</f>
        <v>#N/A</v>
      </c>
      <c r="G99" s="24" t="e">
        <f>_xlfn.XLOOKUP($A99,'Delivered Sales'!$A$10:$A$107,'Delivered Sales'!$P$10:$P$107)</f>
        <v>#N/A</v>
      </c>
      <c r="H99" s="24" t="e">
        <f t="shared" si="20"/>
        <v>#N/A</v>
      </c>
      <c r="I99" s="25" t="e">
        <f t="shared" si="21"/>
        <v>#N/A</v>
      </c>
      <c r="K99">
        <f t="shared" si="22"/>
        <v>0</v>
      </c>
    </row>
    <row r="100" spans="1:11" x14ac:dyDescent="0.25">
      <c r="A100" s="23">
        <f>'Delivered Sales'!A103</f>
        <v>0</v>
      </c>
      <c r="B100" s="24" t="e">
        <f>_xlfn.XLOOKUP($A100,'Written Sales'!$A$8:$A$215,'Written Sales'!$D$8:$D$215)</f>
        <v>#N/A</v>
      </c>
      <c r="C100" s="24" t="e">
        <f>_xlfn.XLOOKUP($A100,'Delivered Sales'!$A$10:$A$107,'Delivered Sales'!$D$10:$D$107)</f>
        <v>#N/A</v>
      </c>
      <c r="D100" s="24" t="e">
        <f t="shared" si="18"/>
        <v>#N/A</v>
      </c>
      <c r="E100" s="25" t="e">
        <f t="shared" si="19"/>
        <v>#N/A</v>
      </c>
      <c r="F100" s="24" t="e">
        <f>_xlfn.XLOOKUP($A100,'Written Sales'!$A$8:$A$215,'Written Sales'!$Q$8:$Q$215)</f>
        <v>#N/A</v>
      </c>
      <c r="G100" s="24" t="e">
        <f>_xlfn.XLOOKUP($A100,'Delivered Sales'!$A$10:$A$107,'Delivered Sales'!$P$10:$P$107)</f>
        <v>#N/A</v>
      </c>
      <c r="H100" s="24" t="e">
        <f t="shared" si="20"/>
        <v>#N/A</v>
      </c>
      <c r="I100" s="25" t="e">
        <f t="shared" si="21"/>
        <v>#N/A</v>
      </c>
      <c r="K100">
        <f t="shared" si="22"/>
        <v>0</v>
      </c>
    </row>
    <row r="101" spans="1:11" x14ac:dyDescent="0.25">
      <c r="A101" s="23">
        <f>'Delivered Sales'!A104</f>
        <v>0</v>
      </c>
      <c r="B101" s="24" t="e">
        <f>_xlfn.XLOOKUP($A101,'Written Sales'!$A$8:$A$215,'Written Sales'!$D$8:$D$215)</f>
        <v>#N/A</v>
      </c>
      <c r="C101" s="24" t="e">
        <f>_xlfn.XLOOKUP($A101,'Delivered Sales'!$A$10:$A$107,'Delivered Sales'!$D$10:$D$107)</f>
        <v>#N/A</v>
      </c>
      <c r="D101" s="24" t="e">
        <f t="shared" si="18"/>
        <v>#N/A</v>
      </c>
      <c r="E101" s="25" t="e">
        <f t="shared" si="19"/>
        <v>#N/A</v>
      </c>
      <c r="F101" s="24" t="e">
        <f>_xlfn.XLOOKUP($A101,'Written Sales'!$A$8:$A$215,'Written Sales'!$Q$8:$Q$215)</f>
        <v>#N/A</v>
      </c>
      <c r="G101" s="24" t="e">
        <f>_xlfn.XLOOKUP($A101,'Delivered Sales'!$A$10:$A$107,'Delivered Sales'!$P$10:$P$107)</f>
        <v>#N/A</v>
      </c>
      <c r="H101" s="24" t="e">
        <f t="shared" si="20"/>
        <v>#N/A</v>
      </c>
      <c r="I101" s="25" t="e">
        <f t="shared" si="21"/>
        <v>#N/A</v>
      </c>
      <c r="K101">
        <f t="shared" si="22"/>
        <v>0</v>
      </c>
    </row>
    <row r="102" spans="1:11" x14ac:dyDescent="0.25">
      <c r="A102" s="23">
        <f>'Delivered Sales'!A105</f>
        <v>0</v>
      </c>
      <c r="B102" s="24" t="e">
        <f>_xlfn.XLOOKUP($A102,'Written Sales'!$A$8:$A$215,'Written Sales'!$D$8:$D$215)</f>
        <v>#N/A</v>
      </c>
      <c r="C102" s="24" t="e">
        <f>_xlfn.XLOOKUP($A102,'Delivered Sales'!$A$10:$A$107,'Delivered Sales'!$D$10:$D$107)</f>
        <v>#N/A</v>
      </c>
      <c r="D102" s="24" t="e">
        <f t="shared" si="18"/>
        <v>#N/A</v>
      </c>
      <c r="E102" s="25" t="e">
        <f t="shared" si="19"/>
        <v>#N/A</v>
      </c>
      <c r="F102" s="24" t="e">
        <f>_xlfn.XLOOKUP($A102,'Written Sales'!$A$8:$A$215,'Written Sales'!$Q$8:$Q$215)</f>
        <v>#N/A</v>
      </c>
      <c r="G102" s="24" t="e">
        <f>_xlfn.XLOOKUP($A102,'Delivered Sales'!$A$10:$A$107,'Delivered Sales'!$P$10:$P$107)</f>
        <v>#N/A</v>
      </c>
      <c r="H102" s="24" t="e">
        <f t="shared" si="20"/>
        <v>#N/A</v>
      </c>
      <c r="I102" s="25" t="e">
        <f t="shared" si="21"/>
        <v>#N/A</v>
      </c>
      <c r="K102">
        <f t="shared" si="22"/>
        <v>0</v>
      </c>
    </row>
    <row r="103" spans="1:11" x14ac:dyDescent="0.25">
      <c r="A103" s="23">
        <f>'Delivered Sales'!A106</f>
        <v>0</v>
      </c>
      <c r="B103" s="24" t="e">
        <f>_xlfn.XLOOKUP($A103,'Written Sales'!$A$8:$A$215,'Written Sales'!$D$8:$D$215)</f>
        <v>#N/A</v>
      </c>
      <c r="C103" s="24" t="e">
        <f>_xlfn.XLOOKUP($A103,'Delivered Sales'!$A$10:$A$107,'Delivered Sales'!$D$10:$D$107)</f>
        <v>#N/A</v>
      </c>
      <c r="D103" s="24" t="e">
        <f t="shared" si="18"/>
        <v>#N/A</v>
      </c>
      <c r="E103" s="25" t="e">
        <f t="shared" si="19"/>
        <v>#N/A</v>
      </c>
      <c r="F103" s="24" t="e">
        <f>_xlfn.XLOOKUP($A103,'Written Sales'!$A$8:$A$215,'Written Sales'!$Q$8:$Q$215)</f>
        <v>#N/A</v>
      </c>
      <c r="G103" s="24" t="e">
        <f>_xlfn.XLOOKUP($A103,'Delivered Sales'!$A$10:$A$107,'Delivered Sales'!$P$10:$P$107)</f>
        <v>#N/A</v>
      </c>
      <c r="H103" s="24" t="e">
        <f t="shared" si="20"/>
        <v>#N/A</v>
      </c>
      <c r="I103" s="25" t="e">
        <f t="shared" si="21"/>
        <v>#N/A</v>
      </c>
      <c r="K103">
        <f t="shared" si="22"/>
        <v>0</v>
      </c>
    </row>
    <row r="104" spans="1:11" x14ac:dyDescent="0.25">
      <c r="A104" s="23">
        <f>'Delivered Sales'!A107</f>
        <v>0</v>
      </c>
      <c r="B104" s="24" t="e">
        <f>_xlfn.XLOOKUP($A104,'Written Sales'!$A$8:$A$215,'Written Sales'!$D$8:$D$215)</f>
        <v>#N/A</v>
      </c>
      <c r="C104" s="24" t="e">
        <f>_xlfn.XLOOKUP($A104,'Delivered Sales'!$A$10:$A$107,'Delivered Sales'!$D$10:$D$107)</f>
        <v>#N/A</v>
      </c>
      <c r="D104" s="24" t="e">
        <f t="shared" si="18"/>
        <v>#N/A</v>
      </c>
      <c r="E104" s="25" t="e">
        <f t="shared" si="19"/>
        <v>#N/A</v>
      </c>
      <c r="F104" s="24" t="e">
        <f>_xlfn.XLOOKUP($A104,'Written Sales'!$A$8:$A$215,'Written Sales'!$Q$8:$Q$215)</f>
        <v>#N/A</v>
      </c>
      <c r="G104" s="24" t="e">
        <f>_xlfn.XLOOKUP($A104,'Delivered Sales'!$A$10:$A$107,'Delivered Sales'!$P$10:$P$107)</f>
        <v>#N/A</v>
      </c>
      <c r="H104" s="24" t="e">
        <f t="shared" si="20"/>
        <v>#N/A</v>
      </c>
      <c r="I104" s="25" t="e">
        <f t="shared" si="21"/>
        <v>#N/A</v>
      </c>
      <c r="K104">
        <f t="shared" si="22"/>
        <v>0</v>
      </c>
    </row>
    <row r="105" spans="1:11" x14ac:dyDescent="0.25">
      <c r="A105" s="26" t="s">
        <v>20</v>
      </c>
      <c r="B105" s="27" t="e">
        <f>SUM(B7:B104)</f>
        <v>#N/A</v>
      </c>
      <c r="C105" s="27" t="e">
        <f>SUM(C7:C104)</f>
        <v>#N/A</v>
      </c>
      <c r="D105" s="27" t="e">
        <f>SUM(D7:D104)</f>
        <v>#N/A</v>
      </c>
      <c r="E105" s="28" t="e">
        <f>B105/C105</f>
        <v>#N/A</v>
      </c>
      <c r="F105" s="27" t="e">
        <f>SUM(F7:F104)</f>
        <v>#N/A</v>
      </c>
      <c r="G105" s="27" t="e">
        <f>SUM(G7:G104)</f>
        <v>#N/A</v>
      </c>
      <c r="H105" s="27" t="e">
        <f>SUM(H7:H104)</f>
        <v>#N/A</v>
      </c>
      <c r="I105" s="28" t="e">
        <f>F105/G105</f>
        <v>#N/A</v>
      </c>
    </row>
  </sheetData>
  <mergeCells count="3">
    <mergeCell ref="Z4:AC4"/>
    <mergeCell ref="B5:E5"/>
    <mergeCell ref="F5:I5"/>
  </mergeCells>
  <phoneticPr fontId="13" type="noConversion"/>
  <conditionalFormatting sqref="D7:D104">
    <cfRule type="colorScale" priority="3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E7:E104">
    <cfRule type="colorScale" priority="5">
      <colorScale>
        <cfvo type="min"/>
        <cfvo type="num" val="1"/>
        <cfvo type="max"/>
        <color rgb="FFF8696B"/>
        <color rgb="FFFFFFFF"/>
        <color rgb="FF63BE7B"/>
      </colorScale>
    </cfRule>
  </conditionalFormatting>
  <conditionalFormatting sqref="H7:H104">
    <cfRule type="colorScale" priority="4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I7:I104">
    <cfRule type="colorScale" priority="6">
      <colorScale>
        <cfvo type="min"/>
        <cfvo type="num" val="1"/>
        <cfvo type="max"/>
        <color rgb="FFF8696B"/>
        <color rgb="FFFFFFFF"/>
        <color rgb="FF63BE7B"/>
      </colorScale>
    </cfRule>
  </conditionalFormatting>
  <conditionalFormatting sqref="P8:P59">
    <cfRule type="colorScale" priority="2">
      <colorScale>
        <cfvo type="min"/>
        <cfvo type="num" val="1"/>
        <cfvo type="max"/>
        <color rgb="FFF8696B"/>
        <color rgb="FFFFFFFF"/>
        <color rgb="FF63BE7B"/>
      </colorScale>
    </cfRule>
  </conditionalFormatting>
  <conditionalFormatting sqref="R8:R59">
    <cfRule type="colorScale" priority="1">
      <colorScale>
        <cfvo type="min"/>
        <cfvo type="num" val="1"/>
        <cfvo type="max"/>
        <color rgb="FFF8696B"/>
        <color rgb="FFFFFFFF"/>
        <color rgb="FF63BE7B"/>
      </colorScale>
    </cfRule>
  </conditionalFormatting>
  <conditionalFormatting sqref="V8:V59">
    <cfRule type="colorScale" priority="7">
      <colorScale>
        <cfvo type="min"/>
        <cfvo type="num" val="1"/>
        <cfvo type="max"/>
        <color rgb="FFF8696B"/>
        <color rgb="FFFFFFFF"/>
        <color rgb="FF63BE7B"/>
      </colorScale>
    </cfRule>
  </conditionalFormatting>
  <conditionalFormatting sqref="X8:X59">
    <cfRule type="colorScale" priority="8">
      <colorScale>
        <cfvo type="min"/>
        <cfvo type="num" val="1"/>
        <cfvo type="max"/>
        <color rgb="FFF8696B"/>
        <color rgb="FFFFFFFF"/>
        <color rgb="FF63BE7B"/>
      </colorScale>
    </cfRule>
  </conditionalFormatting>
  <conditionalFormatting sqref="AB8:AC59">
    <cfRule type="colorScale" priority="9">
      <colorScale>
        <cfvo type="min"/>
        <cfvo type="num" val="1"/>
        <cfvo type="max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79D2-9C65-45A0-9C4D-5C19E7D1A636}">
  <dimension ref="A1:B910"/>
  <sheetViews>
    <sheetView topLeftCell="A898" workbookViewId="0">
      <selection activeCell="B744" sqref="B744:B746"/>
    </sheetView>
  </sheetViews>
  <sheetFormatPr defaultRowHeight="15" x14ac:dyDescent="0.25"/>
  <cols>
    <col min="1" max="1" width="21.85546875" style="12" bestFit="1" customWidth="1"/>
    <col min="2" max="2" width="19.7109375" style="13" bestFit="1" customWidth="1"/>
  </cols>
  <sheetData>
    <row r="1" spans="1:2" x14ac:dyDescent="0.25">
      <c r="A1" s="4" t="s">
        <v>263</v>
      </c>
      <c r="B1" s="5"/>
    </row>
    <row r="2" spans="1:2" x14ac:dyDescent="0.25">
      <c r="A2" s="6" t="s">
        <v>264</v>
      </c>
      <c r="B2" s="7" t="s">
        <v>265</v>
      </c>
    </row>
    <row r="3" spans="1:2" ht="24.75" x14ac:dyDescent="0.25">
      <c r="A3" s="6" t="s">
        <v>266</v>
      </c>
      <c r="B3" s="6" t="s">
        <v>267</v>
      </c>
    </row>
    <row r="4" spans="1:2" x14ac:dyDescent="0.25">
      <c r="A4" s="6" t="s">
        <v>268</v>
      </c>
      <c r="B4" s="6" t="s">
        <v>269</v>
      </c>
    </row>
    <row r="5" spans="1:2" x14ac:dyDescent="0.25">
      <c r="A5" s="6" t="s">
        <v>270</v>
      </c>
      <c r="B5" s="7" t="s">
        <v>271</v>
      </c>
    </row>
    <row r="6" spans="1:2" x14ac:dyDescent="0.25">
      <c r="A6" s="6" t="s">
        <v>272</v>
      </c>
      <c r="B6" s="6" t="s">
        <v>255</v>
      </c>
    </row>
    <row r="7" spans="1:2" x14ac:dyDescent="0.25">
      <c r="A7" s="6"/>
      <c r="B7" s="6"/>
    </row>
    <row r="8" spans="1:2" x14ac:dyDescent="0.25">
      <c r="A8" s="6"/>
      <c r="B8" s="6"/>
    </row>
    <row r="9" spans="1:2" x14ac:dyDescent="0.25">
      <c r="A9" s="7" t="s">
        <v>273</v>
      </c>
      <c r="B9" s="7" t="s">
        <v>274</v>
      </c>
    </row>
    <row r="10" spans="1:2" x14ac:dyDescent="0.25">
      <c r="A10" s="6" t="s">
        <v>275</v>
      </c>
      <c r="B10" s="8">
        <v>46234</v>
      </c>
    </row>
    <row r="11" spans="1:2" x14ac:dyDescent="0.25">
      <c r="A11" s="6" t="s">
        <v>276</v>
      </c>
      <c r="B11" s="7" t="s">
        <v>277</v>
      </c>
    </row>
    <row r="12" spans="1:2" x14ac:dyDescent="0.25">
      <c r="A12" s="9">
        <v>44929</v>
      </c>
      <c r="B12" s="10">
        <v>1.0760000000000001</v>
      </c>
    </row>
    <row r="13" spans="1:2" x14ac:dyDescent="0.25">
      <c r="A13" s="9">
        <v>44930</v>
      </c>
      <c r="B13" s="10">
        <v>1.0851</v>
      </c>
    </row>
    <row r="14" spans="1:2" x14ac:dyDescent="0.25">
      <c r="A14" s="9">
        <v>44931</v>
      </c>
      <c r="B14" s="10">
        <v>1.0851999999999999</v>
      </c>
    </row>
    <row r="15" spans="1:2" x14ac:dyDescent="0.25">
      <c r="A15" s="9">
        <v>44932</v>
      </c>
      <c r="B15" s="10">
        <v>1.0839000000000001</v>
      </c>
    </row>
    <row r="16" spans="1:2" x14ac:dyDescent="0.25">
      <c r="A16" s="9">
        <v>44935</v>
      </c>
      <c r="B16" s="10">
        <v>1.083</v>
      </c>
    </row>
    <row r="17" spans="1:2" x14ac:dyDescent="0.25">
      <c r="A17" s="9">
        <v>44936</v>
      </c>
      <c r="B17" s="10">
        <v>1.0832999999999999</v>
      </c>
    </row>
    <row r="18" spans="1:2" x14ac:dyDescent="0.25">
      <c r="A18" s="9">
        <v>44937</v>
      </c>
      <c r="B18" s="10">
        <v>1.0831999999999999</v>
      </c>
    </row>
    <row r="19" spans="1:2" x14ac:dyDescent="0.25">
      <c r="A19" s="9">
        <v>44938</v>
      </c>
      <c r="B19" s="10">
        <v>1.0853999999999999</v>
      </c>
    </row>
    <row r="20" spans="1:2" x14ac:dyDescent="0.25">
      <c r="A20" s="9">
        <v>44939</v>
      </c>
      <c r="B20" s="10">
        <v>1.0912999999999999</v>
      </c>
    </row>
    <row r="21" spans="1:2" x14ac:dyDescent="0.25">
      <c r="A21" s="9">
        <v>44942</v>
      </c>
      <c r="B21" s="10">
        <v>1.091</v>
      </c>
    </row>
    <row r="22" spans="1:2" x14ac:dyDescent="0.25">
      <c r="A22" s="9">
        <v>44943</v>
      </c>
      <c r="B22" s="10">
        <v>1.0891999999999999</v>
      </c>
    </row>
    <row r="23" spans="1:2" x14ac:dyDescent="0.25">
      <c r="A23" s="9">
        <v>44944</v>
      </c>
      <c r="B23" s="10">
        <v>1.0838000000000001</v>
      </c>
    </row>
    <row r="24" spans="1:2" x14ac:dyDescent="0.25">
      <c r="A24" s="9">
        <v>44945</v>
      </c>
      <c r="B24" s="10">
        <v>1.0755999999999999</v>
      </c>
    </row>
    <row r="25" spans="1:2" x14ac:dyDescent="0.25">
      <c r="A25" s="9">
        <v>44946</v>
      </c>
      <c r="B25" s="10">
        <v>1.0799000000000001</v>
      </c>
    </row>
    <row r="26" spans="1:2" x14ac:dyDescent="0.25">
      <c r="A26" s="9">
        <v>44949</v>
      </c>
      <c r="B26" s="10">
        <v>1.0781000000000001</v>
      </c>
    </row>
    <row r="27" spans="1:2" x14ac:dyDescent="0.25">
      <c r="A27" s="9">
        <v>44950</v>
      </c>
      <c r="B27" s="10">
        <v>1.0822000000000001</v>
      </c>
    </row>
    <row r="28" spans="1:2" x14ac:dyDescent="0.25">
      <c r="A28" s="9">
        <v>44951</v>
      </c>
      <c r="B28" s="10">
        <v>1.0941000000000001</v>
      </c>
    </row>
    <row r="29" spans="1:2" x14ac:dyDescent="0.25">
      <c r="A29" s="9">
        <v>44953</v>
      </c>
      <c r="B29" s="10">
        <v>1.0953999999999999</v>
      </c>
    </row>
    <row r="30" spans="1:2" x14ac:dyDescent="0.25">
      <c r="A30" s="9">
        <v>44956</v>
      </c>
      <c r="B30" s="10">
        <v>1.0916999999999999</v>
      </c>
    </row>
    <row r="31" spans="1:2" x14ac:dyDescent="0.25">
      <c r="A31" s="9">
        <v>44957</v>
      </c>
      <c r="B31" s="10">
        <v>1.0911999999999999</v>
      </c>
    </row>
    <row r="32" spans="1:2" x14ac:dyDescent="0.25">
      <c r="A32" s="9">
        <v>44958</v>
      </c>
      <c r="B32" s="10">
        <v>1.0982000000000001</v>
      </c>
    </row>
    <row r="33" spans="1:2" x14ac:dyDescent="0.25">
      <c r="A33" s="9">
        <v>44959</v>
      </c>
      <c r="B33" s="10">
        <v>1.0943000000000001</v>
      </c>
    </row>
    <row r="34" spans="1:2" x14ac:dyDescent="0.25">
      <c r="A34" s="9">
        <v>44960</v>
      </c>
      <c r="B34" s="10">
        <v>1.091</v>
      </c>
    </row>
    <row r="35" spans="1:2" x14ac:dyDescent="0.25">
      <c r="A35" s="9">
        <v>44963</v>
      </c>
      <c r="B35" s="10">
        <v>1.0968</v>
      </c>
    </row>
    <row r="36" spans="1:2" x14ac:dyDescent="0.25">
      <c r="A36" s="9">
        <v>44964</v>
      </c>
      <c r="B36" s="10">
        <v>1.0967</v>
      </c>
    </row>
    <row r="37" spans="1:2" x14ac:dyDescent="0.25">
      <c r="A37" s="9">
        <v>44965</v>
      </c>
      <c r="B37" s="10">
        <v>1.1007</v>
      </c>
    </row>
    <row r="38" spans="1:2" x14ac:dyDescent="0.25">
      <c r="A38" s="9">
        <v>44966</v>
      </c>
      <c r="B38" s="10">
        <v>1.0963000000000001</v>
      </c>
    </row>
    <row r="39" spans="1:2" x14ac:dyDescent="0.25">
      <c r="A39" s="9">
        <v>44967</v>
      </c>
      <c r="B39" s="10">
        <v>1.0978000000000001</v>
      </c>
    </row>
    <row r="40" spans="1:2" x14ac:dyDescent="0.25">
      <c r="A40" s="9">
        <v>44970</v>
      </c>
      <c r="B40" s="10">
        <v>1.0955999999999999</v>
      </c>
    </row>
    <row r="41" spans="1:2" x14ac:dyDescent="0.25">
      <c r="A41" s="9">
        <v>44971</v>
      </c>
      <c r="B41" s="10">
        <v>1.0986</v>
      </c>
    </row>
    <row r="42" spans="1:2" x14ac:dyDescent="0.25">
      <c r="A42" s="9">
        <v>44972</v>
      </c>
      <c r="B42" s="10">
        <v>1.1006</v>
      </c>
    </row>
    <row r="43" spans="1:2" x14ac:dyDescent="0.25">
      <c r="A43" s="9">
        <v>44973</v>
      </c>
      <c r="B43" s="10">
        <v>1.0984</v>
      </c>
    </row>
    <row r="44" spans="1:2" x14ac:dyDescent="0.25">
      <c r="A44" s="9">
        <v>44974</v>
      </c>
      <c r="B44" s="10">
        <v>1.0998000000000001</v>
      </c>
    </row>
    <row r="45" spans="1:2" x14ac:dyDescent="0.25">
      <c r="A45" s="9">
        <v>44977</v>
      </c>
      <c r="B45" s="10">
        <v>1.1040000000000001</v>
      </c>
    </row>
    <row r="46" spans="1:2" x14ac:dyDescent="0.25">
      <c r="A46" s="9">
        <v>44978</v>
      </c>
      <c r="B46" s="10">
        <v>1.1044</v>
      </c>
    </row>
    <row r="47" spans="1:2" x14ac:dyDescent="0.25">
      <c r="A47" s="9">
        <v>44979</v>
      </c>
      <c r="B47" s="10">
        <v>1.0983000000000001</v>
      </c>
    </row>
    <row r="48" spans="1:2" x14ac:dyDescent="0.25">
      <c r="A48" s="9">
        <v>44980</v>
      </c>
      <c r="B48" s="10">
        <v>1.0928</v>
      </c>
    </row>
    <row r="49" spans="1:2" x14ac:dyDescent="0.25">
      <c r="A49" s="9">
        <v>44981</v>
      </c>
      <c r="B49" s="10">
        <v>1.0927</v>
      </c>
    </row>
    <row r="50" spans="1:2" x14ac:dyDescent="0.25">
      <c r="A50" s="9">
        <v>44984</v>
      </c>
      <c r="B50" s="10">
        <v>1.0923</v>
      </c>
    </row>
    <row r="51" spans="1:2" x14ac:dyDescent="0.25">
      <c r="A51" s="9">
        <v>44985</v>
      </c>
      <c r="B51" s="10">
        <v>1.0931999999999999</v>
      </c>
    </row>
    <row r="52" spans="1:2" x14ac:dyDescent="0.25">
      <c r="A52" s="9">
        <v>44986</v>
      </c>
      <c r="B52" s="10">
        <v>1.0874999999999999</v>
      </c>
    </row>
    <row r="53" spans="1:2" x14ac:dyDescent="0.25">
      <c r="A53" s="9">
        <v>44987</v>
      </c>
      <c r="B53" s="10">
        <v>1.0827</v>
      </c>
    </row>
    <row r="54" spans="1:2" x14ac:dyDescent="0.25">
      <c r="A54" s="9">
        <v>44988</v>
      </c>
      <c r="B54" s="10">
        <v>1.0834999999999999</v>
      </c>
    </row>
    <row r="55" spans="1:2" x14ac:dyDescent="0.25">
      <c r="A55" s="9">
        <v>44991</v>
      </c>
      <c r="B55" s="10">
        <v>1.0873999999999999</v>
      </c>
    </row>
    <row r="56" spans="1:2" x14ac:dyDescent="0.25">
      <c r="A56" s="9">
        <v>44992</v>
      </c>
      <c r="B56" s="10">
        <v>1.0820000000000001</v>
      </c>
    </row>
    <row r="57" spans="1:2" x14ac:dyDescent="0.25">
      <c r="A57" s="9">
        <v>44993</v>
      </c>
      <c r="B57" s="10">
        <v>1.0807</v>
      </c>
    </row>
    <row r="58" spans="1:2" x14ac:dyDescent="0.25">
      <c r="A58" s="9">
        <v>44994</v>
      </c>
      <c r="B58" s="10">
        <v>1.0793999999999999</v>
      </c>
    </row>
    <row r="59" spans="1:2" x14ac:dyDescent="0.25">
      <c r="A59" s="9">
        <v>44995</v>
      </c>
      <c r="B59" s="10">
        <v>1.0802</v>
      </c>
    </row>
    <row r="60" spans="1:2" x14ac:dyDescent="0.25">
      <c r="A60" s="9">
        <v>44998</v>
      </c>
      <c r="B60" s="10">
        <v>1.0757000000000001</v>
      </c>
    </row>
    <row r="61" spans="1:2" x14ac:dyDescent="0.25">
      <c r="A61" s="9">
        <v>44999</v>
      </c>
      <c r="B61" s="10">
        <v>1.0707</v>
      </c>
    </row>
    <row r="62" spans="1:2" x14ac:dyDescent="0.25">
      <c r="A62" s="9">
        <v>45000</v>
      </c>
      <c r="B62" s="10">
        <v>1.0753999999999999</v>
      </c>
    </row>
    <row r="63" spans="1:2" x14ac:dyDescent="0.25">
      <c r="A63" s="9">
        <v>45001</v>
      </c>
      <c r="B63" s="10">
        <v>1.0770999999999999</v>
      </c>
    </row>
    <row r="64" spans="1:2" x14ac:dyDescent="0.25">
      <c r="A64" s="9">
        <v>45002</v>
      </c>
      <c r="B64" s="10">
        <v>1.0755999999999999</v>
      </c>
    </row>
    <row r="65" spans="1:2" x14ac:dyDescent="0.25">
      <c r="A65" s="9">
        <v>45005</v>
      </c>
      <c r="B65" s="10">
        <v>1.0690999999999999</v>
      </c>
    </row>
    <row r="66" spans="1:2" x14ac:dyDescent="0.25">
      <c r="A66" s="9">
        <v>45006</v>
      </c>
      <c r="B66" s="10">
        <v>1.0769</v>
      </c>
    </row>
    <row r="67" spans="1:2" x14ac:dyDescent="0.25">
      <c r="A67" s="9">
        <v>45007</v>
      </c>
      <c r="B67" s="10">
        <v>1.0798000000000001</v>
      </c>
    </row>
    <row r="68" spans="1:2" x14ac:dyDescent="0.25">
      <c r="A68" s="9">
        <v>45008</v>
      </c>
      <c r="B68" s="10">
        <v>1.0730999999999999</v>
      </c>
    </row>
    <row r="69" spans="1:2" x14ac:dyDescent="0.25">
      <c r="A69" s="9">
        <v>45009</v>
      </c>
      <c r="B69" s="10">
        <v>1.0720000000000001</v>
      </c>
    </row>
    <row r="70" spans="1:2" x14ac:dyDescent="0.25">
      <c r="A70" s="9">
        <v>45012</v>
      </c>
      <c r="B70" s="10">
        <v>1.0722</v>
      </c>
    </row>
    <row r="71" spans="1:2" x14ac:dyDescent="0.25">
      <c r="A71" s="9">
        <v>45013</v>
      </c>
      <c r="B71" s="10">
        <v>1.0738000000000001</v>
      </c>
    </row>
    <row r="72" spans="1:2" x14ac:dyDescent="0.25">
      <c r="A72" s="9">
        <v>45014</v>
      </c>
      <c r="B72" s="10">
        <v>1.0708</v>
      </c>
    </row>
    <row r="73" spans="1:2" x14ac:dyDescent="0.25">
      <c r="A73" s="9">
        <v>45015</v>
      </c>
      <c r="B73" s="10">
        <v>1.0755999999999999</v>
      </c>
    </row>
    <row r="74" spans="1:2" x14ac:dyDescent="0.25">
      <c r="A74" s="9">
        <v>45016</v>
      </c>
      <c r="B74" s="10">
        <v>1.0683</v>
      </c>
    </row>
    <row r="75" spans="1:2" x14ac:dyDescent="0.25">
      <c r="A75" s="9">
        <v>45019</v>
      </c>
      <c r="B75" s="10">
        <v>1.0723</v>
      </c>
    </row>
    <row r="76" spans="1:2" x14ac:dyDescent="0.25">
      <c r="A76" s="9">
        <v>45020</v>
      </c>
      <c r="B76" s="10">
        <v>1.0743</v>
      </c>
    </row>
    <row r="77" spans="1:2" x14ac:dyDescent="0.25">
      <c r="A77" s="9">
        <v>45021</v>
      </c>
      <c r="B77" s="10">
        <v>1.0616000000000001</v>
      </c>
    </row>
    <row r="78" spans="1:2" x14ac:dyDescent="0.25">
      <c r="A78" s="9">
        <v>45022</v>
      </c>
      <c r="B78" s="10">
        <v>1.0653999999999999</v>
      </c>
    </row>
    <row r="79" spans="1:2" x14ac:dyDescent="0.25">
      <c r="A79" s="9">
        <v>45027</v>
      </c>
      <c r="B79" s="10">
        <v>1.0719000000000001</v>
      </c>
    </row>
    <row r="80" spans="1:2" x14ac:dyDescent="0.25">
      <c r="A80" s="9">
        <v>45028</v>
      </c>
      <c r="B80" s="10">
        <v>1.0763</v>
      </c>
    </row>
    <row r="81" spans="1:2" x14ac:dyDescent="0.25">
      <c r="A81" s="9">
        <v>45029</v>
      </c>
      <c r="B81" s="10">
        <v>1.0791999999999999</v>
      </c>
    </row>
    <row r="82" spans="1:2" x14ac:dyDescent="0.25">
      <c r="A82" s="9">
        <v>45030</v>
      </c>
      <c r="B82" s="10">
        <v>1.0744</v>
      </c>
    </row>
    <row r="83" spans="1:2" x14ac:dyDescent="0.25">
      <c r="A83" s="9">
        <v>45033</v>
      </c>
      <c r="B83" s="10">
        <v>1.0831999999999999</v>
      </c>
    </row>
    <row r="84" spans="1:2" x14ac:dyDescent="0.25">
      <c r="A84" s="9">
        <v>45034</v>
      </c>
      <c r="B84" s="10">
        <v>1.0868</v>
      </c>
    </row>
    <row r="85" spans="1:2" x14ac:dyDescent="0.25">
      <c r="A85" s="9">
        <v>45035</v>
      </c>
      <c r="B85" s="10">
        <v>1.0853999999999999</v>
      </c>
    </row>
    <row r="86" spans="1:2" x14ac:dyDescent="0.25">
      <c r="A86" s="9">
        <v>45036</v>
      </c>
      <c r="B86" s="10">
        <v>1.0889</v>
      </c>
    </row>
    <row r="87" spans="1:2" x14ac:dyDescent="0.25">
      <c r="A87" s="9">
        <v>45037</v>
      </c>
      <c r="B87" s="10">
        <v>1.0900000000000001</v>
      </c>
    </row>
    <row r="88" spans="1:2" x14ac:dyDescent="0.25">
      <c r="A88" s="9">
        <v>45040</v>
      </c>
      <c r="B88" s="10">
        <v>1.0893999999999999</v>
      </c>
    </row>
    <row r="89" spans="1:2" x14ac:dyDescent="0.25">
      <c r="A89" s="9">
        <v>45042</v>
      </c>
      <c r="B89" s="10">
        <v>1.0775999999999999</v>
      </c>
    </row>
    <row r="90" spans="1:2" x14ac:dyDescent="0.25">
      <c r="A90" s="9">
        <v>45043</v>
      </c>
      <c r="B90" s="10">
        <v>1.0777000000000001</v>
      </c>
    </row>
    <row r="91" spans="1:2" x14ac:dyDescent="0.25">
      <c r="A91" s="9">
        <v>45044</v>
      </c>
      <c r="B91" s="10">
        <v>1.0764</v>
      </c>
    </row>
    <row r="92" spans="1:2" x14ac:dyDescent="0.25">
      <c r="A92" s="9">
        <v>45047</v>
      </c>
      <c r="B92" s="10">
        <v>1.0729</v>
      </c>
    </row>
    <row r="93" spans="1:2" x14ac:dyDescent="0.25">
      <c r="A93" s="9">
        <v>45048</v>
      </c>
      <c r="B93" s="10">
        <v>1.0825</v>
      </c>
    </row>
    <row r="94" spans="1:2" x14ac:dyDescent="0.25">
      <c r="A94" s="9">
        <v>45049</v>
      </c>
      <c r="B94" s="10">
        <v>1.0692999999999999</v>
      </c>
    </row>
    <row r="95" spans="1:2" x14ac:dyDescent="0.25">
      <c r="A95" s="9">
        <v>45050</v>
      </c>
      <c r="B95" s="10">
        <v>1.0707</v>
      </c>
    </row>
    <row r="96" spans="1:2" x14ac:dyDescent="0.25">
      <c r="A96" s="9">
        <v>45051</v>
      </c>
      <c r="B96" s="10">
        <v>1.0680000000000001</v>
      </c>
    </row>
    <row r="97" spans="1:2" x14ac:dyDescent="0.25">
      <c r="A97" s="9">
        <v>45054</v>
      </c>
      <c r="B97" s="10">
        <v>1.0733999999999999</v>
      </c>
    </row>
    <row r="98" spans="1:2" x14ac:dyDescent="0.25">
      <c r="A98" s="9">
        <v>45055</v>
      </c>
      <c r="B98" s="10">
        <v>1.0692999999999999</v>
      </c>
    </row>
    <row r="99" spans="1:2" x14ac:dyDescent="0.25">
      <c r="A99" s="9">
        <v>45056</v>
      </c>
      <c r="B99" s="10">
        <v>1.0665</v>
      </c>
    </row>
    <row r="100" spans="1:2" x14ac:dyDescent="0.25">
      <c r="A100" s="9">
        <v>45057</v>
      </c>
      <c r="B100" s="10">
        <v>1.0631999999999999</v>
      </c>
    </row>
    <row r="101" spans="1:2" x14ac:dyDescent="0.25">
      <c r="A101" s="9">
        <v>45058</v>
      </c>
      <c r="B101" s="10">
        <v>1.0697000000000001</v>
      </c>
    </row>
    <row r="102" spans="1:2" x14ac:dyDescent="0.25">
      <c r="A102" s="9">
        <v>45061</v>
      </c>
      <c r="B102" s="10">
        <v>1.075</v>
      </c>
    </row>
    <row r="103" spans="1:2" x14ac:dyDescent="0.25">
      <c r="A103" s="9">
        <v>45062</v>
      </c>
      <c r="B103" s="10">
        <v>1.0702</v>
      </c>
    </row>
    <row r="104" spans="1:2" x14ac:dyDescent="0.25">
      <c r="A104" s="9">
        <v>45063</v>
      </c>
      <c r="B104" s="10">
        <v>1.0650999999999999</v>
      </c>
    </row>
    <row r="105" spans="1:2" x14ac:dyDescent="0.25">
      <c r="A105" s="9">
        <v>45064</v>
      </c>
      <c r="B105" s="10">
        <v>1.0632999999999999</v>
      </c>
    </row>
    <row r="106" spans="1:2" x14ac:dyDescent="0.25">
      <c r="A106" s="9">
        <v>45065</v>
      </c>
      <c r="B106" s="10">
        <v>1.0629999999999999</v>
      </c>
    </row>
    <row r="107" spans="1:2" x14ac:dyDescent="0.25">
      <c r="A107" s="9">
        <v>45068</v>
      </c>
      <c r="B107" s="10">
        <v>1.0575000000000001</v>
      </c>
    </row>
    <row r="108" spans="1:2" x14ac:dyDescent="0.25">
      <c r="A108" s="9">
        <v>45069</v>
      </c>
      <c r="B108" s="10">
        <v>1.0596000000000001</v>
      </c>
    </row>
    <row r="109" spans="1:2" x14ac:dyDescent="0.25">
      <c r="A109" s="9">
        <v>45070</v>
      </c>
      <c r="B109" s="10">
        <v>1.0706</v>
      </c>
    </row>
    <row r="110" spans="1:2" x14ac:dyDescent="0.25">
      <c r="A110" s="9">
        <v>45071</v>
      </c>
      <c r="B110" s="10">
        <v>1.0728</v>
      </c>
    </row>
    <row r="111" spans="1:2" x14ac:dyDescent="0.25">
      <c r="A111" s="9">
        <v>45072</v>
      </c>
      <c r="B111" s="10">
        <v>1.0732999999999999</v>
      </c>
    </row>
    <row r="112" spans="1:2" x14ac:dyDescent="0.25">
      <c r="A112" s="9">
        <v>45075</v>
      </c>
      <c r="B112" s="10">
        <v>1.0789</v>
      </c>
    </row>
    <row r="113" spans="1:2" x14ac:dyDescent="0.25">
      <c r="A113" s="9">
        <v>45076</v>
      </c>
      <c r="B113" s="10">
        <v>1.0795999999999999</v>
      </c>
    </row>
    <row r="114" spans="1:2" x14ac:dyDescent="0.25">
      <c r="A114" s="9">
        <v>45077</v>
      </c>
      <c r="B114" s="10">
        <v>1.0813999999999999</v>
      </c>
    </row>
    <row r="115" spans="1:2" x14ac:dyDescent="0.25">
      <c r="A115" s="9">
        <v>45078</v>
      </c>
      <c r="B115" s="10">
        <v>1.0843</v>
      </c>
    </row>
    <row r="116" spans="1:2" x14ac:dyDescent="0.25">
      <c r="A116" s="9">
        <v>45079</v>
      </c>
      <c r="B116" s="10">
        <v>1.0846</v>
      </c>
    </row>
    <row r="117" spans="1:2" x14ac:dyDescent="0.25">
      <c r="A117" s="9">
        <v>45082</v>
      </c>
      <c r="B117" s="10">
        <v>1.0896999999999999</v>
      </c>
    </row>
    <row r="118" spans="1:2" x14ac:dyDescent="0.25">
      <c r="A118" s="9">
        <v>45083</v>
      </c>
      <c r="B118" s="10">
        <v>1.0943000000000001</v>
      </c>
    </row>
    <row r="119" spans="1:2" x14ac:dyDescent="0.25">
      <c r="A119" s="9">
        <v>45084</v>
      </c>
      <c r="B119" s="10">
        <v>1.0998000000000001</v>
      </c>
    </row>
    <row r="120" spans="1:2" x14ac:dyDescent="0.25">
      <c r="A120" s="9">
        <v>45085</v>
      </c>
      <c r="B120" s="10">
        <v>1.1012999999999999</v>
      </c>
    </row>
    <row r="121" spans="1:2" x14ac:dyDescent="0.25">
      <c r="A121" s="9">
        <v>45086</v>
      </c>
      <c r="B121" s="10">
        <v>1.1008</v>
      </c>
    </row>
    <row r="122" spans="1:2" x14ac:dyDescent="0.25">
      <c r="A122" s="9">
        <v>45090</v>
      </c>
      <c r="B122" s="10">
        <v>1.1040000000000001</v>
      </c>
    </row>
    <row r="123" spans="1:2" x14ac:dyDescent="0.25">
      <c r="A123" s="9">
        <v>45091</v>
      </c>
      <c r="B123" s="10">
        <v>1.1012</v>
      </c>
    </row>
    <row r="124" spans="1:2" x14ac:dyDescent="0.25">
      <c r="A124" s="9">
        <v>45092</v>
      </c>
      <c r="B124" s="10">
        <v>1.101</v>
      </c>
    </row>
    <row r="125" spans="1:2" x14ac:dyDescent="0.25">
      <c r="A125" s="9">
        <v>45093</v>
      </c>
      <c r="B125" s="10">
        <v>1.1042000000000001</v>
      </c>
    </row>
    <row r="126" spans="1:2" x14ac:dyDescent="0.25">
      <c r="A126" s="9">
        <v>45096</v>
      </c>
      <c r="B126" s="10">
        <v>1.1034999999999999</v>
      </c>
    </row>
    <row r="127" spans="1:2" x14ac:dyDescent="0.25">
      <c r="A127" s="9">
        <v>45097</v>
      </c>
      <c r="B127" s="10">
        <v>1.1014999999999999</v>
      </c>
    </row>
    <row r="128" spans="1:2" x14ac:dyDescent="0.25">
      <c r="A128" s="9">
        <v>45098</v>
      </c>
      <c r="B128" s="10">
        <v>1.0972</v>
      </c>
    </row>
    <row r="129" spans="1:2" x14ac:dyDescent="0.25">
      <c r="A129" s="9">
        <v>45099</v>
      </c>
      <c r="B129" s="10">
        <v>1.0929</v>
      </c>
    </row>
    <row r="130" spans="1:2" x14ac:dyDescent="0.25">
      <c r="A130" s="9">
        <v>45100</v>
      </c>
      <c r="B130" s="10">
        <v>1.0909</v>
      </c>
    </row>
    <row r="131" spans="1:2" x14ac:dyDescent="0.25">
      <c r="A131" s="9">
        <v>45103</v>
      </c>
      <c r="B131" s="10">
        <v>1.0841000000000001</v>
      </c>
    </row>
    <row r="132" spans="1:2" x14ac:dyDescent="0.25">
      <c r="A132" s="9">
        <v>45104</v>
      </c>
      <c r="B132" s="10">
        <v>1.0851999999999999</v>
      </c>
    </row>
    <row r="133" spans="1:2" x14ac:dyDescent="0.25">
      <c r="A133" s="9">
        <v>45105</v>
      </c>
      <c r="B133" s="10">
        <v>1.0873999999999999</v>
      </c>
    </row>
    <row r="134" spans="1:2" x14ac:dyDescent="0.25">
      <c r="A134" s="9">
        <v>45106</v>
      </c>
      <c r="B134" s="10">
        <v>1.0880000000000001</v>
      </c>
    </row>
    <row r="135" spans="1:2" x14ac:dyDescent="0.25">
      <c r="A135" s="9">
        <v>45107</v>
      </c>
      <c r="B135" s="10">
        <v>1.0883</v>
      </c>
    </row>
    <row r="136" spans="1:2" x14ac:dyDescent="0.25">
      <c r="A136" s="9">
        <v>45110</v>
      </c>
      <c r="B136" s="10">
        <v>1.0851999999999999</v>
      </c>
    </row>
    <row r="137" spans="1:2" x14ac:dyDescent="0.25">
      <c r="A137" s="9">
        <v>45111</v>
      </c>
      <c r="B137" s="10">
        <v>1.0818000000000001</v>
      </c>
    </row>
    <row r="138" spans="1:2" x14ac:dyDescent="0.25">
      <c r="A138" s="9">
        <v>45112</v>
      </c>
      <c r="B138" s="10">
        <v>1.0789</v>
      </c>
    </row>
    <row r="139" spans="1:2" x14ac:dyDescent="0.25">
      <c r="A139" s="9">
        <v>45113</v>
      </c>
      <c r="B139" s="10">
        <v>1.0766</v>
      </c>
    </row>
    <row r="140" spans="1:2" x14ac:dyDescent="0.25">
      <c r="A140" s="9">
        <v>45114</v>
      </c>
      <c r="B140" s="10">
        <v>1.0766</v>
      </c>
    </row>
    <row r="141" spans="1:2" x14ac:dyDescent="0.25">
      <c r="A141" s="9">
        <v>45117</v>
      </c>
      <c r="B141" s="10">
        <v>1.0777000000000001</v>
      </c>
    </row>
    <row r="142" spans="1:2" x14ac:dyDescent="0.25">
      <c r="A142" s="9">
        <v>45118</v>
      </c>
      <c r="B142" s="10">
        <v>1.0767</v>
      </c>
    </row>
    <row r="143" spans="1:2" x14ac:dyDescent="0.25">
      <c r="A143" s="9">
        <v>45119</v>
      </c>
      <c r="B143" s="10">
        <v>1.0798000000000001</v>
      </c>
    </row>
    <row r="144" spans="1:2" x14ac:dyDescent="0.25">
      <c r="A144" s="9">
        <v>45120</v>
      </c>
      <c r="B144" s="10">
        <v>1.0760000000000001</v>
      </c>
    </row>
    <row r="145" spans="1:2" x14ac:dyDescent="0.25">
      <c r="A145" s="9">
        <v>45121</v>
      </c>
      <c r="B145" s="10">
        <v>1.0767</v>
      </c>
    </row>
    <row r="146" spans="1:2" x14ac:dyDescent="0.25">
      <c r="A146" s="9">
        <v>45124</v>
      </c>
      <c r="B146" s="10">
        <v>1.0730999999999999</v>
      </c>
    </row>
    <row r="147" spans="1:2" x14ac:dyDescent="0.25">
      <c r="A147" s="9">
        <v>45125</v>
      </c>
      <c r="B147" s="10">
        <v>1.0781000000000001</v>
      </c>
    </row>
    <row r="148" spans="1:2" x14ac:dyDescent="0.25">
      <c r="A148" s="9">
        <v>45126</v>
      </c>
      <c r="B148" s="10">
        <v>1.0858000000000001</v>
      </c>
    </row>
    <row r="149" spans="1:2" x14ac:dyDescent="0.25">
      <c r="A149" s="9">
        <v>45127</v>
      </c>
      <c r="B149" s="10">
        <v>1.0843</v>
      </c>
    </row>
    <row r="150" spans="1:2" x14ac:dyDescent="0.25">
      <c r="A150" s="9">
        <v>45128</v>
      </c>
      <c r="B150" s="10">
        <v>1.0885</v>
      </c>
    </row>
    <row r="151" spans="1:2" x14ac:dyDescent="0.25">
      <c r="A151" s="9">
        <v>45131</v>
      </c>
      <c r="B151" s="10">
        <v>1.0907</v>
      </c>
    </row>
    <row r="152" spans="1:2" x14ac:dyDescent="0.25">
      <c r="A152" s="9">
        <v>45132</v>
      </c>
      <c r="B152" s="10">
        <v>1.0888</v>
      </c>
    </row>
    <row r="153" spans="1:2" x14ac:dyDescent="0.25">
      <c r="A153" s="9">
        <v>45133</v>
      </c>
      <c r="B153" s="10">
        <v>1.0871</v>
      </c>
    </row>
    <row r="154" spans="1:2" x14ac:dyDescent="0.25">
      <c r="A154" s="9">
        <v>45134</v>
      </c>
      <c r="B154" s="10">
        <v>1.0879000000000001</v>
      </c>
    </row>
    <row r="155" spans="1:2" x14ac:dyDescent="0.25">
      <c r="A155" s="9">
        <v>45135</v>
      </c>
      <c r="B155" s="10">
        <v>1.0811999999999999</v>
      </c>
    </row>
    <row r="156" spans="1:2" x14ac:dyDescent="0.25">
      <c r="A156" s="9">
        <v>45138</v>
      </c>
      <c r="B156" s="10">
        <v>1.0784</v>
      </c>
    </row>
    <row r="157" spans="1:2" x14ac:dyDescent="0.25">
      <c r="A157" s="9">
        <v>45139</v>
      </c>
      <c r="B157" s="10">
        <v>1.0774999999999999</v>
      </c>
    </row>
    <row r="158" spans="1:2" x14ac:dyDescent="0.25">
      <c r="A158" s="9">
        <v>45140</v>
      </c>
      <c r="B158" s="10">
        <v>1.0775999999999999</v>
      </c>
    </row>
    <row r="159" spans="1:2" x14ac:dyDescent="0.25">
      <c r="A159" s="9">
        <v>45141</v>
      </c>
      <c r="B159" s="10">
        <v>1.0752999999999999</v>
      </c>
    </row>
    <row r="160" spans="1:2" x14ac:dyDescent="0.25">
      <c r="A160" s="9">
        <v>45142</v>
      </c>
      <c r="B160" s="10">
        <v>1.0792999999999999</v>
      </c>
    </row>
    <row r="161" spans="1:2" x14ac:dyDescent="0.25">
      <c r="A161" s="9">
        <v>45146</v>
      </c>
      <c r="B161" s="10">
        <v>1.0763</v>
      </c>
    </row>
    <row r="162" spans="1:2" x14ac:dyDescent="0.25">
      <c r="A162" s="9">
        <v>45147</v>
      </c>
      <c r="B162" s="10">
        <v>1.0788</v>
      </c>
    </row>
    <row r="163" spans="1:2" x14ac:dyDescent="0.25">
      <c r="A163" s="9">
        <v>45148</v>
      </c>
      <c r="B163" s="10">
        <v>1.0794999999999999</v>
      </c>
    </row>
    <row r="164" spans="1:2" x14ac:dyDescent="0.25">
      <c r="A164" s="9">
        <v>45149</v>
      </c>
      <c r="B164" s="10">
        <v>1.0853999999999999</v>
      </c>
    </row>
    <row r="165" spans="1:2" x14ac:dyDescent="0.25">
      <c r="A165" s="9">
        <v>45152</v>
      </c>
      <c r="B165" s="10">
        <v>1.0854999999999999</v>
      </c>
    </row>
    <row r="166" spans="1:2" x14ac:dyDescent="0.25">
      <c r="A166" s="9">
        <v>45153</v>
      </c>
      <c r="B166" s="10">
        <v>1.0882000000000001</v>
      </c>
    </row>
    <row r="167" spans="1:2" x14ac:dyDescent="0.25">
      <c r="A167" s="9">
        <v>45154</v>
      </c>
      <c r="B167" s="10">
        <v>1.0808</v>
      </c>
    </row>
    <row r="168" spans="1:2" x14ac:dyDescent="0.25">
      <c r="A168" s="9">
        <v>45155</v>
      </c>
      <c r="B168" s="10">
        <v>1.0795999999999999</v>
      </c>
    </row>
    <row r="169" spans="1:2" x14ac:dyDescent="0.25">
      <c r="A169" s="9">
        <v>45156</v>
      </c>
      <c r="B169" s="10">
        <v>1.0804</v>
      </c>
    </row>
    <row r="170" spans="1:2" x14ac:dyDescent="0.25">
      <c r="A170" s="9">
        <v>45159</v>
      </c>
      <c r="B170" s="10">
        <v>1.0825</v>
      </c>
    </row>
    <row r="171" spans="1:2" x14ac:dyDescent="0.25">
      <c r="A171" s="9">
        <v>45160</v>
      </c>
      <c r="B171" s="10">
        <v>1.0815999999999999</v>
      </c>
    </row>
    <row r="172" spans="1:2" x14ac:dyDescent="0.25">
      <c r="A172" s="9">
        <v>45161</v>
      </c>
      <c r="B172" s="10">
        <v>1.0820000000000001</v>
      </c>
    </row>
    <row r="173" spans="1:2" x14ac:dyDescent="0.25">
      <c r="A173" s="9">
        <v>45162</v>
      </c>
      <c r="B173" s="10">
        <v>1.0858000000000001</v>
      </c>
    </row>
    <row r="174" spans="1:2" x14ac:dyDescent="0.25">
      <c r="A174" s="9">
        <v>45163</v>
      </c>
      <c r="B174" s="10">
        <v>1.0860000000000001</v>
      </c>
    </row>
    <row r="175" spans="1:2" x14ac:dyDescent="0.25">
      <c r="A175" s="9">
        <v>45166</v>
      </c>
      <c r="B175" s="10">
        <v>1.0865</v>
      </c>
    </row>
    <row r="176" spans="1:2" x14ac:dyDescent="0.25">
      <c r="A176" s="9">
        <v>45167</v>
      </c>
      <c r="B176" s="10">
        <v>1.0885</v>
      </c>
    </row>
    <row r="177" spans="1:2" x14ac:dyDescent="0.25">
      <c r="A177" s="9">
        <v>45168</v>
      </c>
      <c r="B177" s="10">
        <v>1.0879000000000001</v>
      </c>
    </row>
    <row r="178" spans="1:2" x14ac:dyDescent="0.25">
      <c r="A178" s="9">
        <v>45169</v>
      </c>
      <c r="B178" s="10">
        <v>1.0885</v>
      </c>
    </row>
    <row r="179" spans="1:2" x14ac:dyDescent="0.25">
      <c r="A179" s="9">
        <v>45170</v>
      </c>
      <c r="B179" s="10">
        <v>1.0859000000000001</v>
      </c>
    </row>
    <row r="180" spans="1:2" x14ac:dyDescent="0.25">
      <c r="A180" s="9">
        <v>45173</v>
      </c>
      <c r="B180" s="10">
        <v>1.0879000000000001</v>
      </c>
    </row>
    <row r="181" spans="1:2" x14ac:dyDescent="0.25">
      <c r="A181" s="9">
        <v>45174</v>
      </c>
      <c r="B181" s="10">
        <v>1.0844</v>
      </c>
    </row>
    <row r="182" spans="1:2" x14ac:dyDescent="0.25">
      <c r="A182" s="9">
        <v>45175</v>
      </c>
      <c r="B182" s="10">
        <v>1.0847</v>
      </c>
    </row>
    <row r="183" spans="1:2" x14ac:dyDescent="0.25">
      <c r="A183" s="9">
        <v>45176</v>
      </c>
      <c r="B183" s="10">
        <v>1.085</v>
      </c>
    </row>
    <row r="184" spans="1:2" x14ac:dyDescent="0.25">
      <c r="A184" s="9">
        <v>45177</v>
      </c>
      <c r="B184" s="10">
        <v>1.0848</v>
      </c>
    </row>
    <row r="185" spans="1:2" x14ac:dyDescent="0.25">
      <c r="A185" s="9">
        <v>45180</v>
      </c>
      <c r="B185" s="10">
        <v>1.0857000000000001</v>
      </c>
    </row>
    <row r="186" spans="1:2" x14ac:dyDescent="0.25">
      <c r="A186" s="9">
        <v>45181</v>
      </c>
      <c r="B186" s="10">
        <v>1.0881000000000001</v>
      </c>
    </row>
    <row r="187" spans="1:2" x14ac:dyDescent="0.25">
      <c r="A187" s="9">
        <v>45182</v>
      </c>
      <c r="B187" s="10">
        <v>1.0866</v>
      </c>
    </row>
    <row r="188" spans="1:2" x14ac:dyDescent="0.25">
      <c r="A188" s="9">
        <v>45183</v>
      </c>
      <c r="B188" s="10">
        <v>1.0853999999999999</v>
      </c>
    </row>
    <row r="189" spans="1:2" x14ac:dyDescent="0.25">
      <c r="A189" s="9">
        <v>45184</v>
      </c>
      <c r="B189" s="10">
        <v>1.0898000000000001</v>
      </c>
    </row>
    <row r="190" spans="1:2" x14ac:dyDescent="0.25">
      <c r="A190" s="9">
        <v>45187</v>
      </c>
      <c r="B190" s="10">
        <v>1.0891999999999999</v>
      </c>
    </row>
    <row r="191" spans="1:2" x14ac:dyDescent="0.25">
      <c r="A191" s="9">
        <v>45188</v>
      </c>
      <c r="B191" s="10">
        <v>1.0871</v>
      </c>
    </row>
    <row r="192" spans="1:2" x14ac:dyDescent="0.25">
      <c r="A192" s="9">
        <v>45189</v>
      </c>
      <c r="B192" s="10">
        <v>1.0864</v>
      </c>
    </row>
    <row r="193" spans="1:2" x14ac:dyDescent="0.25">
      <c r="A193" s="9">
        <v>45190</v>
      </c>
      <c r="B193" s="10">
        <v>1.0847</v>
      </c>
    </row>
    <row r="194" spans="1:2" x14ac:dyDescent="0.25">
      <c r="A194" s="9">
        <v>45191</v>
      </c>
      <c r="B194" s="10">
        <v>1.0820000000000001</v>
      </c>
    </row>
    <row r="195" spans="1:2" x14ac:dyDescent="0.25">
      <c r="A195" s="9">
        <v>45194</v>
      </c>
      <c r="B195" s="10">
        <v>1.0795999999999999</v>
      </c>
    </row>
    <row r="196" spans="1:2" x14ac:dyDescent="0.25">
      <c r="A196" s="9">
        <v>45195</v>
      </c>
      <c r="B196" s="10">
        <v>1.0765</v>
      </c>
    </row>
    <row r="197" spans="1:2" x14ac:dyDescent="0.25">
      <c r="A197" s="9">
        <v>45196</v>
      </c>
      <c r="B197" s="10">
        <v>1.0757000000000001</v>
      </c>
    </row>
    <row r="198" spans="1:2" x14ac:dyDescent="0.25">
      <c r="A198" s="9">
        <v>45197</v>
      </c>
      <c r="B198" s="10">
        <v>1.0725</v>
      </c>
    </row>
    <row r="199" spans="1:2" x14ac:dyDescent="0.25">
      <c r="A199" s="9">
        <v>45198</v>
      </c>
      <c r="B199" s="10">
        <v>1.0763</v>
      </c>
    </row>
    <row r="200" spans="1:2" x14ac:dyDescent="0.25">
      <c r="A200" s="9">
        <v>45202</v>
      </c>
      <c r="B200" s="10">
        <v>1.0687</v>
      </c>
    </row>
    <row r="201" spans="1:2" x14ac:dyDescent="0.25">
      <c r="A201" s="9">
        <v>45203</v>
      </c>
      <c r="B201" s="10">
        <v>1.071</v>
      </c>
    </row>
    <row r="202" spans="1:2" x14ac:dyDescent="0.25">
      <c r="A202" s="9">
        <v>45204</v>
      </c>
      <c r="B202" s="10">
        <v>1.0710999999999999</v>
      </c>
    </row>
    <row r="203" spans="1:2" x14ac:dyDescent="0.25">
      <c r="A203" s="9">
        <v>45205</v>
      </c>
      <c r="B203" s="10">
        <v>1.0688</v>
      </c>
    </row>
    <row r="204" spans="1:2" x14ac:dyDescent="0.25">
      <c r="A204" s="9">
        <v>45208</v>
      </c>
      <c r="B204" s="10">
        <v>1.0644</v>
      </c>
    </row>
    <row r="205" spans="1:2" x14ac:dyDescent="0.25">
      <c r="A205" s="9">
        <v>45209</v>
      </c>
      <c r="B205" s="10">
        <v>1.0657000000000001</v>
      </c>
    </row>
    <row r="206" spans="1:2" x14ac:dyDescent="0.25">
      <c r="A206" s="9">
        <v>45210</v>
      </c>
      <c r="B206" s="11">
        <v>1.0657000000000001</v>
      </c>
    </row>
    <row r="207" spans="1:2" x14ac:dyDescent="0.25">
      <c r="A207" s="9">
        <v>45211</v>
      </c>
      <c r="B207" s="10">
        <v>1.0674999999999999</v>
      </c>
    </row>
    <row r="208" spans="1:2" x14ac:dyDescent="0.25">
      <c r="A208" s="9">
        <v>45212</v>
      </c>
      <c r="B208" s="10">
        <v>1.0680000000000001</v>
      </c>
    </row>
    <row r="209" spans="1:2" x14ac:dyDescent="0.25">
      <c r="A209" s="9">
        <v>45215</v>
      </c>
      <c r="B209" s="10">
        <v>1.0674999999999999</v>
      </c>
    </row>
    <row r="210" spans="1:2" x14ac:dyDescent="0.25">
      <c r="A210" s="9">
        <v>45216</v>
      </c>
      <c r="B210" s="10">
        <v>1.0768</v>
      </c>
    </row>
    <row r="211" spans="1:2" x14ac:dyDescent="0.25">
      <c r="A211" s="9">
        <v>45217</v>
      </c>
      <c r="B211" s="10">
        <v>1.0801000000000001</v>
      </c>
    </row>
    <row r="212" spans="1:2" x14ac:dyDescent="0.25">
      <c r="A212" s="9">
        <v>45218</v>
      </c>
      <c r="B212" s="10">
        <v>1.0817000000000001</v>
      </c>
    </row>
    <row r="213" spans="1:2" x14ac:dyDescent="0.25">
      <c r="A213" s="9">
        <v>45219</v>
      </c>
      <c r="B213" s="10">
        <v>1.0833999999999999</v>
      </c>
    </row>
    <row r="214" spans="1:2" x14ac:dyDescent="0.25">
      <c r="A214" s="9">
        <v>45222</v>
      </c>
      <c r="B214" s="10">
        <v>1.0840000000000001</v>
      </c>
    </row>
    <row r="215" spans="1:2" x14ac:dyDescent="0.25">
      <c r="A215" s="9">
        <v>45223</v>
      </c>
      <c r="B215" s="10">
        <v>1.0857000000000001</v>
      </c>
    </row>
    <row r="216" spans="1:2" x14ac:dyDescent="0.25">
      <c r="A216" s="9">
        <v>45224</v>
      </c>
      <c r="B216" s="10">
        <v>1.0907</v>
      </c>
    </row>
    <row r="217" spans="1:2" x14ac:dyDescent="0.25">
      <c r="A217" s="9">
        <v>45225</v>
      </c>
      <c r="B217" s="10">
        <v>1.0862000000000001</v>
      </c>
    </row>
    <row r="218" spans="1:2" x14ac:dyDescent="0.25">
      <c r="A218" s="9">
        <v>45226</v>
      </c>
      <c r="B218" s="10">
        <v>1.0894999999999999</v>
      </c>
    </row>
    <row r="219" spans="1:2" x14ac:dyDescent="0.25">
      <c r="A219" s="9">
        <v>45229</v>
      </c>
      <c r="B219" s="10">
        <v>1.0901000000000001</v>
      </c>
    </row>
    <row r="220" spans="1:2" x14ac:dyDescent="0.25">
      <c r="A220" s="9">
        <v>45230</v>
      </c>
      <c r="B220" s="10">
        <v>1.0892999999999999</v>
      </c>
    </row>
    <row r="221" spans="1:2" x14ac:dyDescent="0.25">
      <c r="A221" s="9">
        <v>45231</v>
      </c>
      <c r="B221" s="10">
        <v>1.0904</v>
      </c>
    </row>
    <row r="222" spans="1:2" x14ac:dyDescent="0.25">
      <c r="A222" s="9">
        <v>45232</v>
      </c>
      <c r="B222" s="10">
        <v>1.0921000000000001</v>
      </c>
    </row>
    <row r="223" spans="1:2" x14ac:dyDescent="0.25">
      <c r="A223" s="9">
        <v>45233</v>
      </c>
      <c r="B223" s="10">
        <v>1.0905</v>
      </c>
    </row>
    <row r="224" spans="1:2" x14ac:dyDescent="0.25">
      <c r="A224" s="9">
        <v>45236</v>
      </c>
      <c r="B224" s="10">
        <v>1.0864</v>
      </c>
    </row>
    <row r="225" spans="1:2" x14ac:dyDescent="0.25">
      <c r="A225" s="9">
        <v>45237</v>
      </c>
      <c r="B225" s="10">
        <v>1.0851</v>
      </c>
    </row>
    <row r="226" spans="1:2" x14ac:dyDescent="0.25">
      <c r="A226" s="9">
        <v>45238</v>
      </c>
      <c r="B226" s="10">
        <v>1.0842000000000001</v>
      </c>
    </row>
    <row r="227" spans="1:2" x14ac:dyDescent="0.25">
      <c r="A227" s="9">
        <v>45239</v>
      </c>
      <c r="B227" s="10">
        <v>1.0823</v>
      </c>
    </row>
    <row r="228" spans="1:2" x14ac:dyDescent="0.25">
      <c r="A228" s="9">
        <v>45240</v>
      </c>
      <c r="B228" s="10">
        <v>1.0789</v>
      </c>
    </row>
    <row r="229" spans="1:2" x14ac:dyDescent="0.25">
      <c r="A229" s="9">
        <v>45243</v>
      </c>
      <c r="B229" s="10">
        <v>1.0793999999999999</v>
      </c>
    </row>
    <row r="230" spans="1:2" x14ac:dyDescent="0.25">
      <c r="A230" s="9">
        <v>45244</v>
      </c>
      <c r="B230" s="10">
        <v>1.0852999999999999</v>
      </c>
    </row>
    <row r="231" spans="1:2" x14ac:dyDescent="0.25">
      <c r="A231" s="9">
        <v>45245</v>
      </c>
      <c r="B231" s="10">
        <v>1.0787</v>
      </c>
    </row>
    <row r="232" spans="1:2" x14ac:dyDescent="0.25">
      <c r="A232" s="9">
        <v>45246</v>
      </c>
      <c r="B232" s="10">
        <v>1.0815999999999999</v>
      </c>
    </row>
    <row r="233" spans="1:2" x14ac:dyDescent="0.25">
      <c r="A233" s="9">
        <v>45247</v>
      </c>
      <c r="B233" s="10">
        <v>1.0853999999999999</v>
      </c>
    </row>
    <row r="234" spans="1:2" x14ac:dyDescent="0.25">
      <c r="A234" s="9">
        <v>45250</v>
      </c>
      <c r="B234" s="10">
        <v>1.0862000000000001</v>
      </c>
    </row>
    <row r="235" spans="1:2" x14ac:dyDescent="0.25">
      <c r="A235" s="9">
        <v>45251</v>
      </c>
      <c r="B235" s="10">
        <v>1.0844</v>
      </c>
    </row>
    <row r="236" spans="1:2" x14ac:dyDescent="0.25">
      <c r="A236" s="9">
        <v>45252</v>
      </c>
      <c r="B236" s="10">
        <v>1.0847</v>
      </c>
    </row>
    <row r="237" spans="1:2" x14ac:dyDescent="0.25">
      <c r="A237" s="9">
        <v>45253</v>
      </c>
      <c r="B237" s="10">
        <v>1.0834999999999999</v>
      </c>
    </row>
    <row r="238" spans="1:2" x14ac:dyDescent="0.25">
      <c r="A238" s="9">
        <v>45254</v>
      </c>
      <c r="B238" s="10">
        <v>1.0841000000000001</v>
      </c>
    </row>
    <row r="239" spans="1:2" x14ac:dyDescent="0.25">
      <c r="A239" s="9">
        <v>45257</v>
      </c>
      <c r="B239" s="10">
        <v>1.0839000000000001</v>
      </c>
    </row>
    <row r="240" spans="1:2" x14ac:dyDescent="0.25">
      <c r="A240" s="9">
        <v>45258</v>
      </c>
      <c r="B240" s="10">
        <v>1.0851999999999999</v>
      </c>
    </row>
    <row r="241" spans="1:2" x14ac:dyDescent="0.25">
      <c r="A241" s="9">
        <v>45259</v>
      </c>
      <c r="B241" s="10">
        <v>1.0729</v>
      </c>
    </row>
    <row r="242" spans="1:2" x14ac:dyDescent="0.25">
      <c r="A242" s="9">
        <v>45260</v>
      </c>
      <c r="B242" s="10">
        <v>1.0761000000000001</v>
      </c>
    </row>
    <row r="243" spans="1:2" x14ac:dyDescent="0.25">
      <c r="A243" s="9">
        <v>45261</v>
      </c>
      <c r="B243" s="10">
        <v>1.0725</v>
      </c>
    </row>
    <row r="244" spans="1:2" x14ac:dyDescent="0.25">
      <c r="A244" s="9">
        <v>45264</v>
      </c>
      <c r="B244" s="10">
        <v>1.0742</v>
      </c>
    </row>
    <row r="245" spans="1:2" x14ac:dyDescent="0.25">
      <c r="A245" s="9">
        <v>45265</v>
      </c>
      <c r="B245" s="10">
        <v>1.07</v>
      </c>
    </row>
    <row r="246" spans="1:2" x14ac:dyDescent="0.25">
      <c r="A246" s="9">
        <v>45266</v>
      </c>
      <c r="B246" s="10">
        <v>1.0674999999999999</v>
      </c>
    </row>
    <row r="247" spans="1:2" x14ac:dyDescent="0.25">
      <c r="A247" s="9">
        <v>45267</v>
      </c>
      <c r="B247" s="10">
        <v>1.0665</v>
      </c>
    </row>
    <row r="248" spans="1:2" x14ac:dyDescent="0.25">
      <c r="A248" s="9">
        <v>45268</v>
      </c>
      <c r="B248" s="10">
        <v>1.0726</v>
      </c>
    </row>
    <row r="249" spans="1:2" x14ac:dyDescent="0.25">
      <c r="A249" s="9">
        <v>45271</v>
      </c>
      <c r="B249" s="10">
        <v>1.073</v>
      </c>
    </row>
    <row r="250" spans="1:2" x14ac:dyDescent="0.25">
      <c r="A250" s="9">
        <v>45272</v>
      </c>
      <c r="B250" s="10">
        <v>1.0722</v>
      </c>
    </row>
    <row r="251" spans="1:2" x14ac:dyDescent="0.25">
      <c r="A251" s="9">
        <v>45273</v>
      </c>
      <c r="B251" s="10">
        <v>1.0749</v>
      </c>
    </row>
    <row r="252" spans="1:2" x14ac:dyDescent="0.25">
      <c r="A252" s="9">
        <v>45274</v>
      </c>
      <c r="B252" s="10">
        <v>1.0767</v>
      </c>
    </row>
    <row r="253" spans="1:2" x14ac:dyDescent="0.25">
      <c r="A253" s="9">
        <v>45275</v>
      </c>
      <c r="B253" s="10">
        <v>1.0803</v>
      </c>
    </row>
    <row r="254" spans="1:2" x14ac:dyDescent="0.25">
      <c r="A254" s="9">
        <v>45278</v>
      </c>
      <c r="B254" s="10">
        <v>1.0765</v>
      </c>
    </row>
    <row r="255" spans="1:2" x14ac:dyDescent="0.25">
      <c r="A255" s="9">
        <v>45279</v>
      </c>
      <c r="B255" s="10">
        <v>1.0792999999999999</v>
      </c>
    </row>
    <row r="256" spans="1:2" x14ac:dyDescent="0.25">
      <c r="A256" s="9">
        <v>45280</v>
      </c>
      <c r="B256" s="10">
        <v>1.0788</v>
      </c>
    </row>
    <row r="257" spans="1:2" x14ac:dyDescent="0.25">
      <c r="A257" s="9">
        <v>45281</v>
      </c>
      <c r="B257" s="10">
        <v>1.0799000000000001</v>
      </c>
    </row>
    <row r="258" spans="1:2" x14ac:dyDescent="0.25">
      <c r="A258" s="9">
        <v>45282</v>
      </c>
      <c r="B258" s="10">
        <v>1.0789</v>
      </c>
    </row>
    <row r="259" spans="1:2" x14ac:dyDescent="0.25">
      <c r="A259" s="9">
        <v>45287</v>
      </c>
      <c r="B259" s="10">
        <v>1.0790999999999999</v>
      </c>
    </row>
    <row r="260" spans="1:2" x14ac:dyDescent="0.25">
      <c r="A260" s="9">
        <v>45288</v>
      </c>
      <c r="B260" s="10">
        <v>1.0782</v>
      </c>
    </row>
    <row r="261" spans="1:2" x14ac:dyDescent="0.25">
      <c r="A261" s="9">
        <v>45289</v>
      </c>
      <c r="B261" s="10">
        <v>1.0768</v>
      </c>
    </row>
    <row r="262" spans="1:2" x14ac:dyDescent="0.25">
      <c r="A262" s="9">
        <v>45293</v>
      </c>
      <c r="B262" s="10">
        <v>1.0819000000000001</v>
      </c>
    </row>
    <row r="263" spans="1:2" x14ac:dyDescent="0.25">
      <c r="A263" s="9">
        <v>45294</v>
      </c>
      <c r="B263" s="10">
        <v>1.079</v>
      </c>
    </row>
    <row r="264" spans="1:2" x14ac:dyDescent="0.25">
      <c r="A264" s="9">
        <v>45295</v>
      </c>
      <c r="B264" s="10">
        <v>1.0754999999999999</v>
      </c>
    </row>
    <row r="265" spans="1:2" x14ac:dyDescent="0.25">
      <c r="A265" s="9">
        <v>45296</v>
      </c>
      <c r="B265" s="10">
        <v>1.0754999999999999</v>
      </c>
    </row>
    <row r="266" spans="1:2" x14ac:dyDescent="0.25">
      <c r="A266" s="9">
        <v>45299</v>
      </c>
      <c r="B266" s="10">
        <v>1.0746</v>
      </c>
    </row>
    <row r="267" spans="1:2" x14ac:dyDescent="0.25">
      <c r="A267" s="9">
        <v>45300</v>
      </c>
      <c r="B267" s="10">
        <v>1.0749</v>
      </c>
    </row>
    <row r="268" spans="1:2" x14ac:dyDescent="0.25">
      <c r="A268" s="9">
        <v>45301</v>
      </c>
      <c r="B268" s="10">
        <v>1.0734999999999999</v>
      </c>
    </row>
    <row r="269" spans="1:2" x14ac:dyDescent="0.25">
      <c r="A269" s="9">
        <v>45302</v>
      </c>
      <c r="B269" s="10">
        <v>1.0753999999999999</v>
      </c>
    </row>
    <row r="270" spans="1:2" x14ac:dyDescent="0.25">
      <c r="A270" s="9">
        <v>45303</v>
      </c>
      <c r="B270" s="10">
        <v>1.0734999999999999</v>
      </c>
    </row>
    <row r="271" spans="1:2" x14ac:dyDescent="0.25">
      <c r="A271" s="9">
        <v>45306</v>
      </c>
      <c r="B271" s="10">
        <v>1.0741000000000001</v>
      </c>
    </row>
    <row r="272" spans="1:2" x14ac:dyDescent="0.25">
      <c r="A272" s="9">
        <v>45307</v>
      </c>
      <c r="B272" s="10">
        <v>1.073</v>
      </c>
    </row>
    <row r="273" spans="1:2" x14ac:dyDescent="0.25">
      <c r="A273" s="9">
        <v>45308</v>
      </c>
      <c r="B273" s="10">
        <v>1.0713999999999999</v>
      </c>
    </row>
    <row r="274" spans="1:2" x14ac:dyDescent="0.25">
      <c r="A274" s="9">
        <v>45309</v>
      </c>
      <c r="B274" s="10">
        <v>1.0713999999999999</v>
      </c>
    </row>
    <row r="275" spans="1:2" x14ac:dyDescent="0.25">
      <c r="A275" s="9">
        <v>45310</v>
      </c>
      <c r="B275" s="10">
        <v>1.0787</v>
      </c>
    </row>
    <row r="276" spans="1:2" x14ac:dyDescent="0.25">
      <c r="A276" s="9">
        <v>45313</v>
      </c>
      <c r="B276" s="10">
        <v>1.0782</v>
      </c>
    </row>
    <row r="277" spans="1:2" x14ac:dyDescent="0.25">
      <c r="A277" s="9">
        <v>45314</v>
      </c>
      <c r="B277" s="10">
        <v>1.0823</v>
      </c>
    </row>
    <row r="278" spans="1:2" x14ac:dyDescent="0.25">
      <c r="A278" s="9">
        <v>45315</v>
      </c>
      <c r="B278" s="10">
        <v>1.0774999999999999</v>
      </c>
    </row>
    <row r="279" spans="1:2" x14ac:dyDescent="0.25">
      <c r="A279" s="9">
        <v>45316</v>
      </c>
      <c r="B279" s="10">
        <v>1.0768</v>
      </c>
    </row>
    <row r="280" spans="1:2" x14ac:dyDescent="0.25">
      <c r="A280" s="9">
        <v>45320</v>
      </c>
      <c r="B280" s="10">
        <v>1.0809</v>
      </c>
    </row>
    <row r="281" spans="1:2" x14ac:dyDescent="0.25">
      <c r="A281" s="9">
        <v>45321</v>
      </c>
      <c r="B281" s="10">
        <v>1.0769</v>
      </c>
    </row>
    <row r="282" spans="1:2" x14ac:dyDescent="0.25">
      <c r="A282" s="9">
        <v>45322</v>
      </c>
      <c r="B282" s="10">
        <v>1.0745</v>
      </c>
    </row>
    <row r="283" spans="1:2" x14ac:dyDescent="0.25">
      <c r="A283" s="9">
        <v>45323</v>
      </c>
      <c r="B283" s="10">
        <v>1.0702</v>
      </c>
    </row>
    <row r="284" spans="1:2" x14ac:dyDescent="0.25">
      <c r="A284" s="9">
        <v>45324</v>
      </c>
      <c r="B284" s="10">
        <v>1.0723</v>
      </c>
    </row>
    <row r="285" spans="1:2" x14ac:dyDescent="0.25">
      <c r="A285" s="9">
        <v>45327</v>
      </c>
      <c r="B285" s="10">
        <v>1.0718000000000001</v>
      </c>
    </row>
    <row r="286" spans="1:2" x14ac:dyDescent="0.25">
      <c r="A286" s="9">
        <v>45328</v>
      </c>
      <c r="B286" s="10">
        <v>1.073</v>
      </c>
    </row>
    <row r="287" spans="1:2" x14ac:dyDescent="0.25">
      <c r="A287" s="9">
        <v>45329</v>
      </c>
      <c r="B287" s="10">
        <v>1.0703</v>
      </c>
    </row>
    <row r="288" spans="1:2" x14ac:dyDescent="0.25">
      <c r="A288" s="9">
        <v>45330</v>
      </c>
      <c r="B288" s="10">
        <v>1.0671999999999999</v>
      </c>
    </row>
    <row r="289" spans="1:2" x14ac:dyDescent="0.25">
      <c r="A289" s="9">
        <v>45331</v>
      </c>
      <c r="B289" s="10">
        <v>1.0608</v>
      </c>
    </row>
    <row r="290" spans="1:2" x14ac:dyDescent="0.25">
      <c r="A290" s="9">
        <v>45334</v>
      </c>
      <c r="B290" s="10">
        <v>1.0634999999999999</v>
      </c>
    </row>
    <row r="291" spans="1:2" x14ac:dyDescent="0.25">
      <c r="A291" s="9">
        <v>45335</v>
      </c>
      <c r="B291" s="10">
        <v>1.0684</v>
      </c>
    </row>
    <row r="292" spans="1:2" x14ac:dyDescent="0.25">
      <c r="A292" s="9">
        <v>45336</v>
      </c>
      <c r="B292" s="10">
        <v>1.0642</v>
      </c>
    </row>
    <row r="293" spans="1:2" x14ac:dyDescent="0.25">
      <c r="A293" s="9">
        <v>45337</v>
      </c>
      <c r="B293" s="10">
        <v>1.0661</v>
      </c>
    </row>
    <row r="294" spans="1:2" x14ac:dyDescent="0.25">
      <c r="A294" s="9">
        <v>45338</v>
      </c>
      <c r="B294" s="10">
        <v>1.0689</v>
      </c>
    </row>
    <row r="295" spans="1:2" x14ac:dyDescent="0.25">
      <c r="A295" s="9">
        <v>45341</v>
      </c>
      <c r="B295" s="10">
        <v>1.0658000000000001</v>
      </c>
    </row>
    <row r="296" spans="1:2" x14ac:dyDescent="0.25">
      <c r="A296" s="9">
        <v>45342</v>
      </c>
      <c r="B296" s="10">
        <v>1.0637000000000001</v>
      </c>
    </row>
    <row r="297" spans="1:2" x14ac:dyDescent="0.25">
      <c r="A297" s="9">
        <v>45343</v>
      </c>
      <c r="B297" s="10">
        <v>1.0613999999999999</v>
      </c>
    </row>
    <row r="298" spans="1:2" x14ac:dyDescent="0.25">
      <c r="A298" s="9">
        <v>45344</v>
      </c>
      <c r="B298" s="10">
        <v>1.0590999999999999</v>
      </c>
    </row>
    <row r="299" spans="1:2" x14ac:dyDescent="0.25">
      <c r="A299" s="9">
        <v>45345</v>
      </c>
      <c r="B299" s="10">
        <v>1.0597000000000001</v>
      </c>
    </row>
    <row r="300" spans="1:2" x14ac:dyDescent="0.25">
      <c r="A300" s="9">
        <v>45348</v>
      </c>
      <c r="B300" s="10">
        <v>1.0627</v>
      </c>
    </row>
    <row r="301" spans="1:2" x14ac:dyDescent="0.25">
      <c r="A301" s="9">
        <v>45349</v>
      </c>
      <c r="B301" s="10">
        <v>1.0620000000000001</v>
      </c>
    </row>
    <row r="302" spans="1:2" x14ac:dyDescent="0.25">
      <c r="A302" s="9">
        <v>45350</v>
      </c>
      <c r="B302" s="10">
        <v>1.0666</v>
      </c>
    </row>
    <row r="303" spans="1:2" x14ac:dyDescent="0.25">
      <c r="A303" s="9">
        <v>45351</v>
      </c>
      <c r="B303" s="10">
        <v>1.0680000000000001</v>
      </c>
    </row>
    <row r="304" spans="1:2" x14ac:dyDescent="0.25">
      <c r="A304" s="9">
        <v>45352</v>
      </c>
      <c r="B304" s="10">
        <v>1.0686</v>
      </c>
    </row>
    <row r="305" spans="1:2" x14ac:dyDescent="0.25">
      <c r="A305" s="9">
        <v>45355</v>
      </c>
      <c r="B305" s="10">
        <v>1.0693999999999999</v>
      </c>
    </row>
    <row r="306" spans="1:2" x14ac:dyDescent="0.25">
      <c r="A306" s="9">
        <v>45356</v>
      </c>
      <c r="B306" s="10">
        <v>1.0680000000000001</v>
      </c>
    </row>
    <row r="307" spans="1:2" x14ac:dyDescent="0.25">
      <c r="A307" s="9">
        <v>45357</v>
      </c>
      <c r="B307" s="10">
        <v>1.0693999999999999</v>
      </c>
    </row>
    <row r="308" spans="1:2" x14ac:dyDescent="0.25">
      <c r="A308" s="9">
        <v>45358</v>
      </c>
      <c r="B308" s="10">
        <v>1.0711999999999999</v>
      </c>
    </row>
    <row r="309" spans="1:2" x14ac:dyDescent="0.25">
      <c r="A309" s="9">
        <v>45359</v>
      </c>
      <c r="B309" s="10">
        <v>1.0733999999999999</v>
      </c>
    </row>
    <row r="310" spans="1:2" x14ac:dyDescent="0.25">
      <c r="A310" s="9">
        <v>45362</v>
      </c>
      <c r="B310" s="10">
        <v>1.071</v>
      </c>
    </row>
    <row r="311" spans="1:2" x14ac:dyDescent="0.25">
      <c r="A311" s="9">
        <v>45363</v>
      </c>
      <c r="B311" s="10">
        <v>1.0719000000000001</v>
      </c>
    </row>
    <row r="312" spans="1:2" x14ac:dyDescent="0.25">
      <c r="A312" s="9">
        <v>45364</v>
      </c>
      <c r="B312" s="10">
        <v>1.0733999999999999</v>
      </c>
    </row>
    <row r="313" spans="1:2" x14ac:dyDescent="0.25">
      <c r="A313" s="9">
        <v>45365</v>
      </c>
      <c r="B313" s="10">
        <v>1.0740000000000001</v>
      </c>
    </row>
    <row r="314" spans="1:2" x14ac:dyDescent="0.25">
      <c r="A314" s="9">
        <v>45366</v>
      </c>
      <c r="B314" s="10">
        <v>1.0760000000000001</v>
      </c>
    </row>
    <row r="315" spans="1:2" x14ac:dyDescent="0.25">
      <c r="A315" s="9">
        <v>45369</v>
      </c>
      <c r="B315" s="10">
        <v>1.0774999999999999</v>
      </c>
    </row>
    <row r="316" spans="1:2" x14ac:dyDescent="0.25">
      <c r="A316" s="9">
        <v>45370</v>
      </c>
      <c r="B316" s="10">
        <v>1.077</v>
      </c>
    </row>
    <row r="317" spans="1:2" x14ac:dyDescent="0.25">
      <c r="A317" s="9">
        <v>45371</v>
      </c>
      <c r="B317" s="10">
        <v>1.0805</v>
      </c>
    </row>
    <row r="318" spans="1:2" x14ac:dyDescent="0.25">
      <c r="A318" s="9">
        <v>45372</v>
      </c>
      <c r="B318" s="10">
        <v>1.087</v>
      </c>
    </row>
    <row r="319" spans="1:2" x14ac:dyDescent="0.25">
      <c r="A319" s="9">
        <v>45373</v>
      </c>
      <c r="B319" s="10">
        <v>1.0852999999999999</v>
      </c>
    </row>
    <row r="320" spans="1:2" x14ac:dyDescent="0.25">
      <c r="A320" s="9">
        <v>45376</v>
      </c>
      <c r="B320" s="10">
        <v>1.0884</v>
      </c>
    </row>
    <row r="321" spans="1:2" x14ac:dyDescent="0.25">
      <c r="A321" s="9">
        <v>45377</v>
      </c>
      <c r="B321" s="10">
        <v>1.0887</v>
      </c>
    </row>
    <row r="322" spans="1:2" x14ac:dyDescent="0.25">
      <c r="A322" s="9">
        <v>45378</v>
      </c>
      <c r="B322" s="10">
        <v>1.0882000000000001</v>
      </c>
    </row>
    <row r="323" spans="1:2" x14ac:dyDescent="0.25">
      <c r="A323" s="9">
        <v>45379</v>
      </c>
      <c r="B323" s="10">
        <v>1.0901000000000001</v>
      </c>
    </row>
    <row r="324" spans="1:2" x14ac:dyDescent="0.25">
      <c r="A324" s="9">
        <v>45384</v>
      </c>
      <c r="B324" s="10">
        <v>1.0912999999999999</v>
      </c>
    </row>
    <row r="325" spans="1:2" x14ac:dyDescent="0.25">
      <c r="A325" s="9">
        <v>45385</v>
      </c>
      <c r="B325" s="10">
        <v>1.0913999999999999</v>
      </c>
    </row>
    <row r="326" spans="1:2" x14ac:dyDescent="0.25">
      <c r="A326" s="9">
        <v>45386</v>
      </c>
      <c r="B326" s="10">
        <v>1.0927</v>
      </c>
    </row>
    <row r="327" spans="1:2" x14ac:dyDescent="0.25">
      <c r="A327" s="9">
        <v>45387</v>
      </c>
      <c r="B327" s="10">
        <v>1.0939000000000001</v>
      </c>
    </row>
    <row r="328" spans="1:2" x14ac:dyDescent="0.25">
      <c r="A328" s="9">
        <v>45390</v>
      </c>
      <c r="B328" s="10">
        <v>1.0939000000000001</v>
      </c>
    </row>
    <row r="329" spans="1:2" x14ac:dyDescent="0.25">
      <c r="A329" s="9">
        <v>45391</v>
      </c>
      <c r="B329" s="10">
        <v>1.0939000000000001</v>
      </c>
    </row>
    <row r="330" spans="1:2" x14ac:dyDescent="0.25">
      <c r="A330" s="9">
        <v>45392</v>
      </c>
      <c r="B330" s="10">
        <v>1.091</v>
      </c>
    </row>
    <row r="331" spans="1:2" x14ac:dyDescent="0.25">
      <c r="A331" s="9">
        <v>45393</v>
      </c>
      <c r="B331" s="10">
        <v>1.0894999999999999</v>
      </c>
    </row>
    <row r="332" spans="1:2" x14ac:dyDescent="0.25">
      <c r="A332" s="9">
        <v>45394</v>
      </c>
      <c r="B332" s="10">
        <v>1.0892999999999999</v>
      </c>
    </row>
    <row r="333" spans="1:2" x14ac:dyDescent="0.25">
      <c r="A333" s="9">
        <v>45397</v>
      </c>
      <c r="B333" s="10">
        <v>1.0904</v>
      </c>
    </row>
    <row r="334" spans="1:2" x14ac:dyDescent="0.25">
      <c r="A334" s="9">
        <v>45398</v>
      </c>
      <c r="B334" s="10">
        <v>1.0906</v>
      </c>
    </row>
    <row r="335" spans="1:2" x14ac:dyDescent="0.25">
      <c r="A335" s="9">
        <v>45399</v>
      </c>
      <c r="B335" s="10">
        <v>1.0867</v>
      </c>
    </row>
    <row r="336" spans="1:2" x14ac:dyDescent="0.25">
      <c r="A336" s="9">
        <v>45400</v>
      </c>
      <c r="B336" s="10">
        <v>1.0886</v>
      </c>
    </row>
    <row r="337" spans="1:2" x14ac:dyDescent="0.25">
      <c r="A337" s="9">
        <v>45401</v>
      </c>
      <c r="B337" s="10">
        <v>1.0881000000000001</v>
      </c>
    </row>
    <row r="338" spans="1:2" x14ac:dyDescent="0.25">
      <c r="A338" s="9">
        <v>45404</v>
      </c>
      <c r="B338" s="10">
        <v>1.0888</v>
      </c>
    </row>
    <row r="339" spans="1:2" x14ac:dyDescent="0.25">
      <c r="A339" s="9">
        <v>45405</v>
      </c>
      <c r="B339" s="10">
        <v>1.0914999999999999</v>
      </c>
    </row>
    <row r="340" spans="1:2" x14ac:dyDescent="0.25">
      <c r="A340" s="9">
        <v>45406</v>
      </c>
      <c r="B340" s="10">
        <v>1.0966</v>
      </c>
    </row>
    <row r="341" spans="1:2" x14ac:dyDescent="0.25">
      <c r="A341" s="9">
        <v>45408</v>
      </c>
      <c r="B341" s="10">
        <v>1.0964</v>
      </c>
    </row>
    <row r="342" spans="1:2" x14ac:dyDescent="0.25">
      <c r="A342" s="9">
        <v>45411</v>
      </c>
      <c r="B342" s="10">
        <v>1.0998000000000001</v>
      </c>
    </row>
    <row r="343" spans="1:2" x14ac:dyDescent="0.25">
      <c r="A343" s="9">
        <v>45412</v>
      </c>
      <c r="B343" s="10">
        <v>1.0992</v>
      </c>
    </row>
    <row r="344" spans="1:2" x14ac:dyDescent="0.25">
      <c r="A344" s="9">
        <v>45413</v>
      </c>
      <c r="B344" s="10">
        <v>1.0994999999999999</v>
      </c>
    </row>
    <row r="345" spans="1:2" x14ac:dyDescent="0.25">
      <c r="A345" s="9">
        <v>45414</v>
      </c>
      <c r="B345" s="10">
        <v>1.1025</v>
      </c>
    </row>
    <row r="346" spans="1:2" x14ac:dyDescent="0.25">
      <c r="A346" s="9">
        <v>45415</v>
      </c>
      <c r="B346" s="10">
        <v>1.1011</v>
      </c>
    </row>
    <row r="347" spans="1:2" x14ac:dyDescent="0.25">
      <c r="A347" s="9">
        <v>45418</v>
      </c>
      <c r="B347" s="10">
        <v>1.1015999999999999</v>
      </c>
    </row>
    <row r="348" spans="1:2" x14ac:dyDescent="0.25">
      <c r="A348" s="9">
        <v>45419</v>
      </c>
      <c r="B348" s="10">
        <v>1.0982000000000001</v>
      </c>
    </row>
    <row r="349" spans="1:2" x14ac:dyDescent="0.25">
      <c r="A349" s="9">
        <v>45420</v>
      </c>
      <c r="B349" s="10">
        <v>1.0985</v>
      </c>
    </row>
    <row r="350" spans="1:2" x14ac:dyDescent="0.25">
      <c r="A350" s="9">
        <v>45421</v>
      </c>
      <c r="B350" s="10">
        <v>1.0955999999999999</v>
      </c>
    </row>
    <row r="351" spans="1:2" x14ac:dyDescent="0.25">
      <c r="A351" s="9">
        <v>45422</v>
      </c>
      <c r="B351" s="10">
        <v>1.0971</v>
      </c>
    </row>
    <row r="352" spans="1:2" x14ac:dyDescent="0.25">
      <c r="A352" s="9">
        <v>45425</v>
      </c>
      <c r="B352" s="10">
        <v>1.0979000000000001</v>
      </c>
    </row>
    <row r="353" spans="1:2" x14ac:dyDescent="0.25">
      <c r="A353" s="9">
        <v>45426</v>
      </c>
      <c r="B353" s="10">
        <v>1.0967</v>
      </c>
    </row>
    <row r="354" spans="1:2" x14ac:dyDescent="0.25">
      <c r="A354" s="9">
        <v>45427</v>
      </c>
      <c r="B354" s="10">
        <v>1.0967</v>
      </c>
    </row>
    <row r="355" spans="1:2" x14ac:dyDescent="0.25">
      <c r="A355" s="9">
        <v>45428</v>
      </c>
      <c r="B355" s="10">
        <v>1.0914999999999999</v>
      </c>
    </row>
    <row r="356" spans="1:2" x14ac:dyDescent="0.25">
      <c r="A356" s="9">
        <v>45429</v>
      </c>
      <c r="B356" s="10">
        <v>1.0904</v>
      </c>
    </row>
    <row r="357" spans="1:2" x14ac:dyDescent="0.25">
      <c r="A357" s="9">
        <v>45432</v>
      </c>
      <c r="B357" s="10">
        <v>1.0929</v>
      </c>
    </row>
    <row r="358" spans="1:2" x14ac:dyDescent="0.25">
      <c r="A358" s="9">
        <v>45433</v>
      </c>
      <c r="B358" s="10">
        <v>1.0914999999999999</v>
      </c>
    </row>
    <row r="359" spans="1:2" x14ac:dyDescent="0.25">
      <c r="A359" s="9">
        <v>45434</v>
      </c>
      <c r="B359" s="10">
        <v>1.0889</v>
      </c>
    </row>
    <row r="360" spans="1:2" x14ac:dyDescent="0.25">
      <c r="A360" s="9">
        <v>45435</v>
      </c>
      <c r="B360" s="10">
        <v>1.0827</v>
      </c>
    </row>
    <row r="361" spans="1:2" x14ac:dyDescent="0.25">
      <c r="A361" s="9">
        <v>45436</v>
      </c>
      <c r="B361" s="10">
        <v>1.0825</v>
      </c>
    </row>
    <row r="362" spans="1:2" x14ac:dyDescent="0.25">
      <c r="A362" s="9">
        <v>45439</v>
      </c>
      <c r="B362" s="10">
        <v>1.0822000000000001</v>
      </c>
    </row>
    <row r="363" spans="1:2" x14ac:dyDescent="0.25">
      <c r="A363" s="9">
        <v>45440</v>
      </c>
      <c r="B363" s="10">
        <v>1.0827</v>
      </c>
    </row>
    <row r="364" spans="1:2" x14ac:dyDescent="0.25">
      <c r="A364" s="9">
        <v>45441</v>
      </c>
      <c r="B364" s="10">
        <v>1.0845</v>
      </c>
    </row>
    <row r="365" spans="1:2" x14ac:dyDescent="0.25">
      <c r="A365" s="9">
        <v>45442</v>
      </c>
      <c r="B365" s="10">
        <v>1.0825</v>
      </c>
    </row>
    <row r="366" spans="1:2" x14ac:dyDescent="0.25">
      <c r="A366" s="9">
        <v>45443</v>
      </c>
      <c r="B366" s="10">
        <v>1.0831</v>
      </c>
    </row>
    <row r="367" spans="1:2" x14ac:dyDescent="0.25">
      <c r="A367" s="9">
        <v>45446</v>
      </c>
      <c r="B367" s="10">
        <v>1.0819000000000001</v>
      </c>
    </row>
    <row r="368" spans="1:2" x14ac:dyDescent="0.25">
      <c r="A368" s="9">
        <v>45447</v>
      </c>
      <c r="B368" s="10">
        <v>1.0783</v>
      </c>
    </row>
    <row r="369" spans="1:2" x14ac:dyDescent="0.25">
      <c r="A369" s="9">
        <v>45448</v>
      </c>
      <c r="B369" s="10">
        <v>1.077</v>
      </c>
    </row>
    <row r="370" spans="1:2" x14ac:dyDescent="0.25">
      <c r="A370" s="9">
        <v>45449</v>
      </c>
      <c r="B370" s="10">
        <v>1.0758000000000001</v>
      </c>
    </row>
    <row r="371" spans="1:2" x14ac:dyDescent="0.25">
      <c r="A371" s="9">
        <v>45450</v>
      </c>
      <c r="B371" s="10">
        <v>1.0768</v>
      </c>
    </row>
    <row r="372" spans="1:2" x14ac:dyDescent="0.25">
      <c r="A372" s="9">
        <v>45454</v>
      </c>
      <c r="B372" s="10">
        <v>1.0781000000000001</v>
      </c>
    </row>
    <row r="373" spans="1:2" x14ac:dyDescent="0.25">
      <c r="A373" s="9">
        <v>45455</v>
      </c>
      <c r="B373" s="10">
        <v>1.0768</v>
      </c>
    </row>
    <row r="374" spans="1:2" x14ac:dyDescent="0.25">
      <c r="A374" s="9">
        <v>45456</v>
      </c>
      <c r="B374" s="10">
        <v>1.077</v>
      </c>
    </row>
    <row r="375" spans="1:2" x14ac:dyDescent="0.25">
      <c r="A375" s="9">
        <v>45457</v>
      </c>
      <c r="B375" s="10">
        <v>1.0779000000000001</v>
      </c>
    </row>
    <row r="376" spans="1:2" x14ac:dyDescent="0.25">
      <c r="A376" s="9">
        <v>45460</v>
      </c>
      <c r="B376" s="10">
        <v>1.0784</v>
      </c>
    </row>
    <row r="377" spans="1:2" x14ac:dyDescent="0.25">
      <c r="A377" s="9">
        <v>45461</v>
      </c>
      <c r="B377" s="10">
        <v>1.0825</v>
      </c>
    </row>
    <row r="378" spans="1:2" x14ac:dyDescent="0.25">
      <c r="A378" s="9">
        <v>45462</v>
      </c>
      <c r="B378" s="10">
        <v>1.087</v>
      </c>
    </row>
    <row r="379" spans="1:2" x14ac:dyDescent="0.25">
      <c r="A379" s="9">
        <v>45463</v>
      </c>
      <c r="B379" s="10">
        <v>1.0875999999999999</v>
      </c>
    </row>
    <row r="380" spans="1:2" x14ac:dyDescent="0.25">
      <c r="A380" s="9">
        <v>45464</v>
      </c>
      <c r="B380" s="10">
        <v>1.0882000000000001</v>
      </c>
    </row>
    <row r="381" spans="1:2" x14ac:dyDescent="0.25">
      <c r="A381" s="9">
        <v>45467</v>
      </c>
      <c r="B381" s="10">
        <v>1.0860000000000001</v>
      </c>
    </row>
    <row r="382" spans="1:2" x14ac:dyDescent="0.25">
      <c r="A382" s="9">
        <v>45468</v>
      </c>
      <c r="B382" s="10">
        <v>1.0882000000000001</v>
      </c>
    </row>
    <row r="383" spans="1:2" x14ac:dyDescent="0.25">
      <c r="A383" s="9">
        <v>45469</v>
      </c>
      <c r="B383" s="10">
        <v>1.0927</v>
      </c>
    </row>
    <row r="384" spans="1:2" x14ac:dyDescent="0.25">
      <c r="A384" s="9">
        <v>45470</v>
      </c>
      <c r="B384" s="10">
        <v>1.0948</v>
      </c>
    </row>
    <row r="385" spans="1:2" x14ac:dyDescent="0.25">
      <c r="A385" s="9">
        <v>45471</v>
      </c>
      <c r="B385" s="10">
        <v>1.0927</v>
      </c>
    </row>
    <row r="386" spans="1:2" x14ac:dyDescent="0.25">
      <c r="A386" s="9">
        <v>45474</v>
      </c>
      <c r="B386" s="10">
        <v>1.0934999999999999</v>
      </c>
    </row>
    <row r="387" spans="1:2" x14ac:dyDescent="0.25">
      <c r="A387" s="9">
        <v>45475</v>
      </c>
      <c r="B387" s="10">
        <v>1.0975999999999999</v>
      </c>
    </row>
    <row r="388" spans="1:2" x14ac:dyDescent="0.25">
      <c r="A388" s="9">
        <v>45476</v>
      </c>
      <c r="B388" s="10">
        <v>1.0986</v>
      </c>
    </row>
    <row r="389" spans="1:2" x14ac:dyDescent="0.25">
      <c r="A389" s="9">
        <v>45477</v>
      </c>
      <c r="B389" s="10">
        <v>1.0988</v>
      </c>
    </row>
    <row r="390" spans="1:2" x14ac:dyDescent="0.25">
      <c r="A390" s="9">
        <v>45478</v>
      </c>
      <c r="B390" s="10">
        <v>1.1003000000000001</v>
      </c>
    </row>
    <row r="391" spans="1:2" x14ac:dyDescent="0.25">
      <c r="A391" s="9">
        <v>45481</v>
      </c>
      <c r="B391" s="10">
        <v>1.0980000000000001</v>
      </c>
    </row>
    <row r="392" spans="1:2" x14ac:dyDescent="0.25">
      <c r="A392" s="9">
        <v>45482</v>
      </c>
      <c r="B392" s="10">
        <v>1.1011</v>
      </c>
    </row>
    <row r="393" spans="1:2" x14ac:dyDescent="0.25">
      <c r="A393" s="9">
        <v>45483</v>
      </c>
      <c r="B393" s="10">
        <v>1.1075999999999999</v>
      </c>
    </row>
    <row r="394" spans="1:2" x14ac:dyDescent="0.25">
      <c r="A394" s="9">
        <v>45484</v>
      </c>
      <c r="B394" s="10">
        <v>1.1093</v>
      </c>
    </row>
    <row r="395" spans="1:2" x14ac:dyDescent="0.25">
      <c r="A395" s="9">
        <v>45485</v>
      </c>
      <c r="B395" s="10">
        <v>1.1097999999999999</v>
      </c>
    </row>
    <row r="396" spans="1:2" x14ac:dyDescent="0.25">
      <c r="A396" s="9">
        <v>45488</v>
      </c>
      <c r="B396" s="10">
        <v>1.1107</v>
      </c>
    </row>
    <row r="397" spans="1:2" x14ac:dyDescent="0.25">
      <c r="A397" s="9">
        <v>45489</v>
      </c>
      <c r="B397" s="10">
        <v>1.1134999999999999</v>
      </c>
    </row>
    <row r="398" spans="1:2" x14ac:dyDescent="0.25">
      <c r="A398" s="9">
        <v>45490</v>
      </c>
      <c r="B398" s="10">
        <v>1.1105</v>
      </c>
    </row>
    <row r="399" spans="1:2" x14ac:dyDescent="0.25">
      <c r="A399" s="9">
        <v>45491</v>
      </c>
      <c r="B399" s="10">
        <v>1.1093</v>
      </c>
    </row>
    <row r="400" spans="1:2" x14ac:dyDescent="0.25">
      <c r="A400" s="9">
        <v>45492</v>
      </c>
      <c r="B400" s="10">
        <v>1.1111</v>
      </c>
    </row>
    <row r="401" spans="1:2" x14ac:dyDescent="0.25">
      <c r="A401" s="9">
        <v>45495</v>
      </c>
      <c r="B401" s="10">
        <v>1.1115999999999999</v>
      </c>
    </row>
    <row r="402" spans="1:2" x14ac:dyDescent="0.25">
      <c r="A402" s="9">
        <v>45496</v>
      </c>
      <c r="B402" s="10">
        <v>1.1112</v>
      </c>
    </row>
    <row r="403" spans="1:2" x14ac:dyDescent="0.25">
      <c r="A403" s="9">
        <v>45497</v>
      </c>
      <c r="B403" s="10">
        <v>1.1125</v>
      </c>
    </row>
    <row r="404" spans="1:2" x14ac:dyDescent="0.25">
      <c r="A404" s="9">
        <v>45498</v>
      </c>
      <c r="B404" s="10">
        <v>1.1065</v>
      </c>
    </row>
    <row r="405" spans="1:2" x14ac:dyDescent="0.25">
      <c r="A405" s="9">
        <v>45499</v>
      </c>
      <c r="B405" s="10">
        <v>1.1127</v>
      </c>
    </row>
    <row r="406" spans="1:2" x14ac:dyDescent="0.25">
      <c r="A406" s="9">
        <v>45502</v>
      </c>
      <c r="B406" s="10">
        <v>1.1133</v>
      </c>
    </row>
    <row r="407" spans="1:2" x14ac:dyDescent="0.25">
      <c r="A407" s="9">
        <v>45503</v>
      </c>
      <c r="B407" s="10">
        <v>1.1129</v>
      </c>
    </row>
    <row r="408" spans="1:2" x14ac:dyDescent="0.25">
      <c r="A408" s="9">
        <v>45504</v>
      </c>
      <c r="B408" s="10">
        <v>1.0989</v>
      </c>
    </row>
    <row r="409" spans="1:2" x14ac:dyDescent="0.25">
      <c r="A409" s="9">
        <v>45505</v>
      </c>
      <c r="B409" s="10">
        <v>1.0972</v>
      </c>
    </row>
    <row r="410" spans="1:2" x14ac:dyDescent="0.25">
      <c r="A410" s="9">
        <v>45506</v>
      </c>
      <c r="B410" s="10">
        <v>1.0939000000000001</v>
      </c>
    </row>
    <row r="411" spans="1:2" x14ac:dyDescent="0.25">
      <c r="A411" s="9">
        <v>45510</v>
      </c>
      <c r="B411" s="10">
        <v>1.0982000000000001</v>
      </c>
    </row>
    <row r="412" spans="1:2" x14ac:dyDescent="0.25">
      <c r="A412" s="9">
        <v>45511</v>
      </c>
      <c r="B412" s="10">
        <v>1.0891</v>
      </c>
    </row>
    <row r="413" spans="1:2" x14ac:dyDescent="0.25">
      <c r="A413" s="9">
        <v>45512</v>
      </c>
      <c r="B413" s="10">
        <v>1.0920000000000001</v>
      </c>
    </row>
    <row r="414" spans="1:2" x14ac:dyDescent="0.25">
      <c r="A414" s="9">
        <v>45513</v>
      </c>
      <c r="B414" s="10">
        <v>1.0939000000000001</v>
      </c>
    </row>
    <row r="415" spans="1:2" x14ac:dyDescent="0.25">
      <c r="A415" s="9">
        <v>45516</v>
      </c>
      <c r="B415" s="10">
        <v>1.0948</v>
      </c>
    </row>
    <row r="416" spans="1:2" x14ac:dyDescent="0.25">
      <c r="A416" s="9">
        <v>45517</v>
      </c>
      <c r="B416" s="10">
        <v>1.0926</v>
      </c>
    </row>
    <row r="417" spans="1:2" x14ac:dyDescent="0.25">
      <c r="A417" s="9">
        <v>45518</v>
      </c>
      <c r="B417" s="10">
        <v>1.1024</v>
      </c>
    </row>
    <row r="418" spans="1:2" x14ac:dyDescent="0.25">
      <c r="A418" s="9">
        <v>45519</v>
      </c>
      <c r="B418" s="10">
        <v>1.1022000000000001</v>
      </c>
    </row>
    <row r="419" spans="1:2" x14ac:dyDescent="0.25">
      <c r="A419" s="9">
        <v>45520</v>
      </c>
      <c r="B419" s="10">
        <v>1.1012999999999999</v>
      </c>
    </row>
    <row r="420" spans="1:2" x14ac:dyDescent="0.25">
      <c r="A420" s="9">
        <v>45523</v>
      </c>
      <c r="B420" s="10">
        <v>1.0992999999999999</v>
      </c>
    </row>
    <row r="421" spans="1:2" x14ac:dyDescent="0.25">
      <c r="A421" s="9">
        <v>45524</v>
      </c>
      <c r="B421" s="10">
        <v>1.0979000000000001</v>
      </c>
    </row>
    <row r="422" spans="1:2" x14ac:dyDescent="0.25">
      <c r="A422" s="9">
        <v>45525</v>
      </c>
      <c r="B422" s="10">
        <v>1.0972</v>
      </c>
    </row>
    <row r="423" spans="1:2" x14ac:dyDescent="0.25">
      <c r="A423" s="9">
        <v>45526</v>
      </c>
      <c r="B423" s="10">
        <v>1.0952</v>
      </c>
    </row>
    <row r="424" spans="1:2" x14ac:dyDescent="0.25">
      <c r="A424" s="9">
        <v>45527</v>
      </c>
      <c r="B424" s="10">
        <v>1.0920000000000001</v>
      </c>
    </row>
    <row r="425" spans="1:2" x14ac:dyDescent="0.25">
      <c r="A425" s="9">
        <v>45530</v>
      </c>
      <c r="B425" s="10">
        <v>1.0904</v>
      </c>
    </row>
    <row r="426" spans="1:2" x14ac:dyDescent="0.25">
      <c r="A426" s="9">
        <v>45531</v>
      </c>
      <c r="B426" s="10">
        <v>1.0906</v>
      </c>
    </row>
    <row r="427" spans="1:2" x14ac:dyDescent="0.25">
      <c r="A427" s="9">
        <v>45532</v>
      </c>
      <c r="B427" s="10">
        <v>1.0893999999999999</v>
      </c>
    </row>
    <row r="428" spans="1:2" x14ac:dyDescent="0.25">
      <c r="A428" s="9">
        <v>45533</v>
      </c>
      <c r="B428" s="10">
        <v>1.0817000000000001</v>
      </c>
    </row>
    <row r="429" spans="1:2" x14ac:dyDescent="0.25">
      <c r="A429" s="9">
        <v>45534</v>
      </c>
      <c r="B429" s="10">
        <v>1.0871999999999999</v>
      </c>
    </row>
    <row r="430" spans="1:2" x14ac:dyDescent="0.25">
      <c r="A430" s="9">
        <v>45537</v>
      </c>
      <c r="B430" s="10">
        <v>1.0854999999999999</v>
      </c>
    </row>
    <row r="431" spans="1:2" x14ac:dyDescent="0.25">
      <c r="A431" s="9">
        <v>45538</v>
      </c>
      <c r="B431" s="10">
        <v>1.0883</v>
      </c>
    </row>
    <row r="432" spans="1:2" x14ac:dyDescent="0.25">
      <c r="A432" s="9">
        <v>45539</v>
      </c>
      <c r="B432" s="10">
        <v>1.0843</v>
      </c>
    </row>
    <row r="433" spans="1:2" x14ac:dyDescent="0.25">
      <c r="A433" s="9">
        <v>45540</v>
      </c>
      <c r="B433" s="10">
        <v>1.0838000000000001</v>
      </c>
    </row>
    <row r="434" spans="1:2" x14ac:dyDescent="0.25">
      <c r="A434" s="9">
        <v>45541</v>
      </c>
      <c r="B434" s="10">
        <v>1.0824</v>
      </c>
    </row>
    <row r="435" spans="1:2" x14ac:dyDescent="0.25">
      <c r="A435" s="9">
        <v>45544</v>
      </c>
      <c r="B435" s="10">
        <v>1.0821000000000001</v>
      </c>
    </row>
    <row r="436" spans="1:2" x14ac:dyDescent="0.25">
      <c r="A436" s="9">
        <v>45545</v>
      </c>
      <c r="B436" s="10">
        <v>1.0834999999999999</v>
      </c>
    </row>
    <row r="437" spans="1:2" x14ac:dyDescent="0.25">
      <c r="A437" s="9">
        <v>45546</v>
      </c>
      <c r="B437" s="10">
        <v>1.0832999999999999</v>
      </c>
    </row>
    <row r="438" spans="1:2" x14ac:dyDescent="0.25">
      <c r="A438" s="9">
        <v>45547</v>
      </c>
      <c r="B438" s="10">
        <v>1.0871999999999999</v>
      </c>
    </row>
    <row r="439" spans="1:2" x14ac:dyDescent="0.25">
      <c r="A439" s="9">
        <v>45548</v>
      </c>
      <c r="B439" s="10">
        <v>1.0874999999999999</v>
      </c>
    </row>
    <row r="440" spans="1:2" x14ac:dyDescent="0.25">
      <c r="A440" s="9">
        <v>45551</v>
      </c>
      <c r="B440" s="10">
        <v>1.0895999999999999</v>
      </c>
    </row>
    <row r="441" spans="1:2" x14ac:dyDescent="0.25">
      <c r="A441" s="9">
        <v>45552</v>
      </c>
      <c r="B441" s="10">
        <v>1.0909</v>
      </c>
    </row>
    <row r="442" spans="1:2" x14ac:dyDescent="0.25">
      <c r="A442" s="9">
        <v>45553</v>
      </c>
      <c r="B442" s="10">
        <v>1.0905</v>
      </c>
    </row>
    <row r="443" spans="1:2" x14ac:dyDescent="0.25">
      <c r="A443" s="9">
        <v>45554</v>
      </c>
      <c r="B443" s="10">
        <v>1.0935999999999999</v>
      </c>
    </row>
    <row r="444" spans="1:2" x14ac:dyDescent="0.25">
      <c r="A444" s="9">
        <v>45555</v>
      </c>
      <c r="B444" s="10">
        <v>1.0923</v>
      </c>
    </row>
    <row r="445" spans="1:2" x14ac:dyDescent="0.25">
      <c r="A445" s="9">
        <v>45558</v>
      </c>
      <c r="B445" s="10">
        <v>1.0931999999999999</v>
      </c>
    </row>
    <row r="446" spans="1:2" x14ac:dyDescent="0.25">
      <c r="A446" s="9">
        <v>45559</v>
      </c>
      <c r="B446" s="10">
        <v>1.0911</v>
      </c>
    </row>
    <row r="447" spans="1:2" x14ac:dyDescent="0.25">
      <c r="A447" s="9">
        <v>45560</v>
      </c>
      <c r="B447" s="10">
        <v>1.0871999999999999</v>
      </c>
    </row>
    <row r="448" spans="1:2" x14ac:dyDescent="0.25">
      <c r="A448" s="9">
        <v>45561</v>
      </c>
      <c r="B448" s="10">
        <v>1.0928</v>
      </c>
    </row>
    <row r="449" spans="1:2" x14ac:dyDescent="0.25">
      <c r="A449" s="9">
        <v>45562</v>
      </c>
      <c r="B449" s="10">
        <v>1.0911999999999999</v>
      </c>
    </row>
    <row r="450" spans="1:2" x14ac:dyDescent="0.25">
      <c r="A450" s="9">
        <v>45565</v>
      </c>
      <c r="B450" s="10">
        <v>1.0887</v>
      </c>
    </row>
    <row r="451" spans="1:2" x14ac:dyDescent="0.25">
      <c r="A451" s="9">
        <v>45566</v>
      </c>
      <c r="B451" s="10">
        <v>1.0938000000000001</v>
      </c>
    </row>
    <row r="452" spans="1:2" x14ac:dyDescent="0.25">
      <c r="A452" s="9">
        <v>45567</v>
      </c>
      <c r="B452" s="10">
        <v>1.0941000000000001</v>
      </c>
    </row>
    <row r="453" spans="1:2" x14ac:dyDescent="0.25">
      <c r="A453" s="9">
        <v>45568</v>
      </c>
      <c r="B453" s="10">
        <v>1.1012</v>
      </c>
    </row>
    <row r="454" spans="1:2" x14ac:dyDescent="0.25">
      <c r="A454" s="9">
        <v>45569</v>
      </c>
      <c r="B454" s="10">
        <v>1.1024</v>
      </c>
    </row>
    <row r="455" spans="1:2" x14ac:dyDescent="0.25">
      <c r="A455" s="9">
        <v>45573</v>
      </c>
      <c r="B455" s="10">
        <v>1.1001000000000001</v>
      </c>
    </row>
    <row r="456" spans="1:2" x14ac:dyDescent="0.25">
      <c r="A456" s="9">
        <v>45574</v>
      </c>
      <c r="B456" s="10">
        <v>1.1088</v>
      </c>
    </row>
    <row r="457" spans="1:2" x14ac:dyDescent="0.25">
      <c r="A457" s="9">
        <v>45575</v>
      </c>
      <c r="B457" s="10">
        <v>1.1062000000000001</v>
      </c>
    </row>
    <row r="458" spans="1:2" x14ac:dyDescent="0.25">
      <c r="A458" s="9">
        <v>45576</v>
      </c>
      <c r="B458" s="10">
        <v>1.105</v>
      </c>
    </row>
    <row r="459" spans="1:2" x14ac:dyDescent="0.25">
      <c r="A459" s="9">
        <v>45579</v>
      </c>
      <c r="B459" s="10">
        <v>1.1059000000000001</v>
      </c>
    </row>
    <row r="460" spans="1:2" x14ac:dyDescent="0.25">
      <c r="A460" s="9">
        <v>45580</v>
      </c>
      <c r="B460" s="10">
        <v>1.1031</v>
      </c>
    </row>
    <row r="461" spans="1:2" x14ac:dyDescent="0.25">
      <c r="A461" s="9">
        <v>45581</v>
      </c>
      <c r="B461" s="10">
        <v>1.1037999999999999</v>
      </c>
    </row>
    <row r="462" spans="1:2" x14ac:dyDescent="0.25">
      <c r="A462" s="9">
        <v>45582</v>
      </c>
      <c r="B462" s="10">
        <v>1.1039000000000001</v>
      </c>
    </row>
    <row r="463" spans="1:2" x14ac:dyDescent="0.25">
      <c r="A463" s="9">
        <v>45583</v>
      </c>
      <c r="B463" s="10">
        <v>1.1059000000000001</v>
      </c>
    </row>
    <row r="464" spans="1:2" x14ac:dyDescent="0.25">
      <c r="A464" s="9">
        <v>45586</v>
      </c>
      <c r="B464" s="10">
        <v>1.1041000000000001</v>
      </c>
    </row>
    <row r="465" spans="1:2" x14ac:dyDescent="0.25">
      <c r="A465" s="9">
        <v>45587</v>
      </c>
      <c r="B465" s="10">
        <v>1.1040000000000001</v>
      </c>
    </row>
    <row r="466" spans="1:2" x14ac:dyDescent="0.25">
      <c r="A466" s="9">
        <v>45588</v>
      </c>
      <c r="B466" s="10">
        <v>1.1057999999999999</v>
      </c>
    </row>
    <row r="467" spans="1:2" x14ac:dyDescent="0.25">
      <c r="A467" s="9">
        <v>45589</v>
      </c>
      <c r="B467" s="10">
        <v>1.1051</v>
      </c>
    </row>
    <row r="468" spans="1:2" x14ac:dyDescent="0.25">
      <c r="A468" s="9">
        <v>45590</v>
      </c>
      <c r="B468" s="10">
        <v>1.105</v>
      </c>
    </row>
    <row r="469" spans="1:2" x14ac:dyDescent="0.25">
      <c r="A469" s="9">
        <v>45593</v>
      </c>
      <c r="B469" s="10">
        <v>1.1049</v>
      </c>
    </row>
    <row r="470" spans="1:2" x14ac:dyDescent="0.25">
      <c r="A470" s="9">
        <v>45594</v>
      </c>
      <c r="B470" s="10">
        <v>1.0992999999999999</v>
      </c>
    </row>
    <row r="471" spans="1:2" x14ac:dyDescent="0.25">
      <c r="A471" s="9">
        <v>45595</v>
      </c>
      <c r="B471" s="10">
        <v>1.0982000000000001</v>
      </c>
    </row>
    <row r="472" spans="1:2" x14ac:dyDescent="0.25">
      <c r="A472" s="9">
        <v>45596</v>
      </c>
      <c r="B472" s="10">
        <v>1.0995999999999999</v>
      </c>
    </row>
    <row r="473" spans="1:2" x14ac:dyDescent="0.25">
      <c r="A473" s="9">
        <v>45597</v>
      </c>
      <c r="B473" s="10">
        <v>1.0992999999999999</v>
      </c>
    </row>
    <row r="474" spans="1:2" x14ac:dyDescent="0.25">
      <c r="A474" s="9">
        <v>45600</v>
      </c>
      <c r="B474" s="10">
        <v>1.1000000000000001</v>
      </c>
    </row>
    <row r="475" spans="1:2" x14ac:dyDescent="0.25">
      <c r="A475" s="9">
        <v>45601</v>
      </c>
      <c r="B475" s="10">
        <v>1.103</v>
      </c>
    </row>
    <row r="476" spans="1:2" x14ac:dyDescent="0.25">
      <c r="A476" s="9">
        <v>45602</v>
      </c>
      <c r="B476" s="10">
        <v>1.1023000000000001</v>
      </c>
    </row>
    <row r="477" spans="1:2" x14ac:dyDescent="0.25">
      <c r="A477" s="9">
        <v>45603</v>
      </c>
      <c r="B477" s="10">
        <v>1.1072</v>
      </c>
    </row>
    <row r="478" spans="1:2" x14ac:dyDescent="0.25">
      <c r="A478" s="9">
        <v>45604</v>
      </c>
      <c r="B478" s="10">
        <v>1.1068</v>
      </c>
    </row>
    <row r="479" spans="1:2" x14ac:dyDescent="0.25">
      <c r="A479" s="9">
        <v>45607</v>
      </c>
      <c r="B479" s="10">
        <v>1.1037999999999999</v>
      </c>
    </row>
    <row r="480" spans="1:2" x14ac:dyDescent="0.25">
      <c r="A480" s="9">
        <v>45608</v>
      </c>
      <c r="B480" s="10">
        <v>1.1000000000000001</v>
      </c>
    </row>
    <row r="481" spans="1:2" x14ac:dyDescent="0.25">
      <c r="A481" s="9">
        <v>45609</v>
      </c>
      <c r="B481" s="10">
        <v>1.1025</v>
      </c>
    </row>
    <row r="482" spans="1:2" x14ac:dyDescent="0.25">
      <c r="A482" s="9">
        <v>45610</v>
      </c>
      <c r="B482" s="10">
        <v>1.1045</v>
      </c>
    </row>
    <row r="483" spans="1:2" x14ac:dyDescent="0.25">
      <c r="A483" s="9">
        <v>45611</v>
      </c>
      <c r="B483" s="10">
        <v>1.1033999999999999</v>
      </c>
    </row>
    <row r="484" spans="1:2" x14ac:dyDescent="0.25">
      <c r="A484" s="9">
        <v>45614</v>
      </c>
      <c r="B484" s="10">
        <v>1.1042000000000001</v>
      </c>
    </row>
    <row r="485" spans="1:2" x14ac:dyDescent="0.25">
      <c r="A485" s="9">
        <v>45615</v>
      </c>
      <c r="B485" s="10">
        <v>1.1054999999999999</v>
      </c>
    </row>
    <row r="486" spans="1:2" x14ac:dyDescent="0.25">
      <c r="A486" s="9">
        <v>45616</v>
      </c>
      <c r="B486" s="10">
        <v>1.1048</v>
      </c>
    </row>
    <row r="487" spans="1:2" x14ac:dyDescent="0.25">
      <c r="A487" s="9">
        <v>45617</v>
      </c>
      <c r="B487" s="10">
        <v>1.1087</v>
      </c>
    </row>
    <row r="488" spans="1:2" x14ac:dyDescent="0.25">
      <c r="A488" s="9">
        <v>45618</v>
      </c>
      <c r="B488" s="10">
        <v>1.1141000000000001</v>
      </c>
    </row>
    <row r="489" spans="1:2" x14ac:dyDescent="0.25">
      <c r="A489" s="9">
        <v>45621</v>
      </c>
      <c r="B489" s="10">
        <v>1.1144000000000001</v>
      </c>
    </row>
    <row r="490" spans="1:2" x14ac:dyDescent="0.25">
      <c r="A490" s="9">
        <v>45622</v>
      </c>
      <c r="B490" s="10">
        <v>1.1115999999999999</v>
      </c>
    </row>
    <row r="491" spans="1:2" x14ac:dyDescent="0.25">
      <c r="A491" s="9">
        <v>45623</v>
      </c>
      <c r="B491" s="10">
        <v>1.1046</v>
      </c>
    </row>
    <row r="492" spans="1:2" x14ac:dyDescent="0.25">
      <c r="A492" s="9">
        <v>45624</v>
      </c>
      <c r="B492" s="10">
        <v>1.1015999999999999</v>
      </c>
    </row>
    <row r="493" spans="1:2" x14ac:dyDescent="0.25">
      <c r="A493" s="9">
        <v>45625</v>
      </c>
      <c r="B493" s="10">
        <v>1.1021000000000001</v>
      </c>
    </row>
    <row r="494" spans="1:2" x14ac:dyDescent="0.25">
      <c r="A494" s="9">
        <v>45628</v>
      </c>
      <c r="B494" s="10">
        <v>1.1020000000000001</v>
      </c>
    </row>
    <row r="495" spans="1:2" x14ac:dyDescent="0.25">
      <c r="A495" s="9">
        <v>45629</v>
      </c>
      <c r="B495" s="10">
        <v>1.1011</v>
      </c>
    </row>
    <row r="496" spans="1:2" x14ac:dyDescent="0.25">
      <c r="A496" s="9">
        <v>45630</v>
      </c>
      <c r="B496" s="10">
        <v>1.0993999999999999</v>
      </c>
    </row>
    <row r="497" spans="1:2" x14ac:dyDescent="0.25">
      <c r="A497" s="9">
        <v>45631</v>
      </c>
      <c r="B497" s="10">
        <v>1.0968</v>
      </c>
    </row>
    <row r="498" spans="1:2" x14ac:dyDescent="0.25">
      <c r="A498" s="9">
        <v>45632</v>
      </c>
      <c r="B498" s="10">
        <v>1.0971</v>
      </c>
    </row>
    <row r="499" spans="1:2" x14ac:dyDescent="0.25">
      <c r="A499" s="9">
        <v>45635</v>
      </c>
      <c r="B499" s="10">
        <v>1.0986</v>
      </c>
    </row>
    <row r="500" spans="1:2" x14ac:dyDescent="0.25">
      <c r="A500" s="9">
        <v>45636</v>
      </c>
      <c r="B500" s="10">
        <v>1.0958000000000001</v>
      </c>
    </row>
    <row r="501" spans="1:2" x14ac:dyDescent="0.25">
      <c r="A501" s="9">
        <v>45637</v>
      </c>
      <c r="B501" s="10">
        <v>1.1003000000000001</v>
      </c>
    </row>
    <row r="502" spans="1:2" x14ac:dyDescent="0.25">
      <c r="A502" s="9">
        <v>45638</v>
      </c>
      <c r="B502" s="10">
        <v>1.105</v>
      </c>
    </row>
    <row r="503" spans="1:2" x14ac:dyDescent="0.25">
      <c r="A503" s="9">
        <v>45639</v>
      </c>
      <c r="B503" s="10">
        <v>1.1037999999999999</v>
      </c>
    </row>
    <row r="504" spans="1:2" x14ac:dyDescent="0.25">
      <c r="A504" s="9">
        <v>45642</v>
      </c>
      <c r="B504" s="10">
        <v>1.1031</v>
      </c>
    </row>
    <row r="505" spans="1:2" x14ac:dyDescent="0.25">
      <c r="A505" s="9">
        <v>45643</v>
      </c>
      <c r="B505" s="10">
        <v>1.1017999999999999</v>
      </c>
    </row>
    <row r="506" spans="1:2" x14ac:dyDescent="0.25">
      <c r="A506" s="9">
        <v>45644</v>
      </c>
      <c r="B506" s="10">
        <v>1.1006</v>
      </c>
    </row>
    <row r="507" spans="1:2" x14ac:dyDescent="0.25">
      <c r="A507" s="9">
        <v>45645</v>
      </c>
      <c r="B507" s="10">
        <v>1.1059000000000001</v>
      </c>
    </row>
    <row r="508" spans="1:2" x14ac:dyDescent="0.25">
      <c r="A508" s="9">
        <v>45646</v>
      </c>
      <c r="B508" s="10">
        <v>1.107</v>
      </c>
    </row>
    <row r="509" spans="1:2" x14ac:dyDescent="0.25">
      <c r="A509" s="9">
        <v>45649</v>
      </c>
      <c r="B509" s="10">
        <v>1.1062000000000001</v>
      </c>
    </row>
    <row r="510" spans="1:2" x14ac:dyDescent="0.25">
      <c r="A510" s="9">
        <v>45650</v>
      </c>
      <c r="B510" s="10">
        <v>1.1053999999999999</v>
      </c>
    </row>
    <row r="511" spans="1:2" x14ac:dyDescent="0.25">
      <c r="A511" s="9">
        <v>45653</v>
      </c>
      <c r="B511" s="10">
        <v>1.1059000000000001</v>
      </c>
    </row>
    <row r="512" spans="1:2" x14ac:dyDescent="0.25">
      <c r="A512" s="9">
        <v>45656</v>
      </c>
      <c r="B512" s="10">
        <v>1.1033999999999999</v>
      </c>
    </row>
    <row r="513" spans="1:2" x14ac:dyDescent="0.25">
      <c r="A513" s="9">
        <v>45657</v>
      </c>
      <c r="B513" s="10">
        <v>1.1045</v>
      </c>
    </row>
    <row r="514" spans="1:2" x14ac:dyDescent="0.25">
      <c r="A514" s="9">
        <v>45659</v>
      </c>
      <c r="B514" s="10">
        <v>1.1068</v>
      </c>
    </row>
    <row r="515" spans="1:2" x14ac:dyDescent="0.25">
      <c r="A515" s="9">
        <v>45660</v>
      </c>
      <c r="B515" s="10">
        <v>1.1086</v>
      </c>
    </row>
    <row r="516" spans="1:2" x14ac:dyDescent="0.25">
      <c r="A516" s="9">
        <v>45663</v>
      </c>
      <c r="B516" s="10">
        <v>1.1069</v>
      </c>
    </row>
    <row r="517" spans="1:2" x14ac:dyDescent="0.25">
      <c r="A517" s="9">
        <v>45664</v>
      </c>
      <c r="B517" s="10">
        <v>1.1060000000000001</v>
      </c>
    </row>
    <row r="518" spans="1:2" x14ac:dyDescent="0.25">
      <c r="A518" s="9">
        <v>45665</v>
      </c>
      <c r="B518" s="10">
        <v>1.1060000000000001</v>
      </c>
    </row>
    <row r="519" spans="1:2" x14ac:dyDescent="0.25">
      <c r="A519" s="9">
        <v>45666</v>
      </c>
      <c r="B519" s="10">
        <v>1.1075999999999999</v>
      </c>
    </row>
    <row r="520" spans="1:2" x14ac:dyDescent="0.25">
      <c r="A520" s="9">
        <v>45667</v>
      </c>
      <c r="B520" s="10">
        <v>1.1079000000000001</v>
      </c>
    </row>
    <row r="521" spans="1:2" x14ac:dyDescent="0.25">
      <c r="A521" s="9">
        <v>45670</v>
      </c>
      <c r="B521" s="10">
        <v>1.105</v>
      </c>
    </row>
    <row r="522" spans="1:2" x14ac:dyDescent="0.25">
      <c r="A522" s="9">
        <v>45671</v>
      </c>
      <c r="B522" s="10">
        <v>1.1035999999999999</v>
      </c>
    </row>
    <row r="523" spans="1:2" x14ac:dyDescent="0.25">
      <c r="A523" s="9">
        <v>45672</v>
      </c>
      <c r="B523" s="10">
        <v>1.1049</v>
      </c>
    </row>
    <row r="524" spans="1:2" x14ac:dyDescent="0.25">
      <c r="A524" s="9">
        <v>45673</v>
      </c>
      <c r="B524" s="10">
        <v>1.1068</v>
      </c>
    </row>
    <row r="525" spans="1:2" x14ac:dyDescent="0.25">
      <c r="A525" s="9">
        <v>45674</v>
      </c>
      <c r="B525" s="10">
        <v>1.1085</v>
      </c>
    </row>
    <row r="526" spans="1:2" x14ac:dyDescent="0.25">
      <c r="A526" s="9">
        <v>45677</v>
      </c>
      <c r="B526" s="10">
        <v>1.1074999999999999</v>
      </c>
    </row>
    <row r="527" spans="1:2" x14ac:dyDescent="0.25">
      <c r="A527" s="9">
        <v>45678</v>
      </c>
      <c r="B527" s="10">
        <v>1.105</v>
      </c>
    </row>
    <row r="528" spans="1:2" x14ac:dyDescent="0.25">
      <c r="A528" s="9">
        <v>45679</v>
      </c>
      <c r="B528" s="10">
        <v>1.1067</v>
      </c>
    </row>
    <row r="529" spans="1:2" x14ac:dyDescent="0.25">
      <c r="A529" s="9">
        <v>45680</v>
      </c>
      <c r="B529" s="10">
        <v>1.1069</v>
      </c>
    </row>
    <row r="530" spans="1:2" x14ac:dyDescent="0.25">
      <c r="A530" s="9">
        <v>45681</v>
      </c>
      <c r="B530" s="10">
        <v>1.1074999999999999</v>
      </c>
    </row>
    <row r="531" spans="1:2" x14ac:dyDescent="0.25">
      <c r="A531" s="9">
        <v>45685</v>
      </c>
      <c r="B531" s="10">
        <v>1.105</v>
      </c>
    </row>
    <row r="532" spans="1:2" x14ac:dyDescent="0.25">
      <c r="A532" s="9">
        <v>45686</v>
      </c>
      <c r="B532" s="10">
        <v>1.1015999999999999</v>
      </c>
    </row>
    <row r="533" spans="1:2" x14ac:dyDescent="0.25">
      <c r="A533" s="9">
        <v>45687</v>
      </c>
      <c r="B533" s="10">
        <v>1.1020000000000001</v>
      </c>
    </row>
    <row r="534" spans="1:2" x14ac:dyDescent="0.25">
      <c r="A534" s="9">
        <v>45688</v>
      </c>
      <c r="B534" s="10">
        <v>1.1029</v>
      </c>
    </row>
    <row r="535" spans="1:2" x14ac:dyDescent="0.25">
      <c r="A535" s="9">
        <v>45691</v>
      </c>
      <c r="B535" s="10">
        <v>1.1042000000000001</v>
      </c>
    </row>
    <row r="536" spans="1:2" x14ac:dyDescent="0.25">
      <c r="A536" s="9">
        <v>45692</v>
      </c>
      <c r="B536" s="10">
        <v>1.1057999999999999</v>
      </c>
    </row>
    <row r="537" spans="1:2" x14ac:dyDescent="0.25">
      <c r="A537" s="9">
        <v>45693</v>
      </c>
      <c r="B537" s="10">
        <v>1.1048</v>
      </c>
    </row>
    <row r="538" spans="1:2" x14ac:dyDescent="0.25">
      <c r="A538" s="9">
        <v>45694</v>
      </c>
      <c r="B538" s="10">
        <v>1.1052</v>
      </c>
    </row>
    <row r="539" spans="1:2" x14ac:dyDescent="0.25">
      <c r="A539" s="9">
        <v>45695</v>
      </c>
      <c r="B539" s="10">
        <v>1.1067</v>
      </c>
    </row>
    <row r="540" spans="1:2" x14ac:dyDescent="0.25">
      <c r="A540" s="9">
        <v>45698</v>
      </c>
      <c r="B540" s="10">
        <v>1.1089</v>
      </c>
    </row>
    <row r="541" spans="1:2" x14ac:dyDescent="0.25">
      <c r="A541" s="9">
        <v>45699</v>
      </c>
      <c r="B541" s="10">
        <v>1.1117999999999999</v>
      </c>
    </row>
    <row r="542" spans="1:2" x14ac:dyDescent="0.25">
      <c r="A542" s="9">
        <v>45700</v>
      </c>
      <c r="B542" s="10">
        <v>1.1125</v>
      </c>
    </row>
    <row r="543" spans="1:2" x14ac:dyDescent="0.25">
      <c r="A543" s="9">
        <v>45701</v>
      </c>
      <c r="B543" s="10">
        <v>1.113</v>
      </c>
    </row>
    <row r="544" spans="1:2" x14ac:dyDescent="0.25">
      <c r="A544" s="9">
        <v>45702</v>
      </c>
      <c r="B544" s="10">
        <v>1.1114999999999999</v>
      </c>
    </row>
    <row r="545" spans="1:2" x14ac:dyDescent="0.25">
      <c r="A545" s="9">
        <v>45705</v>
      </c>
      <c r="B545" s="10">
        <v>1.1095999999999999</v>
      </c>
    </row>
    <row r="546" spans="1:2" x14ac:dyDescent="0.25">
      <c r="A546" s="9">
        <v>45706</v>
      </c>
      <c r="B546" s="10">
        <v>1.1132</v>
      </c>
    </row>
    <row r="547" spans="1:2" x14ac:dyDescent="0.25">
      <c r="A547" s="9">
        <v>45707</v>
      </c>
      <c r="B547" s="10">
        <v>1.1126</v>
      </c>
    </row>
    <row r="548" spans="1:2" x14ac:dyDescent="0.25">
      <c r="A548" s="9">
        <v>45708</v>
      </c>
      <c r="B548" s="10">
        <v>1.1128</v>
      </c>
    </row>
    <row r="549" spans="1:2" x14ac:dyDescent="0.25">
      <c r="A549" s="9">
        <v>45709</v>
      </c>
      <c r="B549" s="10">
        <v>1.1095999999999999</v>
      </c>
    </row>
    <row r="550" spans="1:2" x14ac:dyDescent="0.25">
      <c r="A550" s="9">
        <v>45712</v>
      </c>
      <c r="B550" s="10">
        <v>1.1077999999999999</v>
      </c>
    </row>
    <row r="551" spans="1:2" x14ac:dyDescent="0.25">
      <c r="A551" s="9">
        <v>45713</v>
      </c>
      <c r="B551" s="10">
        <v>1.1075999999999999</v>
      </c>
    </row>
    <row r="552" spans="1:2" x14ac:dyDescent="0.25">
      <c r="A552" s="9">
        <v>45714</v>
      </c>
      <c r="B552" s="10">
        <v>1.1080000000000001</v>
      </c>
    </row>
    <row r="553" spans="1:2" x14ac:dyDescent="0.25">
      <c r="A553" s="9">
        <v>45715</v>
      </c>
      <c r="B553" s="10">
        <v>1.1077999999999999</v>
      </c>
    </row>
    <row r="554" spans="1:2" x14ac:dyDescent="0.25">
      <c r="A554" s="9">
        <v>45716</v>
      </c>
      <c r="B554" s="10">
        <v>1.1095999999999999</v>
      </c>
    </row>
    <row r="555" spans="1:2" x14ac:dyDescent="0.25">
      <c r="A555" s="9">
        <v>45719</v>
      </c>
      <c r="B555" s="10">
        <v>1.1101000000000001</v>
      </c>
    </row>
    <row r="556" spans="1:2" x14ac:dyDescent="0.25">
      <c r="A556" s="9">
        <v>45720</v>
      </c>
      <c r="B556" s="10">
        <v>1.1051</v>
      </c>
    </row>
    <row r="557" spans="1:2" x14ac:dyDescent="0.25">
      <c r="A557" s="9">
        <v>45721</v>
      </c>
      <c r="B557" s="10">
        <v>1.1068</v>
      </c>
    </row>
    <row r="558" spans="1:2" x14ac:dyDescent="0.25">
      <c r="A558" s="9">
        <v>45722</v>
      </c>
      <c r="B558" s="10">
        <v>1.1061000000000001</v>
      </c>
    </row>
    <row r="559" spans="1:2" x14ac:dyDescent="0.25">
      <c r="A559" s="9">
        <v>45723</v>
      </c>
      <c r="B559" s="10">
        <v>1.103</v>
      </c>
    </row>
    <row r="560" spans="1:2" x14ac:dyDescent="0.25">
      <c r="A560" s="9">
        <v>45726</v>
      </c>
      <c r="B560" s="10">
        <v>1.1037999999999999</v>
      </c>
    </row>
    <row r="561" spans="1:2" x14ac:dyDescent="0.25">
      <c r="A561" s="9">
        <v>45727</v>
      </c>
      <c r="B561" s="10">
        <v>1.1022000000000001</v>
      </c>
    </row>
    <row r="562" spans="1:2" x14ac:dyDescent="0.25">
      <c r="A562" s="9">
        <v>45728</v>
      </c>
      <c r="B562" s="10">
        <v>1.1024</v>
      </c>
    </row>
    <row r="563" spans="1:2" x14ac:dyDescent="0.25">
      <c r="A563" s="9">
        <v>45729</v>
      </c>
      <c r="B563" s="10">
        <v>1.1013999999999999</v>
      </c>
    </row>
    <row r="564" spans="1:2" x14ac:dyDescent="0.25">
      <c r="A564" s="9">
        <v>45730</v>
      </c>
      <c r="B564" s="10">
        <v>1.1023000000000001</v>
      </c>
    </row>
    <row r="565" spans="1:2" x14ac:dyDescent="0.25">
      <c r="A565" s="9">
        <v>45733</v>
      </c>
      <c r="B565" s="10">
        <v>1.0985</v>
      </c>
    </row>
    <row r="566" spans="1:2" x14ac:dyDescent="0.25">
      <c r="A566" s="9">
        <v>45734</v>
      </c>
      <c r="B566" s="10">
        <v>1.0954999999999999</v>
      </c>
    </row>
    <row r="567" spans="1:2" x14ac:dyDescent="0.25">
      <c r="A567" s="9">
        <v>45735</v>
      </c>
      <c r="B567" s="10">
        <v>1.0941000000000001</v>
      </c>
    </row>
    <row r="568" spans="1:2" x14ac:dyDescent="0.25">
      <c r="A568" s="9">
        <v>45736</v>
      </c>
      <c r="B568" s="10">
        <v>1.0952999999999999</v>
      </c>
    </row>
    <row r="569" spans="1:2" x14ac:dyDescent="0.25">
      <c r="A569" s="9">
        <v>45737</v>
      </c>
      <c r="B569" s="10">
        <v>1.0939000000000001</v>
      </c>
    </row>
    <row r="570" spans="1:2" x14ac:dyDescent="0.25">
      <c r="A570" s="9">
        <v>45740</v>
      </c>
      <c r="B570" s="10">
        <v>1.097</v>
      </c>
    </row>
    <row r="571" spans="1:2" x14ac:dyDescent="0.25">
      <c r="A571" s="12">
        <v>45741</v>
      </c>
      <c r="B571" s="10">
        <v>1.0985</v>
      </c>
    </row>
    <row r="572" spans="1:2" x14ac:dyDescent="0.25">
      <c r="A572" s="12">
        <v>45742</v>
      </c>
      <c r="B572" s="10">
        <v>1.0981000000000001</v>
      </c>
    </row>
    <row r="573" spans="1:2" x14ac:dyDescent="0.25">
      <c r="A573" s="12">
        <v>45743</v>
      </c>
      <c r="B573" s="10">
        <v>1.0993999999999999</v>
      </c>
    </row>
    <row r="574" spans="1:2" x14ac:dyDescent="0.25">
      <c r="A574" s="12">
        <v>45744</v>
      </c>
      <c r="B574" s="10">
        <v>1.0998000000000001</v>
      </c>
    </row>
    <row r="575" spans="1:2" x14ac:dyDescent="0.25">
      <c r="A575" s="12">
        <v>45747</v>
      </c>
      <c r="B575" s="10">
        <v>1.1004</v>
      </c>
    </row>
    <row r="576" spans="1:2" x14ac:dyDescent="0.25">
      <c r="A576" s="12">
        <v>45748</v>
      </c>
      <c r="B576" s="10">
        <v>1.1021000000000001</v>
      </c>
    </row>
    <row r="577" spans="1:2" x14ac:dyDescent="0.25">
      <c r="A577" s="12">
        <v>45749</v>
      </c>
      <c r="B577" s="10">
        <v>1.1008</v>
      </c>
    </row>
    <row r="578" spans="1:2" x14ac:dyDescent="0.25">
      <c r="A578" s="12">
        <v>45750</v>
      </c>
      <c r="B578" s="10">
        <v>1.0933999999999999</v>
      </c>
    </row>
    <row r="579" spans="1:2" x14ac:dyDescent="0.25">
      <c r="A579" s="12">
        <v>45751</v>
      </c>
      <c r="B579" s="10">
        <v>1.0906</v>
      </c>
    </row>
    <row r="580" spans="1:2" x14ac:dyDescent="0.25">
      <c r="A580" s="12">
        <v>45754</v>
      </c>
      <c r="B580" s="10">
        <v>1.0811999999999999</v>
      </c>
    </row>
    <row r="581" spans="1:2" x14ac:dyDescent="0.25">
      <c r="A581" s="12">
        <v>45755</v>
      </c>
      <c r="B581" s="10">
        <v>1.0822000000000001</v>
      </c>
    </row>
    <row r="582" spans="1:2" x14ac:dyDescent="0.25">
      <c r="A582" s="12">
        <v>45756</v>
      </c>
      <c r="B582" s="10">
        <v>1.0787</v>
      </c>
    </row>
    <row r="583" spans="1:2" x14ac:dyDescent="0.25">
      <c r="A583" s="12">
        <v>45757</v>
      </c>
      <c r="B583" s="10">
        <v>1.0876999999999999</v>
      </c>
    </row>
    <row r="584" spans="1:2" x14ac:dyDescent="0.25">
      <c r="A584" s="12">
        <v>45758</v>
      </c>
      <c r="B584" s="10">
        <v>1.0733999999999999</v>
      </c>
    </row>
    <row r="585" spans="1:2" x14ac:dyDescent="0.25">
      <c r="A585" s="12">
        <v>45761</v>
      </c>
      <c r="B585" s="10">
        <v>1.0765</v>
      </c>
    </row>
    <row r="586" spans="1:2" x14ac:dyDescent="0.25">
      <c r="A586" s="12">
        <v>45762</v>
      </c>
      <c r="B586" s="10">
        <v>1.0752999999999999</v>
      </c>
    </row>
    <row r="587" spans="1:2" x14ac:dyDescent="0.25">
      <c r="A587" s="12">
        <v>45763</v>
      </c>
      <c r="B587" s="10">
        <v>1.0722</v>
      </c>
    </row>
    <row r="588" spans="1:2" x14ac:dyDescent="0.25">
      <c r="A588" s="12">
        <v>45764</v>
      </c>
      <c r="B588" s="10">
        <v>1.0730999999999999</v>
      </c>
    </row>
    <row r="589" spans="1:2" x14ac:dyDescent="0.25">
      <c r="A589" s="12">
        <v>45769</v>
      </c>
      <c r="B589" s="10">
        <v>1.0684</v>
      </c>
    </row>
    <row r="590" spans="1:2" x14ac:dyDescent="0.25">
      <c r="A590" s="12">
        <v>45770</v>
      </c>
      <c r="B590" s="10">
        <v>1.0691999999999999</v>
      </c>
    </row>
    <row r="591" spans="1:2" x14ac:dyDescent="0.25">
      <c r="A591" s="12">
        <v>45771</v>
      </c>
      <c r="B591" s="10">
        <v>1.0680000000000001</v>
      </c>
    </row>
    <row r="592" spans="1:2" x14ac:dyDescent="0.25">
      <c r="A592" s="12">
        <v>45775</v>
      </c>
      <c r="B592" s="10">
        <v>1.0731999999999999</v>
      </c>
    </row>
    <row r="593" spans="1:2" x14ac:dyDescent="0.25">
      <c r="A593" s="12">
        <v>45776</v>
      </c>
      <c r="B593" s="10">
        <v>1.0769</v>
      </c>
    </row>
    <row r="594" spans="1:2" x14ac:dyDescent="0.25">
      <c r="A594" s="12">
        <v>45777</v>
      </c>
      <c r="B594" s="10">
        <v>1.0793999999999999</v>
      </c>
    </row>
    <row r="595" spans="1:2" x14ac:dyDescent="0.25">
      <c r="A595" s="12">
        <v>45778</v>
      </c>
      <c r="B595" s="10">
        <v>1.0786</v>
      </c>
    </row>
    <row r="596" spans="1:2" x14ac:dyDescent="0.25">
      <c r="A596" s="12">
        <v>45779</v>
      </c>
      <c r="B596" s="10">
        <v>1.0807</v>
      </c>
    </row>
    <row r="597" spans="1:2" x14ac:dyDescent="0.25">
      <c r="A597" s="12">
        <v>45782</v>
      </c>
      <c r="B597" s="10">
        <v>1.0824</v>
      </c>
    </row>
    <row r="598" spans="1:2" x14ac:dyDescent="0.25">
      <c r="A598" s="12">
        <v>45783</v>
      </c>
      <c r="B598" s="10">
        <v>1.0805</v>
      </c>
    </row>
    <row r="599" spans="1:2" x14ac:dyDescent="0.25">
      <c r="A599" s="12">
        <v>45784</v>
      </c>
      <c r="B599" s="10">
        <v>1.0793999999999999</v>
      </c>
    </row>
    <row r="600" spans="1:2" x14ac:dyDescent="0.25">
      <c r="A600" s="12">
        <v>45785</v>
      </c>
      <c r="B600" s="10">
        <v>1.0819000000000001</v>
      </c>
    </row>
    <row r="601" spans="1:2" x14ac:dyDescent="0.25">
      <c r="A601" s="12">
        <v>45786</v>
      </c>
      <c r="B601" s="10">
        <v>1.0863</v>
      </c>
    </row>
    <row r="602" spans="1:2" x14ac:dyDescent="0.25">
      <c r="A602" s="12">
        <v>45789</v>
      </c>
      <c r="B602" s="10">
        <v>1.0857000000000001</v>
      </c>
    </row>
    <row r="603" spans="1:2" x14ac:dyDescent="0.25">
      <c r="A603" s="12">
        <v>45790</v>
      </c>
      <c r="B603" s="10">
        <v>1.0885</v>
      </c>
    </row>
    <row r="604" spans="1:2" x14ac:dyDescent="0.25">
      <c r="A604" s="12">
        <v>45791</v>
      </c>
      <c r="B604" s="10">
        <v>1.0896999999999999</v>
      </c>
    </row>
    <row r="605" spans="1:2" x14ac:dyDescent="0.25">
      <c r="A605" s="12">
        <v>45792</v>
      </c>
      <c r="B605" s="10">
        <v>1.0901000000000001</v>
      </c>
    </row>
    <row r="606" spans="1:2" x14ac:dyDescent="0.25">
      <c r="A606" s="12">
        <v>45793</v>
      </c>
      <c r="B606" s="10">
        <v>1.0884</v>
      </c>
    </row>
    <row r="607" spans="1:2" x14ac:dyDescent="0.25">
      <c r="A607" s="12">
        <v>45796</v>
      </c>
      <c r="B607" s="10">
        <v>1.0882000000000001</v>
      </c>
    </row>
    <row r="608" spans="1:2" x14ac:dyDescent="0.25">
      <c r="A608" s="12">
        <v>45797</v>
      </c>
      <c r="B608" s="10">
        <v>1.0843</v>
      </c>
    </row>
    <row r="609" spans="1:2" x14ac:dyDescent="0.25">
      <c r="A609" s="12">
        <v>45798</v>
      </c>
      <c r="B609" s="10">
        <v>1.0851</v>
      </c>
    </row>
    <row r="610" spans="1:2" x14ac:dyDescent="0.25">
      <c r="A610" s="12">
        <v>45799</v>
      </c>
      <c r="B610" s="10">
        <v>1.0881000000000001</v>
      </c>
    </row>
    <row r="611" spans="1:2" x14ac:dyDescent="0.25">
      <c r="A611" s="12">
        <v>45800</v>
      </c>
      <c r="B611" s="10">
        <v>1.0874999999999999</v>
      </c>
    </row>
    <row r="612" spans="1:2" x14ac:dyDescent="0.25">
      <c r="A612" s="12">
        <v>45803</v>
      </c>
      <c r="B612" s="10">
        <v>1.0826</v>
      </c>
    </row>
    <row r="613" spans="1:2" x14ac:dyDescent="0.25">
      <c r="A613" s="12">
        <v>45804</v>
      </c>
      <c r="B613" s="10">
        <v>1.0833999999999999</v>
      </c>
    </row>
    <row r="614" spans="1:2" x14ac:dyDescent="0.25">
      <c r="A614" s="12">
        <v>45805</v>
      </c>
      <c r="B614" s="10">
        <v>1.0797000000000001</v>
      </c>
    </row>
    <row r="615" spans="1:2" x14ac:dyDescent="0.25">
      <c r="A615" s="12">
        <v>45806</v>
      </c>
      <c r="B615" s="10">
        <v>1.0817000000000001</v>
      </c>
    </row>
    <row r="616" spans="1:2" x14ac:dyDescent="0.25">
      <c r="A616" s="12">
        <v>45807</v>
      </c>
      <c r="B616" s="10">
        <v>1.0764</v>
      </c>
    </row>
    <row r="617" spans="1:2" x14ac:dyDescent="0.25">
      <c r="A617" s="12">
        <v>45810</v>
      </c>
      <c r="B617" s="10">
        <v>1.0767</v>
      </c>
    </row>
    <row r="618" spans="1:2" x14ac:dyDescent="0.25">
      <c r="A618" s="12">
        <v>45811</v>
      </c>
      <c r="B618" s="10">
        <v>1.0757000000000001</v>
      </c>
    </row>
    <row r="619" spans="1:2" x14ac:dyDescent="0.25">
      <c r="A619" s="12">
        <v>45812</v>
      </c>
      <c r="B619" s="10">
        <v>1.0769</v>
      </c>
    </row>
    <row r="620" spans="1:2" x14ac:dyDescent="0.25">
      <c r="A620" s="12">
        <v>45813</v>
      </c>
      <c r="B620" s="10">
        <v>1.0768</v>
      </c>
    </row>
    <row r="621" spans="1:2" x14ac:dyDescent="0.25">
      <c r="A621" s="12">
        <v>45814</v>
      </c>
      <c r="B621" s="10">
        <v>1.0758000000000001</v>
      </c>
    </row>
    <row r="622" spans="1:2" x14ac:dyDescent="0.25">
      <c r="A622" s="12">
        <v>45818</v>
      </c>
      <c r="B622" s="10">
        <v>1.0763</v>
      </c>
    </row>
    <row r="623" spans="1:2" x14ac:dyDescent="0.25">
      <c r="A623" s="12">
        <v>45819</v>
      </c>
      <c r="B623" s="10">
        <v>1.0799000000000001</v>
      </c>
    </row>
    <row r="624" spans="1:2" x14ac:dyDescent="0.25">
      <c r="A624" s="12">
        <v>45820</v>
      </c>
      <c r="B624" s="10">
        <v>1.0766</v>
      </c>
    </row>
    <row r="625" spans="1:2" x14ac:dyDescent="0.25">
      <c r="A625" s="12">
        <v>45821</v>
      </c>
      <c r="B625" s="10">
        <v>1.0771999999999999</v>
      </c>
    </row>
    <row r="626" spans="1:2" x14ac:dyDescent="0.25">
      <c r="A626" s="12">
        <v>45824</v>
      </c>
      <c r="B626" s="10">
        <v>1.0783</v>
      </c>
    </row>
    <row r="627" spans="1:2" x14ac:dyDescent="0.25">
      <c r="A627" s="12">
        <v>45825</v>
      </c>
      <c r="B627" s="10">
        <v>1.0771999999999999</v>
      </c>
    </row>
    <row r="628" spans="1:2" x14ac:dyDescent="0.25">
      <c r="A628" s="12">
        <v>45826</v>
      </c>
      <c r="B628" s="10">
        <v>1.0784</v>
      </c>
    </row>
    <row r="629" spans="1:2" x14ac:dyDescent="0.25">
      <c r="A629" s="12">
        <v>45827</v>
      </c>
      <c r="B629" s="10">
        <v>1.0824</v>
      </c>
    </row>
    <row r="630" spans="1:2" x14ac:dyDescent="0.25">
      <c r="A630" s="12">
        <v>45828</v>
      </c>
      <c r="B630" s="10">
        <v>1.0806</v>
      </c>
    </row>
    <row r="631" spans="1:2" x14ac:dyDescent="0.25">
      <c r="A631" s="12">
        <v>45831</v>
      </c>
      <c r="B631" s="10">
        <v>1.0824</v>
      </c>
    </row>
    <row r="632" spans="1:2" x14ac:dyDescent="0.25">
      <c r="A632" s="12">
        <v>45832</v>
      </c>
      <c r="B632" s="10">
        <v>1.0805</v>
      </c>
    </row>
    <row r="633" spans="1:2" x14ac:dyDescent="0.25">
      <c r="A633" s="12">
        <v>45833</v>
      </c>
      <c r="B633" s="10">
        <v>1.0785</v>
      </c>
    </row>
    <row r="634" spans="1:2" x14ac:dyDescent="0.25">
      <c r="A634" s="12">
        <v>45834</v>
      </c>
      <c r="B634" s="10">
        <v>1.0788</v>
      </c>
    </row>
    <row r="635" spans="1:2" x14ac:dyDescent="0.25">
      <c r="A635" s="12">
        <v>45835</v>
      </c>
      <c r="B635" s="10">
        <v>1.079</v>
      </c>
    </row>
    <row r="636" spans="1:2" x14ac:dyDescent="0.25">
      <c r="A636" s="12">
        <v>45838</v>
      </c>
      <c r="B636" s="10">
        <v>1.0768</v>
      </c>
    </row>
    <row r="637" spans="1:2" x14ac:dyDescent="0.25">
      <c r="A637" s="12">
        <v>45839</v>
      </c>
      <c r="B637" s="10">
        <v>1.0787</v>
      </c>
    </row>
    <row r="638" spans="1:2" x14ac:dyDescent="0.25">
      <c r="A638" s="12">
        <v>45840</v>
      </c>
      <c r="B638" s="10">
        <v>1.0792999999999999</v>
      </c>
    </row>
    <row r="639" spans="1:2" x14ac:dyDescent="0.25">
      <c r="A639" s="12">
        <v>45841</v>
      </c>
      <c r="B639" s="10">
        <v>1.0825</v>
      </c>
    </row>
    <row r="640" spans="1:2" x14ac:dyDescent="0.25">
      <c r="A640" s="12">
        <v>45842</v>
      </c>
      <c r="B640" s="10">
        <v>1.0824</v>
      </c>
    </row>
    <row r="641" spans="1:2" x14ac:dyDescent="0.25">
      <c r="A641" s="12">
        <v>45845</v>
      </c>
      <c r="B641" s="10">
        <v>1.0823</v>
      </c>
    </row>
    <row r="642" spans="1:2" x14ac:dyDescent="0.25">
      <c r="A642" s="12">
        <v>45846</v>
      </c>
      <c r="B642" s="10">
        <v>1.0869</v>
      </c>
    </row>
    <row r="643" spans="1:2" x14ac:dyDescent="0.25">
      <c r="A643" s="12">
        <v>45847</v>
      </c>
      <c r="B643" s="10">
        <v>1.0888</v>
      </c>
    </row>
    <row r="644" spans="1:2" x14ac:dyDescent="0.25">
      <c r="A644" s="12">
        <v>45848</v>
      </c>
      <c r="B644" s="10">
        <v>1.0902000000000001</v>
      </c>
    </row>
    <row r="645" spans="1:2" x14ac:dyDescent="0.25">
      <c r="A645" s="12">
        <v>45849</v>
      </c>
      <c r="B645" s="10">
        <v>1.0941000000000001</v>
      </c>
    </row>
    <row r="646" spans="1:2" x14ac:dyDescent="0.25">
      <c r="A646" s="12">
        <v>45852</v>
      </c>
      <c r="B646" s="10">
        <v>1.0968</v>
      </c>
    </row>
    <row r="647" spans="1:2" x14ac:dyDescent="0.25">
      <c r="A647" s="12">
        <v>45853</v>
      </c>
      <c r="B647" s="10">
        <v>1.0955999999999999</v>
      </c>
    </row>
    <row r="648" spans="1:2" x14ac:dyDescent="0.25">
      <c r="A648" s="12">
        <v>45854</v>
      </c>
      <c r="B648" s="10">
        <v>1.0971</v>
      </c>
    </row>
    <row r="649" spans="1:2" x14ac:dyDescent="0.25">
      <c r="A649" s="12">
        <v>45855</v>
      </c>
      <c r="B649" s="10">
        <v>1.0947</v>
      </c>
    </row>
    <row r="650" spans="1:2" x14ac:dyDescent="0.25">
      <c r="A650" s="12">
        <v>45856</v>
      </c>
      <c r="B650" s="10">
        <v>1.0924</v>
      </c>
    </row>
    <row r="651" spans="1:2" x14ac:dyDescent="0.25">
      <c r="A651" s="12">
        <v>45859</v>
      </c>
      <c r="B651" s="10">
        <v>1.0936999999999999</v>
      </c>
    </row>
    <row r="652" spans="1:2" x14ac:dyDescent="0.25">
      <c r="A652" s="12">
        <v>45860</v>
      </c>
      <c r="B652" s="10">
        <v>1.0944</v>
      </c>
    </row>
    <row r="653" spans="1:2" x14ac:dyDescent="0.25">
      <c r="A653" s="12">
        <v>45861</v>
      </c>
      <c r="B653" s="10">
        <v>1.0918000000000001</v>
      </c>
    </row>
    <row r="654" spans="1:2" x14ac:dyDescent="0.25">
      <c r="A654" s="12">
        <v>45862</v>
      </c>
      <c r="B654" s="10">
        <v>1.0932999999999999</v>
      </c>
    </row>
    <row r="655" spans="1:2" x14ac:dyDescent="0.25">
      <c r="A655" s="12">
        <v>45863</v>
      </c>
      <c r="B655" s="10">
        <v>1.0919000000000001</v>
      </c>
    </row>
    <row r="656" spans="1:2" x14ac:dyDescent="0.25">
      <c r="A656" s="12">
        <v>45866</v>
      </c>
      <c r="B656" s="10">
        <v>1.0924</v>
      </c>
    </row>
    <row r="657" spans="1:2" x14ac:dyDescent="0.25">
      <c r="A657" s="12">
        <v>45867</v>
      </c>
      <c r="B657" s="10">
        <v>1.093</v>
      </c>
    </row>
    <row r="658" spans="1:2" x14ac:dyDescent="0.25">
      <c r="A658" s="12">
        <v>45868</v>
      </c>
      <c r="B658" s="10">
        <v>1.0921000000000001</v>
      </c>
    </row>
    <row r="659" spans="1:2" x14ac:dyDescent="0.25">
      <c r="A659" s="12">
        <v>45869</v>
      </c>
      <c r="B659" s="10">
        <v>1.0911</v>
      </c>
    </row>
    <row r="660" spans="1:2" x14ac:dyDescent="0.25">
      <c r="A660" s="12">
        <v>45870</v>
      </c>
      <c r="B660" s="10">
        <v>1.0942000000000001</v>
      </c>
    </row>
    <row r="661" spans="1:2" x14ac:dyDescent="0.25">
      <c r="A661" s="12">
        <v>45874</v>
      </c>
      <c r="B661" s="10">
        <v>1.0956999999999999</v>
      </c>
    </row>
    <row r="662" spans="1:2" x14ac:dyDescent="0.25">
      <c r="A662" s="12">
        <v>45875</v>
      </c>
      <c r="B662" s="10">
        <v>1.0961000000000001</v>
      </c>
    </row>
    <row r="663" spans="1:2" x14ac:dyDescent="0.25">
      <c r="A663" s="12">
        <v>45876</v>
      </c>
      <c r="B663" s="10">
        <v>1.0951</v>
      </c>
    </row>
    <row r="664" spans="1:2" x14ac:dyDescent="0.25">
      <c r="A664" s="12">
        <v>45877</v>
      </c>
      <c r="B664" s="10">
        <v>1.0945</v>
      </c>
    </row>
    <row r="665" spans="1:2" x14ac:dyDescent="0.25">
      <c r="A665" s="12">
        <v>45880</v>
      </c>
      <c r="B665" s="10">
        <v>1.0963000000000001</v>
      </c>
    </row>
    <row r="666" spans="1:2" x14ac:dyDescent="0.25">
      <c r="A666" s="12">
        <v>45881</v>
      </c>
      <c r="B666" s="10">
        <v>1.0958000000000001</v>
      </c>
    </row>
    <row r="667" spans="1:2" x14ac:dyDescent="0.25">
      <c r="A667" s="12">
        <v>45882</v>
      </c>
      <c r="B667" s="10">
        <v>1.0965</v>
      </c>
    </row>
    <row r="668" spans="1:2" x14ac:dyDescent="0.25">
      <c r="A668" s="12">
        <v>45883</v>
      </c>
      <c r="B668" s="10">
        <v>1.0973999999999999</v>
      </c>
    </row>
    <row r="669" spans="1:2" x14ac:dyDescent="0.25">
      <c r="A669" s="12">
        <v>45884</v>
      </c>
      <c r="B669" s="10">
        <v>1.0984</v>
      </c>
    </row>
    <row r="670" spans="1:2" x14ac:dyDescent="0.25">
      <c r="A670" s="12">
        <v>45887</v>
      </c>
      <c r="B670" s="10">
        <v>1.0980000000000001</v>
      </c>
    </row>
    <row r="671" spans="1:2" x14ac:dyDescent="0.25">
      <c r="A671" s="12">
        <v>45888</v>
      </c>
      <c r="B671" s="10">
        <v>1.095</v>
      </c>
    </row>
    <row r="672" spans="1:2" x14ac:dyDescent="0.25">
      <c r="A672" s="12">
        <v>45889</v>
      </c>
      <c r="B672" s="10">
        <v>1.1053999999999999</v>
      </c>
    </row>
    <row r="673" spans="1:2" x14ac:dyDescent="0.25">
      <c r="A673" s="12">
        <v>45890</v>
      </c>
      <c r="B673" s="10">
        <v>1.1033999999999999</v>
      </c>
    </row>
    <row r="674" spans="1:2" x14ac:dyDescent="0.25">
      <c r="A674" s="12">
        <v>45891</v>
      </c>
      <c r="B674" s="10">
        <v>1.1060000000000001</v>
      </c>
    </row>
    <row r="675" spans="1:2" x14ac:dyDescent="0.25">
      <c r="A675" s="12">
        <v>45894</v>
      </c>
      <c r="B675" s="10">
        <v>1.1069</v>
      </c>
    </row>
    <row r="676" spans="1:2" x14ac:dyDescent="0.25">
      <c r="A676" s="12">
        <v>45895</v>
      </c>
      <c r="B676" s="10">
        <v>1.1095999999999999</v>
      </c>
    </row>
    <row r="677" spans="1:2" x14ac:dyDescent="0.25">
      <c r="A677" s="12">
        <v>45896</v>
      </c>
      <c r="B677" s="10">
        <v>1.1097999999999999</v>
      </c>
    </row>
    <row r="678" spans="1:2" x14ac:dyDescent="0.25">
      <c r="A678" s="12">
        <v>45897</v>
      </c>
      <c r="B678" s="10">
        <v>1.1111</v>
      </c>
    </row>
    <row r="679" spans="1:2" x14ac:dyDescent="0.25">
      <c r="A679" s="12">
        <v>45898</v>
      </c>
      <c r="B679" s="10">
        <v>1.1095999999999999</v>
      </c>
    </row>
    <row r="680" spans="1:2" x14ac:dyDescent="0.25">
      <c r="A680" s="12">
        <v>45901</v>
      </c>
      <c r="B680" s="10">
        <v>1.1088</v>
      </c>
    </row>
    <row r="681" spans="1:2" x14ac:dyDescent="0.25">
      <c r="A681" s="12">
        <v>45902</v>
      </c>
      <c r="B681" s="10">
        <v>1.1113</v>
      </c>
    </row>
    <row r="682" spans="1:2" x14ac:dyDescent="0.25">
      <c r="A682" s="12">
        <v>45903</v>
      </c>
      <c r="B682" s="10">
        <v>1.1129</v>
      </c>
    </row>
    <row r="683" spans="1:2" x14ac:dyDescent="0.25">
      <c r="A683" s="12">
        <v>45904</v>
      </c>
      <c r="B683" s="10">
        <v>1.1122000000000001</v>
      </c>
    </row>
    <row r="684" spans="1:2" x14ac:dyDescent="0.25">
      <c r="A684" s="12">
        <v>45905</v>
      </c>
      <c r="B684" s="10">
        <v>1.1144000000000001</v>
      </c>
    </row>
    <row r="685" spans="1:2" x14ac:dyDescent="0.25">
      <c r="A685" s="12">
        <v>45908</v>
      </c>
      <c r="B685" s="10">
        <v>1.1121000000000001</v>
      </c>
    </row>
    <row r="686" spans="1:2" x14ac:dyDescent="0.25">
      <c r="A686" s="12">
        <v>45909</v>
      </c>
      <c r="B686" s="10">
        <v>1.1107</v>
      </c>
    </row>
    <row r="687" spans="1:2" x14ac:dyDescent="0.25">
      <c r="A687" s="12">
        <v>45910</v>
      </c>
      <c r="B687" s="10">
        <v>1.1119000000000001</v>
      </c>
    </row>
    <row r="688" spans="1:2" x14ac:dyDescent="0.25">
      <c r="A688" s="12">
        <v>45911</v>
      </c>
      <c r="B688" s="10">
        <v>1.1131</v>
      </c>
    </row>
    <row r="689" spans="1:2" x14ac:dyDescent="0.25">
      <c r="A689" s="12">
        <v>45912</v>
      </c>
      <c r="B689" s="10">
        <v>1.1155999999999999</v>
      </c>
    </row>
    <row r="690" spans="1:2" x14ac:dyDescent="0.25">
      <c r="A690" s="12">
        <v>45915</v>
      </c>
      <c r="B690" s="10">
        <v>1.1177999999999999</v>
      </c>
    </row>
    <row r="691" spans="1:2" x14ac:dyDescent="0.25">
      <c r="A691" s="12">
        <v>45916</v>
      </c>
      <c r="B691" s="10">
        <v>1.1168</v>
      </c>
    </row>
    <row r="692" spans="1:2" x14ac:dyDescent="0.25">
      <c r="A692" s="12">
        <v>45917</v>
      </c>
      <c r="B692" s="10">
        <v>1.1173</v>
      </c>
    </row>
    <row r="693" spans="1:2" x14ac:dyDescent="0.25">
      <c r="A693" s="12">
        <v>45918</v>
      </c>
      <c r="B693" s="10">
        <v>1.1212</v>
      </c>
    </row>
    <row r="694" spans="1:2" x14ac:dyDescent="0.25">
      <c r="A694" s="12">
        <v>45919</v>
      </c>
      <c r="B694" s="10">
        <v>1.1238999999999999</v>
      </c>
    </row>
    <row r="695" spans="1:2" x14ac:dyDescent="0.25">
      <c r="A695" s="12">
        <v>45922</v>
      </c>
      <c r="B695" s="10">
        <v>1.1256999999999999</v>
      </c>
    </row>
    <row r="696" spans="1:2" x14ac:dyDescent="0.25">
      <c r="A696" s="12">
        <v>45923</v>
      </c>
      <c r="B696" s="10">
        <v>1.1258999999999999</v>
      </c>
    </row>
    <row r="697" spans="1:2" x14ac:dyDescent="0.25">
      <c r="A697" s="12">
        <v>45924</v>
      </c>
      <c r="B697" s="10">
        <v>1.1311</v>
      </c>
    </row>
    <row r="698" spans="1:2" x14ac:dyDescent="0.25">
      <c r="A698" s="12">
        <v>45925</v>
      </c>
      <c r="B698" s="10">
        <v>1.1332</v>
      </c>
    </row>
    <row r="699" spans="1:2" x14ac:dyDescent="0.25">
      <c r="A699" s="12">
        <v>45926</v>
      </c>
      <c r="B699" s="10">
        <v>1.1337999999999999</v>
      </c>
    </row>
    <row r="700" spans="1:2" x14ac:dyDescent="0.25">
      <c r="A700" s="12">
        <v>45929</v>
      </c>
      <c r="B700" s="10">
        <v>1.1347</v>
      </c>
    </row>
    <row r="701" spans="1:2" x14ac:dyDescent="0.25">
      <c r="A701" s="12">
        <v>45930</v>
      </c>
      <c r="B701" s="10">
        <v>1.141</v>
      </c>
    </row>
    <row r="702" spans="1:2" x14ac:dyDescent="0.25">
      <c r="A702" s="12">
        <v>45931</v>
      </c>
      <c r="B702" s="10">
        <v>1.1378999999999999</v>
      </c>
    </row>
    <row r="703" spans="1:2" x14ac:dyDescent="0.25">
      <c r="A703" s="12">
        <v>45932</v>
      </c>
      <c r="B703" s="10">
        <v>1.1348</v>
      </c>
    </row>
    <row r="704" spans="1:2" x14ac:dyDescent="0.25">
      <c r="A704" s="12">
        <v>45933</v>
      </c>
      <c r="B704" s="10">
        <v>1.1329</v>
      </c>
    </row>
    <row r="705" spans="1:2" x14ac:dyDescent="0.25">
      <c r="A705" s="12">
        <v>45937</v>
      </c>
      <c r="B705" s="10">
        <v>1.1347</v>
      </c>
    </row>
    <row r="706" spans="1:2" x14ac:dyDescent="0.25">
      <c r="A706" s="12">
        <v>45938</v>
      </c>
      <c r="B706" s="10">
        <v>1.1428</v>
      </c>
    </row>
    <row r="707" spans="1:2" x14ac:dyDescent="0.25">
      <c r="A707" s="12">
        <v>45939</v>
      </c>
      <c r="B707" s="10">
        <v>1.1385000000000001</v>
      </c>
    </row>
    <row r="708" spans="1:2" x14ac:dyDescent="0.25">
      <c r="A708" s="12">
        <v>45940</v>
      </c>
      <c r="B708" s="10">
        <v>1.1411</v>
      </c>
    </row>
    <row r="709" spans="1:2" x14ac:dyDescent="0.25">
      <c r="A709" s="12">
        <v>45943</v>
      </c>
      <c r="B709" s="10">
        <v>1.1368</v>
      </c>
    </row>
    <row r="710" spans="1:2" x14ac:dyDescent="0.25">
      <c r="A710" s="12">
        <v>45944</v>
      </c>
      <c r="B710" s="10">
        <v>1.1352</v>
      </c>
    </row>
    <row r="711" spans="1:2" x14ac:dyDescent="0.25">
      <c r="A711" s="12">
        <v>45945</v>
      </c>
      <c r="B711" s="10">
        <v>1.139</v>
      </c>
    </row>
    <row r="712" spans="1:2" x14ac:dyDescent="0.25">
      <c r="A712" s="12">
        <v>45946</v>
      </c>
      <c r="B712" s="10">
        <v>1.1302000000000001</v>
      </c>
    </row>
    <row r="713" spans="1:2" x14ac:dyDescent="0.25">
      <c r="A713" s="12">
        <v>45947</v>
      </c>
      <c r="B713" s="10">
        <v>1.1294</v>
      </c>
    </row>
    <row r="714" spans="1:2" x14ac:dyDescent="0.25">
      <c r="A714" s="12">
        <v>45950</v>
      </c>
      <c r="B714" s="10">
        <v>1.1336999999999999</v>
      </c>
    </row>
    <row r="715" spans="1:2" x14ac:dyDescent="0.25">
      <c r="A715" s="12">
        <v>45951</v>
      </c>
      <c r="B715" s="10">
        <v>1.1351</v>
      </c>
    </row>
    <row r="716" spans="1:2" x14ac:dyDescent="0.25">
      <c r="A716" s="12">
        <v>45952</v>
      </c>
      <c r="B716" s="10">
        <v>1.1302000000000001</v>
      </c>
    </row>
    <row r="717" spans="1:2" x14ac:dyDescent="0.25">
      <c r="A717" s="12">
        <v>45953</v>
      </c>
      <c r="B717" s="10">
        <v>1.1316999999999999</v>
      </c>
    </row>
    <row r="718" spans="1:2" x14ac:dyDescent="0.25">
      <c r="A718" s="12">
        <v>45954</v>
      </c>
      <c r="B718" s="10">
        <v>1.1312</v>
      </c>
    </row>
    <row r="719" spans="1:2" x14ac:dyDescent="0.25">
      <c r="A719" s="12">
        <v>45957</v>
      </c>
      <c r="B719" s="10">
        <v>1.1348</v>
      </c>
    </row>
    <row r="720" spans="1:2" x14ac:dyDescent="0.25">
      <c r="A720" s="12">
        <v>45958</v>
      </c>
      <c r="B720" s="10">
        <v>1.1351</v>
      </c>
    </row>
    <row r="721" spans="1:2" x14ac:dyDescent="0.25">
      <c r="A721" s="12">
        <v>45959</v>
      </c>
      <c r="B721" s="10">
        <v>1.141</v>
      </c>
    </row>
    <row r="722" spans="1:2" x14ac:dyDescent="0.25">
      <c r="A722" s="12">
        <v>45960</v>
      </c>
      <c r="B722" s="10">
        <v>1.1395999999999999</v>
      </c>
    </row>
    <row r="723" spans="1:2" x14ac:dyDescent="0.25">
      <c r="A723" s="12">
        <v>45961</v>
      </c>
      <c r="B723" s="10">
        <v>1.1427</v>
      </c>
    </row>
    <row r="724" spans="1:2" x14ac:dyDescent="0.25">
      <c r="A724" s="12">
        <v>45964</v>
      </c>
      <c r="B724" s="10">
        <v>1.1446000000000001</v>
      </c>
    </row>
    <row r="725" spans="1:2" x14ac:dyDescent="0.25">
      <c r="A725" s="12">
        <v>45965</v>
      </c>
      <c r="B725" s="10">
        <v>1.1482000000000001</v>
      </c>
    </row>
    <row r="726" spans="1:2" x14ac:dyDescent="0.25">
      <c r="A726" s="12">
        <v>45966</v>
      </c>
      <c r="B726" s="10">
        <v>1.1477999999999999</v>
      </c>
    </row>
    <row r="727" spans="1:2" x14ac:dyDescent="0.25">
      <c r="A727" s="12">
        <v>45967</v>
      </c>
      <c r="B727" s="10">
        <v>1.1496999999999999</v>
      </c>
    </row>
    <row r="728" spans="1:2" x14ac:dyDescent="0.25">
      <c r="A728" s="12">
        <v>45968</v>
      </c>
      <c r="B728" s="10">
        <v>1.1527000000000001</v>
      </c>
    </row>
    <row r="729" spans="1:2" x14ac:dyDescent="0.25">
      <c r="A729" s="12">
        <v>45971</v>
      </c>
      <c r="B729" s="10">
        <v>1.1577</v>
      </c>
    </row>
    <row r="730" spans="1:2" x14ac:dyDescent="0.25">
      <c r="A730" s="12">
        <v>45972</v>
      </c>
      <c r="B730" s="10">
        <v>1.1569</v>
      </c>
    </row>
    <row r="731" spans="1:2" x14ac:dyDescent="0.25">
      <c r="A731" s="12">
        <v>45973</v>
      </c>
      <c r="B731" s="10">
        <v>1.1546000000000001</v>
      </c>
    </row>
    <row r="732" spans="1:2" x14ac:dyDescent="0.25">
      <c r="A732" s="12">
        <v>45974</v>
      </c>
      <c r="B732" s="10">
        <v>1.1597</v>
      </c>
    </row>
    <row r="733" spans="1:2" x14ac:dyDescent="0.25">
      <c r="A733" s="12">
        <v>45975</v>
      </c>
      <c r="B733" s="10">
        <v>1.1499999999999999</v>
      </c>
    </row>
    <row r="734" spans="1:2" x14ac:dyDescent="0.25">
      <c r="A734" s="12">
        <v>45978</v>
      </c>
      <c r="B734" s="10">
        <v>1.1508</v>
      </c>
    </row>
    <row r="735" spans="1:2" x14ac:dyDescent="0.25">
      <c r="A735" s="12">
        <v>45979</v>
      </c>
      <c r="B735" s="10">
        <v>1.1469</v>
      </c>
    </row>
    <row r="736" spans="1:2" x14ac:dyDescent="0.25">
      <c r="A736" s="12">
        <v>45980</v>
      </c>
      <c r="B736" s="10">
        <v>1.1515</v>
      </c>
    </row>
    <row r="737" spans="1:2" x14ac:dyDescent="0.25">
      <c r="A737" s="12">
        <v>45981</v>
      </c>
      <c r="B737" s="10">
        <v>1.1565000000000001</v>
      </c>
    </row>
    <row r="738" spans="1:2" x14ac:dyDescent="0.25">
      <c r="A738" s="12">
        <v>45982</v>
      </c>
      <c r="B738" s="10">
        <v>1.1520999999999999</v>
      </c>
    </row>
    <row r="739" spans="1:2" x14ac:dyDescent="0.25">
      <c r="A739" s="12">
        <v>45985</v>
      </c>
      <c r="B739" s="10">
        <v>1.1525000000000001</v>
      </c>
    </row>
    <row r="740" spans="1:2" x14ac:dyDescent="0.25">
      <c r="A740" s="12">
        <v>45986</v>
      </c>
      <c r="B740" s="10">
        <v>1.1523000000000001</v>
      </c>
    </row>
    <row r="741" spans="1:2" x14ac:dyDescent="0.25">
      <c r="A741" s="12">
        <v>45987</v>
      </c>
      <c r="B741" s="10">
        <v>1.1429</v>
      </c>
    </row>
    <row r="742" spans="1:2" x14ac:dyDescent="0.25">
      <c r="A742" s="12">
        <v>45988</v>
      </c>
      <c r="B742" s="10">
        <v>1.1413</v>
      </c>
    </row>
    <row r="743" spans="1:2" x14ac:dyDescent="0.25">
      <c r="A743" s="12">
        <v>45989</v>
      </c>
      <c r="B743" s="10">
        <v>1.1425000000000001</v>
      </c>
    </row>
    <row r="744" spans="1:2" x14ac:dyDescent="0.25">
      <c r="A744" s="12">
        <v>45992</v>
      </c>
      <c r="B744" s="10">
        <v>1.1417999999999999</v>
      </c>
    </row>
    <row r="745" spans="1:2" x14ac:dyDescent="0.25">
      <c r="A745" s="12">
        <v>45993</v>
      </c>
      <c r="B745" s="10">
        <v>1.1440999999999999</v>
      </c>
    </row>
    <row r="746" spans="1:2" x14ac:dyDescent="0.25">
      <c r="A746" s="12">
        <v>45994</v>
      </c>
      <c r="B746" s="10">
        <v>1.1437999999999999</v>
      </c>
    </row>
    <row r="747" spans="1:2" x14ac:dyDescent="0.25">
      <c r="A747" s="12">
        <v>45995</v>
      </c>
      <c r="B747" s="10">
        <v>1.1458999999999999</v>
      </c>
    </row>
    <row r="748" spans="1:2" x14ac:dyDescent="0.25">
      <c r="A748" s="12">
        <v>45996</v>
      </c>
      <c r="B748" s="10">
        <v>1.1475</v>
      </c>
    </row>
    <row r="749" spans="1:2" x14ac:dyDescent="0.25">
      <c r="A749" s="12">
        <v>45999</v>
      </c>
      <c r="B749" s="10">
        <v>1.1487000000000001</v>
      </c>
    </row>
    <row r="750" spans="1:2" x14ac:dyDescent="0.25">
      <c r="A750" s="12">
        <v>46000</v>
      </c>
      <c r="B750" s="10">
        <v>1.1479999999999999</v>
      </c>
    </row>
    <row r="751" spans="1:2" x14ac:dyDescent="0.25">
      <c r="A751" s="12">
        <v>46001</v>
      </c>
      <c r="B751" s="10">
        <v>1.1501999999999999</v>
      </c>
    </row>
    <row r="752" spans="1:2" x14ac:dyDescent="0.25">
      <c r="A752" s="12">
        <v>46002</v>
      </c>
      <c r="B752" s="10">
        <v>1.1451</v>
      </c>
    </row>
    <row r="753" spans="1:2" x14ac:dyDescent="0.25">
      <c r="A753" s="12">
        <v>46003</v>
      </c>
      <c r="B753" s="10">
        <v>1.1469</v>
      </c>
    </row>
    <row r="754" spans="1:2" x14ac:dyDescent="0.25">
      <c r="A754" s="12">
        <v>46006</v>
      </c>
      <c r="B754" s="10">
        <v>1.1508</v>
      </c>
    </row>
    <row r="755" spans="1:2" x14ac:dyDescent="0.25">
      <c r="A755" s="12">
        <v>46007</v>
      </c>
      <c r="B755" s="10">
        <v>1.1483000000000001</v>
      </c>
    </row>
    <row r="756" spans="1:2" x14ac:dyDescent="0.25">
      <c r="A756" s="12">
        <v>46008</v>
      </c>
      <c r="B756" s="10">
        <v>1.1456</v>
      </c>
    </row>
    <row r="757" spans="1:2" x14ac:dyDescent="0.25">
      <c r="A757" s="12">
        <v>46009</v>
      </c>
      <c r="B757" s="10">
        <v>1.1459999999999999</v>
      </c>
    </row>
    <row r="758" spans="1:2" x14ac:dyDescent="0.25">
      <c r="A758" s="12">
        <v>46010</v>
      </c>
      <c r="B758" s="10">
        <v>1.147</v>
      </c>
    </row>
    <row r="759" spans="1:2" x14ac:dyDescent="0.25">
      <c r="A759" s="12">
        <v>46013</v>
      </c>
      <c r="B759" s="10">
        <v>1.1487000000000001</v>
      </c>
    </row>
    <row r="760" spans="1:2" x14ac:dyDescent="0.25">
      <c r="A760" s="12">
        <v>46014</v>
      </c>
      <c r="B760" s="10">
        <v>1.1469</v>
      </c>
    </row>
    <row r="761" spans="1:2" x14ac:dyDescent="0.25">
      <c r="A761" s="12">
        <v>46015</v>
      </c>
      <c r="B761" s="10">
        <v>1.1486000000000001</v>
      </c>
    </row>
    <row r="762" spans="1:2" x14ac:dyDescent="0.25">
      <c r="A762" s="12">
        <v>46020</v>
      </c>
      <c r="B762" s="10">
        <v>1.1537999999999999</v>
      </c>
    </row>
    <row r="763" spans="1:2" x14ac:dyDescent="0.25">
      <c r="A763" s="12">
        <v>46021</v>
      </c>
      <c r="B763" s="10">
        <v>1.1543000000000001</v>
      </c>
    </row>
    <row r="764" spans="1:2" x14ac:dyDescent="0.25">
      <c r="A764" s="12">
        <v>46022</v>
      </c>
      <c r="B764" s="10">
        <v>1.1584000000000001</v>
      </c>
    </row>
    <row r="765" spans="1:2" x14ac:dyDescent="0.25">
      <c r="A765" s="12">
        <v>46024</v>
      </c>
      <c r="B765" s="10">
        <v>1.1628000000000001</v>
      </c>
    </row>
    <row r="766" spans="1:2" x14ac:dyDescent="0.25">
      <c r="A766" s="12">
        <v>46027</v>
      </c>
      <c r="B766" s="10">
        <v>1.1603000000000001</v>
      </c>
    </row>
    <row r="767" spans="1:2" x14ac:dyDescent="0.25">
      <c r="A767" s="12">
        <v>46028</v>
      </c>
      <c r="B767" s="10">
        <v>1.1598999999999999</v>
      </c>
    </row>
    <row r="768" spans="1:2" x14ac:dyDescent="0.25">
      <c r="A768" s="12">
        <v>46029</v>
      </c>
      <c r="B768" s="10">
        <v>1.1693</v>
      </c>
    </row>
    <row r="769" spans="1:2" x14ac:dyDescent="0.25">
      <c r="A769" s="12">
        <v>46030</v>
      </c>
      <c r="B769" s="10">
        <v>1.1634</v>
      </c>
    </row>
    <row r="770" spans="1:2" x14ac:dyDescent="0.25">
      <c r="A770" s="12">
        <v>46031</v>
      </c>
      <c r="B770" s="10">
        <v>1.1657</v>
      </c>
    </row>
    <row r="771" spans="1:2" x14ac:dyDescent="0.25">
      <c r="A771" s="12">
        <v>46034</v>
      </c>
      <c r="B771" s="10">
        <v>1.1657</v>
      </c>
    </row>
    <row r="772" spans="1:2" x14ac:dyDescent="0.25">
      <c r="A772" s="12">
        <v>46035</v>
      </c>
      <c r="B772" s="10">
        <v>1.1613</v>
      </c>
    </row>
    <row r="773" spans="1:2" x14ac:dyDescent="0.25">
      <c r="A773" s="12">
        <v>46036</v>
      </c>
      <c r="B773" s="10">
        <v>1.1658999999999999</v>
      </c>
    </row>
    <row r="774" spans="1:2" x14ac:dyDescent="0.25">
      <c r="A774" s="12">
        <v>46037</v>
      </c>
      <c r="B774" s="10">
        <v>1.1642999999999999</v>
      </c>
    </row>
    <row r="775" spans="1:2" x14ac:dyDescent="0.25">
      <c r="A775" s="12">
        <v>46038</v>
      </c>
      <c r="B775" s="10">
        <v>1.1648000000000001</v>
      </c>
    </row>
    <row r="776" spans="1:2" x14ac:dyDescent="0.25">
      <c r="A776" s="12">
        <v>46041</v>
      </c>
      <c r="B776" s="10">
        <v>1.1586000000000001</v>
      </c>
    </row>
    <row r="777" spans="1:2" x14ac:dyDescent="0.25">
      <c r="A777" s="12">
        <v>46042</v>
      </c>
      <c r="B777" s="10">
        <v>1.1553</v>
      </c>
    </row>
    <row r="778" spans="1:2" x14ac:dyDescent="0.25">
      <c r="A778" s="12">
        <v>46043</v>
      </c>
      <c r="B778" s="10">
        <v>1.1540999999999999</v>
      </c>
    </row>
    <row r="779" spans="1:2" x14ac:dyDescent="0.25">
      <c r="A779" s="12">
        <v>46044</v>
      </c>
      <c r="B779" s="10">
        <v>1.1617</v>
      </c>
    </row>
    <row r="780" spans="1:2" x14ac:dyDescent="0.25">
      <c r="A780" s="12">
        <v>46045</v>
      </c>
      <c r="B780" s="10">
        <v>1.1587000000000001</v>
      </c>
    </row>
    <row r="781" spans="1:2" x14ac:dyDescent="0.25">
      <c r="A781" s="12">
        <v>46049</v>
      </c>
      <c r="B781" s="10">
        <v>1.1588000000000001</v>
      </c>
    </row>
    <row r="782" spans="1:2" x14ac:dyDescent="0.25">
      <c r="A782" s="12">
        <v>46050</v>
      </c>
      <c r="B782" s="10">
        <v>1.1617999999999999</v>
      </c>
    </row>
    <row r="783" spans="1:2" x14ac:dyDescent="0.25">
      <c r="A783" s="12">
        <v>46051</v>
      </c>
      <c r="B783" s="10">
        <v>1.1639999999999999</v>
      </c>
    </row>
    <row r="784" spans="1:2" x14ac:dyDescent="0.25">
      <c r="A784" s="12">
        <v>46052</v>
      </c>
      <c r="B784" s="10">
        <v>1.1578999999999999</v>
      </c>
    </row>
    <row r="785" spans="1:2" x14ac:dyDescent="0.25">
      <c r="A785" s="12">
        <v>46055</v>
      </c>
      <c r="B785" s="10">
        <v>1.1533</v>
      </c>
    </row>
    <row r="786" spans="1:2" x14ac:dyDescent="0.25">
      <c r="A786" s="12">
        <v>46056</v>
      </c>
      <c r="B786" s="10">
        <v>1.1616</v>
      </c>
    </row>
    <row r="787" spans="1:2" x14ac:dyDescent="0.25">
      <c r="A787" s="12">
        <v>46057</v>
      </c>
      <c r="B787" s="10">
        <v>1.1638999999999999</v>
      </c>
    </row>
    <row r="788" spans="1:2" x14ac:dyDescent="0.25">
      <c r="A788" s="12">
        <v>46058</v>
      </c>
      <c r="B788" s="10">
        <v>1.1647000000000001</v>
      </c>
    </row>
    <row r="789" spans="1:2" x14ac:dyDescent="0.25">
      <c r="A789" s="12">
        <v>46059</v>
      </c>
      <c r="B789" s="10">
        <v>1.1633</v>
      </c>
    </row>
    <row r="790" spans="1:2" x14ac:dyDescent="0.25">
      <c r="A790" s="12">
        <v>46062</v>
      </c>
      <c r="B790" s="10">
        <v>1.1678999999999999</v>
      </c>
    </row>
    <row r="791" spans="1:2" x14ac:dyDescent="0.25">
      <c r="A791" s="12">
        <v>46063</v>
      </c>
      <c r="B791" s="10">
        <v>1.1717</v>
      </c>
    </row>
    <row r="792" spans="1:2" x14ac:dyDescent="0.25">
      <c r="A792" s="12">
        <v>46064</v>
      </c>
      <c r="B792" s="10">
        <v>1.1738</v>
      </c>
    </row>
    <row r="793" spans="1:2" x14ac:dyDescent="0.25">
      <c r="A793" s="12">
        <v>46065</v>
      </c>
      <c r="B793" s="10">
        <v>1.177</v>
      </c>
    </row>
    <row r="794" spans="1:2" x14ac:dyDescent="0.25">
      <c r="A794" s="12">
        <v>46066</v>
      </c>
      <c r="B794" s="10">
        <v>1.1742999999999999</v>
      </c>
    </row>
    <row r="795" spans="1:2" x14ac:dyDescent="0.25">
      <c r="A795" s="12">
        <v>46069</v>
      </c>
      <c r="B795" s="10">
        <v>1.1747000000000001</v>
      </c>
    </row>
    <row r="796" spans="1:2" x14ac:dyDescent="0.25">
      <c r="A796" s="12">
        <v>46070</v>
      </c>
      <c r="B796" s="10">
        <v>1.1709000000000001</v>
      </c>
    </row>
    <row r="797" spans="1:2" x14ac:dyDescent="0.25">
      <c r="A797" s="12">
        <v>46071</v>
      </c>
      <c r="B797" s="10">
        <v>1.1785000000000001</v>
      </c>
    </row>
    <row r="798" spans="1:2" x14ac:dyDescent="0.25">
      <c r="A798" s="12">
        <v>46072</v>
      </c>
      <c r="B798" s="10">
        <v>1.1813</v>
      </c>
    </row>
    <row r="799" spans="1:2" x14ac:dyDescent="0.25">
      <c r="A799" s="12">
        <v>46073</v>
      </c>
      <c r="B799" s="10">
        <v>1.1830000000000001</v>
      </c>
    </row>
    <row r="800" spans="1:2" x14ac:dyDescent="0.25">
      <c r="A800" s="12">
        <v>46076</v>
      </c>
      <c r="B800" s="10">
        <v>1.1817</v>
      </c>
    </row>
    <row r="801" spans="1:2" x14ac:dyDescent="0.25">
      <c r="A801" s="12">
        <v>46077</v>
      </c>
      <c r="B801" s="10">
        <v>1.1850000000000001</v>
      </c>
    </row>
    <row r="802" spans="1:2" x14ac:dyDescent="0.25">
      <c r="A802" s="12">
        <v>46078</v>
      </c>
      <c r="B802" s="10">
        <v>1.1882999999999999</v>
      </c>
    </row>
    <row r="803" spans="1:2" x14ac:dyDescent="0.25">
      <c r="A803" s="12">
        <v>46079</v>
      </c>
      <c r="B803" s="10">
        <v>1.1872</v>
      </c>
    </row>
    <row r="804" spans="1:2" x14ac:dyDescent="0.25">
      <c r="A804" s="12">
        <v>46080</v>
      </c>
      <c r="B804" s="10">
        <v>1.1893</v>
      </c>
    </row>
    <row r="805" spans="1:2" x14ac:dyDescent="0.25">
      <c r="A805" s="12">
        <v>46083</v>
      </c>
      <c r="B805" s="10">
        <v>1.1873</v>
      </c>
    </row>
    <row r="806" spans="1:2" x14ac:dyDescent="0.25">
      <c r="A806" s="12">
        <v>46084</v>
      </c>
      <c r="B806" s="10">
        <v>1.1966000000000001</v>
      </c>
    </row>
    <row r="807" spans="1:2" x14ac:dyDescent="0.25">
      <c r="A807" s="12">
        <v>46085</v>
      </c>
      <c r="B807" s="10">
        <v>1.1872</v>
      </c>
    </row>
    <row r="808" spans="1:2" x14ac:dyDescent="0.25">
      <c r="A808" s="12">
        <v>46086</v>
      </c>
      <c r="B808" s="10">
        <v>1.1896</v>
      </c>
    </row>
    <row r="809" spans="1:2" x14ac:dyDescent="0.25">
      <c r="A809" s="12">
        <v>46087</v>
      </c>
      <c r="B809" s="10">
        <v>1.1904999999999999</v>
      </c>
    </row>
    <row r="810" spans="1:2" x14ac:dyDescent="0.25">
      <c r="A810" s="12">
        <v>46090</v>
      </c>
      <c r="B810" s="10">
        <v>1.1911</v>
      </c>
    </row>
    <row r="811" spans="1:2" x14ac:dyDescent="0.25">
      <c r="A811" s="12">
        <v>46091</v>
      </c>
      <c r="B811" s="10">
        <v>1.1949000000000001</v>
      </c>
    </row>
    <row r="812" spans="1:2" x14ac:dyDescent="0.25">
      <c r="A812" s="12">
        <v>46092</v>
      </c>
      <c r="B812" s="10">
        <v>1.2078</v>
      </c>
    </row>
    <row r="813" spans="1:2" x14ac:dyDescent="0.25">
      <c r="A813" s="12">
        <v>46093</v>
      </c>
      <c r="B813" s="10">
        <v>1.2076</v>
      </c>
    </row>
    <row r="814" spans="1:2" x14ac:dyDescent="0.25">
      <c r="A814" s="12">
        <v>46094</v>
      </c>
      <c r="B814" s="10">
        <v>1.2115</v>
      </c>
    </row>
    <row r="815" spans="1:2" x14ac:dyDescent="0.25">
      <c r="A815" s="12">
        <v>46097</v>
      </c>
      <c r="B815" s="10">
        <v>1.2071000000000001</v>
      </c>
    </row>
    <row r="816" spans="1:2" x14ac:dyDescent="0.25">
      <c r="A816" s="12">
        <v>46098</v>
      </c>
      <c r="B816" s="10">
        <v>1.2109000000000001</v>
      </c>
    </row>
    <row r="817" spans="1:2" x14ac:dyDescent="0.25">
      <c r="A817" s="12">
        <v>46099</v>
      </c>
      <c r="B817" s="10">
        <v>1.2135</v>
      </c>
    </row>
    <row r="818" spans="1:2" x14ac:dyDescent="0.25">
      <c r="A818" s="12">
        <v>46100</v>
      </c>
      <c r="B818" s="10">
        <v>1.2097</v>
      </c>
    </row>
    <row r="819" spans="1:2" x14ac:dyDescent="0.25">
      <c r="A819" s="12">
        <v>46101</v>
      </c>
      <c r="B819" s="10">
        <v>1.2052</v>
      </c>
    </row>
    <row r="820" spans="1:2" x14ac:dyDescent="0.25">
      <c r="A820" s="12">
        <v>46104</v>
      </c>
      <c r="B820" s="10">
        <v>1.2010000000000001</v>
      </c>
    </row>
    <row r="821" spans="1:2" x14ac:dyDescent="0.25">
      <c r="A821" s="12">
        <v>46105</v>
      </c>
      <c r="B821" s="10">
        <v>1.1949000000000001</v>
      </c>
    </row>
    <row r="822" spans="1:2" x14ac:dyDescent="0.25">
      <c r="A822" s="12">
        <v>46106</v>
      </c>
      <c r="B822" s="10">
        <v>1.1991000000000001</v>
      </c>
    </row>
    <row r="823" spans="1:2" x14ac:dyDescent="0.25">
      <c r="A823" s="12">
        <v>46107</v>
      </c>
      <c r="B823" s="10">
        <v>1.1977</v>
      </c>
    </row>
    <row r="824" spans="1:2" x14ac:dyDescent="0.25">
      <c r="A824" s="12">
        <v>46108</v>
      </c>
      <c r="B824" s="10">
        <v>1.1967000000000001</v>
      </c>
    </row>
    <row r="825" spans="1:2" x14ac:dyDescent="0.25">
      <c r="A825" s="12">
        <v>46111</v>
      </c>
      <c r="B825" s="10">
        <v>1.1975</v>
      </c>
    </row>
    <row r="826" spans="1:2" x14ac:dyDescent="0.25">
      <c r="A826" s="12">
        <v>46112</v>
      </c>
      <c r="B826" s="10">
        <v>1.1992</v>
      </c>
    </row>
    <row r="827" spans="1:2" x14ac:dyDescent="0.25">
      <c r="A827" s="12">
        <v>46113</v>
      </c>
      <c r="B827" s="10">
        <v>1.2032</v>
      </c>
    </row>
    <row r="828" spans="1:2" x14ac:dyDescent="0.25">
      <c r="A828" s="12">
        <v>46114</v>
      </c>
      <c r="B828" s="10">
        <v>1.2047000000000001</v>
      </c>
    </row>
    <row r="829" spans="1:2" x14ac:dyDescent="0.25">
      <c r="A829" s="12">
        <v>46119</v>
      </c>
      <c r="B829" s="10">
        <v>1.2129000000000001</v>
      </c>
    </row>
    <row r="830" spans="1:2" x14ac:dyDescent="0.25">
      <c r="A830" s="12">
        <v>46120</v>
      </c>
      <c r="B830" s="10">
        <v>1.2114</v>
      </c>
    </row>
    <row r="831" spans="1:2" x14ac:dyDescent="0.25">
      <c r="A831" s="12">
        <v>46121</v>
      </c>
      <c r="B831" s="10">
        <v>1.2069000000000001</v>
      </c>
    </row>
    <row r="832" spans="1:2" x14ac:dyDescent="0.25">
      <c r="A832" s="12">
        <v>46122</v>
      </c>
      <c r="B832" s="10">
        <v>1.2093</v>
      </c>
    </row>
    <row r="833" spans="1:2" x14ac:dyDescent="0.25">
      <c r="A833" s="12">
        <v>46125</v>
      </c>
      <c r="B833" s="10">
        <v>1.2083999999999999</v>
      </c>
    </row>
    <row r="834" spans="1:2" x14ac:dyDescent="0.25">
      <c r="A834" s="12">
        <v>46126</v>
      </c>
      <c r="B834" s="10">
        <v>1.2061999999999999</v>
      </c>
    </row>
    <row r="835" spans="1:2" x14ac:dyDescent="0.25">
      <c r="A835" s="12">
        <v>46127</v>
      </c>
      <c r="B835" s="10">
        <v>1.2092000000000001</v>
      </c>
    </row>
    <row r="836" spans="1:2" x14ac:dyDescent="0.25">
      <c r="A836" s="12">
        <v>46128</v>
      </c>
      <c r="B836" s="10">
        <v>1.2156</v>
      </c>
    </row>
    <row r="837" spans="1:2" x14ac:dyDescent="0.25">
      <c r="A837" s="12">
        <v>46129</v>
      </c>
      <c r="B837" s="10">
        <v>1.2177</v>
      </c>
    </row>
    <row r="838" spans="1:2" x14ac:dyDescent="0.25">
      <c r="A838" s="12">
        <v>46132</v>
      </c>
      <c r="B838" s="10">
        <v>1.2181</v>
      </c>
    </row>
    <row r="839" spans="1:2" x14ac:dyDescent="0.25">
      <c r="A839" s="12">
        <v>46133</v>
      </c>
      <c r="B839" s="10">
        <v>1.2126999999999999</v>
      </c>
    </row>
    <row r="840" spans="1:2" x14ac:dyDescent="0.25">
      <c r="A840" s="12">
        <v>46134</v>
      </c>
      <c r="B840" s="10">
        <v>1.2118</v>
      </c>
    </row>
    <row r="841" spans="1:2" x14ac:dyDescent="0.25">
      <c r="A841" s="12">
        <v>46135</v>
      </c>
      <c r="B841" s="10">
        <v>1.2150000000000001</v>
      </c>
    </row>
    <row r="842" spans="1:2" x14ac:dyDescent="0.25">
      <c r="A842" s="12">
        <v>46136</v>
      </c>
      <c r="B842" s="10">
        <v>1.2182999999999999</v>
      </c>
    </row>
    <row r="843" spans="1:2" x14ac:dyDescent="0.25">
      <c r="A843" s="12">
        <v>46140</v>
      </c>
      <c r="B843" s="10">
        <v>1.2168000000000001</v>
      </c>
    </row>
    <row r="844" spans="1:2" x14ac:dyDescent="0.25">
      <c r="A844" s="12">
        <v>46141</v>
      </c>
      <c r="B844" s="10">
        <v>1.2218</v>
      </c>
    </row>
    <row r="845" spans="1:2" x14ac:dyDescent="0.25">
      <c r="A845" s="12">
        <v>46142</v>
      </c>
      <c r="B845" s="10">
        <v>1.2211000000000001</v>
      </c>
    </row>
    <row r="846" spans="1:2" x14ac:dyDescent="0.25">
      <c r="A846" s="12">
        <v>46143</v>
      </c>
      <c r="B846" s="10">
        <v>1.2204999999999999</v>
      </c>
    </row>
    <row r="847" spans="1:2" x14ac:dyDescent="0.25">
      <c r="A847" s="12">
        <v>46146</v>
      </c>
      <c r="B847" s="10">
        <v>1.218</v>
      </c>
    </row>
    <row r="848" spans="1:2" x14ac:dyDescent="0.25">
      <c r="A848" s="12">
        <v>46147</v>
      </c>
      <c r="B848" s="10">
        <v>1.2169000000000001</v>
      </c>
    </row>
    <row r="849" spans="1:2" x14ac:dyDescent="0.25">
      <c r="A849" s="12">
        <v>46148</v>
      </c>
      <c r="B849" s="10">
        <v>1.2188000000000001</v>
      </c>
    </row>
    <row r="850" spans="1:2" x14ac:dyDescent="0.25">
      <c r="A850" s="12">
        <v>46149</v>
      </c>
      <c r="B850" s="10">
        <v>1.2159</v>
      </c>
    </row>
    <row r="851" spans="1:2" x14ac:dyDescent="0.25">
      <c r="A851" s="12">
        <v>46150</v>
      </c>
      <c r="B851" s="10">
        <v>1.2146999999999999</v>
      </c>
    </row>
    <row r="852" spans="1:2" x14ac:dyDescent="0.25">
      <c r="A852" s="12">
        <v>46153</v>
      </c>
      <c r="B852" s="10">
        <v>1.2169000000000001</v>
      </c>
    </row>
    <row r="853" spans="1:2" x14ac:dyDescent="0.25">
      <c r="A853" s="12">
        <v>46154</v>
      </c>
      <c r="B853" s="10">
        <v>1.2141</v>
      </c>
    </row>
    <row r="854" spans="1:2" x14ac:dyDescent="0.25">
      <c r="A854" s="12">
        <v>46155</v>
      </c>
      <c r="B854" s="10">
        <v>1.2181999999999999</v>
      </c>
    </row>
    <row r="855" spans="1:2" x14ac:dyDescent="0.25">
      <c r="A855" s="12">
        <v>46156</v>
      </c>
      <c r="B855" s="10">
        <v>1.2231000000000001</v>
      </c>
    </row>
    <row r="856" spans="1:2" x14ac:dyDescent="0.25">
      <c r="A856" s="12">
        <v>46157</v>
      </c>
      <c r="B856" s="10">
        <v>1.2216</v>
      </c>
    </row>
    <row r="857" spans="1:2" x14ac:dyDescent="0.25">
      <c r="A857" s="12">
        <v>46160</v>
      </c>
      <c r="B857" s="10">
        <v>1.2214</v>
      </c>
    </row>
    <row r="858" spans="1:2" x14ac:dyDescent="0.25">
      <c r="A858" s="12">
        <v>46161</v>
      </c>
      <c r="B858" s="10">
        <v>1.2179</v>
      </c>
    </row>
    <row r="859" spans="1:2" x14ac:dyDescent="0.25">
      <c r="A859" s="12">
        <v>46162</v>
      </c>
      <c r="B859" s="10">
        <v>1.2183999999999999</v>
      </c>
    </row>
    <row r="860" spans="1:2" x14ac:dyDescent="0.25">
      <c r="A860" s="12">
        <v>46163</v>
      </c>
      <c r="B860" s="10">
        <v>1.2155</v>
      </c>
    </row>
    <row r="861" spans="1:2" x14ac:dyDescent="0.25">
      <c r="A861" s="12">
        <v>46164</v>
      </c>
      <c r="B861" s="10">
        <v>1.216</v>
      </c>
    </row>
    <row r="862" spans="1:2" x14ac:dyDescent="0.25">
      <c r="A862" s="12">
        <v>46167</v>
      </c>
      <c r="B862" s="10">
        <v>1.22</v>
      </c>
    </row>
    <row r="863" spans="1:2" x14ac:dyDescent="0.25">
      <c r="A863" s="12">
        <v>46168</v>
      </c>
      <c r="B863" s="10">
        <v>1.2248000000000001</v>
      </c>
    </row>
    <row r="864" spans="1:2" x14ac:dyDescent="0.25">
      <c r="A864" s="12">
        <v>46169</v>
      </c>
      <c r="B864" s="10">
        <v>1.2184999999999999</v>
      </c>
    </row>
    <row r="865" spans="1:2" x14ac:dyDescent="0.25">
      <c r="A865" s="12">
        <v>46170</v>
      </c>
      <c r="B865" s="10">
        <v>1.2108000000000001</v>
      </c>
    </row>
    <row r="866" spans="1:2" x14ac:dyDescent="0.25">
      <c r="A866" s="12">
        <v>46171</v>
      </c>
      <c r="B866" s="10">
        <v>1.2025999999999999</v>
      </c>
    </row>
    <row r="867" spans="1:2" x14ac:dyDescent="0.25">
      <c r="A867" s="12">
        <v>46174</v>
      </c>
      <c r="B867" s="10">
        <v>1.204</v>
      </c>
    </row>
    <row r="868" spans="1:2" x14ac:dyDescent="0.25">
      <c r="A868" s="12">
        <v>46175</v>
      </c>
      <c r="B868" s="10">
        <v>1.2071000000000001</v>
      </c>
    </row>
    <row r="869" spans="1:2" x14ac:dyDescent="0.25">
      <c r="A869" s="12">
        <v>46176</v>
      </c>
      <c r="B869" s="10">
        <v>1.2125999999999999</v>
      </c>
    </row>
    <row r="870" spans="1:2" x14ac:dyDescent="0.25">
      <c r="A870" s="12">
        <v>46177</v>
      </c>
      <c r="B870" s="10">
        <v>1.2145999999999999</v>
      </c>
    </row>
    <row r="871" spans="1:2" x14ac:dyDescent="0.25">
      <c r="A871" s="12">
        <v>46178</v>
      </c>
      <c r="B871" s="10">
        <v>1.2143999999999999</v>
      </c>
    </row>
    <row r="872" spans="1:2" x14ac:dyDescent="0.25">
      <c r="A872" s="12">
        <v>46182</v>
      </c>
      <c r="B872" s="10">
        <v>1.2088000000000001</v>
      </c>
    </row>
    <row r="873" spans="1:2" x14ac:dyDescent="0.25">
      <c r="A873" s="12">
        <v>46183</v>
      </c>
      <c r="B873" s="10">
        <v>1.2070000000000001</v>
      </c>
    </row>
    <row r="874" spans="1:2" x14ac:dyDescent="0.25">
      <c r="A874" s="12">
        <v>46184</v>
      </c>
      <c r="B874" s="10">
        <v>1.2091000000000001</v>
      </c>
    </row>
    <row r="875" spans="1:2" x14ac:dyDescent="0.25">
      <c r="A875" s="12">
        <v>46185</v>
      </c>
      <c r="B875" s="10">
        <v>1.2094</v>
      </c>
    </row>
    <row r="876" spans="1:2" x14ac:dyDescent="0.25">
      <c r="A876" s="12">
        <v>46188</v>
      </c>
      <c r="B876" s="10">
        <v>1.2090000000000001</v>
      </c>
    </row>
    <row r="877" spans="1:2" x14ac:dyDescent="0.25">
      <c r="A877" s="12">
        <v>46189</v>
      </c>
      <c r="B877" s="13">
        <v>1.2131000000000001</v>
      </c>
    </row>
    <row r="878" spans="1:2" x14ac:dyDescent="0.25">
      <c r="A878" s="12">
        <v>46190</v>
      </c>
      <c r="B878" s="13">
        <v>1.2124999999999999</v>
      </c>
    </row>
    <row r="879" spans="1:2" x14ac:dyDescent="0.25">
      <c r="A879" s="12">
        <v>46191</v>
      </c>
      <c r="B879" s="13">
        <v>1.2142999999999999</v>
      </c>
    </row>
    <row r="880" spans="1:2" x14ac:dyDescent="0.25">
      <c r="A880" s="12">
        <v>46192</v>
      </c>
      <c r="B880" s="13">
        <v>1.2224999999999999</v>
      </c>
    </row>
    <row r="881" spans="1:2" x14ac:dyDescent="0.25">
      <c r="A881" s="12">
        <v>46195</v>
      </c>
      <c r="B881" s="13">
        <v>1.2230000000000001</v>
      </c>
    </row>
    <row r="882" spans="1:2" x14ac:dyDescent="0.25">
      <c r="A882" s="12">
        <v>46196</v>
      </c>
      <c r="B882" s="13">
        <v>1.2230000000000001</v>
      </c>
    </row>
    <row r="883" spans="1:2" x14ac:dyDescent="0.25">
      <c r="A883" s="12">
        <v>46197</v>
      </c>
      <c r="B883" s="13">
        <v>1.2222</v>
      </c>
    </row>
    <row r="884" spans="1:2" x14ac:dyDescent="0.25">
      <c r="A884" s="12">
        <v>46198</v>
      </c>
      <c r="B884" s="13">
        <v>1.2211000000000001</v>
      </c>
    </row>
    <row r="885" spans="1:2" x14ac:dyDescent="0.25">
      <c r="A885" s="12">
        <v>46199</v>
      </c>
      <c r="B885" s="13">
        <v>1.2208000000000001</v>
      </c>
    </row>
    <row r="886" spans="1:2" x14ac:dyDescent="0.25">
      <c r="A886" s="12">
        <v>46202</v>
      </c>
      <c r="B886" s="13">
        <v>1.2201</v>
      </c>
    </row>
    <row r="887" spans="1:2" x14ac:dyDescent="0.25">
      <c r="A887" s="12">
        <v>46203</v>
      </c>
      <c r="B887" s="13">
        <v>1.2165999999999999</v>
      </c>
    </row>
    <row r="888" spans="1:2" x14ac:dyDescent="0.25">
      <c r="A888" s="12">
        <v>46204</v>
      </c>
      <c r="B888" s="13">
        <v>1.2148000000000001</v>
      </c>
    </row>
    <row r="889" spans="1:2" x14ac:dyDescent="0.25">
      <c r="A889" s="12">
        <v>46205</v>
      </c>
      <c r="B889" s="13">
        <v>1.2143999999999999</v>
      </c>
    </row>
    <row r="890" spans="1:2" x14ac:dyDescent="0.25">
      <c r="A890" s="12">
        <v>46206</v>
      </c>
      <c r="B890" s="13">
        <v>1.2142999999999999</v>
      </c>
    </row>
    <row r="891" spans="1:2" x14ac:dyDescent="0.25">
      <c r="A891" s="12">
        <v>46209</v>
      </c>
      <c r="B891" s="13">
        <v>1.2194</v>
      </c>
    </row>
    <row r="892" spans="1:2" x14ac:dyDescent="0.25">
      <c r="A892" s="12">
        <v>46210</v>
      </c>
      <c r="B892" s="13">
        <v>1.2196</v>
      </c>
    </row>
    <row r="893" spans="1:2" x14ac:dyDescent="0.25">
      <c r="A893" s="12">
        <v>46211</v>
      </c>
      <c r="B893" s="13">
        <v>1.2143999999999999</v>
      </c>
    </row>
    <row r="894" spans="1:2" x14ac:dyDescent="0.25">
      <c r="A894" s="12">
        <v>46212</v>
      </c>
      <c r="B894" s="13">
        <v>1.2121999999999999</v>
      </c>
    </row>
    <row r="895" spans="1:2" x14ac:dyDescent="0.25">
      <c r="A895" s="12">
        <v>46213</v>
      </c>
      <c r="B895" s="13">
        <v>1.2042999999999999</v>
      </c>
    </row>
    <row r="896" spans="1:2" x14ac:dyDescent="0.25">
      <c r="A896" s="12">
        <v>46216</v>
      </c>
      <c r="B896" s="13">
        <v>1.2041999999999999</v>
      </c>
    </row>
    <row r="897" spans="1:2" x14ac:dyDescent="0.25">
      <c r="A897" s="12">
        <v>46217</v>
      </c>
      <c r="B897" s="13">
        <v>1.1967000000000001</v>
      </c>
    </row>
    <row r="898" spans="1:2" x14ac:dyDescent="0.25">
      <c r="A898" s="12">
        <v>46218</v>
      </c>
      <c r="B898" s="13">
        <v>1.2011000000000001</v>
      </c>
    </row>
    <row r="899" spans="1:2" x14ac:dyDescent="0.25">
      <c r="A899" s="12">
        <v>46219</v>
      </c>
      <c r="B899" s="13">
        <v>1.1959</v>
      </c>
    </row>
    <row r="900" spans="1:2" x14ac:dyDescent="0.25">
      <c r="A900" s="12">
        <v>46220</v>
      </c>
      <c r="B900" s="13">
        <v>1.1961999999999999</v>
      </c>
    </row>
    <row r="901" spans="1:2" x14ac:dyDescent="0.25">
      <c r="A901" s="12">
        <v>46223</v>
      </c>
      <c r="B901" s="13">
        <v>1.1946000000000001</v>
      </c>
    </row>
    <row r="902" spans="1:2" x14ac:dyDescent="0.25">
      <c r="A902" s="12">
        <v>46224</v>
      </c>
      <c r="B902" s="13">
        <v>1.1955</v>
      </c>
    </row>
    <row r="903" spans="1:2" x14ac:dyDescent="0.25">
      <c r="A903" s="12">
        <v>46225</v>
      </c>
      <c r="B903" s="13">
        <v>1.2014</v>
      </c>
    </row>
    <row r="904" spans="1:2" x14ac:dyDescent="0.25">
      <c r="A904" s="12">
        <v>46226</v>
      </c>
      <c r="B904" s="13">
        <v>1.2050000000000001</v>
      </c>
    </row>
    <row r="905" spans="1:2" x14ac:dyDescent="0.25">
      <c r="A905" s="12">
        <v>46227</v>
      </c>
      <c r="B905" s="13">
        <v>1.2078</v>
      </c>
    </row>
    <row r="906" spans="1:2" x14ac:dyDescent="0.25">
      <c r="A906" s="12">
        <v>46230</v>
      </c>
      <c r="B906" s="13">
        <v>1.2072000000000001</v>
      </c>
    </row>
    <row r="907" spans="1:2" x14ac:dyDescent="0.25">
      <c r="A907" s="12">
        <v>46231</v>
      </c>
      <c r="B907" s="13">
        <v>1.2082999999999999</v>
      </c>
    </row>
    <row r="908" spans="1:2" x14ac:dyDescent="0.25">
      <c r="A908" s="12">
        <v>46232</v>
      </c>
      <c r="B908" s="13">
        <v>1.2010000000000001</v>
      </c>
    </row>
    <row r="909" spans="1:2" x14ac:dyDescent="0.25">
      <c r="A909" s="12">
        <v>46233</v>
      </c>
      <c r="B909" s="13">
        <v>1.1974</v>
      </c>
    </row>
    <row r="910" spans="1:2" x14ac:dyDescent="0.25">
      <c r="A910" s="12">
        <v>46234</v>
      </c>
      <c r="B910" s="13">
        <v>1.198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Delivered Sales</vt:lpstr>
      <vt:lpstr>Sheet10</vt:lpstr>
      <vt:lpstr>Sheet7</vt:lpstr>
      <vt:lpstr>Sheet2</vt:lpstr>
      <vt:lpstr>Written Sales</vt:lpstr>
      <vt:lpstr>Sheet9</vt:lpstr>
      <vt:lpstr>Sheet8</vt:lpstr>
      <vt:lpstr>Sheet6</vt:lpstr>
      <vt:lpstr>Sheet5</vt:lpstr>
      <vt:lpstr>Sheet4</vt:lpstr>
      <vt:lpstr>Sheet1</vt:lpstr>
      <vt:lpstr>Sheet3</vt:lpstr>
      <vt:lpstr>Orderbook Movement</vt:lpstr>
      <vt:lpstr>FX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Jordi Stillwood</dc:creator>
  <cp:keywords/>
  <dc:description/>
  <cp:lastModifiedBy>Jordi Stillwood</cp:lastModifiedBy>
  <cp:revision/>
  <dcterms:created xsi:type="dcterms:W3CDTF">2026-08-03T01:29:48Z</dcterms:created>
  <dcterms:modified xsi:type="dcterms:W3CDTF">2026-09-07T23:25:03Z</dcterms:modified>
  <cp:category/>
  <cp:contentStatus/>
</cp:coreProperties>
</file>